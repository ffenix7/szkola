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48" windowWidth="16260" windowHeight="6648" activeTab="2"/>
  </bookViews>
  <sheets>
    <sheet name="Arkusz1" sheetId="1" r:id="rId1"/>
    <sheet name="Arkusz2" sheetId="2" r:id="rId2"/>
    <sheet name="Arkusz3" sheetId="3" r:id="rId3"/>
  </sheets>
  <definedNames>
    <definedName name="loty" localSheetId="0">Arkusz1!$A$1:$K$158</definedName>
  </definedNames>
  <calcPr calcId="145621"/>
</workbook>
</file>

<file path=xl/calcChain.xml><?xml version="1.0" encoding="utf-8"?>
<calcChain xmlns="http://schemas.openxmlformats.org/spreadsheetml/2006/main">
  <c r="AA3" i="3" l="1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2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2" i="3"/>
  <c r="J2" i="3"/>
  <c r="I3" i="1"/>
  <c r="K2" i="1" s="1"/>
  <c r="L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2" i="1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4" i="2"/>
  <c r="G3" i="2"/>
  <c r="G2" i="2"/>
  <c r="I2" i="2" s="1"/>
  <c r="I3" i="2" s="1"/>
  <c r="I4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2" i="1"/>
  <c r="G5" i="2" l="1"/>
  <c r="I5" i="2" s="1"/>
  <c r="G6" i="2" l="1"/>
  <c r="I6" i="2" s="1"/>
  <c r="G7" i="2" l="1"/>
  <c r="I7" i="2" s="1"/>
  <c r="G8" i="2" l="1"/>
  <c r="I8" i="2" s="1"/>
  <c r="G9" i="2" l="1"/>
  <c r="I9" i="2" s="1"/>
  <c r="G10" i="2" l="1"/>
  <c r="I10" i="2" s="1"/>
  <c r="G11" i="2" l="1"/>
  <c r="I11" i="2" s="1"/>
  <c r="G12" i="2" l="1"/>
  <c r="I12" i="2" s="1"/>
  <c r="G13" i="2" l="1"/>
  <c r="I13" i="2" s="1"/>
  <c r="G14" i="2" l="1"/>
  <c r="I14" i="2" s="1"/>
  <c r="G15" i="2" l="1"/>
  <c r="I15" i="2" s="1"/>
  <c r="G16" i="2" l="1"/>
  <c r="I16" i="2" s="1"/>
  <c r="G17" i="2" l="1"/>
  <c r="I17" i="2" s="1"/>
  <c r="G18" i="2" l="1"/>
  <c r="I18" i="2" s="1"/>
  <c r="G19" i="2" l="1"/>
  <c r="I19" i="2" s="1"/>
  <c r="G20" i="2" l="1"/>
  <c r="I20" i="2" s="1"/>
  <c r="G21" i="2" l="1"/>
  <c r="I21" i="2" s="1"/>
  <c r="G22" i="2" l="1"/>
  <c r="I22" i="2" s="1"/>
  <c r="G23" i="2" l="1"/>
  <c r="I23" i="2" s="1"/>
  <c r="G24" i="2" l="1"/>
  <c r="I24" i="2" s="1"/>
  <c r="G25" i="2" l="1"/>
  <c r="I25" i="2" s="1"/>
  <c r="G26" i="2" l="1"/>
  <c r="I26" i="2" s="1"/>
  <c r="G27" i="2" l="1"/>
  <c r="I27" i="2" s="1"/>
  <c r="G28" i="2" l="1"/>
  <c r="I28" i="2" s="1"/>
  <c r="G29" i="2" l="1"/>
  <c r="I29" i="2" s="1"/>
  <c r="G30" i="2" l="1"/>
  <c r="I30" i="2" s="1"/>
  <c r="G31" i="2" l="1"/>
  <c r="I31" i="2" s="1"/>
  <c r="G32" i="2" l="1"/>
  <c r="I32" i="2" s="1"/>
  <c r="G33" i="2" l="1"/>
  <c r="I33" i="2" s="1"/>
  <c r="G34" i="2" l="1"/>
  <c r="I34" i="2" s="1"/>
  <c r="G35" i="2" l="1"/>
  <c r="I35" i="2" s="1"/>
  <c r="G36" i="2" l="1"/>
  <c r="I36" i="2" s="1"/>
  <c r="G37" i="2" l="1"/>
  <c r="I37" i="2" s="1"/>
  <c r="G38" i="2" l="1"/>
  <c r="I38" i="2" s="1"/>
  <c r="G39" i="2" l="1"/>
  <c r="I39" i="2" s="1"/>
  <c r="G40" i="2" l="1"/>
  <c r="I40" i="2" s="1"/>
  <c r="G41" i="2" l="1"/>
  <c r="I41" i="2" s="1"/>
  <c r="G42" i="2" l="1"/>
  <c r="I42" i="2" s="1"/>
  <c r="G43" i="2" l="1"/>
  <c r="I43" i="2" s="1"/>
  <c r="G44" i="2" l="1"/>
  <c r="I44" i="2" s="1"/>
  <c r="G45" i="2" l="1"/>
  <c r="I45" i="2" s="1"/>
  <c r="G46" i="2" l="1"/>
  <c r="I46" i="2" s="1"/>
  <c r="G47" i="2" l="1"/>
  <c r="I47" i="2" s="1"/>
  <c r="G48" i="2" l="1"/>
  <c r="I48" i="2" s="1"/>
  <c r="G49" i="2" l="1"/>
  <c r="I49" i="2" s="1"/>
  <c r="G50" i="2" l="1"/>
  <c r="I50" i="2" s="1"/>
  <c r="G51" i="2" l="1"/>
  <c r="I51" i="2" s="1"/>
  <c r="G52" i="2" l="1"/>
  <c r="I52" i="2" s="1"/>
  <c r="G53" i="2" l="1"/>
  <c r="I53" i="2" s="1"/>
  <c r="G54" i="2" l="1"/>
  <c r="I54" i="2" s="1"/>
  <c r="G55" i="2" l="1"/>
  <c r="I55" i="2" s="1"/>
  <c r="G56" i="2" l="1"/>
  <c r="I56" i="2" s="1"/>
  <c r="G57" i="2" l="1"/>
  <c r="I57" i="2" s="1"/>
  <c r="G58" i="2" l="1"/>
  <c r="I58" i="2" s="1"/>
  <c r="G59" i="2" l="1"/>
  <c r="I59" i="2" s="1"/>
  <c r="G60" i="2" l="1"/>
  <c r="I60" i="2" s="1"/>
  <c r="G61" i="2" l="1"/>
  <c r="I61" i="2" s="1"/>
  <c r="G62" i="2" l="1"/>
  <c r="I62" i="2" s="1"/>
  <c r="G63" i="2" l="1"/>
  <c r="I63" i="2" s="1"/>
  <c r="G64" i="2" l="1"/>
  <c r="I64" i="2" s="1"/>
  <c r="G65" i="2" l="1"/>
  <c r="I65" i="2" s="1"/>
  <c r="G66" i="2" l="1"/>
  <c r="I66" i="2" s="1"/>
  <c r="G67" i="2" l="1"/>
  <c r="I67" i="2" s="1"/>
  <c r="G68" i="2" l="1"/>
  <c r="I68" i="2" s="1"/>
  <c r="G69" i="2" l="1"/>
  <c r="I69" i="2" s="1"/>
  <c r="G70" i="2" l="1"/>
  <c r="I70" i="2" s="1"/>
  <c r="G71" i="2" l="1"/>
  <c r="I71" i="2" s="1"/>
  <c r="G72" i="2" l="1"/>
  <c r="I72" i="2" s="1"/>
  <c r="G73" i="2" l="1"/>
  <c r="I73" i="2" s="1"/>
  <c r="G74" i="2" l="1"/>
  <c r="I74" i="2" s="1"/>
  <c r="G75" i="2" l="1"/>
  <c r="I75" i="2" s="1"/>
  <c r="G76" i="2" l="1"/>
  <c r="I76" i="2" s="1"/>
  <c r="G77" i="2" l="1"/>
  <c r="I77" i="2" s="1"/>
  <c r="G78" i="2" l="1"/>
  <c r="I78" i="2" s="1"/>
  <c r="G79" i="2" l="1"/>
  <c r="I79" i="2" s="1"/>
  <c r="G80" i="2" l="1"/>
  <c r="I80" i="2" s="1"/>
  <c r="G81" i="2" l="1"/>
  <c r="I81" i="2" s="1"/>
  <c r="G82" i="2" l="1"/>
  <c r="I82" i="2" s="1"/>
  <c r="G83" i="2" l="1"/>
  <c r="I83" i="2" s="1"/>
  <c r="G84" i="2" l="1"/>
  <c r="I84" i="2" s="1"/>
  <c r="I85" i="2" l="1"/>
  <c r="G85" i="2"/>
  <c r="G86" i="2" l="1"/>
  <c r="I86" i="2" s="1"/>
  <c r="G87" i="2" l="1"/>
  <c r="I87" i="2" s="1"/>
  <c r="G88" i="2" l="1"/>
  <c r="I88" i="2" s="1"/>
  <c r="G89" i="2" l="1"/>
  <c r="I89" i="2" s="1"/>
  <c r="G90" i="2" l="1"/>
  <c r="I90" i="2" s="1"/>
  <c r="G91" i="2" l="1"/>
  <c r="I91" i="2" s="1"/>
  <c r="G92" i="2" l="1"/>
  <c r="I92" i="2" s="1"/>
  <c r="G93" i="2" l="1"/>
  <c r="I93" i="2" s="1"/>
  <c r="G94" i="2" l="1"/>
  <c r="I94" i="2" s="1"/>
  <c r="G95" i="2" l="1"/>
  <c r="I95" i="2" s="1"/>
  <c r="G96" i="2" l="1"/>
  <c r="I96" i="2" s="1"/>
  <c r="G97" i="2" l="1"/>
  <c r="I97" i="2" s="1"/>
  <c r="G98" i="2" l="1"/>
  <c r="I98" i="2" s="1"/>
  <c r="G99" i="2" l="1"/>
  <c r="I99" i="2" s="1"/>
  <c r="G100" i="2" l="1"/>
  <c r="I100" i="2" s="1"/>
  <c r="G101" i="2" l="1"/>
  <c r="I101" i="2" s="1"/>
  <c r="G102" i="2" l="1"/>
  <c r="I102" i="2" s="1"/>
  <c r="G103" i="2" l="1"/>
  <c r="I103" i="2" s="1"/>
  <c r="G104" i="2" l="1"/>
  <c r="I104" i="2" s="1"/>
  <c r="G105" i="2" l="1"/>
  <c r="I105" i="2" s="1"/>
  <c r="G106" i="2" l="1"/>
  <c r="I106" i="2" s="1"/>
  <c r="G107" i="2" l="1"/>
  <c r="I107" i="2" s="1"/>
  <c r="G108" i="2" l="1"/>
  <c r="I108" i="2" s="1"/>
  <c r="G109" i="2" l="1"/>
  <c r="I109" i="2" s="1"/>
  <c r="G110" i="2" l="1"/>
  <c r="I110" i="2" s="1"/>
  <c r="G111" i="2" l="1"/>
  <c r="I111" i="2" s="1"/>
  <c r="G112" i="2" l="1"/>
  <c r="I112" i="2" s="1"/>
  <c r="G113" i="2" l="1"/>
  <c r="I113" i="2" s="1"/>
  <c r="G114" i="2" l="1"/>
  <c r="I114" i="2" s="1"/>
  <c r="G115" i="2" l="1"/>
  <c r="I115" i="2" s="1"/>
  <c r="G116" i="2" l="1"/>
  <c r="I116" i="2" s="1"/>
  <c r="G117" i="2" l="1"/>
  <c r="I117" i="2" s="1"/>
  <c r="G118" i="2" l="1"/>
  <c r="I118" i="2" s="1"/>
  <c r="G119" i="2" l="1"/>
  <c r="I119" i="2" s="1"/>
  <c r="G120" i="2" l="1"/>
  <c r="I120" i="2" s="1"/>
  <c r="G121" i="2" l="1"/>
  <c r="I121" i="2" s="1"/>
  <c r="G122" i="2" l="1"/>
  <c r="I122" i="2" s="1"/>
  <c r="G123" i="2" l="1"/>
  <c r="I123" i="2" s="1"/>
  <c r="G124" i="2" l="1"/>
  <c r="I124" i="2" s="1"/>
  <c r="G125" i="2" l="1"/>
  <c r="I125" i="2" s="1"/>
  <c r="G126" i="2" l="1"/>
  <c r="I126" i="2" s="1"/>
  <c r="G127" i="2" l="1"/>
  <c r="I127" i="2" s="1"/>
  <c r="G128" i="2" l="1"/>
  <c r="I128" i="2" s="1"/>
  <c r="G129" i="2" l="1"/>
  <c r="I129" i="2" s="1"/>
  <c r="G130" i="2" l="1"/>
  <c r="I130" i="2" s="1"/>
  <c r="G131" i="2" l="1"/>
  <c r="I131" i="2" s="1"/>
  <c r="G132" i="2" l="1"/>
  <c r="I132" i="2" s="1"/>
  <c r="G133" i="2" l="1"/>
  <c r="I133" i="2" s="1"/>
  <c r="G134" i="2" l="1"/>
  <c r="I134" i="2" s="1"/>
  <c r="G135" i="2" l="1"/>
  <c r="I135" i="2" s="1"/>
  <c r="G136" i="2" l="1"/>
  <c r="I136" i="2" s="1"/>
  <c r="G137" i="2" l="1"/>
  <c r="I137" i="2" s="1"/>
  <c r="G138" i="2" l="1"/>
  <c r="I138" i="2" s="1"/>
  <c r="G139" i="2" l="1"/>
  <c r="I139" i="2" s="1"/>
  <c r="G140" i="2" l="1"/>
  <c r="I140" i="2" s="1"/>
  <c r="G141" i="2" l="1"/>
  <c r="I141" i="2" s="1"/>
  <c r="G142" i="2" l="1"/>
  <c r="I142" i="2" s="1"/>
  <c r="G143" i="2" l="1"/>
  <c r="I143" i="2" s="1"/>
  <c r="G144" i="2" l="1"/>
  <c r="I144" i="2" s="1"/>
  <c r="I145" i="2" l="1"/>
  <c r="G145" i="2"/>
  <c r="G146" i="2" l="1"/>
  <c r="I146" i="2" s="1"/>
  <c r="G147" i="2" l="1"/>
  <c r="I147" i="2" s="1"/>
  <c r="G148" i="2" l="1"/>
  <c r="I148" i="2" s="1"/>
  <c r="G149" i="2" l="1"/>
  <c r="I149" i="2" s="1"/>
  <c r="G150" i="2" l="1"/>
  <c r="I150" i="2" s="1"/>
  <c r="G151" i="2" l="1"/>
  <c r="I151" i="2" s="1"/>
  <c r="G152" i="2" l="1"/>
  <c r="I152" i="2" s="1"/>
  <c r="G153" i="2" l="1"/>
  <c r="I153" i="2" s="1"/>
  <c r="G154" i="2" l="1"/>
  <c r="I154" i="2" s="1"/>
  <c r="G155" i="2" l="1"/>
  <c r="I155" i="2" s="1"/>
  <c r="G156" i="2" l="1"/>
  <c r="I156" i="2" s="1"/>
  <c r="G157" i="2" l="1"/>
  <c r="I157" i="2" s="1"/>
  <c r="G158" i="2" l="1"/>
  <c r="I158" i="2" s="1"/>
</calcChain>
</file>

<file path=xl/connections.xml><?xml version="1.0" encoding="utf-8"?>
<connections xmlns="http://schemas.openxmlformats.org/spreadsheetml/2006/main">
  <connection id="1" name="loty" type="6" refreshedVersion="4" background="1" saveData="1">
    <textPr codePage="932" sourceFile="C:\Users\filip\Downloads\loty.txt" decimal="," thousands=" 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<sst xmlns="http://schemas.openxmlformats.org/spreadsheetml/2006/main" count="30" uniqueCount="14">
  <si>
    <t>lp</t>
  </si>
  <si>
    <t>data wylotu</t>
  </si>
  <si>
    <t>godzina wylotu</t>
  </si>
  <si>
    <t>data przylotu</t>
  </si>
  <si>
    <t>godzina przylotu</t>
  </si>
  <si>
    <t>Wyładunek</t>
  </si>
  <si>
    <t>Załadunek</t>
  </si>
  <si>
    <t>Czas lotu</t>
  </si>
  <si>
    <t>Najdłuższy czas</t>
  </si>
  <si>
    <t>Numer lotu</t>
  </si>
  <si>
    <t>Tonaż</t>
  </si>
  <si>
    <t>Minuty</t>
  </si>
  <si>
    <t>Ostatecznie</t>
  </si>
  <si>
    <t>3 razy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</si>
</sst>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400]h:mm:ss\ AM/PM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loty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8"/>
  <sheetViews>
    <sheetView topLeftCell="E1" workbookViewId="0">
      <selection activeCell="I1" sqref="I1:I1048576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.5546875" bestFit="1" customWidth="1"/>
    <col min="10" max="10" width="4" bestFit="1" customWidth="1"/>
    <col min="11" max="11" width="13.44140625" bestFit="1" customWidth="1"/>
    <col min="12" max="12" width="11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5</v>
      </c>
      <c r="H1" t="s">
        <v>7</v>
      </c>
      <c r="I1" t="s">
        <v>11</v>
      </c>
      <c r="J1" t="s">
        <v>0</v>
      </c>
      <c r="K1" s="4" t="s">
        <v>8</v>
      </c>
      <c r="L1" s="4" t="s">
        <v>9</v>
      </c>
    </row>
    <row r="2" spans="1:12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v>0</v>
      </c>
      <c r="H2" s="3">
        <f>IF(E2&lt;C2,(24-C2)+E2,E2-C2)</f>
        <v>5.1805555555555605E-2</v>
      </c>
      <c r="I2" s="5">
        <f>HOUR(H2) * 60 + MINUTE(H2) + SECOND(H2) /60</f>
        <v>74.599999999999994</v>
      </c>
      <c r="J2">
        <v>1</v>
      </c>
      <c r="K2" s="6">
        <f>MAX(I:I)</f>
        <v>259.64999999999998</v>
      </c>
      <c r="L2" s="4">
        <f>VLOOKUP(K2,I:J,2,FALSE)</f>
        <v>10</v>
      </c>
    </row>
    <row r="3" spans="1:12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v>16</v>
      </c>
      <c r="H3" s="3">
        <f t="shared" ref="H3:H66" si="0">IF(E3&lt;C3,(24-C3)+E3,E3-C3)</f>
        <v>0.13503472222222218</v>
      </c>
      <c r="I3" s="5">
        <f t="shared" ref="I3:I66" si="1">HOUR(H3) * 60 + MINUTE(H3) + SECOND(H3) /60</f>
        <v>194.45</v>
      </c>
      <c r="J3">
        <v>2</v>
      </c>
      <c r="K3" s="6"/>
      <c r="L3" s="4"/>
    </row>
    <row r="4" spans="1:12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v>0</v>
      </c>
      <c r="H4" s="3">
        <f t="shared" si="0"/>
        <v>7.0081018518518445E-2</v>
      </c>
      <c r="I4" s="5">
        <f t="shared" si="1"/>
        <v>100.91666666666667</v>
      </c>
      <c r="J4">
        <v>3</v>
      </c>
    </row>
    <row r="5" spans="1:12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v>11</v>
      </c>
      <c r="H5" s="3">
        <f t="shared" si="0"/>
        <v>0.15055555555555555</v>
      </c>
      <c r="I5" s="5">
        <f t="shared" si="1"/>
        <v>216.8</v>
      </c>
      <c r="J5">
        <v>4</v>
      </c>
    </row>
    <row r="6" spans="1:12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v>15</v>
      </c>
      <c r="H6" s="3">
        <f t="shared" si="0"/>
        <v>9.5949074074074103E-2</v>
      </c>
      <c r="I6" s="5">
        <f t="shared" si="1"/>
        <v>138.16666666666666</v>
      </c>
      <c r="J6">
        <v>5</v>
      </c>
    </row>
    <row r="7" spans="1:12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v>24</v>
      </c>
      <c r="H7" s="3">
        <f t="shared" si="0"/>
        <v>7.7245370370370381E-2</v>
      </c>
      <c r="I7" s="5">
        <f t="shared" si="1"/>
        <v>111.23333333333333</v>
      </c>
      <c r="J7">
        <v>6</v>
      </c>
    </row>
    <row r="8" spans="1:12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v>10</v>
      </c>
      <c r="H8" s="3">
        <f t="shared" si="0"/>
        <v>9.1342592592592586E-2</v>
      </c>
      <c r="I8" s="5">
        <f t="shared" si="1"/>
        <v>131.53333333333333</v>
      </c>
      <c r="J8">
        <v>7</v>
      </c>
    </row>
    <row r="9" spans="1:12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v>11</v>
      </c>
      <c r="H9" s="3">
        <f t="shared" si="0"/>
        <v>9.6539351851851807E-2</v>
      </c>
      <c r="I9" s="5">
        <f t="shared" si="1"/>
        <v>139.01666666666668</v>
      </c>
      <c r="J9">
        <v>8</v>
      </c>
    </row>
    <row r="10" spans="1:12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v>15</v>
      </c>
      <c r="H10" s="3">
        <f t="shared" si="0"/>
        <v>9.0983796296296382E-2</v>
      </c>
      <c r="I10" s="5">
        <f t="shared" si="1"/>
        <v>131.01666666666668</v>
      </c>
      <c r="J10">
        <v>9</v>
      </c>
    </row>
    <row r="11" spans="1:12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v>22</v>
      </c>
      <c r="H11" s="3">
        <f t="shared" si="0"/>
        <v>0.18031250000000001</v>
      </c>
      <c r="I11" s="5">
        <f t="shared" si="1"/>
        <v>259.64999999999998</v>
      </c>
      <c r="J11">
        <v>10</v>
      </c>
    </row>
    <row r="12" spans="1:12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v>10</v>
      </c>
      <c r="H12" s="3">
        <f t="shared" si="0"/>
        <v>8.355324074074072E-2</v>
      </c>
      <c r="I12" s="5">
        <f t="shared" si="1"/>
        <v>120.31666666666666</v>
      </c>
      <c r="J12">
        <v>11</v>
      </c>
    </row>
    <row r="13" spans="1:12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v>19</v>
      </c>
      <c r="H13" s="3">
        <f t="shared" si="0"/>
        <v>0.13546296296296301</v>
      </c>
      <c r="I13" s="5">
        <f t="shared" si="1"/>
        <v>195.06666666666666</v>
      </c>
      <c r="J13">
        <v>12</v>
      </c>
    </row>
    <row r="14" spans="1:12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v>11</v>
      </c>
      <c r="H14" s="3">
        <f t="shared" si="0"/>
        <v>6.3344907407407502E-2</v>
      </c>
      <c r="I14" s="5">
        <f t="shared" si="1"/>
        <v>91.216666666666669</v>
      </c>
      <c r="J14">
        <v>13</v>
      </c>
    </row>
    <row r="15" spans="1:12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v>9</v>
      </c>
      <c r="H15" s="3">
        <f t="shared" si="0"/>
        <v>0.11835648148148137</v>
      </c>
      <c r="I15" s="5">
        <f t="shared" si="1"/>
        <v>170.43333333333334</v>
      </c>
      <c r="J15">
        <v>14</v>
      </c>
    </row>
    <row r="16" spans="1:12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v>16</v>
      </c>
      <c r="H16" s="3">
        <f t="shared" si="0"/>
        <v>8.2245370370370413E-2</v>
      </c>
      <c r="I16" s="5">
        <f t="shared" si="1"/>
        <v>118.43333333333334</v>
      </c>
      <c r="J16">
        <v>15</v>
      </c>
    </row>
    <row r="17" spans="1:10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v>11</v>
      </c>
      <c r="H17" s="3">
        <f t="shared" si="0"/>
        <v>5.0844907407407436E-2</v>
      </c>
      <c r="I17" s="5">
        <f t="shared" si="1"/>
        <v>73.216666666666669</v>
      </c>
      <c r="J17">
        <v>16</v>
      </c>
    </row>
    <row r="18" spans="1:10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v>18</v>
      </c>
      <c r="H18" s="3">
        <f t="shared" si="0"/>
        <v>6.2696759259259272E-2</v>
      </c>
      <c r="I18" s="5">
        <f t="shared" si="1"/>
        <v>90.283333333333331</v>
      </c>
      <c r="J18">
        <v>17</v>
      </c>
    </row>
    <row r="19" spans="1:10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v>5</v>
      </c>
      <c r="H19" s="3">
        <f t="shared" si="0"/>
        <v>5.2662037037037035E-2</v>
      </c>
      <c r="I19" s="5">
        <f t="shared" si="1"/>
        <v>75.833333333333329</v>
      </c>
      <c r="J19">
        <v>18</v>
      </c>
    </row>
    <row r="20" spans="1:10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v>23</v>
      </c>
      <c r="H20" s="3">
        <f t="shared" si="0"/>
        <v>7.145833333333329E-2</v>
      </c>
      <c r="I20" s="5">
        <f t="shared" si="1"/>
        <v>102.9</v>
      </c>
      <c r="J20">
        <v>19</v>
      </c>
    </row>
    <row r="21" spans="1:10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v>14</v>
      </c>
      <c r="H21" s="3">
        <f t="shared" si="0"/>
        <v>0.15637731481481476</v>
      </c>
      <c r="I21" s="5">
        <f t="shared" si="1"/>
        <v>225.18333333333334</v>
      </c>
      <c r="J21">
        <v>20</v>
      </c>
    </row>
    <row r="22" spans="1:10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v>23</v>
      </c>
      <c r="H22" s="3">
        <f t="shared" si="0"/>
        <v>7.35069444444445E-2</v>
      </c>
      <c r="I22" s="5">
        <f t="shared" si="1"/>
        <v>105.85</v>
      </c>
      <c r="J22">
        <v>21</v>
      </c>
    </row>
    <row r="23" spans="1:10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v>11</v>
      </c>
      <c r="H23" s="3">
        <f t="shared" si="0"/>
        <v>8.137731481481475E-2</v>
      </c>
      <c r="I23" s="5">
        <f t="shared" si="1"/>
        <v>117.18333333333334</v>
      </c>
      <c r="J23">
        <v>22</v>
      </c>
    </row>
    <row r="24" spans="1:10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v>21</v>
      </c>
      <c r="H24" s="3">
        <f t="shared" si="0"/>
        <v>8.4178240740740762E-2</v>
      </c>
      <c r="I24" s="5">
        <f t="shared" si="1"/>
        <v>121.21666666666667</v>
      </c>
      <c r="J24">
        <v>23</v>
      </c>
    </row>
    <row r="25" spans="1:10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v>9</v>
      </c>
      <c r="H25" s="3">
        <f t="shared" si="0"/>
        <v>4.1770833333333202E-2</v>
      </c>
      <c r="I25" s="5">
        <f t="shared" si="1"/>
        <v>60.15</v>
      </c>
      <c r="J25">
        <v>24</v>
      </c>
    </row>
    <row r="26" spans="1:10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v>11</v>
      </c>
      <c r="H26" s="3">
        <f t="shared" si="0"/>
        <v>5.5393518518518481E-2</v>
      </c>
      <c r="I26" s="5">
        <f t="shared" si="1"/>
        <v>79.766666666666666</v>
      </c>
      <c r="J26">
        <v>25</v>
      </c>
    </row>
    <row r="27" spans="1:10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v>17</v>
      </c>
      <c r="H27" s="3">
        <f t="shared" si="0"/>
        <v>23.138495370370372</v>
      </c>
      <c r="I27" s="5">
        <f t="shared" si="1"/>
        <v>199.43333333333334</v>
      </c>
      <c r="J27">
        <v>26</v>
      </c>
    </row>
    <row r="28" spans="1:10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v>6</v>
      </c>
      <c r="H28" s="3">
        <f t="shared" si="0"/>
        <v>8.0439814814814797E-2</v>
      </c>
      <c r="I28" s="5">
        <f t="shared" si="1"/>
        <v>115.83333333333333</v>
      </c>
      <c r="J28">
        <v>27</v>
      </c>
    </row>
    <row r="29" spans="1:10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v>22</v>
      </c>
      <c r="H29" s="3">
        <f t="shared" si="0"/>
        <v>0.14216435185185189</v>
      </c>
      <c r="I29" s="5">
        <f t="shared" si="1"/>
        <v>204.71666666666667</v>
      </c>
      <c r="J29">
        <v>28</v>
      </c>
    </row>
    <row r="30" spans="1:10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v>3</v>
      </c>
      <c r="H30" s="3">
        <f t="shared" si="0"/>
        <v>6.6666666666666763E-2</v>
      </c>
      <c r="I30" s="5">
        <f t="shared" si="1"/>
        <v>96</v>
      </c>
      <c r="J30">
        <v>29</v>
      </c>
    </row>
    <row r="31" spans="1:10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v>14</v>
      </c>
      <c r="H31" s="3">
        <f t="shared" si="0"/>
        <v>4.7175925925925899E-2</v>
      </c>
      <c r="I31" s="5">
        <f t="shared" si="1"/>
        <v>67.933333333333337</v>
      </c>
      <c r="J31">
        <v>30</v>
      </c>
    </row>
    <row r="32" spans="1:10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v>21</v>
      </c>
      <c r="H32" s="3">
        <f t="shared" si="0"/>
        <v>6.9456018518518459E-2</v>
      </c>
      <c r="I32" s="5">
        <f t="shared" si="1"/>
        <v>100.01666666666667</v>
      </c>
      <c r="J32">
        <v>31</v>
      </c>
    </row>
    <row r="33" spans="1:10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v>14</v>
      </c>
      <c r="H33" s="3">
        <f t="shared" si="0"/>
        <v>7.6331018518518534E-2</v>
      </c>
      <c r="I33" s="5">
        <f t="shared" si="1"/>
        <v>109.91666666666667</v>
      </c>
      <c r="J33">
        <v>32</v>
      </c>
    </row>
    <row r="34" spans="1:10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v>23</v>
      </c>
      <c r="H34" s="3">
        <f t="shared" si="0"/>
        <v>5.7037037037037053E-2</v>
      </c>
      <c r="I34" s="5">
        <f t="shared" si="1"/>
        <v>82.13333333333334</v>
      </c>
      <c r="J34">
        <v>33</v>
      </c>
    </row>
    <row r="35" spans="1:10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v>6</v>
      </c>
      <c r="H35" s="3">
        <f t="shared" si="0"/>
        <v>7.5324074074074043E-2</v>
      </c>
      <c r="I35" s="5">
        <f t="shared" si="1"/>
        <v>108.46666666666667</v>
      </c>
      <c r="J35">
        <v>34</v>
      </c>
    </row>
    <row r="36" spans="1:10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v>16</v>
      </c>
      <c r="H36" s="3">
        <f t="shared" si="0"/>
        <v>8.6018518518518494E-2</v>
      </c>
      <c r="I36" s="5">
        <f t="shared" si="1"/>
        <v>123.86666666666666</v>
      </c>
      <c r="J36">
        <v>35</v>
      </c>
    </row>
    <row r="37" spans="1:10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v>14</v>
      </c>
      <c r="H37" s="3">
        <f t="shared" si="0"/>
        <v>9.9016203703703787E-2</v>
      </c>
      <c r="I37" s="5">
        <f t="shared" si="1"/>
        <v>142.58333333333334</v>
      </c>
      <c r="J37">
        <v>36</v>
      </c>
    </row>
    <row r="38" spans="1:10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v>22</v>
      </c>
      <c r="H38" s="3">
        <f t="shared" si="0"/>
        <v>0.12556712962962965</v>
      </c>
      <c r="I38" s="5">
        <f t="shared" si="1"/>
        <v>180.81666666666666</v>
      </c>
      <c r="J38">
        <v>37</v>
      </c>
    </row>
    <row r="39" spans="1:10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v>4</v>
      </c>
      <c r="H39" s="3">
        <f t="shared" si="0"/>
        <v>7.2083333333333388E-2</v>
      </c>
      <c r="I39" s="5">
        <f t="shared" si="1"/>
        <v>103.8</v>
      </c>
      <c r="J39">
        <v>38</v>
      </c>
    </row>
    <row r="40" spans="1:10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v>21</v>
      </c>
      <c r="H40" s="3">
        <f t="shared" si="0"/>
        <v>0.10686342592592596</v>
      </c>
      <c r="I40" s="5">
        <f t="shared" si="1"/>
        <v>153.88333333333333</v>
      </c>
      <c r="J40">
        <v>39</v>
      </c>
    </row>
    <row r="41" spans="1:10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v>9</v>
      </c>
      <c r="H41" s="3">
        <f t="shared" si="0"/>
        <v>9.3553240740740784E-2</v>
      </c>
      <c r="I41" s="5">
        <f t="shared" si="1"/>
        <v>134.71666666666667</v>
      </c>
      <c r="J41">
        <v>40</v>
      </c>
    </row>
    <row r="42" spans="1:10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v>24</v>
      </c>
      <c r="H42" s="3">
        <f t="shared" si="0"/>
        <v>3.863425925925934E-2</v>
      </c>
      <c r="I42" s="5">
        <f t="shared" si="1"/>
        <v>55.633333333333333</v>
      </c>
      <c r="J42">
        <v>41</v>
      </c>
    </row>
    <row r="43" spans="1:10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v>2</v>
      </c>
      <c r="H43" s="3">
        <f t="shared" si="0"/>
        <v>6.3611111111111063E-2</v>
      </c>
      <c r="I43" s="5">
        <f t="shared" si="1"/>
        <v>91.6</v>
      </c>
      <c r="J43">
        <v>42</v>
      </c>
    </row>
    <row r="44" spans="1:10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v>4</v>
      </c>
      <c r="H44" s="3">
        <f t="shared" si="0"/>
        <v>6.5624999999999989E-2</v>
      </c>
      <c r="I44" s="5">
        <f t="shared" si="1"/>
        <v>94.5</v>
      </c>
      <c r="J44">
        <v>43</v>
      </c>
    </row>
    <row r="45" spans="1:10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v>14</v>
      </c>
      <c r="H45" s="3">
        <f t="shared" si="0"/>
        <v>4.1516203703703736E-2</v>
      </c>
      <c r="I45" s="5">
        <f t="shared" si="1"/>
        <v>59.783333333333331</v>
      </c>
      <c r="J45">
        <v>44</v>
      </c>
    </row>
    <row r="46" spans="1:10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v>10</v>
      </c>
      <c r="H46" s="3">
        <f t="shared" si="0"/>
        <v>8.4999999999999964E-2</v>
      </c>
      <c r="I46" s="5">
        <f t="shared" si="1"/>
        <v>122.4</v>
      </c>
      <c r="J46">
        <v>45</v>
      </c>
    </row>
    <row r="47" spans="1:10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v>11</v>
      </c>
      <c r="H47" s="3">
        <f t="shared" si="0"/>
        <v>8.6284722222222276E-2</v>
      </c>
      <c r="I47" s="5">
        <f t="shared" si="1"/>
        <v>124.25</v>
      </c>
      <c r="J47">
        <v>46</v>
      </c>
    </row>
    <row r="48" spans="1:10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v>21</v>
      </c>
      <c r="H48" s="3">
        <f t="shared" si="0"/>
        <v>3.5648148148148096E-2</v>
      </c>
      <c r="I48" s="5">
        <f t="shared" si="1"/>
        <v>51.333333333333336</v>
      </c>
      <c r="J48">
        <v>47</v>
      </c>
    </row>
    <row r="49" spans="1:10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v>15</v>
      </c>
      <c r="H49" s="3">
        <f t="shared" si="0"/>
        <v>9.354166666666669E-2</v>
      </c>
      <c r="I49" s="5">
        <f t="shared" si="1"/>
        <v>134.69999999999999</v>
      </c>
      <c r="J49">
        <v>48</v>
      </c>
    </row>
    <row r="50" spans="1:10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v>0</v>
      </c>
      <c r="H50" s="3">
        <f t="shared" si="0"/>
        <v>6.2476851851851867E-2</v>
      </c>
      <c r="I50" s="5">
        <f t="shared" si="1"/>
        <v>89.966666666666669</v>
      </c>
      <c r="J50">
        <v>49</v>
      </c>
    </row>
    <row r="51" spans="1:10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v>1</v>
      </c>
      <c r="H51" s="3">
        <f t="shared" si="0"/>
        <v>9.3657407407407411E-2</v>
      </c>
      <c r="I51" s="5">
        <f t="shared" si="1"/>
        <v>134.86666666666667</v>
      </c>
      <c r="J51">
        <v>50</v>
      </c>
    </row>
    <row r="52" spans="1:10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v>20</v>
      </c>
      <c r="H52" s="3">
        <f t="shared" si="0"/>
        <v>5.4374999999999951E-2</v>
      </c>
      <c r="I52" s="5">
        <f t="shared" si="1"/>
        <v>78.3</v>
      </c>
      <c r="J52">
        <v>51</v>
      </c>
    </row>
    <row r="53" spans="1:10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v>4</v>
      </c>
      <c r="H53" s="3">
        <f t="shared" si="0"/>
        <v>3.2766203703703756E-2</v>
      </c>
      <c r="I53" s="5">
        <f t="shared" si="1"/>
        <v>47.18333333333333</v>
      </c>
      <c r="J53">
        <v>52</v>
      </c>
    </row>
    <row r="54" spans="1:10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v>9</v>
      </c>
      <c r="H54" s="3">
        <f t="shared" si="0"/>
        <v>23.161967592592593</v>
      </c>
      <c r="I54" s="5">
        <f t="shared" si="1"/>
        <v>233.23333333333332</v>
      </c>
      <c r="J54">
        <v>53</v>
      </c>
    </row>
    <row r="55" spans="1:10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v>21</v>
      </c>
      <c r="H55" s="3">
        <f t="shared" si="0"/>
        <v>0.12209490740740742</v>
      </c>
      <c r="I55" s="5">
        <f t="shared" si="1"/>
        <v>175.81666666666666</v>
      </c>
      <c r="J55">
        <v>54</v>
      </c>
    </row>
    <row r="56" spans="1:10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v>2</v>
      </c>
      <c r="H56" s="3">
        <f t="shared" si="0"/>
        <v>4.5046296296296251E-2</v>
      </c>
      <c r="I56" s="5">
        <f t="shared" si="1"/>
        <v>64.86666666666666</v>
      </c>
      <c r="J56">
        <v>55</v>
      </c>
    </row>
    <row r="57" spans="1:10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v>9</v>
      </c>
      <c r="H57" s="3">
        <f t="shared" si="0"/>
        <v>3.4629629629629677E-2</v>
      </c>
      <c r="I57" s="5">
        <f t="shared" si="1"/>
        <v>49.866666666666667</v>
      </c>
      <c r="J57">
        <v>56</v>
      </c>
    </row>
    <row r="58" spans="1:10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v>9</v>
      </c>
      <c r="H58" s="3">
        <f t="shared" si="0"/>
        <v>5.4548611111111089E-2</v>
      </c>
      <c r="I58" s="5">
        <f t="shared" si="1"/>
        <v>78.55</v>
      </c>
      <c r="J58">
        <v>57</v>
      </c>
    </row>
    <row r="59" spans="1:10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v>3</v>
      </c>
      <c r="H59" s="3">
        <f t="shared" si="0"/>
        <v>9.0266203703703751E-2</v>
      </c>
      <c r="I59" s="5">
        <f t="shared" si="1"/>
        <v>129.98333333333332</v>
      </c>
      <c r="J59">
        <v>58</v>
      </c>
    </row>
    <row r="60" spans="1:10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v>4</v>
      </c>
      <c r="H60" s="3">
        <f t="shared" si="0"/>
        <v>6.6041666666666665E-2</v>
      </c>
      <c r="I60" s="5">
        <f t="shared" si="1"/>
        <v>95.1</v>
      </c>
      <c r="J60">
        <v>59</v>
      </c>
    </row>
    <row r="61" spans="1:10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v>6</v>
      </c>
      <c r="H61" s="3">
        <f t="shared" si="0"/>
        <v>8.4756944444444482E-2</v>
      </c>
      <c r="I61" s="5">
        <f t="shared" si="1"/>
        <v>122.05</v>
      </c>
      <c r="J61">
        <v>60</v>
      </c>
    </row>
    <row r="62" spans="1:10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v>21</v>
      </c>
      <c r="H62" s="3">
        <f t="shared" si="0"/>
        <v>7.3194444444444451E-2</v>
      </c>
      <c r="I62" s="5">
        <f t="shared" si="1"/>
        <v>105.4</v>
      </c>
      <c r="J62">
        <v>61</v>
      </c>
    </row>
    <row r="63" spans="1:10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v>11</v>
      </c>
      <c r="H63" s="3">
        <f t="shared" si="0"/>
        <v>5.8935185185185035E-2</v>
      </c>
      <c r="I63" s="5">
        <f t="shared" si="1"/>
        <v>84.86666666666666</v>
      </c>
      <c r="J63">
        <v>62</v>
      </c>
    </row>
    <row r="64" spans="1:10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v>7</v>
      </c>
      <c r="H64" s="3">
        <f t="shared" si="0"/>
        <v>0.16630787037037037</v>
      </c>
      <c r="I64" s="5">
        <f t="shared" si="1"/>
        <v>239.48333333333332</v>
      </c>
      <c r="J64">
        <v>63</v>
      </c>
    </row>
    <row r="65" spans="1:10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v>13</v>
      </c>
      <c r="H65" s="3">
        <f t="shared" si="0"/>
        <v>7.03819444444444E-2</v>
      </c>
      <c r="I65" s="5">
        <f t="shared" si="1"/>
        <v>101.35</v>
      </c>
      <c r="J65">
        <v>64</v>
      </c>
    </row>
    <row r="66" spans="1:10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v>21</v>
      </c>
      <c r="H66" s="3">
        <f t="shared" si="0"/>
        <v>6.9791666666666696E-2</v>
      </c>
      <c r="I66" s="5">
        <f t="shared" si="1"/>
        <v>100.5</v>
      </c>
      <c r="J66">
        <v>65</v>
      </c>
    </row>
    <row r="67" spans="1:10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v>10</v>
      </c>
      <c r="H67" s="3">
        <f t="shared" ref="H67:H130" si="2">IF(E67&lt;C67,(24-C67)+E67,E67-C67)</f>
        <v>8.0034722222222299E-2</v>
      </c>
      <c r="I67" s="5">
        <f t="shared" ref="I67:I130" si="3">HOUR(H67) * 60 + MINUTE(H67) + SECOND(H67) /60</f>
        <v>115.25</v>
      </c>
      <c r="J67">
        <v>66</v>
      </c>
    </row>
    <row r="68" spans="1:10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v>0</v>
      </c>
      <c r="H68" s="3">
        <f t="shared" si="2"/>
        <v>7.9953703703703582E-2</v>
      </c>
      <c r="I68" s="5">
        <f t="shared" si="3"/>
        <v>115.13333333333334</v>
      </c>
      <c r="J68">
        <v>67</v>
      </c>
    </row>
    <row r="69" spans="1:10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v>21</v>
      </c>
      <c r="H69" s="3">
        <f t="shared" si="2"/>
        <v>8.2662037037037034E-2</v>
      </c>
      <c r="I69" s="5">
        <f t="shared" si="3"/>
        <v>119.03333333333333</v>
      </c>
      <c r="J69">
        <v>68</v>
      </c>
    </row>
    <row r="70" spans="1:10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v>20</v>
      </c>
      <c r="H70" s="3">
        <f t="shared" si="2"/>
        <v>7.5706018518518436E-2</v>
      </c>
      <c r="I70" s="5">
        <f t="shared" si="3"/>
        <v>109.01666666666667</v>
      </c>
      <c r="J70">
        <v>69</v>
      </c>
    </row>
    <row r="71" spans="1:10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v>22</v>
      </c>
      <c r="H71" s="3">
        <f t="shared" si="2"/>
        <v>8.1192129629629628E-2</v>
      </c>
      <c r="I71" s="5">
        <f t="shared" si="3"/>
        <v>116.91666666666667</v>
      </c>
      <c r="J71">
        <v>70</v>
      </c>
    </row>
    <row r="72" spans="1:10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v>2</v>
      </c>
      <c r="H72" s="3">
        <f t="shared" si="2"/>
        <v>6.510416666666663E-2</v>
      </c>
      <c r="I72" s="5">
        <f t="shared" si="3"/>
        <v>93.75</v>
      </c>
      <c r="J72">
        <v>71</v>
      </c>
    </row>
    <row r="73" spans="1:10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v>7</v>
      </c>
      <c r="H73" s="3">
        <f t="shared" si="2"/>
        <v>2.7187500000000031E-2</v>
      </c>
      <c r="I73" s="5">
        <f t="shared" si="3"/>
        <v>39.15</v>
      </c>
      <c r="J73">
        <v>72</v>
      </c>
    </row>
    <row r="74" spans="1:10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v>1</v>
      </c>
      <c r="H74" s="3">
        <f t="shared" si="2"/>
        <v>4.6655092592592484E-2</v>
      </c>
      <c r="I74" s="5">
        <f t="shared" si="3"/>
        <v>67.183333333333337</v>
      </c>
      <c r="J74">
        <v>73</v>
      </c>
    </row>
    <row r="75" spans="1:10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v>6</v>
      </c>
      <c r="H75" s="3">
        <f t="shared" si="2"/>
        <v>0.13062499999999999</v>
      </c>
      <c r="I75" s="5">
        <f t="shared" si="3"/>
        <v>188.1</v>
      </c>
      <c r="J75">
        <v>74</v>
      </c>
    </row>
    <row r="76" spans="1:10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v>5</v>
      </c>
      <c r="H76" s="3">
        <f t="shared" si="2"/>
        <v>5.5520833333333353E-2</v>
      </c>
      <c r="I76" s="5">
        <f t="shared" si="3"/>
        <v>79.95</v>
      </c>
      <c r="J76">
        <v>75</v>
      </c>
    </row>
    <row r="77" spans="1:10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v>1</v>
      </c>
      <c r="H77" s="3">
        <f t="shared" si="2"/>
        <v>0.10754629629629636</v>
      </c>
      <c r="I77" s="5">
        <f t="shared" si="3"/>
        <v>154.86666666666667</v>
      </c>
      <c r="J77">
        <v>76</v>
      </c>
    </row>
    <row r="78" spans="1:10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v>21</v>
      </c>
      <c r="H78" s="3">
        <f t="shared" si="2"/>
        <v>3.4479166666666727E-2</v>
      </c>
      <c r="I78" s="5">
        <f t="shared" si="3"/>
        <v>49.65</v>
      </c>
      <c r="J78">
        <v>77</v>
      </c>
    </row>
    <row r="79" spans="1:10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v>1</v>
      </c>
      <c r="H79" s="3">
        <f t="shared" si="2"/>
        <v>5.2673611111111129E-2</v>
      </c>
      <c r="I79" s="5">
        <f t="shared" si="3"/>
        <v>75.849999999999994</v>
      </c>
      <c r="J79">
        <v>78</v>
      </c>
    </row>
    <row r="80" spans="1:10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v>2</v>
      </c>
      <c r="H80" s="3">
        <f t="shared" si="2"/>
        <v>4.035879629629624E-2</v>
      </c>
      <c r="I80" s="5">
        <f t="shared" si="3"/>
        <v>58.116666666666667</v>
      </c>
      <c r="J80">
        <v>79</v>
      </c>
    </row>
    <row r="81" spans="1:10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v>5</v>
      </c>
      <c r="H81" s="3">
        <f t="shared" si="2"/>
        <v>0.11716435185185184</v>
      </c>
      <c r="I81" s="5">
        <f t="shared" si="3"/>
        <v>168.71666666666667</v>
      </c>
      <c r="J81">
        <v>80</v>
      </c>
    </row>
    <row r="82" spans="1:10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v>11</v>
      </c>
      <c r="H82" s="3">
        <f t="shared" si="2"/>
        <v>7.7523148148148202E-2</v>
      </c>
      <c r="I82" s="5">
        <f t="shared" si="3"/>
        <v>111.63333333333334</v>
      </c>
      <c r="J82">
        <v>81</v>
      </c>
    </row>
    <row r="83" spans="1:10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v>9</v>
      </c>
      <c r="H83" s="3">
        <f t="shared" si="2"/>
        <v>3.9340277777777766E-2</v>
      </c>
      <c r="I83" s="5">
        <f t="shared" si="3"/>
        <v>56.65</v>
      </c>
      <c r="J83">
        <v>82</v>
      </c>
    </row>
    <row r="84" spans="1:10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v>9</v>
      </c>
      <c r="H84" s="3">
        <f t="shared" si="2"/>
        <v>3.4837962962963043E-2</v>
      </c>
      <c r="I84" s="5">
        <f t="shared" si="3"/>
        <v>50.166666666666664</v>
      </c>
      <c r="J84">
        <v>83</v>
      </c>
    </row>
    <row r="85" spans="1:10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v>7</v>
      </c>
      <c r="H85" s="3">
        <f t="shared" si="2"/>
        <v>4.9178240740740731E-2</v>
      </c>
      <c r="I85" s="5">
        <f t="shared" si="3"/>
        <v>70.816666666666663</v>
      </c>
      <c r="J85">
        <v>84</v>
      </c>
    </row>
    <row r="86" spans="1:10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v>19</v>
      </c>
      <c r="H86" s="3">
        <f t="shared" si="2"/>
        <v>7.2615740740740731E-2</v>
      </c>
      <c r="I86" s="5">
        <f t="shared" si="3"/>
        <v>104.56666666666666</v>
      </c>
      <c r="J86">
        <v>85</v>
      </c>
    </row>
    <row r="87" spans="1:10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v>11</v>
      </c>
      <c r="H87" s="3">
        <f t="shared" si="2"/>
        <v>4.4930555555555474E-2</v>
      </c>
      <c r="I87" s="5">
        <f t="shared" si="3"/>
        <v>64.7</v>
      </c>
      <c r="J87">
        <v>86</v>
      </c>
    </row>
    <row r="88" spans="1:10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v>15</v>
      </c>
      <c r="H88" s="3">
        <f t="shared" si="2"/>
        <v>2.0868055555555542E-2</v>
      </c>
      <c r="I88" s="5">
        <f t="shared" si="3"/>
        <v>30.05</v>
      </c>
      <c r="J88">
        <v>87</v>
      </c>
    </row>
    <row r="89" spans="1:10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v>13</v>
      </c>
      <c r="H89" s="3">
        <f t="shared" si="2"/>
        <v>6.9375000000000075E-2</v>
      </c>
      <c r="I89" s="5">
        <f t="shared" si="3"/>
        <v>99.9</v>
      </c>
      <c r="J89">
        <v>88</v>
      </c>
    </row>
    <row r="90" spans="1:10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v>16</v>
      </c>
      <c r="H90" s="3">
        <f t="shared" si="2"/>
        <v>6.8032407407407458E-2</v>
      </c>
      <c r="I90" s="5">
        <f t="shared" si="3"/>
        <v>97.966666666666669</v>
      </c>
      <c r="J90">
        <v>89</v>
      </c>
    </row>
    <row r="91" spans="1:10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v>0</v>
      </c>
      <c r="H91" s="3">
        <f t="shared" si="2"/>
        <v>6.4594907407407365E-2</v>
      </c>
      <c r="I91" s="5">
        <f t="shared" si="3"/>
        <v>93.016666666666666</v>
      </c>
      <c r="J91">
        <v>90</v>
      </c>
    </row>
    <row r="92" spans="1:10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v>15</v>
      </c>
      <c r="H92" s="3">
        <f t="shared" si="2"/>
        <v>5.486111111111111E-2</v>
      </c>
      <c r="I92" s="5">
        <f t="shared" si="3"/>
        <v>79</v>
      </c>
      <c r="J92">
        <v>91</v>
      </c>
    </row>
    <row r="93" spans="1:10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v>8</v>
      </c>
      <c r="H93" s="3">
        <f t="shared" si="2"/>
        <v>3.1886574074074026E-2</v>
      </c>
      <c r="I93" s="5">
        <f t="shared" si="3"/>
        <v>45.916666666666664</v>
      </c>
      <c r="J93">
        <v>92</v>
      </c>
    </row>
    <row r="94" spans="1:10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v>9</v>
      </c>
      <c r="H94" s="3">
        <f t="shared" si="2"/>
        <v>8.5405092592592546E-2</v>
      </c>
      <c r="I94" s="5">
        <f t="shared" si="3"/>
        <v>122.98333333333333</v>
      </c>
      <c r="J94">
        <v>93</v>
      </c>
    </row>
    <row r="95" spans="1:10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v>17</v>
      </c>
      <c r="H95" s="3">
        <f t="shared" si="2"/>
        <v>2.082175925925922E-2</v>
      </c>
      <c r="I95" s="5">
        <f t="shared" si="3"/>
        <v>29.983333333333334</v>
      </c>
      <c r="J95">
        <v>94</v>
      </c>
    </row>
    <row r="96" spans="1:10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v>16</v>
      </c>
      <c r="H96" s="3">
        <f t="shared" si="2"/>
        <v>5.6215277777777906E-2</v>
      </c>
      <c r="I96" s="5">
        <f t="shared" si="3"/>
        <v>80.95</v>
      </c>
      <c r="J96">
        <v>95</v>
      </c>
    </row>
    <row r="97" spans="1:10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v>1</v>
      </c>
      <c r="H97" s="3">
        <f t="shared" si="2"/>
        <v>6.9525462962962969E-2</v>
      </c>
      <c r="I97" s="5">
        <f t="shared" si="3"/>
        <v>100.11666666666666</v>
      </c>
      <c r="J97">
        <v>96</v>
      </c>
    </row>
    <row r="98" spans="1:10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v>7</v>
      </c>
      <c r="H98" s="3">
        <f t="shared" si="2"/>
        <v>4.5671296296296293E-2</v>
      </c>
      <c r="I98" s="5">
        <f t="shared" si="3"/>
        <v>65.766666666666666</v>
      </c>
      <c r="J98">
        <v>97</v>
      </c>
    </row>
    <row r="99" spans="1:10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v>9</v>
      </c>
      <c r="H99" s="3">
        <f t="shared" si="2"/>
        <v>5.4618055555555545E-2</v>
      </c>
      <c r="I99" s="5">
        <f t="shared" si="3"/>
        <v>78.650000000000006</v>
      </c>
      <c r="J99">
        <v>98</v>
      </c>
    </row>
    <row r="100" spans="1:10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v>9</v>
      </c>
      <c r="H100" s="3">
        <f t="shared" si="2"/>
        <v>3.501157407407407E-2</v>
      </c>
      <c r="I100" s="5">
        <f t="shared" si="3"/>
        <v>50.416666666666664</v>
      </c>
      <c r="J100">
        <v>99</v>
      </c>
    </row>
    <row r="101" spans="1:10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v>8</v>
      </c>
      <c r="H101" s="3">
        <f t="shared" si="2"/>
        <v>23.09497685185185</v>
      </c>
      <c r="I101" s="5">
        <f t="shared" si="3"/>
        <v>136.76666666666668</v>
      </c>
      <c r="J101">
        <v>100</v>
      </c>
    </row>
    <row r="102" spans="1:10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v>3</v>
      </c>
      <c r="H102" s="3">
        <f t="shared" si="2"/>
        <v>6.4432870370370321E-2</v>
      </c>
      <c r="I102" s="5">
        <f t="shared" si="3"/>
        <v>92.783333333333331</v>
      </c>
      <c r="J102">
        <v>101</v>
      </c>
    </row>
    <row r="103" spans="1:10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v>12</v>
      </c>
      <c r="H103" s="3">
        <f t="shared" si="2"/>
        <v>5.4849537037037044E-2</v>
      </c>
      <c r="I103" s="5">
        <f t="shared" si="3"/>
        <v>78.983333333333334</v>
      </c>
      <c r="J103">
        <v>102</v>
      </c>
    </row>
    <row r="104" spans="1:10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v>14</v>
      </c>
      <c r="H104" s="3">
        <f t="shared" si="2"/>
        <v>4.4432870370370248E-2</v>
      </c>
      <c r="I104" s="5">
        <f t="shared" si="3"/>
        <v>63.983333333333334</v>
      </c>
      <c r="J104">
        <v>103</v>
      </c>
    </row>
    <row r="105" spans="1:10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v>19</v>
      </c>
      <c r="H105" s="3">
        <f t="shared" si="2"/>
        <v>4.238425925925926E-2</v>
      </c>
      <c r="I105" s="5">
        <f t="shared" si="3"/>
        <v>61.033333333333331</v>
      </c>
      <c r="J105">
        <v>104</v>
      </c>
    </row>
    <row r="106" spans="1:10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v>14</v>
      </c>
      <c r="H106" s="3">
        <f t="shared" si="2"/>
        <v>1.9895833333333446E-2</v>
      </c>
      <c r="I106" s="5">
        <f t="shared" si="3"/>
        <v>28.65</v>
      </c>
      <c r="J106">
        <v>105</v>
      </c>
    </row>
    <row r="107" spans="1:10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v>9</v>
      </c>
      <c r="H107" s="3">
        <f t="shared" si="2"/>
        <v>3.5000000000000031E-2</v>
      </c>
      <c r="I107" s="5">
        <f t="shared" si="3"/>
        <v>50.4</v>
      </c>
      <c r="J107">
        <v>106</v>
      </c>
    </row>
    <row r="108" spans="1:10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v>6</v>
      </c>
      <c r="H108" s="3">
        <f t="shared" si="2"/>
        <v>9.3946759259259216E-2</v>
      </c>
      <c r="I108" s="5">
        <f t="shared" si="3"/>
        <v>135.28333333333333</v>
      </c>
      <c r="J108">
        <v>107</v>
      </c>
    </row>
    <row r="109" spans="1:10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v>15</v>
      </c>
      <c r="H109" s="3">
        <f t="shared" si="2"/>
        <v>23.081423611111109</v>
      </c>
      <c r="I109" s="5">
        <f t="shared" si="3"/>
        <v>117.25</v>
      </c>
      <c r="J109">
        <v>108</v>
      </c>
    </row>
    <row r="110" spans="1:10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v>0</v>
      </c>
      <c r="H110" s="3">
        <f t="shared" si="2"/>
        <v>4.4687499999999936E-2</v>
      </c>
      <c r="I110" s="5">
        <f t="shared" si="3"/>
        <v>64.349999999999994</v>
      </c>
      <c r="J110">
        <v>109</v>
      </c>
    </row>
    <row r="111" spans="1:10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v>4</v>
      </c>
      <c r="H111" s="3">
        <f t="shared" si="2"/>
        <v>0.15409722222222222</v>
      </c>
      <c r="I111" s="5">
        <f t="shared" si="3"/>
        <v>221.9</v>
      </c>
      <c r="J111">
        <v>110</v>
      </c>
    </row>
    <row r="112" spans="1:10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v>28</v>
      </c>
      <c r="H112" s="3">
        <f t="shared" si="2"/>
        <v>4.7291666666666621E-2</v>
      </c>
      <c r="I112" s="5">
        <f t="shared" si="3"/>
        <v>68.099999999999994</v>
      </c>
      <c r="J112">
        <v>111</v>
      </c>
    </row>
    <row r="113" spans="1:10" x14ac:dyDescent="0.3">
      <c r="A113">
        <v>112</v>
      </c>
      <c r="B113" s="1">
        <v>44460</v>
      </c>
      <c r="C113" s="2">
        <v>0.71136574074074066</v>
      </c>
      <c r="D113" s="1">
        <v>44460</v>
      </c>
      <c r="E113" s="3">
        <v>0.76173611111111106</v>
      </c>
      <c r="F113">
        <v>0</v>
      </c>
      <c r="G113">
        <v>10</v>
      </c>
      <c r="H113" s="3">
        <f t="shared" si="2"/>
        <v>5.0370370370370399E-2</v>
      </c>
      <c r="I113" s="5">
        <f t="shared" si="3"/>
        <v>72.533333333333331</v>
      </c>
      <c r="J113">
        <v>112</v>
      </c>
    </row>
    <row r="114" spans="1:10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v>6</v>
      </c>
      <c r="H114" s="3">
        <f t="shared" si="2"/>
        <v>0.10479166666666673</v>
      </c>
      <c r="I114" s="5">
        <f t="shared" si="3"/>
        <v>150.9</v>
      </c>
      <c r="J114">
        <v>113</v>
      </c>
    </row>
    <row r="115" spans="1:10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v>5</v>
      </c>
      <c r="H115" s="3">
        <f t="shared" si="2"/>
        <v>4.666666666666669E-2</v>
      </c>
      <c r="I115" s="5">
        <f t="shared" si="3"/>
        <v>67.2</v>
      </c>
      <c r="J115">
        <v>114</v>
      </c>
    </row>
    <row r="116" spans="1:10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v>9</v>
      </c>
      <c r="H116" s="3">
        <f t="shared" si="2"/>
        <v>7.4305555555555569E-2</v>
      </c>
      <c r="I116" s="5">
        <f t="shared" si="3"/>
        <v>107</v>
      </c>
      <c r="J116">
        <v>115</v>
      </c>
    </row>
    <row r="117" spans="1:10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v>11</v>
      </c>
      <c r="H117" s="3">
        <f t="shared" si="2"/>
        <v>2.633101851851849E-2</v>
      </c>
      <c r="I117" s="5">
        <f t="shared" si="3"/>
        <v>37.916666666666664</v>
      </c>
      <c r="J117">
        <v>116</v>
      </c>
    </row>
    <row r="118" spans="1:10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v>0</v>
      </c>
      <c r="H118" s="3">
        <f t="shared" si="2"/>
        <v>5.4178240740740735E-2</v>
      </c>
      <c r="I118" s="5">
        <f t="shared" si="3"/>
        <v>78.016666666666666</v>
      </c>
      <c r="J118">
        <v>117</v>
      </c>
    </row>
    <row r="119" spans="1:10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v>0</v>
      </c>
      <c r="H119" s="3">
        <f t="shared" si="2"/>
        <v>8.3935185185185279E-2</v>
      </c>
      <c r="I119" s="5">
        <f t="shared" si="3"/>
        <v>120.86666666666666</v>
      </c>
      <c r="J119">
        <v>118</v>
      </c>
    </row>
    <row r="120" spans="1:10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v>11</v>
      </c>
      <c r="H120" s="3">
        <f t="shared" si="2"/>
        <v>23.059212962962963</v>
      </c>
      <c r="I120" s="5">
        <f t="shared" si="3"/>
        <v>85.266666666666666</v>
      </c>
      <c r="J120">
        <v>119</v>
      </c>
    </row>
    <row r="121" spans="1:10" x14ac:dyDescent="0.3">
      <c r="A121">
        <v>120</v>
      </c>
      <c r="B121" s="1">
        <v>44462</v>
      </c>
      <c r="C121" s="2">
        <v>0.29726851851851849</v>
      </c>
      <c r="D121" s="1">
        <v>44462</v>
      </c>
      <c r="E121" s="3">
        <v>0.39068287037037036</v>
      </c>
      <c r="F121">
        <v>19</v>
      </c>
      <c r="G121">
        <v>3</v>
      </c>
      <c r="H121" s="3">
        <f t="shared" si="2"/>
        <v>9.3414351851851873E-2</v>
      </c>
      <c r="I121" s="5">
        <f t="shared" si="3"/>
        <v>134.51666666666668</v>
      </c>
      <c r="J121">
        <v>120</v>
      </c>
    </row>
    <row r="122" spans="1:10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v>21</v>
      </c>
      <c r="H122" s="3">
        <f t="shared" si="2"/>
        <v>7.6215277777777812E-2</v>
      </c>
      <c r="I122" s="5">
        <f t="shared" si="3"/>
        <v>109.75</v>
      </c>
      <c r="J122">
        <v>121</v>
      </c>
    </row>
    <row r="123" spans="1:10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v>22</v>
      </c>
      <c r="H123" s="3">
        <f t="shared" si="2"/>
        <v>4.2569444444444438E-2</v>
      </c>
      <c r="I123" s="5">
        <f t="shared" si="3"/>
        <v>61.3</v>
      </c>
      <c r="J123">
        <v>122</v>
      </c>
    </row>
    <row r="124" spans="1:10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v>14</v>
      </c>
      <c r="H124" s="3">
        <f t="shared" si="2"/>
        <v>0.11515046296296305</v>
      </c>
      <c r="I124" s="5">
        <f t="shared" si="3"/>
        <v>165.81666666666666</v>
      </c>
      <c r="J124">
        <v>123</v>
      </c>
    </row>
    <row r="125" spans="1:10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v>25</v>
      </c>
      <c r="H125" s="3">
        <f t="shared" si="2"/>
        <v>0.10021990740740749</v>
      </c>
      <c r="I125" s="5">
        <f t="shared" si="3"/>
        <v>144.31666666666666</v>
      </c>
      <c r="J125">
        <v>124</v>
      </c>
    </row>
    <row r="126" spans="1:10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v>11</v>
      </c>
      <c r="H126" s="3">
        <f t="shared" si="2"/>
        <v>0.12586805555555561</v>
      </c>
      <c r="I126" s="5">
        <f t="shared" si="3"/>
        <v>181.25</v>
      </c>
      <c r="J126">
        <v>125</v>
      </c>
    </row>
    <row r="127" spans="1:10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v>4</v>
      </c>
      <c r="H127" s="3">
        <f t="shared" si="2"/>
        <v>0.13484953703703706</v>
      </c>
      <c r="I127" s="5">
        <f t="shared" si="3"/>
        <v>194.18333333333334</v>
      </c>
      <c r="J127">
        <v>126</v>
      </c>
    </row>
    <row r="128" spans="1:10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v>9</v>
      </c>
      <c r="H128" s="3">
        <f t="shared" si="2"/>
        <v>5.7407407407407463E-2</v>
      </c>
      <c r="I128" s="5">
        <f t="shared" si="3"/>
        <v>82.666666666666671</v>
      </c>
      <c r="J128">
        <v>127</v>
      </c>
    </row>
    <row r="129" spans="1:10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v>12</v>
      </c>
      <c r="H129" s="3">
        <f t="shared" si="2"/>
        <v>6.436342592592581E-2</v>
      </c>
      <c r="I129" s="5">
        <f t="shared" si="3"/>
        <v>92.683333333333337</v>
      </c>
      <c r="J129">
        <v>128</v>
      </c>
    </row>
    <row r="130" spans="1:10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v>11</v>
      </c>
      <c r="H130" s="3">
        <f t="shared" si="2"/>
        <v>5.7129629629629586E-2</v>
      </c>
      <c r="I130" s="5">
        <f t="shared" si="3"/>
        <v>82.266666666666666</v>
      </c>
      <c r="J130">
        <v>129</v>
      </c>
    </row>
    <row r="131" spans="1:10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v>20</v>
      </c>
      <c r="H131" s="3">
        <f t="shared" ref="H131:H158" si="4">IF(E131&lt;C131,(24-C131)+E131,E131-C131)</f>
        <v>7.6192129629629568E-2</v>
      </c>
      <c r="I131" s="5">
        <f t="shared" ref="I131:I158" si="5">HOUR(H131) * 60 + MINUTE(H131) + SECOND(H131) /60</f>
        <v>109.71666666666667</v>
      </c>
      <c r="J131">
        <v>130</v>
      </c>
    </row>
    <row r="132" spans="1:10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v>3</v>
      </c>
      <c r="H132" s="3">
        <f t="shared" si="4"/>
        <v>3.0995370370370479E-2</v>
      </c>
      <c r="I132" s="5">
        <f t="shared" si="5"/>
        <v>44.633333333333333</v>
      </c>
      <c r="J132">
        <v>131</v>
      </c>
    </row>
    <row r="133" spans="1:10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v>6</v>
      </c>
      <c r="H133" s="3">
        <f t="shared" si="4"/>
        <v>3.8888888888888973E-2</v>
      </c>
      <c r="I133" s="5">
        <f t="shared" si="5"/>
        <v>56</v>
      </c>
      <c r="J133">
        <v>132</v>
      </c>
    </row>
    <row r="134" spans="1:10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v>6</v>
      </c>
      <c r="H134" s="3">
        <f t="shared" si="4"/>
        <v>4.4884259259259207E-2</v>
      </c>
      <c r="I134" s="5">
        <f t="shared" si="5"/>
        <v>64.63333333333334</v>
      </c>
      <c r="J134">
        <v>133</v>
      </c>
    </row>
    <row r="135" spans="1:10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v>24</v>
      </c>
      <c r="H135" s="3">
        <f t="shared" si="4"/>
        <v>6.1932870370370374E-2</v>
      </c>
      <c r="I135" s="5">
        <f t="shared" si="5"/>
        <v>89.183333333333337</v>
      </c>
      <c r="J135">
        <v>134</v>
      </c>
    </row>
    <row r="136" spans="1:10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v>2</v>
      </c>
      <c r="H136" s="3">
        <f t="shared" si="4"/>
        <v>4.0462962962963034E-2</v>
      </c>
      <c r="I136" s="5">
        <f t="shared" si="5"/>
        <v>58.266666666666666</v>
      </c>
      <c r="J136">
        <v>135</v>
      </c>
    </row>
    <row r="137" spans="1:10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v>6</v>
      </c>
      <c r="H137" s="3">
        <f t="shared" si="4"/>
        <v>4.1041666666666754E-2</v>
      </c>
      <c r="I137" s="5">
        <f t="shared" si="5"/>
        <v>59.1</v>
      </c>
      <c r="J137">
        <v>136</v>
      </c>
    </row>
    <row r="138" spans="1:10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v>9</v>
      </c>
      <c r="H138" s="3">
        <f t="shared" si="4"/>
        <v>4.3009259259259247E-2</v>
      </c>
      <c r="I138" s="5">
        <f t="shared" si="5"/>
        <v>61.93333333333333</v>
      </c>
      <c r="J138">
        <v>137</v>
      </c>
    </row>
    <row r="139" spans="1:10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v>24</v>
      </c>
      <c r="H139" s="3">
        <f t="shared" si="4"/>
        <v>7.3831018518518698E-2</v>
      </c>
      <c r="I139" s="5">
        <f t="shared" si="5"/>
        <v>106.31666666666666</v>
      </c>
      <c r="J139">
        <v>138</v>
      </c>
    </row>
    <row r="140" spans="1:10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v>6</v>
      </c>
      <c r="H140" s="3">
        <f t="shared" si="4"/>
        <v>5.9722222222222232E-2</v>
      </c>
      <c r="I140" s="5">
        <f t="shared" si="5"/>
        <v>86</v>
      </c>
      <c r="J140">
        <v>139</v>
      </c>
    </row>
    <row r="141" spans="1:10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v>9</v>
      </c>
      <c r="H141" s="3">
        <f t="shared" si="4"/>
        <v>7.8356481481481499E-2</v>
      </c>
      <c r="I141" s="5">
        <f t="shared" si="5"/>
        <v>112.83333333333333</v>
      </c>
      <c r="J141">
        <v>140</v>
      </c>
    </row>
    <row r="142" spans="1:10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v>19</v>
      </c>
      <c r="H142" s="3">
        <f t="shared" si="4"/>
        <v>4.2442129629629677E-2</v>
      </c>
      <c r="I142" s="5">
        <f t="shared" si="5"/>
        <v>61.116666666666667</v>
      </c>
      <c r="J142">
        <v>141</v>
      </c>
    </row>
    <row r="143" spans="1:10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v>0</v>
      </c>
      <c r="H143" s="3">
        <f t="shared" si="4"/>
        <v>8.3333333333333259E-2</v>
      </c>
      <c r="I143" s="5">
        <f t="shared" si="5"/>
        <v>120</v>
      </c>
      <c r="J143">
        <v>142</v>
      </c>
    </row>
    <row r="144" spans="1:10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v>0</v>
      </c>
      <c r="H144" s="3">
        <f t="shared" si="4"/>
        <v>8.1921296296296298E-2</v>
      </c>
      <c r="I144" s="5">
        <f t="shared" si="5"/>
        <v>117.96666666666667</v>
      </c>
      <c r="J144">
        <v>143</v>
      </c>
    </row>
    <row r="145" spans="1:10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v>14</v>
      </c>
      <c r="H145" s="3">
        <f t="shared" si="4"/>
        <v>7.6388888888888895E-2</v>
      </c>
      <c r="I145" s="5">
        <f t="shared" si="5"/>
        <v>110</v>
      </c>
      <c r="J145">
        <v>144</v>
      </c>
    </row>
    <row r="146" spans="1:10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v>13</v>
      </c>
      <c r="H146" s="3">
        <f t="shared" si="4"/>
        <v>8.7407407407407489E-2</v>
      </c>
      <c r="I146" s="5">
        <f t="shared" si="5"/>
        <v>125.86666666666666</v>
      </c>
      <c r="J146">
        <v>145</v>
      </c>
    </row>
    <row r="147" spans="1:10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v>9</v>
      </c>
      <c r="H147" s="3">
        <f t="shared" si="4"/>
        <v>4.2187499999999933E-2</v>
      </c>
      <c r="I147" s="5">
        <f t="shared" si="5"/>
        <v>60.75</v>
      </c>
      <c r="J147">
        <v>146</v>
      </c>
    </row>
    <row r="148" spans="1:10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v>9</v>
      </c>
      <c r="H148" s="3">
        <f t="shared" si="4"/>
        <v>8.4039351851851851E-2</v>
      </c>
      <c r="I148" s="5">
        <f t="shared" si="5"/>
        <v>121.01666666666667</v>
      </c>
      <c r="J148">
        <v>147</v>
      </c>
    </row>
    <row r="149" spans="1:10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v>16</v>
      </c>
      <c r="H149" s="3">
        <f t="shared" si="4"/>
        <v>7.4641203703703696E-2</v>
      </c>
      <c r="I149" s="5">
        <f t="shared" si="5"/>
        <v>107.48333333333333</v>
      </c>
      <c r="J149">
        <v>148</v>
      </c>
    </row>
    <row r="150" spans="1:10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v>21</v>
      </c>
      <c r="H150" s="3">
        <f t="shared" si="4"/>
        <v>8.3310185185185126E-2</v>
      </c>
      <c r="I150" s="5">
        <f t="shared" si="5"/>
        <v>119.96666666666667</v>
      </c>
      <c r="J150">
        <v>149</v>
      </c>
    </row>
    <row r="151" spans="1:10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v>9</v>
      </c>
      <c r="H151" s="3">
        <f t="shared" si="4"/>
        <v>5.6956018518518503E-2</v>
      </c>
      <c r="I151" s="5">
        <f t="shared" si="5"/>
        <v>82.016666666666666</v>
      </c>
      <c r="J151">
        <v>150</v>
      </c>
    </row>
    <row r="152" spans="1:10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v>8</v>
      </c>
      <c r="H152" s="3">
        <f t="shared" si="4"/>
        <v>5.902777777777779E-2</v>
      </c>
      <c r="I152" s="5">
        <f t="shared" si="5"/>
        <v>85</v>
      </c>
      <c r="J152">
        <v>151</v>
      </c>
    </row>
    <row r="153" spans="1:10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v>21</v>
      </c>
      <c r="H153" s="3">
        <f t="shared" si="4"/>
        <v>4.8854166666666643E-2</v>
      </c>
      <c r="I153" s="5">
        <f t="shared" si="5"/>
        <v>70.349999999999994</v>
      </c>
      <c r="J153">
        <v>152</v>
      </c>
    </row>
    <row r="154" spans="1:10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v>9</v>
      </c>
      <c r="H154" s="3">
        <f t="shared" si="4"/>
        <v>23.078472222222224</v>
      </c>
      <c r="I154" s="5">
        <f t="shared" si="5"/>
        <v>113</v>
      </c>
      <c r="J154">
        <v>153</v>
      </c>
    </row>
    <row r="155" spans="1:10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v>3</v>
      </c>
      <c r="H155" s="3">
        <f t="shared" si="4"/>
        <v>2.1354166666666619E-2</v>
      </c>
      <c r="I155" s="5">
        <f t="shared" si="5"/>
        <v>30.75</v>
      </c>
      <c r="J155">
        <v>154</v>
      </c>
    </row>
    <row r="156" spans="1:10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v>9</v>
      </c>
      <c r="H156" s="3">
        <f t="shared" si="4"/>
        <v>5.8449074074074014E-2</v>
      </c>
      <c r="I156" s="5">
        <f t="shared" si="5"/>
        <v>84.166666666666671</v>
      </c>
      <c r="J156">
        <v>155</v>
      </c>
    </row>
    <row r="157" spans="1:10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v>8</v>
      </c>
      <c r="H157" s="3">
        <f t="shared" si="4"/>
        <v>4.0208333333333401E-2</v>
      </c>
      <c r="I157" s="5">
        <f t="shared" si="5"/>
        <v>57.9</v>
      </c>
      <c r="J157">
        <v>156</v>
      </c>
    </row>
    <row r="158" spans="1:10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v>39</v>
      </c>
      <c r="H158" s="3">
        <f t="shared" si="4"/>
        <v>7.5254629629629699E-2</v>
      </c>
      <c r="I158" s="5">
        <f t="shared" si="5"/>
        <v>108.36666666666666</v>
      </c>
      <c r="J158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topLeftCell="E1" workbookViewId="0">
      <selection activeCell="H10" sqref="H10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" customWidth="1"/>
    <col min="8" max="8" width="15.5546875" bestFit="1" customWidth="1"/>
    <col min="9" max="9" width="10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10</v>
      </c>
      <c r="H1" t="s">
        <v>5</v>
      </c>
      <c r="I1" t="s">
        <v>12</v>
      </c>
    </row>
    <row r="2" spans="1:11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f>F2</f>
        <v>12</v>
      </c>
      <c r="H2">
        <v>0</v>
      </c>
      <c r="I2">
        <f>G2-H2</f>
        <v>12</v>
      </c>
      <c r="K2" s="4" t="s">
        <v>13</v>
      </c>
    </row>
    <row r="3" spans="1:11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f>I2+F3</f>
        <v>23</v>
      </c>
      <c r="H3">
        <v>16</v>
      </c>
      <c r="I3">
        <f>G3-H3</f>
        <v>7</v>
      </c>
    </row>
    <row r="4" spans="1:11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f t="shared" ref="G4:G67" si="0">I3+F4</f>
        <v>16</v>
      </c>
      <c r="H4">
        <v>0</v>
      </c>
      <c r="I4">
        <f t="shared" ref="I4:I67" si="1">G4-H4</f>
        <v>16</v>
      </c>
    </row>
    <row r="5" spans="1:11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f t="shared" si="0"/>
        <v>30</v>
      </c>
      <c r="H5">
        <v>11</v>
      </c>
      <c r="I5">
        <f t="shared" si="1"/>
        <v>19</v>
      </c>
    </row>
    <row r="6" spans="1:11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f t="shared" si="0"/>
        <v>40</v>
      </c>
      <c r="H6">
        <v>15</v>
      </c>
      <c r="I6">
        <f t="shared" si="1"/>
        <v>25</v>
      </c>
    </row>
    <row r="7" spans="1:11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f t="shared" si="0"/>
        <v>36</v>
      </c>
      <c r="H7">
        <v>24</v>
      </c>
      <c r="I7">
        <f t="shared" si="1"/>
        <v>12</v>
      </c>
    </row>
    <row r="8" spans="1:11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f t="shared" si="0"/>
        <v>31</v>
      </c>
      <c r="H8">
        <v>10</v>
      </c>
      <c r="I8">
        <f t="shared" si="1"/>
        <v>21</v>
      </c>
    </row>
    <row r="9" spans="1:11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f t="shared" si="0"/>
        <v>30</v>
      </c>
      <c r="H9">
        <v>11</v>
      </c>
      <c r="I9">
        <f t="shared" si="1"/>
        <v>19</v>
      </c>
    </row>
    <row r="10" spans="1:11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f t="shared" si="0"/>
        <v>31</v>
      </c>
      <c r="H10">
        <v>15</v>
      </c>
      <c r="I10">
        <f t="shared" si="1"/>
        <v>16</v>
      </c>
    </row>
    <row r="11" spans="1:11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f t="shared" si="0"/>
        <v>33</v>
      </c>
      <c r="H11">
        <v>22</v>
      </c>
      <c r="I11">
        <f t="shared" si="1"/>
        <v>11</v>
      </c>
    </row>
    <row r="12" spans="1:11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f t="shared" si="0"/>
        <v>25</v>
      </c>
      <c r="H12">
        <v>10</v>
      </c>
      <c r="I12">
        <f t="shared" si="1"/>
        <v>15</v>
      </c>
    </row>
    <row r="13" spans="1:11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f t="shared" si="0"/>
        <v>39</v>
      </c>
      <c r="H13">
        <v>19</v>
      </c>
      <c r="I13">
        <f t="shared" si="1"/>
        <v>20</v>
      </c>
    </row>
    <row r="14" spans="1:11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f t="shared" si="0"/>
        <v>36</v>
      </c>
      <c r="H14">
        <v>11</v>
      </c>
      <c r="I14">
        <f t="shared" si="1"/>
        <v>25</v>
      </c>
    </row>
    <row r="15" spans="1:11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f t="shared" si="0"/>
        <v>40</v>
      </c>
      <c r="H15">
        <v>9</v>
      </c>
      <c r="I15">
        <f t="shared" si="1"/>
        <v>31</v>
      </c>
    </row>
    <row r="16" spans="1:11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f t="shared" si="0"/>
        <v>38</v>
      </c>
      <c r="H16">
        <v>16</v>
      </c>
      <c r="I16">
        <f t="shared" si="1"/>
        <v>22</v>
      </c>
    </row>
    <row r="17" spans="1:9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f t="shared" si="0"/>
        <v>31</v>
      </c>
      <c r="H17">
        <v>11</v>
      </c>
      <c r="I17">
        <f t="shared" si="1"/>
        <v>20</v>
      </c>
    </row>
    <row r="18" spans="1:9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f t="shared" si="0"/>
        <v>33</v>
      </c>
      <c r="H18">
        <v>18</v>
      </c>
      <c r="I18">
        <f t="shared" si="1"/>
        <v>15</v>
      </c>
    </row>
    <row r="19" spans="1:9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f t="shared" si="0"/>
        <v>37</v>
      </c>
      <c r="H19">
        <v>5</v>
      </c>
      <c r="I19">
        <f t="shared" si="1"/>
        <v>32</v>
      </c>
    </row>
    <row r="20" spans="1:9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f t="shared" si="0"/>
        <v>40</v>
      </c>
      <c r="H20">
        <v>23</v>
      </c>
      <c r="I20">
        <f t="shared" si="1"/>
        <v>17</v>
      </c>
    </row>
    <row r="21" spans="1:9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f t="shared" si="0"/>
        <v>28</v>
      </c>
      <c r="H21">
        <v>14</v>
      </c>
      <c r="I21">
        <f t="shared" si="1"/>
        <v>14</v>
      </c>
    </row>
    <row r="22" spans="1:9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f t="shared" si="0"/>
        <v>31</v>
      </c>
      <c r="H22">
        <v>23</v>
      </c>
      <c r="I22">
        <f t="shared" si="1"/>
        <v>8</v>
      </c>
    </row>
    <row r="23" spans="1:9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f t="shared" si="0"/>
        <v>23</v>
      </c>
      <c r="H23">
        <v>11</v>
      </c>
      <c r="I23">
        <f t="shared" si="1"/>
        <v>12</v>
      </c>
    </row>
    <row r="24" spans="1:9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f t="shared" si="0"/>
        <v>31</v>
      </c>
      <c r="H24">
        <v>21</v>
      </c>
      <c r="I24">
        <f t="shared" si="1"/>
        <v>10</v>
      </c>
    </row>
    <row r="25" spans="1:9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f t="shared" si="0"/>
        <v>21</v>
      </c>
      <c r="H25">
        <v>9</v>
      </c>
      <c r="I25">
        <f t="shared" si="1"/>
        <v>12</v>
      </c>
    </row>
    <row r="26" spans="1:9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f t="shared" si="0"/>
        <v>27</v>
      </c>
      <c r="H26">
        <v>11</v>
      </c>
      <c r="I26">
        <f t="shared" si="1"/>
        <v>16</v>
      </c>
    </row>
    <row r="27" spans="1:9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f t="shared" si="0"/>
        <v>31</v>
      </c>
      <c r="H27">
        <v>17</v>
      </c>
      <c r="I27">
        <f t="shared" si="1"/>
        <v>14</v>
      </c>
    </row>
    <row r="28" spans="1:9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f t="shared" si="0"/>
        <v>23</v>
      </c>
      <c r="H28">
        <v>6</v>
      </c>
      <c r="I28">
        <f t="shared" si="1"/>
        <v>17</v>
      </c>
    </row>
    <row r="29" spans="1:9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f t="shared" si="0"/>
        <v>31</v>
      </c>
      <c r="H29">
        <v>22</v>
      </c>
      <c r="I29">
        <f t="shared" si="1"/>
        <v>9</v>
      </c>
    </row>
    <row r="30" spans="1:9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f t="shared" si="0"/>
        <v>23</v>
      </c>
      <c r="H30">
        <v>3</v>
      </c>
      <c r="I30">
        <f t="shared" si="1"/>
        <v>20</v>
      </c>
    </row>
    <row r="31" spans="1:9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f t="shared" si="0"/>
        <v>38</v>
      </c>
      <c r="H31">
        <v>14</v>
      </c>
      <c r="I31">
        <f t="shared" si="1"/>
        <v>24</v>
      </c>
    </row>
    <row r="32" spans="1:9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f t="shared" si="0"/>
        <v>40</v>
      </c>
      <c r="H32">
        <v>21</v>
      </c>
      <c r="I32">
        <f t="shared" si="1"/>
        <v>19</v>
      </c>
    </row>
    <row r="33" spans="1:9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f t="shared" si="0"/>
        <v>34</v>
      </c>
      <c r="H33">
        <v>14</v>
      </c>
      <c r="I33">
        <f t="shared" si="1"/>
        <v>20</v>
      </c>
    </row>
    <row r="34" spans="1:9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f t="shared" si="0"/>
        <v>32</v>
      </c>
      <c r="H34">
        <v>23</v>
      </c>
      <c r="I34">
        <f t="shared" si="1"/>
        <v>9</v>
      </c>
    </row>
    <row r="35" spans="1:9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f t="shared" si="0"/>
        <v>26</v>
      </c>
      <c r="H35">
        <v>6</v>
      </c>
      <c r="I35">
        <f t="shared" si="1"/>
        <v>20</v>
      </c>
    </row>
    <row r="36" spans="1:9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f t="shared" si="0"/>
        <v>39</v>
      </c>
      <c r="H36">
        <v>16</v>
      </c>
      <c r="I36">
        <f t="shared" si="1"/>
        <v>23</v>
      </c>
    </row>
    <row r="37" spans="1:9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f t="shared" si="0"/>
        <v>34</v>
      </c>
      <c r="H37">
        <v>14</v>
      </c>
      <c r="I37">
        <f t="shared" si="1"/>
        <v>20</v>
      </c>
    </row>
    <row r="38" spans="1:9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f t="shared" si="0"/>
        <v>33</v>
      </c>
      <c r="H38">
        <v>22</v>
      </c>
      <c r="I38">
        <f t="shared" si="1"/>
        <v>11</v>
      </c>
    </row>
    <row r="39" spans="1:9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f t="shared" si="0"/>
        <v>22</v>
      </c>
      <c r="H39">
        <v>4</v>
      </c>
      <c r="I39">
        <f t="shared" si="1"/>
        <v>18</v>
      </c>
    </row>
    <row r="40" spans="1:9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f t="shared" si="0"/>
        <v>32</v>
      </c>
      <c r="H40">
        <v>21</v>
      </c>
      <c r="I40">
        <f t="shared" si="1"/>
        <v>11</v>
      </c>
    </row>
    <row r="41" spans="1:9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f t="shared" si="0"/>
        <v>27</v>
      </c>
      <c r="H41">
        <v>9</v>
      </c>
      <c r="I41">
        <f t="shared" si="1"/>
        <v>18</v>
      </c>
    </row>
    <row r="42" spans="1:9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f t="shared" si="0"/>
        <v>30</v>
      </c>
      <c r="H42">
        <v>24</v>
      </c>
      <c r="I42">
        <f t="shared" si="1"/>
        <v>6</v>
      </c>
    </row>
    <row r="43" spans="1:9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f t="shared" si="0"/>
        <v>15</v>
      </c>
      <c r="H43">
        <v>2</v>
      </c>
      <c r="I43">
        <f t="shared" si="1"/>
        <v>13</v>
      </c>
    </row>
    <row r="44" spans="1:9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f t="shared" si="0"/>
        <v>22</v>
      </c>
      <c r="H44">
        <v>4</v>
      </c>
      <c r="I44">
        <f t="shared" si="1"/>
        <v>18</v>
      </c>
    </row>
    <row r="45" spans="1:9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f t="shared" si="0"/>
        <v>27</v>
      </c>
      <c r="H45">
        <v>14</v>
      </c>
      <c r="I45">
        <f t="shared" si="1"/>
        <v>13</v>
      </c>
    </row>
    <row r="46" spans="1:9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f t="shared" si="0"/>
        <v>25</v>
      </c>
      <c r="H46">
        <v>10</v>
      </c>
      <c r="I46">
        <f t="shared" si="1"/>
        <v>15</v>
      </c>
    </row>
    <row r="47" spans="1:9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f t="shared" si="0"/>
        <v>31</v>
      </c>
      <c r="H47">
        <v>11</v>
      </c>
      <c r="I47">
        <f t="shared" si="1"/>
        <v>20</v>
      </c>
    </row>
    <row r="48" spans="1:9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f t="shared" si="0"/>
        <v>33</v>
      </c>
      <c r="H48">
        <v>21</v>
      </c>
      <c r="I48">
        <f t="shared" si="1"/>
        <v>12</v>
      </c>
    </row>
    <row r="49" spans="1:9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f t="shared" si="0"/>
        <v>19</v>
      </c>
      <c r="H49">
        <v>15</v>
      </c>
      <c r="I49">
        <f t="shared" si="1"/>
        <v>4</v>
      </c>
    </row>
    <row r="50" spans="1:9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f t="shared" si="0"/>
        <v>11</v>
      </c>
      <c r="H50">
        <v>0</v>
      </c>
      <c r="I50">
        <f t="shared" si="1"/>
        <v>11</v>
      </c>
    </row>
    <row r="51" spans="1:9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f t="shared" si="0"/>
        <v>18</v>
      </c>
      <c r="H51">
        <v>1</v>
      </c>
      <c r="I51">
        <f t="shared" si="1"/>
        <v>17</v>
      </c>
    </row>
    <row r="52" spans="1:9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f t="shared" si="0"/>
        <v>30</v>
      </c>
      <c r="H52">
        <v>20</v>
      </c>
      <c r="I52">
        <f t="shared" si="1"/>
        <v>10</v>
      </c>
    </row>
    <row r="53" spans="1:9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f t="shared" si="0"/>
        <v>22</v>
      </c>
      <c r="H53">
        <v>4</v>
      </c>
      <c r="I53">
        <f t="shared" si="1"/>
        <v>18</v>
      </c>
    </row>
    <row r="54" spans="1:9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f t="shared" si="0"/>
        <v>29</v>
      </c>
      <c r="H54">
        <v>9</v>
      </c>
      <c r="I54">
        <f t="shared" si="1"/>
        <v>20</v>
      </c>
    </row>
    <row r="55" spans="1:9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f t="shared" si="0"/>
        <v>32</v>
      </c>
      <c r="H55">
        <v>21</v>
      </c>
      <c r="I55">
        <f t="shared" si="1"/>
        <v>11</v>
      </c>
    </row>
    <row r="56" spans="1:9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f t="shared" si="0"/>
        <v>25</v>
      </c>
      <c r="H56">
        <v>2</v>
      </c>
      <c r="I56">
        <f t="shared" si="1"/>
        <v>23</v>
      </c>
    </row>
    <row r="57" spans="1:9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f t="shared" si="0"/>
        <v>40</v>
      </c>
      <c r="H57">
        <v>9</v>
      </c>
      <c r="I57">
        <f t="shared" si="1"/>
        <v>31</v>
      </c>
    </row>
    <row r="58" spans="1:9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f t="shared" si="0"/>
        <v>34</v>
      </c>
      <c r="H58">
        <v>9</v>
      </c>
      <c r="I58">
        <f t="shared" si="1"/>
        <v>25</v>
      </c>
    </row>
    <row r="59" spans="1:9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f t="shared" si="0"/>
        <v>36</v>
      </c>
      <c r="H59">
        <v>3</v>
      </c>
      <c r="I59">
        <f t="shared" si="1"/>
        <v>33</v>
      </c>
    </row>
    <row r="60" spans="1:9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f t="shared" si="0"/>
        <v>41</v>
      </c>
      <c r="H60">
        <v>4</v>
      </c>
      <c r="I60">
        <f t="shared" si="1"/>
        <v>37</v>
      </c>
    </row>
    <row r="61" spans="1:9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f t="shared" si="0"/>
        <v>38</v>
      </c>
      <c r="H61">
        <v>6</v>
      </c>
      <c r="I61">
        <f t="shared" si="1"/>
        <v>32</v>
      </c>
    </row>
    <row r="62" spans="1:9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f t="shared" si="0"/>
        <v>36</v>
      </c>
      <c r="H62">
        <v>21</v>
      </c>
      <c r="I62">
        <f t="shared" si="1"/>
        <v>15</v>
      </c>
    </row>
    <row r="63" spans="1:9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f t="shared" si="0"/>
        <v>24</v>
      </c>
      <c r="H63">
        <v>11</v>
      </c>
      <c r="I63">
        <f t="shared" si="1"/>
        <v>13</v>
      </c>
    </row>
    <row r="64" spans="1:9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f t="shared" si="0"/>
        <v>25</v>
      </c>
      <c r="H64">
        <v>7</v>
      </c>
      <c r="I64">
        <f t="shared" si="1"/>
        <v>18</v>
      </c>
    </row>
    <row r="65" spans="1:9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f t="shared" si="0"/>
        <v>29</v>
      </c>
      <c r="H65">
        <v>13</v>
      </c>
      <c r="I65">
        <f t="shared" si="1"/>
        <v>16</v>
      </c>
    </row>
    <row r="66" spans="1:9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f t="shared" si="0"/>
        <v>32</v>
      </c>
      <c r="H66">
        <v>21</v>
      </c>
      <c r="I66">
        <f t="shared" si="1"/>
        <v>11</v>
      </c>
    </row>
    <row r="67" spans="1:9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f t="shared" si="0"/>
        <v>30</v>
      </c>
      <c r="H67">
        <v>10</v>
      </c>
      <c r="I67">
        <f t="shared" si="1"/>
        <v>20</v>
      </c>
    </row>
    <row r="68" spans="1:9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f t="shared" ref="G68:G131" si="2">I67+F68</f>
        <v>23</v>
      </c>
      <c r="H68">
        <v>0</v>
      </c>
      <c r="I68">
        <f t="shared" ref="I68:I131" si="3">G68-H68</f>
        <v>23</v>
      </c>
    </row>
    <row r="69" spans="1:9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f t="shared" si="2"/>
        <v>35</v>
      </c>
      <c r="H69">
        <v>21</v>
      </c>
      <c r="I69">
        <f t="shared" si="3"/>
        <v>14</v>
      </c>
    </row>
    <row r="70" spans="1:9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f t="shared" si="2"/>
        <v>31</v>
      </c>
      <c r="H70">
        <v>20</v>
      </c>
      <c r="I70">
        <f t="shared" si="3"/>
        <v>11</v>
      </c>
    </row>
    <row r="71" spans="1:9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f t="shared" si="2"/>
        <v>22</v>
      </c>
      <c r="H71">
        <v>22</v>
      </c>
      <c r="I71">
        <f t="shared" si="3"/>
        <v>0</v>
      </c>
    </row>
    <row r="72" spans="1:9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f t="shared" si="2"/>
        <v>7</v>
      </c>
      <c r="H72">
        <v>2</v>
      </c>
      <c r="I72">
        <f t="shared" si="3"/>
        <v>5</v>
      </c>
    </row>
    <row r="73" spans="1:9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f t="shared" si="2"/>
        <v>13</v>
      </c>
      <c r="H73">
        <v>7</v>
      </c>
      <c r="I73">
        <f t="shared" si="3"/>
        <v>6</v>
      </c>
    </row>
    <row r="74" spans="1:9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f t="shared" si="2"/>
        <v>12</v>
      </c>
      <c r="H74">
        <v>1</v>
      </c>
      <c r="I74">
        <f t="shared" si="3"/>
        <v>11</v>
      </c>
    </row>
    <row r="75" spans="1:9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f t="shared" si="2"/>
        <v>11</v>
      </c>
      <c r="H75">
        <v>6</v>
      </c>
      <c r="I75">
        <f t="shared" si="3"/>
        <v>5</v>
      </c>
    </row>
    <row r="76" spans="1:9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f t="shared" si="2"/>
        <v>5</v>
      </c>
      <c r="H76">
        <v>5</v>
      </c>
      <c r="I76">
        <f t="shared" si="3"/>
        <v>0</v>
      </c>
    </row>
    <row r="77" spans="1:9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f t="shared" si="2"/>
        <v>10</v>
      </c>
      <c r="H77">
        <v>1</v>
      </c>
      <c r="I77">
        <f t="shared" si="3"/>
        <v>9</v>
      </c>
    </row>
    <row r="78" spans="1:9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f t="shared" si="2"/>
        <v>23</v>
      </c>
      <c r="H78">
        <v>21</v>
      </c>
      <c r="I78">
        <f t="shared" si="3"/>
        <v>2</v>
      </c>
    </row>
    <row r="79" spans="1:9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f t="shared" si="2"/>
        <v>6</v>
      </c>
      <c r="H79">
        <v>1</v>
      </c>
      <c r="I79">
        <f t="shared" si="3"/>
        <v>5</v>
      </c>
    </row>
    <row r="80" spans="1:9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f t="shared" si="2"/>
        <v>12</v>
      </c>
      <c r="H80">
        <v>2</v>
      </c>
      <c r="I80">
        <f t="shared" si="3"/>
        <v>10</v>
      </c>
    </row>
    <row r="81" spans="1:9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f t="shared" si="2"/>
        <v>23</v>
      </c>
      <c r="H81">
        <v>5</v>
      </c>
      <c r="I81">
        <f t="shared" si="3"/>
        <v>18</v>
      </c>
    </row>
    <row r="82" spans="1:9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f t="shared" si="2"/>
        <v>31</v>
      </c>
      <c r="H82">
        <v>11</v>
      </c>
      <c r="I82">
        <f t="shared" si="3"/>
        <v>20</v>
      </c>
    </row>
    <row r="83" spans="1:9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f t="shared" si="2"/>
        <v>34</v>
      </c>
      <c r="H83">
        <v>9</v>
      </c>
      <c r="I83">
        <f t="shared" si="3"/>
        <v>25</v>
      </c>
    </row>
    <row r="84" spans="1:9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f t="shared" si="2"/>
        <v>39</v>
      </c>
      <c r="H84">
        <v>9</v>
      </c>
      <c r="I84">
        <f t="shared" si="3"/>
        <v>30</v>
      </c>
    </row>
    <row r="85" spans="1:9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f t="shared" si="2"/>
        <v>42</v>
      </c>
      <c r="H85">
        <v>7</v>
      </c>
      <c r="I85">
        <f t="shared" si="3"/>
        <v>35</v>
      </c>
    </row>
    <row r="86" spans="1:9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f t="shared" si="2"/>
        <v>37</v>
      </c>
      <c r="H86">
        <v>19</v>
      </c>
      <c r="I86">
        <f t="shared" si="3"/>
        <v>18</v>
      </c>
    </row>
    <row r="87" spans="1:9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f t="shared" si="2"/>
        <v>22</v>
      </c>
      <c r="H87">
        <v>11</v>
      </c>
      <c r="I87">
        <f t="shared" si="3"/>
        <v>11</v>
      </c>
    </row>
    <row r="88" spans="1:9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f t="shared" si="2"/>
        <v>32</v>
      </c>
      <c r="H88">
        <v>15</v>
      </c>
      <c r="I88">
        <f t="shared" si="3"/>
        <v>17</v>
      </c>
    </row>
    <row r="89" spans="1:9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f t="shared" si="2"/>
        <v>24</v>
      </c>
      <c r="H89">
        <v>13</v>
      </c>
      <c r="I89">
        <f t="shared" si="3"/>
        <v>11</v>
      </c>
    </row>
    <row r="90" spans="1:9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f t="shared" si="2"/>
        <v>25</v>
      </c>
      <c r="H90">
        <v>16</v>
      </c>
      <c r="I90">
        <f t="shared" si="3"/>
        <v>9</v>
      </c>
    </row>
    <row r="91" spans="1:9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f t="shared" si="2"/>
        <v>16</v>
      </c>
      <c r="H91">
        <v>0</v>
      </c>
      <c r="I91">
        <f t="shared" si="3"/>
        <v>16</v>
      </c>
    </row>
    <row r="92" spans="1:9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f t="shared" si="2"/>
        <v>33</v>
      </c>
      <c r="H92">
        <v>15</v>
      </c>
      <c r="I92">
        <f t="shared" si="3"/>
        <v>18</v>
      </c>
    </row>
    <row r="93" spans="1:9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f t="shared" si="2"/>
        <v>23</v>
      </c>
      <c r="H93">
        <v>8</v>
      </c>
      <c r="I93">
        <f t="shared" si="3"/>
        <v>15</v>
      </c>
    </row>
    <row r="94" spans="1:9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f t="shared" si="2"/>
        <v>29</v>
      </c>
      <c r="H94">
        <v>9</v>
      </c>
      <c r="I94">
        <f t="shared" si="3"/>
        <v>20</v>
      </c>
    </row>
    <row r="95" spans="1:9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f t="shared" si="2"/>
        <v>31</v>
      </c>
      <c r="H95">
        <v>17</v>
      </c>
      <c r="I95">
        <f t="shared" si="3"/>
        <v>14</v>
      </c>
    </row>
    <row r="96" spans="1:9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f t="shared" si="2"/>
        <v>21</v>
      </c>
      <c r="H96">
        <v>16</v>
      </c>
      <c r="I96">
        <f t="shared" si="3"/>
        <v>5</v>
      </c>
    </row>
    <row r="97" spans="1:9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f t="shared" si="2"/>
        <v>10</v>
      </c>
      <c r="H97">
        <v>1</v>
      </c>
      <c r="I97">
        <f t="shared" si="3"/>
        <v>9</v>
      </c>
    </row>
    <row r="98" spans="1:9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f t="shared" si="2"/>
        <v>23</v>
      </c>
      <c r="H98">
        <v>7</v>
      </c>
      <c r="I98">
        <f t="shared" si="3"/>
        <v>16</v>
      </c>
    </row>
    <row r="99" spans="1:9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f t="shared" si="2"/>
        <v>28</v>
      </c>
      <c r="H99">
        <v>9</v>
      </c>
      <c r="I99">
        <f t="shared" si="3"/>
        <v>19</v>
      </c>
    </row>
    <row r="100" spans="1:9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f t="shared" si="2"/>
        <v>30</v>
      </c>
      <c r="H100">
        <v>9</v>
      </c>
      <c r="I100">
        <f t="shared" si="3"/>
        <v>21</v>
      </c>
    </row>
    <row r="101" spans="1:9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f t="shared" si="2"/>
        <v>32</v>
      </c>
      <c r="H101">
        <v>8</v>
      </c>
      <c r="I101">
        <f t="shared" si="3"/>
        <v>24</v>
      </c>
    </row>
    <row r="102" spans="1:9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f t="shared" si="2"/>
        <v>36</v>
      </c>
      <c r="H102">
        <v>3</v>
      </c>
      <c r="I102">
        <f t="shared" si="3"/>
        <v>33</v>
      </c>
    </row>
    <row r="103" spans="1:9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f t="shared" si="2"/>
        <v>40</v>
      </c>
      <c r="H103">
        <v>12</v>
      </c>
      <c r="I103">
        <f t="shared" si="3"/>
        <v>28</v>
      </c>
    </row>
    <row r="104" spans="1:9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f t="shared" si="2"/>
        <v>37</v>
      </c>
      <c r="H104">
        <v>14</v>
      </c>
      <c r="I104">
        <f t="shared" si="3"/>
        <v>23</v>
      </c>
    </row>
    <row r="105" spans="1:9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f t="shared" si="2"/>
        <v>31</v>
      </c>
      <c r="H105">
        <v>19</v>
      </c>
      <c r="I105">
        <f t="shared" si="3"/>
        <v>12</v>
      </c>
    </row>
    <row r="106" spans="1:9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f t="shared" si="2"/>
        <v>35</v>
      </c>
      <c r="H106">
        <v>14</v>
      </c>
      <c r="I106">
        <f t="shared" si="3"/>
        <v>21</v>
      </c>
    </row>
    <row r="107" spans="1:9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f t="shared" si="2"/>
        <v>40</v>
      </c>
      <c r="H107">
        <v>9</v>
      </c>
      <c r="I107">
        <f t="shared" si="3"/>
        <v>31</v>
      </c>
    </row>
    <row r="108" spans="1:9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f t="shared" si="2"/>
        <v>31</v>
      </c>
      <c r="H108">
        <v>6</v>
      </c>
      <c r="I108">
        <f t="shared" si="3"/>
        <v>25</v>
      </c>
    </row>
    <row r="109" spans="1:9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f t="shared" si="2"/>
        <v>29</v>
      </c>
      <c r="H109">
        <v>15</v>
      </c>
      <c r="I109">
        <f t="shared" si="3"/>
        <v>14</v>
      </c>
    </row>
    <row r="110" spans="1:9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f t="shared" si="2"/>
        <v>25</v>
      </c>
      <c r="H110">
        <v>0</v>
      </c>
      <c r="I110">
        <f t="shared" si="3"/>
        <v>25</v>
      </c>
    </row>
    <row r="111" spans="1:9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f t="shared" si="2"/>
        <v>34</v>
      </c>
      <c r="H111">
        <v>4</v>
      </c>
      <c r="I111">
        <f t="shared" si="3"/>
        <v>30</v>
      </c>
    </row>
    <row r="112" spans="1:9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f t="shared" si="2"/>
        <v>39</v>
      </c>
      <c r="H112">
        <v>28</v>
      </c>
      <c r="I112">
        <f t="shared" si="3"/>
        <v>11</v>
      </c>
    </row>
    <row r="113" spans="1:9" x14ac:dyDescent="0.3">
      <c r="A113">
        <v>112</v>
      </c>
      <c r="B113" s="1">
        <v>44460</v>
      </c>
      <c r="C113" s="2">
        <v>0.71136574074074066</v>
      </c>
      <c r="D113" s="1">
        <v>44460</v>
      </c>
      <c r="E113" s="3">
        <v>0.76173611111111106</v>
      </c>
      <c r="F113">
        <v>0</v>
      </c>
      <c r="G113">
        <f t="shared" si="2"/>
        <v>11</v>
      </c>
      <c r="H113">
        <v>10</v>
      </c>
      <c r="I113">
        <f t="shared" si="3"/>
        <v>1</v>
      </c>
    </row>
    <row r="114" spans="1:9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f t="shared" si="2"/>
        <v>13</v>
      </c>
      <c r="H114">
        <v>6</v>
      </c>
      <c r="I114">
        <f t="shared" si="3"/>
        <v>7</v>
      </c>
    </row>
    <row r="115" spans="1:9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f t="shared" si="2"/>
        <v>18</v>
      </c>
      <c r="H115">
        <v>5</v>
      </c>
      <c r="I115">
        <f t="shared" si="3"/>
        <v>13</v>
      </c>
    </row>
    <row r="116" spans="1:9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f t="shared" si="2"/>
        <v>26</v>
      </c>
      <c r="H116">
        <v>9</v>
      </c>
      <c r="I116">
        <f t="shared" si="3"/>
        <v>17</v>
      </c>
    </row>
    <row r="117" spans="1:9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f t="shared" si="2"/>
        <v>31</v>
      </c>
      <c r="H117">
        <v>11</v>
      </c>
      <c r="I117">
        <f t="shared" si="3"/>
        <v>20</v>
      </c>
    </row>
    <row r="118" spans="1:9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f t="shared" si="2"/>
        <v>22</v>
      </c>
      <c r="H118">
        <v>0</v>
      </c>
      <c r="I118">
        <f t="shared" si="3"/>
        <v>22</v>
      </c>
    </row>
    <row r="119" spans="1:9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f t="shared" si="2"/>
        <v>28</v>
      </c>
      <c r="H119">
        <v>0</v>
      </c>
      <c r="I119">
        <f t="shared" si="3"/>
        <v>28</v>
      </c>
    </row>
    <row r="120" spans="1:9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f t="shared" si="2"/>
        <v>32</v>
      </c>
      <c r="H120">
        <v>11</v>
      </c>
      <c r="I120">
        <f t="shared" si="3"/>
        <v>21</v>
      </c>
    </row>
    <row r="121" spans="1:9" x14ac:dyDescent="0.3">
      <c r="A121">
        <v>120</v>
      </c>
      <c r="B121" s="1">
        <v>44462</v>
      </c>
      <c r="C121" s="2">
        <v>0.29726851851851849</v>
      </c>
      <c r="D121" s="1">
        <v>44462</v>
      </c>
      <c r="E121" s="3">
        <v>0.39068287037037036</v>
      </c>
      <c r="F121">
        <v>19</v>
      </c>
      <c r="G121">
        <f t="shared" si="2"/>
        <v>40</v>
      </c>
      <c r="H121">
        <v>3</v>
      </c>
      <c r="I121">
        <f t="shared" si="3"/>
        <v>37</v>
      </c>
    </row>
    <row r="122" spans="1:9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f t="shared" si="2"/>
        <v>40</v>
      </c>
      <c r="H122">
        <v>21</v>
      </c>
      <c r="I122">
        <f t="shared" si="3"/>
        <v>19</v>
      </c>
    </row>
    <row r="123" spans="1:9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f t="shared" si="2"/>
        <v>38</v>
      </c>
      <c r="H123">
        <v>22</v>
      </c>
      <c r="I123">
        <f t="shared" si="3"/>
        <v>16</v>
      </c>
    </row>
    <row r="124" spans="1:9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f t="shared" si="2"/>
        <v>29</v>
      </c>
      <c r="H124">
        <v>14</v>
      </c>
      <c r="I124">
        <f t="shared" si="3"/>
        <v>15</v>
      </c>
    </row>
    <row r="125" spans="1:9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f t="shared" si="2"/>
        <v>34</v>
      </c>
      <c r="H125">
        <v>25</v>
      </c>
      <c r="I125">
        <f t="shared" si="3"/>
        <v>9</v>
      </c>
    </row>
    <row r="126" spans="1:9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f t="shared" si="2"/>
        <v>28</v>
      </c>
      <c r="H126">
        <v>11</v>
      </c>
      <c r="I126">
        <f t="shared" si="3"/>
        <v>17</v>
      </c>
    </row>
    <row r="127" spans="1:9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f t="shared" si="2"/>
        <v>30</v>
      </c>
      <c r="H127">
        <v>4</v>
      </c>
      <c r="I127">
        <f t="shared" si="3"/>
        <v>26</v>
      </c>
    </row>
    <row r="128" spans="1:9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f t="shared" si="2"/>
        <v>39</v>
      </c>
      <c r="H128">
        <v>9</v>
      </c>
      <c r="I128">
        <f t="shared" si="3"/>
        <v>30</v>
      </c>
    </row>
    <row r="129" spans="1:9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f t="shared" si="2"/>
        <v>40</v>
      </c>
      <c r="H129">
        <v>12</v>
      </c>
      <c r="I129">
        <f t="shared" si="3"/>
        <v>28</v>
      </c>
    </row>
    <row r="130" spans="1:9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f t="shared" si="2"/>
        <v>37</v>
      </c>
      <c r="H130">
        <v>11</v>
      </c>
      <c r="I130">
        <f t="shared" si="3"/>
        <v>26</v>
      </c>
    </row>
    <row r="131" spans="1:9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f t="shared" si="2"/>
        <v>40</v>
      </c>
      <c r="H131">
        <v>20</v>
      </c>
      <c r="I131">
        <f t="shared" si="3"/>
        <v>20</v>
      </c>
    </row>
    <row r="132" spans="1:9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f t="shared" ref="G132:G158" si="4">I131+F132</f>
        <v>21</v>
      </c>
      <c r="H132">
        <v>3</v>
      </c>
      <c r="I132">
        <f t="shared" ref="I132:I158" si="5">G132-H132</f>
        <v>18</v>
      </c>
    </row>
    <row r="133" spans="1:9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f t="shared" si="4"/>
        <v>23</v>
      </c>
      <c r="H133">
        <v>6</v>
      </c>
      <c r="I133">
        <f t="shared" si="5"/>
        <v>17</v>
      </c>
    </row>
    <row r="134" spans="1:9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f t="shared" si="4"/>
        <v>29</v>
      </c>
      <c r="H134">
        <v>6</v>
      </c>
      <c r="I134">
        <f t="shared" si="5"/>
        <v>23</v>
      </c>
    </row>
    <row r="135" spans="1:9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f t="shared" si="4"/>
        <v>36</v>
      </c>
      <c r="H135">
        <v>24</v>
      </c>
      <c r="I135">
        <f t="shared" si="5"/>
        <v>12</v>
      </c>
    </row>
    <row r="136" spans="1:9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f t="shared" si="4"/>
        <v>21</v>
      </c>
      <c r="H136">
        <v>2</v>
      </c>
      <c r="I136">
        <f t="shared" si="5"/>
        <v>19</v>
      </c>
    </row>
    <row r="137" spans="1:9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f t="shared" si="4"/>
        <v>30</v>
      </c>
      <c r="H137">
        <v>6</v>
      </c>
      <c r="I137">
        <f t="shared" si="5"/>
        <v>24</v>
      </c>
    </row>
    <row r="138" spans="1:9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f t="shared" si="4"/>
        <v>35</v>
      </c>
      <c r="H138">
        <v>9</v>
      </c>
      <c r="I138">
        <f t="shared" si="5"/>
        <v>26</v>
      </c>
    </row>
    <row r="139" spans="1:9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f t="shared" si="4"/>
        <v>39</v>
      </c>
      <c r="H139">
        <v>24</v>
      </c>
      <c r="I139">
        <f t="shared" si="5"/>
        <v>15</v>
      </c>
    </row>
    <row r="140" spans="1:9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f t="shared" si="4"/>
        <v>30</v>
      </c>
      <c r="H140">
        <v>6</v>
      </c>
      <c r="I140">
        <f t="shared" si="5"/>
        <v>24</v>
      </c>
    </row>
    <row r="141" spans="1:9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f t="shared" si="4"/>
        <v>39</v>
      </c>
      <c r="H141">
        <v>9</v>
      </c>
      <c r="I141">
        <f t="shared" si="5"/>
        <v>30</v>
      </c>
    </row>
    <row r="142" spans="1:9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f t="shared" si="4"/>
        <v>40</v>
      </c>
      <c r="H142">
        <v>19</v>
      </c>
      <c r="I142">
        <f t="shared" si="5"/>
        <v>21</v>
      </c>
    </row>
    <row r="143" spans="1:9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f t="shared" si="4"/>
        <v>22</v>
      </c>
      <c r="H143">
        <v>0</v>
      </c>
      <c r="I143">
        <f t="shared" si="5"/>
        <v>22</v>
      </c>
    </row>
    <row r="144" spans="1:9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f t="shared" si="4"/>
        <v>25</v>
      </c>
      <c r="H144">
        <v>0</v>
      </c>
      <c r="I144">
        <f t="shared" si="5"/>
        <v>25</v>
      </c>
    </row>
    <row r="145" spans="1:9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f t="shared" si="4"/>
        <v>34</v>
      </c>
      <c r="H145">
        <v>14</v>
      </c>
      <c r="I145">
        <f t="shared" si="5"/>
        <v>20</v>
      </c>
    </row>
    <row r="146" spans="1:9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f t="shared" si="4"/>
        <v>31</v>
      </c>
      <c r="H146">
        <v>13</v>
      </c>
      <c r="I146">
        <f t="shared" si="5"/>
        <v>18</v>
      </c>
    </row>
    <row r="147" spans="1:9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f t="shared" si="4"/>
        <v>30</v>
      </c>
      <c r="H147">
        <v>9</v>
      </c>
      <c r="I147">
        <f t="shared" si="5"/>
        <v>21</v>
      </c>
    </row>
    <row r="148" spans="1:9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f t="shared" si="4"/>
        <v>35</v>
      </c>
      <c r="H148">
        <v>9</v>
      </c>
      <c r="I148">
        <f t="shared" si="5"/>
        <v>26</v>
      </c>
    </row>
    <row r="149" spans="1:9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f t="shared" si="4"/>
        <v>38</v>
      </c>
      <c r="H149">
        <v>16</v>
      </c>
      <c r="I149">
        <f t="shared" si="5"/>
        <v>22</v>
      </c>
    </row>
    <row r="150" spans="1:9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f t="shared" si="4"/>
        <v>31</v>
      </c>
      <c r="H150">
        <v>21</v>
      </c>
      <c r="I150">
        <f t="shared" si="5"/>
        <v>10</v>
      </c>
    </row>
    <row r="151" spans="1:9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f t="shared" si="4"/>
        <v>25</v>
      </c>
      <c r="H151">
        <v>9</v>
      </c>
      <c r="I151">
        <f t="shared" si="5"/>
        <v>16</v>
      </c>
    </row>
    <row r="152" spans="1:9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f t="shared" si="4"/>
        <v>30</v>
      </c>
      <c r="H152">
        <v>8</v>
      </c>
      <c r="I152">
        <f t="shared" si="5"/>
        <v>22</v>
      </c>
    </row>
    <row r="153" spans="1:9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f t="shared" si="4"/>
        <v>38</v>
      </c>
      <c r="H153">
        <v>21</v>
      </c>
      <c r="I153">
        <f t="shared" si="5"/>
        <v>17</v>
      </c>
    </row>
    <row r="154" spans="1:9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f t="shared" si="4"/>
        <v>31</v>
      </c>
      <c r="H154">
        <v>9</v>
      </c>
      <c r="I154">
        <f t="shared" si="5"/>
        <v>22</v>
      </c>
    </row>
    <row r="155" spans="1:9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f t="shared" si="4"/>
        <v>39</v>
      </c>
      <c r="H155">
        <v>3</v>
      </c>
      <c r="I155">
        <f t="shared" si="5"/>
        <v>36</v>
      </c>
    </row>
    <row r="156" spans="1:9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f t="shared" si="4"/>
        <v>36</v>
      </c>
      <c r="H156">
        <v>9</v>
      </c>
      <c r="I156">
        <f t="shared" si="5"/>
        <v>27</v>
      </c>
    </row>
    <row r="157" spans="1:9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f t="shared" si="4"/>
        <v>41</v>
      </c>
      <c r="H157">
        <v>8</v>
      </c>
      <c r="I157">
        <f t="shared" si="5"/>
        <v>33</v>
      </c>
    </row>
    <row r="158" spans="1:9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f t="shared" si="4"/>
        <v>39</v>
      </c>
      <c r="H158">
        <v>39</v>
      </c>
      <c r="I158">
        <f t="shared" si="5"/>
        <v>0</v>
      </c>
    </row>
  </sheetData>
  <conditionalFormatting sqref="G1:G1048576">
    <cfRule type="cellIs" dxfId="0" priority="1" operator="greater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8"/>
  <sheetViews>
    <sheetView tabSelected="1" topLeftCell="G1" workbookViewId="0">
      <selection activeCell="M6" sqref="M6"/>
    </sheetView>
  </sheetViews>
  <sheetFormatPr defaultRowHeight="14.4" x14ac:dyDescent="0.3"/>
  <cols>
    <col min="1" max="1" width="4" bestFit="1" customWidth="1"/>
    <col min="2" max="2" width="10.6640625" bestFit="1" customWidth="1"/>
    <col min="3" max="3" width="13.33203125" bestFit="1" customWidth="1"/>
    <col min="4" max="4" width="11.6640625" bestFit="1" customWidth="1"/>
    <col min="5" max="5" width="14.33203125" style="3" bestFit="1" customWidth="1"/>
    <col min="6" max="6" width="15" bestFit="1" customWidth="1"/>
    <col min="7" max="7" width="15.5546875" bestFit="1" customWidth="1"/>
    <col min="10" max="10" width="11.777343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6</v>
      </c>
      <c r="G1" t="s">
        <v>5</v>
      </c>
      <c r="H1" t="s">
        <v>7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M1">
        <v>27</v>
      </c>
      <c r="AN1">
        <v>28</v>
      </c>
      <c r="AO1">
        <v>29</v>
      </c>
      <c r="AP1">
        <v>30</v>
      </c>
    </row>
    <row r="2" spans="1:42" x14ac:dyDescent="0.3">
      <c r="A2">
        <v>1</v>
      </c>
      <c r="B2" s="1">
        <v>44440</v>
      </c>
      <c r="C2" s="2">
        <v>0.33333333333333331</v>
      </c>
      <c r="D2" s="1">
        <v>44440</v>
      </c>
      <c r="E2" s="3">
        <v>0.38513888888888892</v>
      </c>
      <c r="F2">
        <v>12</v>
      </c>
      <c r="G2">
        <v>0</v>
      </c>
      <c r="H2" s="3">
        <f>IF(E2&lt;C2,(24-C2)+E2,E2-C2)</f>
        <v>5.1805555555555605E-2</v>
      </c>
      <c r="I2" s="3">
        <f>IF(B2=D2,H2,0)</f>
        <v>5.1805555555555605E-2</v>
      </c>
      <c r="J2" s="3">
        <f>IF(B2=D2,0,E2)</f>
        <v>0</v>
      </c>
      <c r="K2">
        <f>SUM(HOUR(H2)*60,MINUTE(H2),SECOND(H2)/60,HOUR(I2)*60,MINUTE(I2),SECOND(I2)/60)</f>
        <v>149.19999999999999</v>
      </c>
      <c r="M2">
        <f>IF(DAY(B2)=$M$1,K2,0)</f>
        <v>149.19999999999999</v>
      </c>
      <c r="N2">
        <f>IF(DAY($B2)=N$1,$K2,0)</f>
        <v>0</v>
      </c>
      <c r="O2">
        <f>IF(DAY($B2)=O$1,$K2,0)</f>
        <v>0</v>
      </c>
      <c r="P2">
        <f>IF(DAY($B2)=P$1,$K2,0)</f>
        <v>0</v>
      </c>
      <c r="Q2">
        <f t="shared" ref="Q2:AF17" si="0">IF(DAY($B2)=Q$1,$K2,0)</f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ref="AG2:AP2" si="1">IF(DAY($B2)=AG$1,$K2,0)</f>
        <v>0</v>
      </c>
      <c r="AH2">
        <f t="shared" si="1"/>
        <v>0</v>
      </c>
      <c r="AI2">
        <f t="shared" si="1"/>
        <v>0</v>
      </c>
      <c r="AJ2">
        <f t="shared" si="1"/>
        <v>0</v>
      </c>
      <c r="AK2">
        <f t="shared" si="1"/>
        <v>0</v>
      </c>
      <c r="AL2">
        <f t="shared" si="1"/>
        <v>0</v>
      </c>
      <c r="AM2">
        <f t="shared" si="1"/>
        <v>0</v>
      </c>
      <c r="AN2">
        <f t="shared" si="1"/>
        <v>0</v>
      </c>
      <c r="AO2">
        <f t="shared" si="1"/>
        <v>0</v>
      </c>
      <c r="AP2">
        <f t="shared" si="1"/>
        <v>0</v>
      </c>
    </row>
    <row r="3" spans="1:42" x14ac:dyDescent="0.3">
      <c r="A3">
        <v>2</v>
      </c>
      <c r="B3" s="1">
        <v>44440</v>
      </c>
      <c r="C3" s="2">
        <v>0.42430555555555555</v>
      </c>
      <c r="D3" s="1">
        <v>44440</v>
      </c>
      <c r="E3" s="3">
        <v>0.55934027777777773</v>
      </c>
      <c r="F3">
        <v>11</v>
      </c>
      <c r="G3">
        <v>16</v>
      </c>
      <c r="H3" s="3">
        <f t="shared" ref="H3:H66" si="2">IF(E3&lt;C3,(24-C3)+E3,E3-C3)</f>
        <v>0.13503472222222218</v>
      </c>
      <c r="I3" s="3">
        <f t="shared" ref="I3:I66" si="3">IF(B3=D3,H3,0)</f>
        <v>0.13503472222222218</v>
      </c>
      <c r="J3" s="3">
        <f t="shared" ref="J3:J66" si="4">IF(B3=D3,0,E3)</f>
        <v>0</v>
      </c>
      <c r="K3">
        <f t="shared" ref="K3:K66" si="5">SUM(HOUR(H3)*60,MINUTE(H3),SECOND(H3)/60,HOUR(I3)*60,MINUTE(I3),SECOND(I3)/60)</f>
        <v>388.9</v>
      </c>
      <c r="M3">
        <f t="shared" ref="M3:M66" si="6">IF(DAY(B3)=$M$1,K3,0)</f>
        <v>388.9</v>
      </c>
      <c r="N3">
        <f t="shared" ref="N3:N66" si="7">IF(DAY($B3)=N$1,$K3,0)</f>
        <v>0</v>
      </c>
      <c r="O3">
        <f t="shared" ref="O3:S66" si="8">IF(DAY($B3)=O$1,$K3,0)</f>
        <v>0</v>
      </c>
      <c r="P3">
        <f t="shared" si="8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</row>
    <row r="4" spans="1:42" x14ac:dyDescent="0.3">
      <c r="A4">
        <v>3</v>
      </c>
      <c r="B4" s="1">
        <v>44440</v>
      </c>
      <c r="C4" s="2">
        <v>0.64613425925925927</v>
      </c>
      <c r="D4" s="1">
        <v>44440</v>
      </c>
      <c r="E4" s="3">
        <v>0.71621527777777771</v>
      </c>
      <c r="F4">
        <v>9</v>
      </c>
      <c r="G4">
        <v>0</v>
      </c>
      <c r="H4" s="3">
        <f t="shared" si="2"/>
        <v>7.0081018518518445E-2</v>
      </c>
      <c r="I4" s="3">
        <f t="shared" si="3"/>
        <v>7.0081018518518445E-2</v>
      </c>
      <c r="J4" s="3">
        <f t="shared" si="4"/>
        <v>0</v>
      </c>
      <c r="K4">
        <f t="shared" si="5"/>
        <v>201.83333333333334</v>
      </c>
      <c r="M4">
        <f t="shared" si="6"/>
        <v>201.83333333333334</v>
      </c>
      <c r="N4">
        <f t="shared" si="7"/>
        <v>0</v>
      </c>
      <c r="O4">
        <f t="shared" si="8"/>
        <v>0</v>
      </c>
      <c r="P4">
        <f t="shared" si="8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</row>
    <row r="5" spans="1:42" x14ac:dyDescent="0.3">
      <c r="A5">
        <v>4</v>
      </c>
      <c r="B5" s="1">
        <v>44440</v>
      </c>
      <c r="C5" s="2">
        <v>0.76347222222222222</v>
      </c>
      <c r="D5" s="1">
        <v>44440</v>
      </c>
      <c r="E5" s="3">
        <v>0.91402777777777777</v>
      </c>
      <c r="F5">
        <v>14</v>
      </c>
      <c r="G5">
        <v>11</v>
      </c>
      <c r="H5" s="3">
        <f t="shared" si="2"/>
        <v>0.15055555555555555</v>
      </c>
      <c r="I5" s="3">
        <f t="shared" si="3"/>
        <v>0.15055555555555555</v>
      </c>
      <c r="J5" s="3">
        <f t="shared" si="4"/>
        <v>0</v>
      </c>
      <c r="K5">
        <f t="shared" si="5"/>
        <v>433.6</v>
      </c>
      <c r="M5">
        <f t="shared" si="6"/>
        <v>433.6</v>
      </c>
      <c r="N5">
        <f t="shared" si="7"/>
        <v>0</v>
      </c>
      <c r="O5">
        <f t="shared" si="8"/>
        <v>0</v>
      </c>
      <c r="P5">
        <f t="shared" si="8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</row>
    <row r="6" spans="1:42" x14ac:dyDescent="0.3">
      <c r="A6">
        <v>5</v>
      </c>
      <c r="B6" s="1">
        <v>44441</v>
      </c>
      <c r="C6" s="2">
        <v>0.17721064814814813</v>
      </c>
      <c r="D6" s="1">
        <v>44441</v>
      </c>
      <c r="E6" s="3">
        <v>0.27315972222222223</v>
      </c>
      <c r="F6">
        <v>21</v>
      </c>
      <c r="G6">
        <v>15</v>
      </c>
      <c r="H6" s="3">
        <f t="shared" si="2"/>
        <v>9.5949074074074103E-2</v>
      </c>
      <c r="I6" s="3">
        <f t="shared" si="3"/>
        <v>9.5949074074074103E-2</v>
      </c>
      <c r="J6" s="3">
        <f t="shared" si="4"/>
        <v>0</v>
      </c>
      <c r="K6">
        <f t="shared" si="5"/>
        <v>276.33333333333331</v>
      </c>
      <c r="M6">
        <f t="shared" si="6"/>
        <v>0</v>
      </c>
      <c r="N6">
        <f t="shared" si="7"/>
        <v>276.33333333333331</v>
      </c>
      <c r="O6">
        <f t="shared" si="8"/>
        <v>0</v>
      </c>
      <c r="P6">
        <f t="shared" si="8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</row>
    <row r="7" spans="1:42" x14ac:dyDescent="0.3">
      <c r="A7">
        <v>6</v>
      </c>
      <c r="B7" s="1">
        <v>44441</v>
      </c>
      <c r="C7" s="2">
        <v>0.34736111111111106</v>
      </c>
      <c r="D7" s="1">
        <v>44441</v>
      </c>
      <c r="E7" s="3">
        <v>0.42460648148148145</v>
      </c>
      <c r="F7">
        <v>11</v>
      </c>
      <c r="G7">
        <v>24</v>
      </c>
      <c r="H7" s="3">
        <f t="shared" si="2"/>
        <v>7.7245370370370381E-2</v>
      </c>
      <c r="I7" s="3">
        <f t="shared" si="3"/>
        <v>7.7245370370370381E-2</v>
      </c>
      <c r="J7" s="3">
        <f t="shared" si="4"/>
        <v>0</v>
      </c>
      <c r="K7">
        <f t="shared" si="5"/>
        <v>222.46666666666667</v>
      </c>
      <c r="M7">
        <f t="shared" si="6"/>
        <v>0</v>
      </c>
      <c r="N7">
        <f t="shared" si="7"/>
        <v>222.46666666666667</v>
      </c>
      <c r="O7">
        <f t="shared" si="8"/>
        <v>0</v>
      </c>
      <c r="P7">
        <f t="shared" si="8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</row>
    <row r="8" spans="1:42" x14ac:dyDescent="0.3">
      <c r="A8">
        <v>7</v>
      </c>
      <c r="B8" s="1">
        <v>44441</v>
      </c>
      <c r="C8" s="2">
        <v>0.48079861111111111</v>
      </c>
      <c r="D8" s="1">
        <v>44441</v>
      </c>
      <c r="E8" s="3">
        <v>0.57214120370370369</v>
      </c>
      <c r="F8">
        <v>19</v>
      </c>
      <c r="G8">
        <v>10</v>
      </c>
      <c r="H8" s="3">
        <f t="shared" si="2"/>
        <v>9.1342592592592586E-2</v>
      </c>
      <c r="I8" s="3">
        <f t="shared" si="3"/>
        <v>9.1342592592592586E-2</v>
      </c>
      <c r="J8" s="3">
        <f t="shared" si="4"/>
        <v>0</v>
      </c>
      <c r="K8">
        <f t="shared" si="5"/>
        <v>263.06666666666666</v>
      </c>
      <c r="M8">
        <f t="shared" si="6"/>
        <v>0</v>
      </c>
      <c r="N8">
        <f t="shared" si="7"/>
        <v>263.06666666666666</v>
      </c>
      <c r="O8">
        <f t="shared" si="8"/>
        <v>0</v>
      </c>
      <c r="P8">
        <f t="shared" si="8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</row>
    <row r="9" spans="1:42" x14ac:dyDescent="0.3">
      <c r="A9">
        <v>8</v>
      </c>
      <c r="B9" s="1">
        <v>44441</v>
      </c>
      <c r="C9" s="2">
        <v>0.63290509259259264</v>
      </c>
      <c r="D9" s="1">
        <v>44441</v>
      </c>
      <c r="E9" s="3">
        <v>0.72944444444444445</v>
      </c>
      <c r="F9">
        <v>9</v>
      </c>
      <c r="G9">
        <v>11</v>
      </c>
      <c r="H9" s="3">
        <f t="shared" si="2"/>
        <v>9.6539351851851807E-2</v>
      </c>
      <c r="I9" s="3">
        <f t="shared" si="3"/>
        <v>9.6539351851851807E-2</v>
      </c>
      <c r="J9" s="3">
        <f t="shared" si="4"/>
        <v>0</v>
      </c>
      <c r="K9">
        <f t="shared" si="5"/>
        <v>278.0333333333333</v>
      </c>
      <c r="M9">
        <f t="shared" si="6"/>
        <v>0</v>
      </c>
      <c r="N9">
        <f t="shared" si="7"/>
        <v>278.0333333333333</v>
      </c>
      <c r="O9">
        <f t="shared" si="8"/>
        <v>0</v>
      </c>
      <c r="P9">
        <f t="shared" si="8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</row>
    <row r="10" spans="1:42" x14ac:dyDescent="0.3">
      <c r="A10">
        <v>9</v>
      </c>
      <c r="B10" s="1">
        <v>44441</v>
      </c>
      <c r="C10" s="2">
        <v>0.80592592592592593</v>
      </c>
      <c r="D10" s="1">
        <v>44441</v>
      </c>
      <c r="E10" s="3">
        <v>0.89690972222222232</v>
      </c>
      <c r="F10">
        <v>12</v>
      </c>
      <c r="G10">
        <v>15</v>
      </c>
      <c r="H10" s="3">
        <f t="shared" si="2"/>
        <v>9.0983796296296382E-2</v>
      </c>
      <c r="I10" s="3">
        <f t="shared" si="3"/>
        <v>9.0983796296296382E-2</v>
      </c>
      <c r="J10" s="3">
        <f t="shared" si="4"/>
        <v>0</v>
      </c>
      <c r="K10">
        <f t="shared" si="5"/>
        <v>262.0333333333333</v>
      </c>
      <c r="M10">
        <f t="shared" si="6"/>
        <v>0</v>
      </c>
      <c r="N10">
        <f t="shared" si="7"/>
        <v>262.0333333333333</v>
      </c>
      <c r="O10">
        <f t="shared" si="8"/>
        <v>0</v>
      </c>
      <c r="P10">
        <f t="shared" si="8"/>
        <v>0</v>
      </c>
      <c r="Q10">
        <f t="shared" si="0"/>
        <v>0</v>
      </c>
      <c r="R10">
        <f t="shared" si="0"/>
        <v>0</v>
      </c>
      <c r="S10">
        <f t="shared" si="0"/>
        <v>0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</row>
    <row r="11" spans="1:42" x14ac:dyDescent="0.3">
      <c r="A11">
        <v>10</v>
      </c>
      <c r="B11" s="1">
        <v>44442</v>
      </c>
      <c r="C11" s="2">
        <v>0.13548611111111111</v>
      </c>
      <c r="D11" s="1">
        <v>44442</v>
      </c>
      <c r="E11" s="3">
        <v>0.31579861111111113</v>
      </c>
      <c r="F11">
        <v>17</v>
      </c>
      <c r="G11">
        <v>22</v>
      </c>
      <c r="H11" s="3">
        <f t="shared" si="2"/>
        <v>0.18031250000000001</v>
      </c>
      <c r="I11" s="3">
        <f t="shared" si="3"/>
        <v>0.18031250000000001</v>
      </c>
      <c r="J11" s="3">
        <f t="shared" si="4"/>
        <v>0</v>
      </c>
      <c r="K11">
        <f t="shared" si="5"/>
        <v>519.29999999999995</v>
      </c>
      <c r="M11">
        <f t="shared" si="6"/>
        <v>0</v>
      </c>
      <c r="N11">
        <f t="shared" si="7"/>
        <v>0</v>
      </c>
      <c r="O11">
        <f t="shared" si="8"/>
        <v>519.29999999999995</v>
      </c>
      <c r="P11">
        <f t="shared" si="8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>
        <f t="shared" si="0"/>
        <v>0</v>
      </c>
      <c r="X11">
        <f t="shared" si="0"/>
        <v>0</v>
      </c>
      <c r="Y11">
        <f t="shared" si="0"/>
        <v>0</v>
      </c>
      <c r="Z11">
        <f t="shared" si="0"/>
        <v>0</v>
      </c>
      <c r="AA11">
        <f t="shared" si="0"/>
        <v>0</v>
      </c>
    </row>
    <row r="12" spans="1:42" x14ac:dyDescent="0.3">
      <c r="A12">
        <v>11</v>
      </c>
      <c r="B12" s="1">
        <v>44442</v>
      </c>
      <c r="C12" s="2">
        <v>0.37784722222222222</v>
      </c>
      <c r="D12" s="1">
        <v>44442</v>
      </c>
      <c r="E12" s="3">
        <v>0.46140046296296294</v>
      </c>
      <c r="F12">
        <v>14</v>
      </c>
      <c r="G12">
        <v>10</v>
      </c>
      <c r="H12" s="3">
        <f t="shared" si="2"/>
        <v>8.355324074074072E-2</v>
      </c>
      <c r="I12" s="3">
        <f t="shared" si="3"/>
        <v>8.355324074074072E-2</v>
      </c>
      <c r="J12" s="3">
        <f t="shared" si="4"/>
        <v>0</v>
      </c>
      <c r="K12">
        <f t="shared" si="5"/>
        <v>240.63333333333333</v>
      </c>
      <c r="M12">
        <f t="shared" si="6"/>
        <v>0</v>
      </c>
      <c r="N12">
        <f t="shared" si="7"/>
        <v>0</v>
      </c>
      <c r="O12">
        <f t="shared" si="8"/>
        <v>240.63333333333333</v>
      </c>
      <c r="P12">
        <f t="shared" si="8"/>
        <v>0</v>
      </c>
      <c r="Q12">
        <f t="shared" si="0"/>
        <v>0</v>
      </c>
      <c r="R12">
        <f t="shared" si="0"/>
        <v>0</v>
      </c>
      <c r="S12">
        <f t="shared" si="0"/>
        <v>0</v>
      </c>
      <c r="T12">
        <f t="shared" si="0"/>
        <v>0</v>
      </c>
      <c r="U12">
        <f t="shared" si="0"/>
        <v>0</v>
      </c>
      <c r="V12">
        <f t="shared" si="0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</row>
    <row r="13" spans="1:42" x14ac:dyDescent="0.3">
      <c r="A13">
        <v>12</v>
      </c>
      <c r="B13" s="1">
        <v>44442</v>
      </c>
      <c r="C13" s="2">
        <v>0.50086805555555558</v>
      </c>
      <c r="D13" s="1">
        <v>44442</v>
      </c>
      <c r="E13" s="3">
        <v>0.63633101851851859</v>
      </c>
      <c r="F13">
        <v>24</v>
      </c>
      <c r="G13">
        <v>19</v>
      </c>
      <c r="H13" s="3">
        <f t="shared" si="2"/>
        <v>0.13546296296296301</v>
      </c>
      <c r="I13" s="3">
        <f t="shared" si="3"/>
        <v>0.13546296296296301</v>
      </c>
      <c r="J13" s="3">
        <f t="shared" si="4"/>
        <v>0</v>
      </c>
      <c r="K13">
        <f t="shared" si="5"/>
        <v>390.13333333333333</v>
      </c>
      <c r="M13">
        <f t="shared" si="6"/>
        <v>0</v>
      </c>
      <c r="N13">
        <f t="shared" si="7"/>
        <v>0</v>
      </c>
      <c r="O13">
        <f t="shared" si="8"/>
        <v>390.13333333333333</v>
      </c>
      <c r="P13">
        <f t="shared" si="8"/>
        <v>0</v>
      </c>
      <c r="Q13">
        <f t="shared" si="0"/>
        <v>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0</v>
      </c>
      <c r="W13">
        <f t="shared" si="0"/>
        <v>0</v>
      </c>
      <c r="X13">
        <f t="shared" si="0"/>
        <v>0</v>
      </c>
      <c r="Y13">
        <f t="shared" si="0"/>
        <v>0</v>
      </c>
      <c r="Z13">
        <f t="shared" si="0"/>
        <v>0</v>
      </c>
      <c r="AA13">
        <f t="shared" si="0"/>
        <v>0</v>
      </c>
    </row>
    <row r="14" spans="1:42" x14ac:dyDescent="0.3">
      <c r="A14">
        <v>13</v>
      </c>
      <c r="B14" s="1">
        <v>44442</v>
      </c>
      <c r="C14" s="2">
        <v>0.7049305555555555</v>
      </c>
      <c r="D14" s="1">
        <v>44442</v>
      </c>
      <c r="E14" s="3">
        <v>0.76827546296296301</v>
      </c>
      <c r="F14">
        <v>16</v>
      </c>
      <c r="G14">
        <v>11</v>
      </c>
      <c r="H14" s="3">
        <f t="shared" si="2"/>
        <v>6.3344907407407502E-2</v>
      </c>
      <c r="I14" s="3">
        <f t="shared" si="3"/>
        <v>6.3344907407407502E-2</v>
      </c>
      <c r="J14" s="3">
        <f t="shared" si="4"/>
        <v>0</v>
      </c>
      <c r="K14">
        <f t="shared" si="5"/>
        <v>182.43333333333334</v>
      </c>
      <c r="M14">
        <f t="shared" si="6"/>
        <v>0</v>
      </c>
      <c r="N14">
        <f t="shared" si="7"/>
        <v>0</v>
      </c>
      <c r="O14">
        <f t="shared" si="8"/>
        <v>182.43333333333334</v>
      </c>
      <c r="P14">
        <f t="shared" si="8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</row>
    <row r="15" spans="1:42" x14ac:dyDescent="0.3">
      <c r="A15">
        <v>14</v>
      </c>
      <c r="B15" s="1">
        <v>44442</v>
      </c>
      <c r="C15" s="2">
        <v>0.80994212962962964</v>
      </c>
      <c r="D15" s="1">
        <v>44442</v>
      </c>
      <c r="E15" s="3">
        <v>0.92829861111111101</v>
      </c>
      <c r="F15">
        <v>15</v>
      </c>
      <c r="G15">
        <v>9</v>
      </c>
      <c r="H15" s="3">
        <f t="shared" si="2"/>
        <v>0.11835648148148137</v>
      </c>
      <c r="I15" s="3">
        <f t="shared" si="3"/>
        <v>0.11835648148148137</v>
      </c>
      <c r="J15" s="3">
        <f t="shared" si="4"/>
        <v>0</v>
      </c>
      <c r="K15">
        <f t="shared" si="5"/>
        <v>340.86666666666667</v>
      </c>
      <c r="M15">
        <f t="shared" si="6"/>
        <v>0</v>
      </c>
      <c r="N15">
        <f t="shared" si="7"/>
        <v>0</v>
      </c>
      <c r="O15">
        <f t="shared" si="8"/>
        <v>340.86666666666667</v>
      </c>
      <c r="P15">
        <f t="shared" si="8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</row>
    <row r="16" spans="1:42" x14ac:dyDescent="0.3">
      <c r="A16">
        <v>15</v>
      </c>
      <c r="B16" s="1">
        <v>44443</v>
      </c>
      <c r="C16" s="2">
        <v>0.17093749999999999</v>
      </c>
      <c r="D16" s="1">
        <v>44443</v>
      </c>
      <c r="E16" s="3">
        <v>0.25318287037037041</v>
      </c>
      <c r="F16">
        <v>7</v>
      </c>
      <c r="G16">
        <v>16</v>
      </c>
      <c r="H16" s="3">
        <f t="shared" si="2"/>
        <v>8.2245370370370413E-2</v>
      </c>
      <c r="I16" s="3">
        <f t="shared" si="3"/>
        <v>8.2245370370370413E-2</v>
      </c>
      <c r="J16" s="3">
        <f t="shared" si="4"/>
        <v>0</v>
      </c>
      <c r="K16">
        <f t="shared" si="5"/>
        <v>236.86666666666667</v>
      </c>
      <c r="M16">
        <f t="shared" si="6"/>
        <v>0</v>
      </c>
      <c r="N16">
        <f t="shared" si="7"/>
        <v>0</v>
      </c>
      <c r="O16">
        <f t="shared" si="8"/>
        <v>0</v>
      </c>
      <c r="P16">
        <f t="shared" si="8"/>
        <v>236.86666666666667</v>
      </c>
      <c r="Q16">
        <f t="shared" si="0"/>
        <v>0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0</v>
      </c>
      <c r="W16">
        <f t="shared" si="0"/>
        <v>0</v>
      </c>
      <c r="X16">
        <f t="shared" si="0"/>
        <v>0</v>
      </c>
      <c r="Y16">
        <f t="shared" si="0"/>
        <v>0</v>
      </c>
      <c r="Z16">
        <f t="shared" si="0"/>
        <v>0</v>
      </c>
      <c r="AA16">
        <f t="shared" si="0"/>
        <v>0</v>
      </c>
    </row>
    <row r="17" spans="1:27" x14ac:dyDescent="0.3">
      <c r="A17">
        <v>16</v>
      </c>
      <c r="B17" s="1">
        <v>44443</v>
      </c>
      <c r="C17" s="2">
        <v>0.29620370370370369</v>
      </c>
      <c r="D17" s="1">
        <v>44443</v>
      </c>
      <c r="E17" s="3">
        <v>0.34704861111111113</v>
      </c>
      <c r="F17">
        <v>9</v>
      </c>
      <c r="G17">
        <v>11</v>
      </c>
      <c r="H17" s="3">
        <f t="shared" si="2"/>
        <v>5.0844907407407436E-2</v>
      </c>
      <c r="I17" s="3">
        <f t="shared" si="3"/>
        <v>5.0844907407407436E-2</v>
      </c>
      <c r="J17" s="3">
        <f t="shared" si="4"/>
        <v>0</v>
      </c>
      <c r="K17">
        <f t="shared" si="5"/>
        <v>146.43333333333334</v>
      </c>
      <c r="M17">
        <f t="shared" si="6"/>
        <v>0</v>
      </c>
      <c r="N17">
        <f t="shared" si="7"/>
        <v>0</v>
      </c>
      <c r="O17">
        <f t="shared" si="8"/>
        <v>0</v>
      </c>
      <c r="P17">
        <f t="shared" si="8"/>
        <v>146.43333333333334</v>
      </c>
      <c r="Q17">
        <f t="shared" si="0"/>
        <v>0</v>
      </c>
      <c r="R17">
        <f t="shared" si="0"/>
        <v>0</v>
      </c>
      <c r="S17">
        <f t="shared" si="0"/>
        <v>0</v>
      </c>
      <c r="T17">
        <f t="shared" si="0"/>
        <v>0</v>
      </c>
      <c r="U17">
        <f t="shared" si="0"/>
        <v>0</v>
      </c>
      <c r="V17">
        <f t="shared" si="0"/>
        <v>0</v>
      </c>
      <c r="W17">
        <f t="shared" si="0"/>
        <v>0</v>
      </c>
      <c r="X17">
        <f t="shared" si="0"/>
        <v>0</v>
      </c>
      <c r="Y17">
        <f t="shared" si="0"/>
        <v>0</v>
      </c>
      <c r="Z17">
        <f t="shared" si="0"/>
        <v>0</v>
      </c>
      <c r="AA17">
        <f t="shared" si="0"/>
        <v>0</v>
      </c>
    </row>
    <row r="18" spans="1:27" x14ac:dyDescent="0.3">
      <c r="A18">
        <v>17</v>
      </c>
      <c r="B18" s="1">
        <v>44443</v>
      </c>
      <c r="C18" s="2">
        <v>0.3578587962962963</v>
      </c>
      <c r="D18" s="1">
        <v>44443</v>
      </c>
      <c r="E18" s="3">
        <v>0.42055555555555557</v>
      </c>
      <c r="F18">
        <v>13</v>
      </c>
      <c r="G18">
        <v>18</v>
      </c>
      <c r="H18" s="3">
        <f t="shared" si="2"/>
        <v>6.2696759259259272E-2</v>
      </c>
      <c r="I18" s="3">
        <f t="shared" si="3"/>
        <v>6.2696759259259272E-2</v>
      </c>
      <c r="J18" s="3">
        <f t="shared" si="4"/>
        <v>0</v>
      </c>
      <c r="K18">
        <f t="shared" si="5"/>
        <v>180.56666666666666</v>
      </c>
      <c r="M18">
        <f t="shared" si="6"/>
        <v>0</v>
      </c>
      <c r="N18">
        <f t="shared" si="7"/>
        <v>0</v>
      </c>
      <c r="O18">
        <f t="shared" si="8"/>
        <v>0</v>
      </c>
      <c r="P18">
        <f t="shared" si="8"/>
        <v>180.56666666666666</v>
      </c>
      <c r="Q18">
        <f t="shared" si="8"/>
        <v>0</v>
      </c>
      <c r="R18">
        <f t="shared" si="8"/>
        <v>0</v>
      </c>
      <c r="S18">
        <f t="shared" si="8"/>
        <v>0</v>
      </c>
      <c r="T18">
        <f t="shared" ref="T18:W81" si="9">IF(DAY($B18)=T$1,$K18,0)</f>
        <v>0</v>
      </c>
      <c r="U18">
        <f t="shared" si="9"/>
        <v>0</v>
      </c>
      <c r="V18">
        <f t="shared" si="9"/>
        <v>0</v>
      </c>
      <c r="W18">
        <f t="shared" si="9"/>
        <v>0</v>
      </c>
      <c r="X18">
        <f t="shared" ref="X18:AA81" si="10">IF(DAY($B18)=X$1,$K18,0)</f>
        <v>0</v>
      </c>
      <c r="Y18">
        <f t="shared" si="10"/>
        <v>0</v>
      </c>
      <c r="Z18">
        <f t="shared" si="10"/>
        <v>0</v>
      </c>
      <c r="AA18">
        <f t="shared" si="10"/>
        <v>0</v>
      </c>
    </row>
    <row r="19" spans="1:27" x14ac:dyDescent="0.3">
      <c r="A19">
        <v>18</v>
      </c>
      <c r="B19" s="1">
        <v>44443</v>
      </c>
      <c r="C19" s="2">
        <v>0.48564814814814811</v>
      </c>
      <c r="D19" s="1">
        <v>44443</v>
      </c>
      <c r="E19" s="3">
        <v>0.53831018518518514</v>
      </c>
      <c r="F19">
        <v>22</v>
      </c>
      <c r="G19">
        <v>5</v>
      </c>
      <c r="H19" s="3">
        <f t="shared" si="2"/>
        <v>5.2662037037037035E-2</v>
      </c>
      <c r="I19" s="3">
        <f t="shared" si="3"/>
        <v>5.2662037037037035E-2</v>
      </c>
      <c r="J19" s="3">
        <f t="shared" si="4"/>
        <v>0</v>
      </c>
      <c r="K19">
        <f t="shared" si="5"/>
        <v>151.66666666666666</v>
      </c>
      <c r="M19">
        <f t="shared" si="6"/>
        <v>0</v>
      </c>
      <c r="N19">
        <f t="shared" si="7"/>
        <v>0</v>
      </c>
      <c r="O19">
        <f t="shared" si="8"/>
        <v>0</v>
      </c>
      <c r="P19">
        <f t="shared" si="8"/>
        <v>151.66666666666666</v>
      </c>
      <c r="Q19">
        <f t="shared" si="8"/>
        <v>0</v>
      </c>
      <c r="R19">
        <f t="shared" si="8"/>
        <v>0</v>
      </c>
      <c r="S19">
        <f t="shared" si="8"/>
        <v>0</v>
      </c>
      <c r="T19">
        <f t="shared" si="9"/>
        <v>0</v>
      </c>
      <c r="U19">
        <f t="shared" si="9"/>
        <v>0</v>
      </c>
      <c r="V19">
        <f t="shared" si="9"/>
        <v>0</v>
      </c>
      <c r="W19">
        <f t="shared" si="9"/>
        <v>0</v>
      </c>
      <c r="X19">
        <f t="shared" si="10"/>
        <v>0</v>
      </c>
      <c r="Y19">
        <f t="shared" si="10"/>
        <v>0</v>
      </c>
      <c r="Z19">
        <f t="shared" si="10"/>
        <v>0</v>
      </c>
      <c r="AA19">
        <f t="shared" si="10"/>
        <v>0</v>
      </c>
    </row>
    <row r="20" spans="1:27" x14ac:dyDescent="0.3">
      <c r="A20">
        <v>19</v>
      </c>
      <c r="B20" s="1">
        <v>44443</v>
      </c>
      <c r="C20" s="2">
        <v>0.70219907407407411</v>
      </c>
      <c r="D20" s="1">
        <v>44443</v>
      </c>
      <c r="E20" s="3">
        <v>0.7736574074074074</v>
      </c>
      <c r="F20">
        <v>8</v>
      </c>
      <c r="G20">
        <v>23</v>
      </c>
      <c r="H20" s="3">
        <f t="shared" si="2"/>
        <v>7.145833333333329E-2</v>
      </c>
      <c r="I20" s="3">
        <f t="shared" si="3"/>
        <v>7.145833333333329E-2</v>
      </c>
      <c r="J20" s="3">
        <f t="shared" si="4"/>
        <v>0</v>
      </c>
      <c r="K20">
        <f t="shared" si="5"/>
        <v>205.8</v>
      </c>
      <c r="M20">
        <f t="shared" si="6"/>
        <v>0</v>
      </c>
      <c r="N20">
        <f t="shared" si="7"/>
        <v>0</v>
      </c>
      <c r="O20">
        <f t="shared" si="8"/>
        <v>0</v>
      </c>
      <c r="P20">
        <f t="shared" si="8"/>
        <v>205.8</v>
      </c>
      <c r="Q20">
        <f t="shared" si="8"/>
        <v>0</v>
      </c>
      <c r="R20">
        <f t="shared" si="8"/>
        <v>0</v>
      </c>
      <c r="S20">
        <f t="shared" si="8"/>
        <v>0</v>
      </c>
      <c r="T20">
        <f t="shared" si="9"/>
        <v>0</v>
      </c>
      <c r="U20">
        <f t="shared" si="9"/>
        <v>0</v>
      </c>
      <c r="V20">
        <f t="shared" si="9"/>
        <v>0</v>
      </c>
      <c r="W20">
        <f t="shared" si="9"/>
        <v>0</v>
      </c>
      <c r="X20">
        <f t="shared" si="10"/>
        <v>0</v>
      </c>
      <c r="Y20">
        <f t="shared" si="10"/>
        <v>0</v>
      </c>
      <c r="Z20">
        <f t="shared" si="10"/>
        <v>0</v>
      </c>
      <c r="AA20">
        <f t="shared" si="10"/>
        <v>0</v>
      </c>
    </row>
    <row r="21" spans="1:27" x14ac:dyDescent="0.3">
      <c r="A21">
        <v>20</v>
      </c>
      <c r="B21" s="1">
        <v>44443</v>
      </c>
      <c r="C21" s="2">
        <v>0.80978009259259265</v>
      </c>
      <c r="D21" s="1">
        <v>44443</v>
      </c>
      <c r="E21" s="3">
        <v>0.96615740740740741</v>
      </c>
      <c r="F21">
        <v>11</v>
      </c>
      <c r="G21">
        <v>14</v>
      </c>
      <c r="H21" s="3">
        <f t="shared" si="2"/>
        <v>0.15637731481481476</v>
      </c>
      <c r="I21" s="3">
        <f t="shared" si="3"/>
        <v>0.15637731481481476</v>
      </c>
      <c r="J21" s="3">
        <f t="shared" si="4"/>
        <v>0</v>
      </c>
      <c r="K21">
        <f t="shared" si="5"/>
        <v>450.36666666666667</v>
      </c>
      <c r="M21">
        <f t="shared" si="6"/>
        <v>0</v>
      </c>
      <c r="N21">
        <f t="shared" si="7"/>
        <v>0</v>
      </c>
      <c r="O21">
        <f t="shared" si="8"/>
        <v>0</v>
      </c>
      <c r="P21">
        <f t="shared" si="8"/>
        <v>450.36666666666667</v>
      </c>
      <c r="Q21">
        <f t="shared" si="8"/>
        <v>0</v>
      </c>
      <c r="R21">
        <f t="shared" si="8"/>
        <v>0</v>
      </c>
      <c r="S21">
        <f t="shared" si="8"/>
        <v>0</v>
      </c>
      <c r="T21">
        <f t="shared" si="9"/>
        <v>0</v>
      </c>
      <c r="U21">
        <f t="shared" si="9"/>
        <v>0</v>
      </c>
      <c r="V21">
        <f t="shared" si="9"/>
        <v>0</v>
      </c>
      <c r="W21">
        <f t="shared" si="9"/>
        <v>0</v>
      </c>
      <c r="X21">
        <f t="shared" si="10"/>
        <v>0</v>
      </c>
      <c r="Y21">
        <f t="shared" si="10"/>
        <v>0</v>
      </c>
      <c r="Z21">
        <f t="shared" si="10"/>
        <v>0</v>
      </c>
      <c r="AA21">
        <f t="shared" si="10"/>
        <v>0</v>
      </c>
    </row>
    <row r="22" spans="1:27" x14ac:dyDescent="0.3">
      <c r="A22">
        <v>21</v>
      </c>
      <c r="B22" s="1">
        <v>44444</v>
      </c>
      <c r="C22" s="2">
        <v>0.3027083333333333</v>
      </c>
      <c r="D22" s="1">
        <v>44444</v>
      </c>
      <c r="E22" s="3">
        <v>0.3762152777777778</v>
      </c>
      <c r="F22">
        <v>17</v>
      </c>
      <c r="G22">
        <v>23</v>
      </c>
      <c r="H22" s="3">
        <f t="shared" si="2"/>
        <v>7.35069444444445E-2</v>
      </c>
      <c r="I22" s="3">
        <f t="shared" si="3"/>
        <v>7.35069444444445E-2</v>
      </c>
      <c r="J22" s="3">
        <f t="shared" si="4"/>
        <v>0</v>
      </c>
      <c r="K22">
        <f t="shared" si="5"/>
        <v>211.7</v>
      </c>
      <c r="M22">
        <f t="shared" si="6"/>
        <v>0</v>
      </c>
      <c r="N22">
        <f t="shared" si="7"/>
        <v>0</v>
      </c>
      <c r="O22">
        <f t="shared" si="8"/>
        <v>0</v>
      </c>
      <c r="P22">
        <f t="shared" si="8"/>
        <v>0</v>
      </c>
      <c r="Q22">
        <f t="shared" si="8"/>
        <v>211.7</v>
      </c>
      <c r="R22">
        <f t="shared" si="8"/>
        <v>0</v>
      </c>
      <c r="S22">
        <f t="shared" si="8"/>
        <v>0</v>
      </c>
      <c r="T22">
        <f t="shared" si="9"/>
        <v>0</v>
      </c>
      <c r="U22">
        <f t="shared" si="9"/>
        <v>0</v>
      </c>
      <c r="V22">
        <f t="shared" si="9"/>
        <v>0</v>
      </c>
      <c r="W22">
        <f t="shared" si="9"/>
        <v>0</v>
      </c>
      <c r="X22">
        <f t="shared" si="10"/>
        <v>0</v>
      </c>
      <c r="Y22">
        <f t="shared" si="10"/>
        <v>0</v>
      </c>
      <c r="Z22">
        <f t="shared" si="10"/>
        <v>0</v>
      </c>
      <c r="AA22">
        <f t="shared" si="10"/>
        <v>0</v>
      </c>
    </row>
    <row r="23" spans="1:27" x14ac:dyDescent="0.3">
      <c r="A23">
        <v>22</v>
      </c>
      <c r="B23" s="1">
        <v>44444</v>
      </c>
      <c r="C23" s="2">
        <v>0.43002314814814818</v>
      </c>
      <c r="D23" s="1">
        <v>44444</v>
      </c>
      <c r="E23" s="3">
        <v>0.51140046296296293</v>
      </c>
      <c r="F23">
        <v>15</v>
      </c>
      <c r="G23">
        <v>11</v>
      </c>
      <c r="H23" s="3">
        <f t="shared" si="2"/>
        <v>8.137731481481475E-2</v>
      </c>
      <c r="I23" s="3">
        <f t="shared" si="3"/>
        <v>8.137731481481475E-2</v>
      </c>
      <c r="J23" s="3">
        <f t="shared" si="4"/>
        <v>0</v>
      </c>
      <c r="K23">
        <f t="shared" si="5"/>
        <v>234.36666666666667</v>
      </c>
      <c r="M23">
        <f t="shared" si="6"/>
        <v>0</v>
      </c>
      <c r="N23">
        <f t="shared" si="7"/>
        <v>0</v>
      </c>
      <c r="O23">
        <f t="shared" si="8"/>
        <v>0</v>
      </c>
      <c r="P23">
        <f t="shared" si="8"/>
        <v>0</v>
      </c>
      <c r="Q23">
        <f t="shared" si="8"/>
        <v>234.36666666666667</v>
      </c>
      <c r="R23">
        <f t="shared" si="8"/>
        <v>0</v>
      </c>
      <c r="S23">
        <f t="shared" si="8"/>
        <v>0</v>
      </c>
      <c r="T23">
        <f t="shared" si="9"/>
        <v>0</v>
      </c>
      <c r="U23">
        <f t="shared" si="9"/>
        <v>0</v>
      </c>
      <c r="V23">
        <f t="shared" si="9"/>
        <v>0</v>
      </c>
      <c r="W23">
        <f t="shared" si="9"/>
        <v>0</v>
      </c>
      <c r="X23">
        <f t="shared" si="10"/>
        <v>0</v>
      </c>
      <c r="Y23">
        <f t="shared" si="10"/>
        <v>0</v>
      </c>
      <c r="Z23">
        <f t="shared" si="10"/>
        <v>0</v>
      </c>
      <c r="AA23">
        <f t="shared" si="10"/>
        <v>0</v>
      </c>
    </row>
    <row r="24" spans="1:27" x14ac:dyDescent="0.3">
      <c r="A24">
        <v>23</v>
      </c>
      <c r="B24" s="1">
        <v>44444</v>
      </c>
      <c r="C24" s="2">
        <v>0.55909722222222225</v>
      </c>
      <c r="D24" s="1">
        <v>44444</v>
      </c>
      <c r="E24" s="3">
        <v>0.64327546296296301</v>
      </c>
      <c r="F24">
        <v>19</v>
      </c>
      <c r="G24">
        <v>21</v>
      </c>
      <c r="H24" s="3">
        <f t="shared" si="2"/>
        <v>8.4178240740740762E-2</v>
      </c>
      <c r="I24" s="3">
        <f t="shared" si="3"/>
        <v>8.4178240740740762E-2</v>
      </c>
      <c r="J24" s="3">
        <f t="shared" si="4"/>
        <v>0</v>
      </c>
      <c r="K24">
        <f t="shared" si="5"/>
        <v>242.43333333333334</v>
      </c>
      <c r="M24">
        <f t="shared" si="6"/>
        <v>0</v>
      </c>
      <c r="N24">
        <f t="shared" si="7"/>
        <v>0</v>
      </c>
      <c r="O24">
        <f t="shared" si="8"/>
        <v>0</v>
      </c>
      <c r="P24">
        <f t="shared" si="8"/>
        <v>0</v>
      </c>
      <c r="Q24">
        <f t="shared" si="8"/>
        <v>242.43333333333334</v>
      </c>
      <c r="R24">
        <f t="shared" si="8"/>
        <v>0</v>
      </c>
      <c r="S24">
        <f t="shared" si="8"/>
        <v>0</v>
      </c>
      <c r="T24">
        <f t="shared" si="9"/>
        <v>0</v>
      </c>
      <c r="U24">
        <f t="shared" si="9"/>
        <v>0</v>
      </c>
      <c r="V24">
        <f t="shared" si="9"/>
        <v>0</v>
      </c>
      <c r="W24">
        <f t="shared" si="9"/>
        <v>0</v>
      </c>
      <c r="X24">
        <f t="shared" si="10"/>
        <v>0</v>
      </c>
      <c r="Y24">
        <f t="shared" si="10"/>
        <v>0</v>
      </c>
      <c r="Z24">
        <f t="shared" si="10"/>
        <v>0</v>
      </c>
      <c r="AA24">
        <f t="shared" si="10"/>
        <v>0</v>
      </c>
    </row>
    <row r="25" spans="1:27" x14ac:dyDescent="0.3">
      <c r="A25">
        <v>24</v>
      </c>
      <c r="B25" s="1">
        <v>44444</v>
      </c>
      <c r="C25" s="2">
        <v>0.69188657407407417</v>
      </c>
      <c r="D25" s="1">
        <v>44444</v>
      </c>
      <c r="E25" s="3">
        <v>0.73365740740740737</v>
      </c>
      <c r="F25">
        <v>11</v>
      </c>
      <c r="G25">
        <v>9</v>
      </c>
      <c r="H25" s="3">
        <f t="shared" si="2"/>
        <v>4.1770833333333202E-2</v>
      </c>
      <c r="I25" s="3">
        <f t="shared" si="3"/>
        <v>4.1770833333333202E-2</v>
      </c>
      <c r="J25" s="3">
        <f t="shared" si="4"/>
        <v>0</v>
      </c>
      <c r="K25">
        <f t="shared" si="5"/>
        <v>120.30000000000001</v>
      </c>
      <c r="M25">
        <f t="shared" si="6"/>
        <v>0</v>
      </c>
      <c r="N25">
        <f t="shared" si="7"/>
        <v>0</v>
      </c>
      <c r="O25">
        <f t="shared" si="8"/>
        <v>0</v>
      </c>
      <c r="P25">
        <f t="shared" si="8"/>
        <v>0</v>
      </c>
      <c r="Q25">
        <f t="shared" si="8"/>
        <v>120.30000000000001</v>
      </c>
      <c r="R25">
        <f t="shared" si="8"/>
        <v>0</v>
      </c>
      <c r="S25">
        <f t="shared" si="8"/>
        <v>0</v>
      </c>
      <c r="T25">
        <f t="shared" si="9"/>
        <v>0</v>
      </c>
      <c r="U25">
        <f t="shared" si="9"/>
        <v>0</v>
      </c>
      <c r="V25">
        <f t="shared" si="9"/>
        <v>0</v>
      </c>
      <c r="W25">
        <f t="shared" si="9"/>
        <v>0</v>
      </c>
      <c r="X25">
        <f t="shared" si="10"/>
        <v>0</v>
      </c>
      <c r="Y25">
        <f t="shared" si="10"/>
        <v>0</v>
      </c>
      <c r="Z25">
        <f t="shared" si="10"/>
        <v>0</v>
      </c>
      <c r="AA25">
        <f t="shared" si="10"/>
        <v>0</v>
      </c>
    </row>
    <row r="26" spans="1:27" x14ac:dyDescent="0.3">
      <c r="A26">
        <v>25</v>
      </c>
      <c r="B26" s="1">
        <v>44444</v>
      </c>
      <c r="C26" s="2">
        <v>0.77118055555555554</v>
      </c>
      <c r="D26" s="1">
        <v>44444</v>
      </c>
      <c r="E26" s="3">
        <v>0.82657407407407402</v>
      </c>
      <c r="F26">
        <v>15</v>
      </c>
      <c r="G26">
        <v>11</v>
      </c>
      <c r="H26" s="3">
        <f t="shared" si="2"/>
        <v>5.5393518518518481E-2</v>
      </c>
      <c r="I26" s="3">
        <f t="shared" si="3"/>
        <v>5.5393518518518481E-2</v>
      </c>
      <c r="J26" s="3">
        <f t="shared" si="4"/>
        <v>0</v>
      </c>
      <c r="K26">
        <f t="shared" si="5"/>
        <v>159.53333333333333</v>
      </c>
      <c r="M26">
        <f t="shared" si="6"/>
        <v>0</v>
      </c>
      <c r="N26">
        <f t="shared" si="7"/>
        <v>0</v>
      </c>
      <c r="O26">
        <f t="shared" si="8"/>
        <v>0</v>
      </c>
      <c r="P26">
        <f t="shared" si="8"/>
        <v>0</v>
      </c>
      <c r="Q26">
        <f t="shared" si="8"/>
        <v>159.53333333333333</v>
      </c>
      <c r="R26">
        <f t="shared" si="8"/>
        <v>0</v>
      </c>
      <c r="S26">
        <f t="shared" si="8"/>
        <v>0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10"/>
        <v>0</v>
      </c>
      <c r="Y26">
        <f t="shared" si="10"/>
        <v>0</v>
      </c>
      <c r="Z26">
        <f t="shared" si="10"/>
        <v>0</v>
      </c>
      <c r="AA26">
        <f t="shared" si="10"/>
        <v>0</v>
      </c>
    </row>
    <row r="27" spans="1:27" x14ac:dyDescent="0.3">
      <c r="A27">
        <v>26</v>
      </c>
      <c r="B27" s="1">
        <v>44444</v>
      </c>
      <c r="C27" s="2">
        <v>0.875</v>
      </c>
      <c r="D27" s="1">
        <v>44445</v>
      </c>
      <c r="E27" s="3">
        <v>1.3495370370370371E-2</v>
      </c>
      <c r="F27">
        <v>15</v>
      </c>
      <c r="G27">
        <v>17</v>
      </c>
      <c r="H27" s="3">
        <f t="shared" si="2"/>
        <v>23.138495370370372</v>
      </c>
      <c r="I27" s="3">
        <f t="shared" si="3"/>
        <v>0</v>
      </c>
      <c r="J27" s="3">
        <f t="shared" si="4"/>
        <v>1.3495370370370371E-2</v>
      </c>
      <c r="K27">
        <f t="shared" si="5"/>
        <v>199.43333333333334</v>
      </c>
      <c r="M27">
        <f t="shared" si="6"/>
        <v>0</v>
      </c>
      <c r="N27">
        <f t="shared" si="7"/>
        <v>0</v>
      </c>
      <c r="O27">
        <f t="shared" si="8"/>
        <v>0</v>
      </c>
      <c r="P27">
        <f t="shared" si="8"/>
        <v>0</v>
      </c>
      <c r="Q27">
        <f t="shared" si="8"/>
        <v>199.43333333333334</v>
      </c>
      <c r="R27">
        <f t="shared" si="8"/>
        <v>0</v>
      </c>
      <c r="S27">
        <f t="shared" si="8"/>
        <v>0</v>
      </c>
      <c r="T27">
        <f t="shared" si="9"/>
        <v>0</v>
      </c>
      <c r="U27">
        <f t="shared" si="9"/>
        <v>0</v>
      </c>
      <c r="V27">
        <f t="shared" si="9"/>
        <v>0</v>
      </c>
      <c r="W27">
        <f t="shared" si="9"/>
        <v>0</v>
      </c>
      <c r="X27">
        <f t="shared" si="10"/>
        <v>0</v>
      </c>
      <c r="Y27">
        <f t="shared" si="10"/>
        <v>0</v>
      </c>
      <c r="Z27">
        <f t="shared" si="10"/>
        <v>0</v>
      </c>
      <c r="AA27">
        <f t="shared" si="10"/>
        <v>0</v>
      </c>
    </row>
    <row r="28" spans="1:27" x14ac:dyDescent="0.3">
      <c r="A28">
        <v>27</v>
      </c>
      <c r="B28" s="1">
        <v>44445</v>
      </c>
      <c r="C28" s="2">
        <v>0.2171990740740741</v>
      </c>
      <c r="D28" s="1">
        <v>44445</v>
      </c>
      <c r="E28" s="3">
        <v>0.2976388888888889</v>
      </c>
      <c r="F28">
        <v>9</v>
      </c>
      <c r="G28">
        <v>6</v>
      </c>
      <c r="H28" s="3">
        <f t="shared" si="2"/>
        <v>8.0439814814814797E-2</v>
      </c>
      <c r="I28" s="3">
        <f t="shared" si="3"/>
        <v>8.0439814814814797E-2</v>
      </c>
      <c r="J28" s="3">
        <f t="shared" si="4"/>
        <v>0</v>
      </c>
      <c r="K28">
        <f t="shared" si="5"/>
        <v>231.66666666666666</v>
      </c>
      <c r="M28">
        <f t="shared" si="6"/>
        <v>0</v>
      </c>
      <c r="N28">
        <f t="shared" si="7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231.66666666666666</v>
      </c>
      <c r="S28">
        <f t="shared" si="8"/>
        <v>0</v>
      </c>
      <c r="T28">
        <f t="shared" si="9"/>
        <v>0</v>
      </c>
      <c r="U28">
        <f t="shared" si="9"/>
        <v>0</v>
      </c>
      <c r="V28">
        <f t="shared" si="9"/>
        <v>0</v>
      </c>
      <c r="W28">
        <f t="shared" si="9"/>
        <v>0</v>
      </c>
      <c r="X28">
        <f t="shared" si="10"/>
        <v>0</v>
      </c>
      <c r="Y28">
        <f t="shared" si="10"/>
        <v>0</v>
      </c>
      <c r="Z28">
        <f t="shared" si="10"/>
        <v>0</v>
      </c>
      <c r="AA28">
        <f t="shared" si="10"/>
        <v>0</v>
      </c>
    </row>
    <row r="29" spans="1:27" x14ac:dyDescent="0.3">
      <c r="A29">
        <v>28</v>
      </c>
      <c r="B29" s="1">
        <v>44445</v>
      </c>
      <c r="C29" s="2">
        <v>0.38305555555555554</v>
      </c>
      <c r="D29" s="1">
        <v>44445</v>
      </c>
      <c r="E29" s="3">
        <v>0.52521990740740743</v>
      </c>
      <c r="F29">
        <v>14</v>
      </c>
      <c r="G29">
        <v>22</v>
      </c>
      <c r="H29" s="3">
        <f t="shared" si="2"/>
        <v>0.14216435185185189</v>
      </c>
      <c r="I29" s="3">
        <f t="shared" si="3"/>
        <v>0.14216435185185189</v>
      </c>
      <c r="J29" s="3">
        <f t="shared" si="4"/>
        <v>0</v>
      </c>
      <c r="K29">
        <f t="shared" si="5"/>
        <v>409.43333333333334</v>
      </c>
      <c r="M29">
        <f t="shared" si="6"/>
        <v>0</v>
      </c>
      <c r="N29">
        <f t="shared" si="7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409.43333333333334</v>
      </c>
      <c r="S29">
        <f t="shared" si="8"/>
        <v>0</v>
      </c>
      <c r="T29">
        <f t="shared" si="9"/>
        <v>0</v>
      </c>
      <c r="U29">
        <f t="shared" si="9"/>
        <v>0</v>
      </c>
      <c r="V29">
        <f t="shared" si="9"/>
        <v>0</v>
      </c>
      <c r="W29">
        <f t="shared" si="9"/>
        <v>0</v>
      </c>
      <c r="X29">
        <f t="shared" si="10"/>
        <v>0</v>
      </c>
      <c r="Y29">
        <f t="shared" si="10"/>
        <v>0</v>
      </c>
      <c r="Z29">
        <f t="shared" si="10"/>
        <v>0</v>
      </c>
      <c r="AA29">
        <f t="shared" si="10"/>
        <v>0</v>
      </c>
    </row>
    <row r="30" spans="1:27" x14ac:dyDescent="0.3">
      <c r="A30">
        <v>29</v>
      </c>
      <c r="B30" s="1">
        <v>44445</v>
      </c>
      <c r="C30" s="2">
        <v>0.55920138888888882</v>
      </c>
      <c r="D30" s="1">
        <v>44445</v>
      </c>
      <c r="E30" s="3">
        <v>0.62586805555555558</v>
      </c>
      <c r="F30">
        <v>14</v>
      </c>
      <c r="G30">
        <v>3</v>
      </c>
      <c r="H30" s="3">
        <f t="shared" si="2"/>
        <v>6.6666666666666763E-2</v>
      </c>
      <c r="I30" s="3">
        <f t="shared" si="3"/>
        <v>6.6666666666666763E-2</v>
      </c>
      <c r="J30" s="3">
        <f t="shared" si="4"/>
        <v>0</v>
      </c>
      <c r="K30">
        <f t="shared" si="5"/>
        <v>192</v>
      </c>
      <c r="M30">
        <f t="shared" si="6"/>
        <v>0</v>
      </c>
      <c r="N30">
        <f t="shared" si="7"/>
        <v>0</v>
      </c>
      <c r="O30">
        <f t="shared" si="8"/>
        <v>0</v>
      </c>
      <c r="P30">
        <f t="shared" si="8"/>
        <v>0</v>
      </c>
      <c r="Q30">
        <f t="shared" si="8"/>
        <v>0</v>
      </c>
      <c r="R30">
        <f t="shared" si="8"/>
        <v>192</v>
      </c>
      <c r="S30">
        <f t="shared" si="8"/>
        <v>0</v>
      </c>
      <c r="T30">
        <f t="shared" si="9"/>
        <v>0</v>
      </c>
      <c r="U30">
        <f t="shared" si="9"/>
        <v>0</v>
      </c>
      <c r="V30">
        <f t="shared" si="9"/>
        <v>0</v>
      </c>
      <c r="W30">
        <f t="shared" si="9"/>
        <v>0</v>
      </c>
      <c r="X30">
        <f t="shared" si="10"/>
        <v>0</v>
      </c>
      <c r="Y30">
        <f t="shared" si="10"/>
        <v>0</v>
      </c>
      <c r="Z30">
        <f t="shared" si="10"/>
        <v>0</v>
      </c>
      <c r="AA30">
        <f t="shared" si="10"/>
        <v>0</v>
      </c>
    </row>
    <row r="31" spans="1:27" x14ac:dyDescent="0.3">
      <c r="A31">
        <v>30</v>
      </c>
      <c r="B31" s="1">
        <v>44445</v>
      </c>
      <c r="C31" s="2">
        <v>0.7160185185185185</v>
      </c>
      <c r="D31" s="1">
        <v>44445</v>
      </c>
      <c r="E31" s="3">
        <v>0.7631944444444444</v>
      </c>
      <c r="F31">
        <v>18</v>
      </c>
      <c r="G31">
        <v>14</v>
      </c>
      <c r="H31" s="3">
        <f t="shared" si="2"/>
        <v>4.7175925925925899E-2</v>
      </c>
      <c r="I31" s="3">
        <f t="shared" si="3"/>
        <v>4.7175925925925899E-2</v>
      </c>
      <c r="J31" s="3">
        <f t="shared" si="4"/>
        <v>0</v>
      </c>
      <c r="K31">
        <f t="shared" si="5"/>
        <v>135.86666666666667</v>
      </c>
      <c r="M31">
        <f t="shared" si="6"/>
        <v>0</v>
      </c>
      <c r="N31">
        <f t="shared" si="7"/>
        <v>0</v>
      </c>
      <c r="O31">
        <f t="shared" si="8"/>
        <v>0</v>
      </c>
      <c r="P31">
        <f t="shared" si="8"/>
        <v>0</v>
      </c>
      <c r="Q31">
        <f t="shared" si="8"/>
        <v>0</v>
      </c>
      <c r="R31">
        <f t="shared" si="8"/>
        <v>135.86666666666667</v>
      </c>
      <c r="S31">
        <f t="shared" si="8"/>
        <v>0</v>
      </c>
      <c r="T31">
        <f t="shared" si="9"/>
        <v>0</v>
      </c>
      <c r="U31">
        <f t="shared" si="9"/>
        <v>0</v>
      </c>
      <c r="V31">
        <f t="shared" si="9"/>
        <v>0</v>
      </c>
      <c r="W31">
        <f t="shared" si="9"/>
        <v>0</v>
      </c>
      <c r="X31">
        <f t="shared" si="10"/>
        <v>0</v>
      </c>
      <c r="Y31">
        <f t="shared" si="10"/>
        <v>0</v>
      </c>
      <c r="Z31">
        <f t="shared" si="10"/>
        <v>0</v>
      </c>
      <c r="AA31">
        <f t="shared" si="10"/>
        <v>0</v>
      </c>
    </row>
    <row r="32" spans="1:27" x14ac:dyDescent="0.3">
      <c r="A32">
        <v>31</v>
      </c>
      <c r="B32" s="1">
        <v>44445</v>
      </c>
      <c r="C32" s="2">
        <v>0.82097222222222221</v>
      </c>
      <c r="D32" s="1">
        <v>44445</v>
      </c>
      <c r="E32" s="3">
        <v>0.89042824074074067</v>
      </c>
      <c r="F32">
        <v>16</v>
      </c>
      <c r="G32">
        <v>21</v>
      </c>
      <c r="H32" s="3">
        <f t="shared" si="2"/>
        <v>6.9456018518518459E-2</v>
      </c>
      <c r="I32" s="3">
        <f t="shared" si="3"/>
        <v>6.9456018518518459E-2</v>
      </c>
      <c r="J32" s="3">
        <f t="shared" si="4"/>
        <v>0</v>
      </c>
      <c r="K32">
        <f t="shared" si="5"/>
        <v>200.03333333333333</v>
      </c>
      <c r="M32">
        <f t="shared" si="6"/>
        <v>0</v>
      </c>
      <c r="N32">
        <f t="shared" si="7"/>
        <v>0</v>
      </c>
      <c r="O32">
        <f t="shared" si="8"/>
        <v>0</v>
      </c>
      <c r="P32">
        <f t="shared" si="8"/>
        <v>0</v>
      </c>
      <c r="Q32">
        <f t="shared" si="8"/>
        <v>0</v>
      </c>
      <c r="R32">
        <f t="shared" si="8"/>
        <v>200.03333333333333</v>
      </c>
      <c r="S32">
        <f t="shared" si="8"/>
        <v>0</v>
      </c>
      <c r="T32">
        <f t="shared" si="9"/>
        <v>0</v>
      </c>
      <c r="U32">
        <f t="shared" si="9"/>
        <v>0</v>
      </c>
      <c r="V32">
        <f t="shared" si="9"/>
        <v>0</v>
      </c>
      <c r="W32">
        <f t="shared" si="9"/>
        <v>0</v>
      </c>
      <c r="X32">
        <f t="shared" si="10"/>
        <v>0</v>
      </c>
      <c r="Y32">
        <f t="shared" si="10"/>
        <v>0</v>
      </c>
      <c r="Z32">
        <f t="shared" si="10"/>
        <v>0</v>
      </c>
      <c r="AA32">
        <f t="shared" si="10"/>
        <v>0</v>
      </c>
    </row>
    <row r="33" spans="1:27" x14ac:dyDescent="0.3">
      <c r="A33">
        <v>32</v>
      </c>
      <c r="B33" s="1">
        <v>44446</v>
      </c>
      <c r="C33" s="2">
        <v>0.32383101851851853</v>
      </c>
      <c r="D33" s="1">
        <v>44446</v>
      </c>
      <c r="E33" s="3">
        <v>0.40016203703703707</v>
      </c>
      <c r="F33">
        <v>15</v>
      </c>
      <c r="G33">
        <v>14</v>
      </c>
      <c r="H33" s="3">
        <f t="shared" si="2"/>
        <v>7.6331018518518534E-2</v>
      </c>
      <c r="I33" s="3">
        <f t="shared" si="3"/>
        <v>7.6331018518518534E-2</v>
      </c>
      <c r="J33" s="3">
        <f t="shared" si="4"/>
        <v>0</v>
      </c>
      <c r="K33">
        <f t="shared" si="5"/>
        <v>219.83333333333334</v>
      </c>
      <c r="M33">
        <f t="shared" si="6"/>
        <v>0</v>
      </c>
      <c r="N33">
        <f t="shared" si="7"/>
        <v>0</v>
      </c>
      <c r="O33">
        <f t="shared" si="8"/>
        <v>0</v>
      </c>
      <c r="P33">
        <f t="shared" si="8"/>
        <v>0</v>
      </c>
      <c r="Q33">
        <f t="shared" si="8"/>
        <v>0</v>
      </c>
      <c r="R33">
        <f t="shared" si="8"/>
        <v>0</v>
      </c>
      <c r="S33">
        <f t="shared" si="8"/>
        <v>219.83333333333334</v>
      </c>
      <c r="T33">
        <f t="shared" si="9"/>
        <v>0</v>
      </c>
      <c r="U33">
        <f t="shared" si="9"/>
        <v>0</v>
      </c>
      <c r="V33">
        <f t="shared" si="9"/>
        <v>0</v>
      </c>
      <c r="W33">
        <f t="shared" si="9"/>
        <v>0</v>
      </c>
      <c r="X33">
        <f t="shared" si="10"/>
        <v>0</v>
      </c>
      <c r="Y33">
        <f t="shared" si="10"/>
        <v>0</v>
      </c>
      <c r="Z33">
        <f t="shared" si="10"/>
        <v>0</v>
      </c>
      <c r="AA33">
        <f t="shared" si="10"/>
        <v>0</v>
      </c>
    </row>
    <row r="34" spans="1:27" x14ac:dyDescent="0.3">
      <c r="A34">
        <v>33</v>
      </c>
      <c r="B34" s="1">
        <v>44446</v>
      </c>
      <c r="C34" s="2">
        <v>0.46467592592592594</v>
      </c>
      <c r="D34" s="1">
        <v>44446</v>
      </c>
      <c r="E34" s="3">
        <v>0.52171296296296299</v>
      </c>
      <c r="F34">
        <v>12</v>
      </c>
      <c r="G34">
        <v>23</v>
      </c>
      <c r="H34" s="3">
        <f t="shared" si="2"/>
        <v>5.7037037037037053E-2</v>
      </c>
      <c r="I34" s="3">
        <f t="shared" si="3"/>
        <v>5.7037037037037053E-2</v>
      </c>
      <c r="J34" s="3">
        <f t="shared" si="4"/>
        <v>0</v>
      </c>
      <c r="K34">
        <f t="shared" si="5"/>
        <v>164.26666666666665</v>
      </c>
      <c r="M34">
        <f t="shared" si="6"/>
        <v>0</v>
      </c>
      <c r="N34">
        <f t="shared" si="7"/>
        <v>0</v>
      </c>
      <c r="O34">
        <f t="shared" si="8"/>
        <v>0</v>
      </c>
      <c r="P34">
        <f t="shared" si="8"/>
        <v>0</v>
      </c>
      <c r="Q34">
        <f t="shared" si="8"/>
        <v>0</v>
      </c>
      <c r="R34">
        <f t="shared" si="8"/>
        <v>0</v>
      </c>
      <c r="S34">
        <f t="shared" si="8"/>
        <v>164.26666666666665</v>
      </c>
      <c r="T34">
        <f t="shared" si="9"/>
        <v>0</v>
      </c>
      <c r="U34">
        <f t="shared" si="9"/>
        <v>0</v>
      </c>
      <c r="V34">
        <f t="shared" si="9"/>
        <v>0</v>
      </c>
      <c r="W34">
        <f t="shared" si="9"/>
        <v>0</v>
      </c>
      <c r="X34">
        <f t="shared" si="10"/>
        <v>0</v>
      </c>
      <c r="Y34">
        <f t="shared" si="10"/>
        <v>0</v>
      </c>
      <c r="Z34">
        <f t="shared" si="10"/>
        <v>0</v>
      </c>
      <c r="AA34">
        <f t="shared" si="10"/>
        <v>0</v>
      </c>
    </row>
    <row r="35" spans="1:27" x14ac:dyDescent="0.3">
      <c r="A35">
        <v>34</v>
      </c>
      <c r="B35" s="1">
        <v>44446</v>
      </c>
      <c r="C35" s="2">
        <v>0.57347222222222227</v>
      </c>
      <c r="D35" s="1">
        <v>44446</v>
      </c>
      <c r="E35" s="3">
        <v>0.64879629629629632</v>
      </c>
      <c r="F35">
        <v>17</v>
      </c>
      <c r="G35">
        <v>6</v>
      </c>
      <c r="H35" s="3">
        <f t="shared" si="2"/>
        <v>7.5324074074074043E-2</v>
      </c>
      <c r="I35" s="3">
        <f t="shared" si="3"/>
        <v>7.5324074074074043E-2</v>
      </c>
      <c r="J35" s="3">
        <f t="shared" si="4"/>
        <v>0</v>
      </c>
      <c r="K35">
        <f t="shared" si="5"/>
        <v>216.93333333333334</v>
      </c>
      <c r="M35">
        <f t="shared" si="6"/>
        <v>0</v>
      </c>
      <c r="N35">
        <f t="shared" si="7"/>
        <v>0</v>
      </c>
      <c r="O35">
        <f t="shared" si="8"/>
        <v>0</v>
      </c>
      <c r="P35">
        <f t="shared" si="8"/>
        <v>0</v>
      </c>
      <c r="Q35">
        <f t="shared" si="8"/>
        <v>0</v>
      </c>
      <c r="R35">
        <f t="shared" si="8"/>
        <v>0</v>
      </c>
      <c r="S35">
        <f t="shared" si="8"/>
        <v>216.93333333333334</v>
      </c>
      <c r="T35">
        <f t="shared" si="9"/>
        <v>0</v>
      </c>
      <c r="U35">
        <f t="shared" si="9"/>
        <v>0</v>
      </c>
      <c r="V35">
        <f t="shared" si="9"/>
        <v>0</v>
      </c>
      <c r="W35">
        <f t="shared" si="9"/>
        <v>0</v>
      </c>
      <c r="X35">
        <f t="shared" si="10"/>
        <v>0</v>
      </c>
      <c r="Y35">
        <f t="shared" si="10"/>
        <v>0</v>
      </c>
      <c r="Z35">
        <f t="shared" si="10"/>
        <v>0</v>
      </c>
      <c r="AA35">
        <f t="shared" si="10"/>
        <v>0</v>
      </c>
    </row>
    <row r="36" spans="1:27" x14ac:dyDescent="0.3">
      <c r="A36">
        <v>35</v>
      </c>
      <c r="B36" s="1">
        <v>44446</v>
      </c>
      <c r="C36" s="2">
        <v>0.70577546296296301</v>
      </c>
      <c r="D36" s="1">
        <v>44446</v>
      </c>
      <c r="E36" s="3">
        <v>0.7917939814814815</v>
      </c>
      <c r="F36">
        <v>19</v>
      </c>
      <c r="G36">
        <v>16</v>
      </c>
      <c r="H36" s="3">
        <f t="shared" si="2"/>
        <v>8.6018518518518494E-2</v>
      </c>
      <c r="I36" s="3">
        <f t="shared" si="3"/>
        <v>8.6018518518518494E-2</v>
      </c>
      <c r="J36" s="3">
        <f t="shared" si="4"/>
        <v>0</v>
      </c>
      <c r="K36">
        <f t="shared" si="5"/>
        <v>247.73333333333335</v>
      </c>
      <c r="M36">
        <f t="shared" si="6"/>
        <v>0</v>
      </c>
      <c r="N36">
        <f t="shared" si="7"/>
        <v>0</v>
      </c>
      <c r="O36">
        <f t="shared" si="8"/>
        <v>0</v>
      </c>
      <c r="P36">
        <f t="shared" si="8"/>
        <v>0</v>
      </c>
      <c r="Q36">
        <f t="shared" si="8"/>
        <v>0</v>
      </c>
      <c r="R36">
        <f t="shared" si="8"/>
        <v>0</v>
      </c>
      <c r="S36">
        <f t="shared" si="8"/>
        <v>247.73333333333335</v>
      </c>
      <c r="T36">
        <f t="shared" si="9"/>
        <v>0</v>
      </c>
      <c r="U36">
        <f t="shared" si="9"/>
        <v>0</v>
      </c>
      <c r="V36">
        <f t="shared" si="9"/>
        <v>0</v>
      </c>
      <c r="W36">
        <f t="shared" si="9"/>
        <v>0</v>
      </c>
      <c r="X36">
        <f t="shared" si="10"/>
        <v>0</v>
      </c>
      <c r="Y36">
        <f t="shared" si="10"/>
        <v>0</v>
      </c>
      <c r="Z36">
        <f t="shared" si="10"/>
        <v>0</v>
      </c>
      <c r="AA36">
        <f t="shared" si="10"/>
        <v>0</v>
      </c>
    </row>
    <row r="37" spans="1:27" x14ac:dyDescent="0.3">
      <c r="A37">
        <v>36</v>
      </c>
      <c r="B37" s="1">
        <v>44446</v>
      </c>
      <c r="C37" s="2">
        <v>0.84167824074074071</v>
      </c>
      <c r="D37" s="1">
        <v>44446</v>
      </c>
      <c r="E37" s="3">
        <v>0.9406944444444445</v>
      </c>
      <c r="F37">
        <v>11</v>
      </c>
      <c r="G37">
        <v>14</v>
      </c>
      <c r="H37" s="3">
        <f t="shared" si="2"/>
        <v>9.9016203703703787E-2</v>
      </c>
      <c r="I37" s="3">
        <f t="shared" si="3"/>
        <v>9.9016203703703787E-2</v>
      </c>
      <c r="J37" s="3">
        <f t="shared" si="4"/>
        <v>0</v>
      </c>
      <c r="K37">
        <f t="shared" si="5"/>
        <v>285.16666666666669</v>
      </c>
      <c r="M37">
        <f t="shared" si="6"/>
        <v>0</v>
      </c>
      <c r="N37">
        <f t="shared" si="7"/>
        <v>0</v>
      </c>
      <c r="O37">
        <f t="shared" si="8"/>
        <v>0</v>
      </c>
      <c r="P37">
        <f t="shared" si="8"/>
        <v>0</v>
      </c>
      <c r="Q37">
        <f t="shared" si="8"/>
        <v>0</v>
      </c>
      <c r="R37">
        <f t="shared" si="8"/>
        <v>0</v>
      </c>
      <c r="S37">
        <f t="shared" si="8"/>
        <v>285.16666666666669</v>
      </c>
      <c r="T37">
        <f t="shared" si="9"/>
        <v>0</v>
      </c>
      <c r="U37">
        <f t="shared" si="9"/>
        <v>0</v>
      </c>
      <c r="V37">
        <f t="shared" si="9"/>
        <v>0</v>
      </c>
      <c r="W37">
        <f t="shared" si="9"/>
        <v>0</v>
      </c>
      <c r="X37">
        <f t="shared" si="10"/>
        <v>0</v>
      </c>
      <c r="Y37">
        <f t="shared" si="10"/>
        <v>0</v>
      </c>
      <c r="Z37">
        <f t="shared" si="10"/>
        <v>0</v>
      </c>
      <c r="AA37">
        <f t="shared" si="10"/>
        <v>0</v>
      </c>
    </row>
    <row r="38" spans="1:27" x14ac:dyDescent="0.3">
      <c r="A38">
        <v>37</v>
      </c>
      <c r="B38" s="1">
        <v>44447</v>
      </c>
      <c r="C38" s="2">
        <v>0.13560185185185183</v>
      </c>
      <c r="D38" s="1">
        <v>44447</v>
      </c>
      <c r="E38" s="3">
        <v>0.26116898148148149</v>
      </c>
      <c r="F38">
        <v>13</v>
      </c>
      <c r="G38">
        <v>22</v>
      </c>
      <c r="H38" s="3">
        <f t="shared" si="2"/>
        <v>0.12556712962962965</v>
      </c>
      <c r="I38" s="3">
        <f t="shared" si="3"/>
        <v>0.12556712962962965</v>
      </c>
      <c r="J38" s="3">
        <f t="shared" si="4"/>
        <v>0</v>
      </c>
      <c r="K38">
        <f t="shared" si="5"/>
        <v>361.63333333333333</v>
      </c>
      <c r="M38">
        <f t="shared" si="6"/>
        <v>0</v>
      </c>
      <c r="N38">
        <f t="shared" si="7"/>
        <v>0</v>
      </c>
      <c r="O38">
        <f t="shared" si="8"/>
        <v>0</v>
      </c>
      <c r="P38">
        <f t="shared" si="8"/>
        <v>0</v>
      </c>
      <c r="Q38">
        <f t="shared" si="8"/>
        <v>0</v>
      </c>
      <c r="R38">
        <f t="shared" si="8"/>
        <v>0</v>
      </c>
      <c r="S38">
        <f t="shared" si="8"/>
        <v>0</v>
      </c>
      <c r="T38">
        <f t="shared" si="9"/>
        <v>361.63333333333333</v>
      </c>
      <c r="U38">
        <f t="shared" si="9"/>
        <v>0</v>
      </c>
      <c r="V38">
        <f t="shared" si="9"/>
        <v>0</v>
      </c>
      <c r="W38">
        <f t="shared" si="9"/>
        <v>0</v>
      </c>
      <c r="X38">
        <f t="shared" si="10"/>
        <v>0</v>
      </c>
      <c r="Y38">
        <f t="shared" si="10"/>
        <v>0</v>
      </c>
      <c r="Z38">
        <f t="shared" si="10"/>
        <v>0</v>
      </c>
      <c r="AA38">
        <f t="shared" si="10"/>
        <v>0</v>
      </c>
    </row>
    <row r="39" spans="1:27" x14ac:dyDescent="0.3">
      <c r="A39">
        <v>38</v>
      </c>
      <c r="B39" s="1">
        <v>44447</v>
      </c>
      <c r="C39" s="2">
        <v>0.32587962962962963</v>
      </c>
      <c r="D39" s="1">
        <v>44447</v>
      </c>
      <c r="E39" s="3">
        <v>0.39796296296296302</v>
      </c>
      <c r="F39">
        <v>11</v>
      </c>
      <c r="G39">
        <v>4</v>
      </c>
      <c r="H39" s="3">
        <f t="shared" si="2"/>
        <v>7.2083333333333388E-2</v>
      </c>
      <c r="I39" s="3">
        <f t="shared" si="3"/>
        <v>7.2083333333333388E-2</v>
      </c>
      <c r="J39" s="3">
        <f t="shared" si="4"/>
        <v>0</v>
      </c>
      <c r="K39">
        <f t="shared" si="5"/>
        <v>207.60000000000002</v>
      </c>
      <c r="M39">
        <f t="shared" si="6"/>
        <v>0</v>
      </c>
      <c r="N39">
        <f t="shared" si="7"/>
        <v>0</v>
      </c>
      <c r="O39">
        <f t="shared" si="8"/>
        <v>0</v>
      </c>
      <c r="P39">
        <f t="shared" si="8"/>
        <v>0</v>
      </c>
      <c r="Q39">
        <f t="shared" si="8"/>
        <v>0</v>
      </c>
      <c r="R39">
        <f t="shared" si="8"/>
        <v>0</v>
      </c>
      <c r="S39">
        <f t="shared" si="8"/>
        <v>0</v>
      </c>
      <c r="T39">
        <f t="shared" si="9"/>
        <v>207.60000000000002</v>
      </c>
      <c r="U39">
        <f t="shared" si="9"/>
        <v>0</v>
      </c>
      <c r="V39">
        <f t="shared" si="9"/>
        <v>0</v>
      </c>
      <c r="W39">
        <f t="shared" si="9"/>
        <v>0</v>
      </c>
      <c r="X39">
        <f t="shared" si="10"/>
        <v>0</v>
      </c>
      <c r="Y39">
        <f t="shared" si="10"/>
        <v>0</v>
      </c>
      <c r="Z39">
        <f t="shared" si="10"/>
        <v>0</v>
      </c>
      <c r="AA39">
        <f t="shared" si="10"/>
        <v>0</v>
      </c>
    </row>
    <row r="40" spans="1:27" x14ac:dyDescent="0.3">
      <c r="A40">
        <v>39</v>
      </c>
      <c r="B40" s="1">
        <v>44447</v>
      </c>
      <c r="C40" s="2">
        <v>0.41761574074074076</v>
      </c>
      <c r="D40" s="1">
        <v>44447</v>
      </c>
      <c r="E40" s="3">
        <v>0.52447916666666672</v>
      </c>
      <c r="F40">
        <v>14</v>
      </c>
      <c r="G40">
        <v>21</v>
      </c>
      <c r="H40" s="3">
        <f t="shared" si="2"/>
        <v>0.10686342592592596</v>
      </c>
      <c r="I40" s="3">
        <f t="shared" si="3"/>
        <v>0.10686342592592596</v>
      </c>
      <c r="J40" s="3">
        <f t="shared" si="4"/>
        <v>0</v>
      </c>
      <c r="K40">
        <f t="shared" si="5"/>
        <v>307.76666666666665</v>
      </c>
      <c r="M40">
        <f t="shared" si="6"/>
        <v>0</v>
      </c>
      <c r="N40">
        <f t="shared" si="7"/>
        <v>0</v>
      </c>
      <c r="O40">
        <f t="shared" si="8"/>
        <v>0</v>
      </c>
      <c r="P40">
        <f t="shared" si="8"/>
        <v>0</v>
      </c>
      <c r="Q40">
        <f t="shared" si="8"/>
        <v>0</v>
      </c>
      <c r="R40">
        <f t="shared" si="8"/>
        <v>0</v>
      </c>
      <c r="S40">
        <f t="shared" si="8"/>
        <v>0</v>
      </c>
      <c r="T40">
        <f t="shared" si="9"/>
        <v>307.76666666666665</v>
      </c>
      <c r="U40">
        <f t="shared" si="9"/>
        <v>0</v>
      </c>
      <c r="V40">
        <f t="shared" si="9"/>
        <v>0</v>
      </c>
      <c r="W40">
        <f t="shared" si="9"/>
        <v>0</v>
      </c>
      <c r="X40">
        <f t="shared" si="10"/>
        <v>0</v>
      </c>
      <c r="Y40">
        <f t="shared" si="10"/>
        <v>0</v>
      </c>
      <c r="Z40">
        <f t="shared" si="10"/>
        <v>0</v>
      </c>
      <c r="AA40">
        <f t="shared" si="10"/>
        <v>0</v>
      </c>
    </row>
    <row r="41" spans="1:27" x14ac:dyDescent="0.3">
      <c r="A41">
        <v>40</v>
      </c>
      <c r="B41" s="1">
        <v>44447</v>
      </c>
      <c r="C41" s="2">
        <v>0.59138888888888885</v>
      </c>
      <c r="D41" s="1">
        <v>44447</v>
      </c>
      <c r="E41" s="3">
        <v>0.68494212962962964</v>
      </c>
      <c r="F41">
        <v>16</v>
      </c>
      <c r="G41">
        <v>9</v>
      </c>
      <c r="H41" s="3">
        <f t="shared" si="2"/>
        <v>9.3553240740740784E-2</v>
      </c>
      <c r="I41" s="3">
        <f t="shared" si="3"/>
        <v>9.3553240740740784E-2</v>
      </c>
      <c r="J41" s="3">
        <f t="shared" si="4"/>
        <v>0</v>
      </c>
      <c r="K41">
        <f t="shared" si="5"/>
        <v>269.43333333333334</v>
      </c>
      <c r="M41">
        <f t="shared" si="6"/>
        <v>0</v>
      </c>
      <c r="N41">
        <f t="shared" si="7"/>
        <v>0</v>
      </c>
      <c r="O41">
        <f t="shared" si="8"/>
        <v>0</v>
      </c>
      <c r="P41">
        <f t="shared" si="8"/>
        <v>0</v>
      </c>
      <c r="Q41">
        <f t="shared" si="8"/>
        <v>0</v>
      </c>
      <c r="R41">
        <f t="shared" si="8"/>
        <v>0</v>
      </c>
      <c r="S41">
        <f t="shared" si="8"/>
        <v>0</v>
      </c>
      <c r="T41">
        <f t="shared" si="9"/>
        <v>269.43333333333334</v>
      </c>
      <c r="U41">
        <f t="shared" si="9"/>
        <v>0</v>
      </c>
      <c r="V41">
        <f t="shared" si="9"/>
        <v>0</v>
      </c>
      <c r="W41">
        <f t="shared" si="9"/>
        <v>0</v>
      </c>
      <c r="X41">
        <f t="shared" si="10"/>
        <v>0</v>
      </c>
      <c r="Y41">
        <f t="shared" si="10"/>
        <v>0</v>
      </c>
      <c r="Z41">
        <f t="shared" si="10"/>
        <v>0</v>
      </c>
      <c r="AA41">
        <f t="shared" si="10"/>
        <v>0</v>
      </c>
    </row>
    <row r="42" spans="1:27" x14ac:dyDescent="0.3">
      <c r="A42">
        <v>41</v>
      </c>
      <c r="B42" s="1">
        <v>44447</v>
      </c>
      <c r="C42" s="2">
        <v>0.7338541666666667</v>
      </c>
      <c r="D42" s="1">
        <v>44447</v>
      </c>
      <c r="E42" s="3">
        <v>0.77248842592592604</v>
      </c>
      <c r="F42">
        <v>12</v>
      </c>
      <c r="G42">
        <v>24</v>
      </c>
      <c r="H42" s="3">
        <f t="shared" si="2"/>
        <v>3.863425925925934E-2</v>
      </c>
      <c r="I42" s="3">
        <f t="shared" si="3"/>
        <v>3.863425925925934E-2</v>
      </c>
      <c r="J42" s="3">
        <f t="shared" si="4"/>
        <v>0</v>
      </c>
      <c r="K42">
        <f t="shared" si="5"/>
        <v>111.26666666666667</v>
      </c>
      <c r="M42">
        <f t="shared" si="6"/>
        <v>0</v>
      </c>
      <c r="N42">
        <f t="shared" si="7"/>
        <v>0</v>
      </c>
      <c r="O42">
        <f t="shared" si="8"/>
        <v>0</v>
      </c>
      <c r="P42">
        <f t="shared" si="8"/>
        <v>0</v>
      </c>
      <c r="Q42">
        <f t="shared" si="8"/>
        <v>0</v>
      </c>
      <c r="R42">
        <f t="shared" si="8"/>
        <v>0</v>
      </c>
      <c r="S42">
        <f t="shared" si="8"/>
        <v>0</v>
      </c>
      <c r="T42">
        <f t="shared" si="9"/>
        <v>111.26666666666667</v>
      </c>
      <c r="U42">
        <f t="shared" si="9"/>
        <v>0</v>
      </c>
      <c r="V42">
        <f t="shared" si="9"/>
        <v>0</v>
      </c>
      <c r="W42">
        <f t="shared" si="9"/>
        <v>0</v>
      </c>
      <c r="X42">
        <f t="shared" si="10"/>
        <v>0</v>
      </c>
      <c r="Y42">
        <f t="shared" si="10"/>
        <v>0</v>
      </c>
      <c r="Z42">
        <f t="shared" si="10"/>
        <v>0</v>
      </c>
      <c r="AA42">
        <f t="shared" si="10"/>
        <v>0</v>
      </c>
    </row>
    <row r="43" spans="1:27" x14ac:dyDescent="0.3">
      <c r="A43">
        <v>42</v>
      </c>
      <c r="B43" s="1">
        <v>44447</v>
      </c>
      <c r="C43" s="2">
        <v>0.83333333333333337</v>
      </c>
      <c r="D43" s="1">
        <v>44447</v>
      </c>
      <c r="E43" s="3">
        <v>0.89694444444444443</v>
      </c>
      <c r="F43">
        <v>9</v>
      </c>
      <c r="G43">
        <v>2</v>
      </c>
      <c r="H43" s="3">
        <f t="shared" si="2"/>
        <v>6.3611111111111063E-2</v>
      </c>
      <c r="I43" s="3">
        <f t="shared" si="3"/>
        <v>6.3611111111111063E-2</v>
      </c>
      <c r="J43" s="3">
        <f t="shared" si="4"/>
        <v>0</v>
      </c>
      <c r="K43">
        <f t="shared" si="5"/>
        <v>183.2</v>
      </c>
      <c r="M43">
        <f t="shared" si="6"/>
        <v>0</v>
      </c>
      <c r="N43">
        <f t="shared" si="7"/>
        <v>0</v>
      </c>
      <c r="O43">
        <f t="shared" si="8"/>
        <v>0</v>
      </c>
      <c r="P43">
        <f t="shared" si="8"/>
        <v>0</v>
      </c>
      <c r="Q43">
        <f t="shared" si="8"/>
        <v>0</v>
      </c>
      <c r="R43">
        <f t="shared" si="8"/>
        <v>0</v>
      </c>
      <c r="S43">
        <f t="shared" si="8"/>
        <v>0</v>
      </c>
      <c r="T43">
        <f t="shared" si="9"/>
        <v>183.2</v>
      </c>
      <c r="U43">
        <f t="shared" si="9"/>
        <v>0</v>
      </c>
      <c r="V43">
        <f t="shared" si="9"/>
        <v>0</v>
      </c>
      <c r="W43">
        <f t="shared" si="9"/>
        <v>0</v>
      </c>
      <c r="X43">
        <f t="shared" si="10"/>
        <v>0</v>
      </c>
      <c r="Y43">
        <f t="shared" si="10"/>
        <v>0</v>
      </c>
      <c r="Z43">
        <f t="shared" si="10"/>
        <v>0</v>
      </c>
      <c r="AA43">
        <f t="shared" si="10"/>
        <v>0</v>
      </c>
    </row>
    <row r="44" spans="1:27" x14ac:dyDescent="0.3">
      <c r="A44">
        <v>43</v>
      </c>
      <c r="B44" s="1">
        <v>44448</v>
      </c>
      <c r="C44" s="2">
        <v>0.25793981481481482</v>
      </c>
      <c r="D44" s="1">
        <v>44448</v>
      </c>
      <c r="E44" s="3">
        <v>0.32356481481481481</v>
      </c>
      <c r="F44">
        <v>9</v>
      </c>
      <c r="G44">
        <v>4</v>
      </c>
      <c r="H44" s="3">
        <f t="shared" si="2"/>
        <v>6.5624999999999989E-2</v>
      </c>
      <c r="I44" s="3">
        <f t="shared" si="3"/>
        <v>6.5624999999999989E-2</v>
      </c>
      <c r="J44" s="3">
        <f t="shared" si="4"/>
        <v>0</v>
      </c>
      <c r="K44">
        <f t="shared" si="5"/>
        <v>189</v>
      </c>
      <c r="M44">
        <f t="shared" si="6"/>
        <v>0</v>
      </c>
      <c r="N44">
        <f t="shared" si="7"/>
        <v>0</v>
      </c>
      <c r="O44">
        <f t="shared" si="8"/>
        <v>0</v>
      </c>
      <c r="P44">
        <f t="shared" si="8"/>
        <v>0</v>
      </c>
      <c r="Q44">
        <f t="shared" si="8"/>
        <v>0</v>
      </c>
      <c r="R44">
        <f t="shared" si="8"/>
        <v>0</v>
      </c>
      <c r="S44">
        <f t="shared" si="8"/>
        <v>0</v>
      </c>
      <c r="T44">
        <f t="shared" si="9"/>
        <v>0</v>
      </c>
      <c r="U44">
        <f t="shared" si="9"/>
        <v>189</v>
      </c>
      <c r="V44">
        <f t="shared" si="9"/>
        <v>0</v>
      </c>
      <c r="W44">
        <f t="shared" si="9"/>
        <v>0</v>
      </c>
      <c r="X44">
        <f t="shared" si="10"/>
        <v>0</v>
      </c>
      <c r="Y44">
        <f t="shared" si="10"/>
        <v>0</v>
      </c>
      <c r="Z44">
        <f t="shared" si="10"/>
        <v>0</v>
      </c>
      <c r="AA44">
        <f t="shared" si="10"/>
        <v>0</v>
      </c>
    </row>
    <row r="45" spans="1:27" x14ac:dyDescent="0.3">
      <c r="A45">
        <v>44</v>
      </c>
      <c r="B45" s="1">
        <v>44448</v>
      </c>
      <c r="C45" s="2">
        <v>0.41349537037037037</v>
      </c>
      <c r="D45" s="1">
        <v>44448</v>
      </c>
      <c r="E45" s="3">
        <v>0.45501157407407411</v>
      </c>
      <c r="F45">
        <v>9</v>
      </c>
      <c r="G45">
        <v>14</v>
      </c>
      <c r="H45" s="3">
        <f t="shared" si="2"/>
        <v>4.1516203703703736E-2</v>
      </c>
      <c r="I45" s="3">
        <f t="shared" si="3"/>
        <v>4.1516203703703736E-2</v>
      </c>
      <c r="J45" s="3">
        <f t="shared" si="4"/>
        <v>0</v>
      </c>
      <c r="K45">
        <f t="shared" si="5"/>
        <v>119.56666666666666</v>
      </c>
      <c r="M45">
        <f t="shared" si="6"/>
        <v>0</v>
      </c>
      <c r="N45">
        <f t="shared" si="7"/>
        <v>0</v>
      </c>
      <c r="O45">
        <f t="shared" si="8"/>
        <v>0</v>
      </c>
      <c r="P45">
        <f t="shared" si="8"/>
        <v>0</v>
      </c>
      <c r="Q45">
        <f t="shared" si="8"/>
        <v>0</v>
      </c>
      <c r="R45">
        <f t="shared" si="8"/>
        <v>0</v>
      </c>
      <c r="S45">
        <f t="shared" si="8"/>
        <v>0</v>
      </c>
      <c r="T45">
        <f t="shared" si="9"/>
        <v>0</v>
      </c>
      <c r="U45">
        <f t="shared" si="9"/>
        <v>119.56666666666666</v>
      </c>
      <c r="V45">
        <f t="shared" si="9"/>
        <v>0</v>
      </c>
      <c r="W45">
        <f t="shared" si="9"/>
        <v>0</v>
      </c>
      <c r="X45">
        <f t="shared" si="10"/>
        <v>0</v>
      </c>
      <c r="Y45">
        <f t="shared" si="10"/>
        <v>0</v>
      </c>
      <c r="Z45">
        <f t="shared" si="10"/>
        <v>0</v>
      </c>
      <c r="AA45">
        <f t="shared" si="10"/>
        <v>0</v>
      </c>
    </row>
    <row r="46" spans="1:27" x14ac:dyDescent="0.3">
      <c r="A46">
        <v>45</v>
      </c>
      <c r="B46" s="1">
        <v>44448</v>
      </c>
      <c r="C46" s="2">
        <v>0.50607638888888895</v>
      </c>
      <c r="D46" s="1">
        <v>44448</v>
      </c>
      <c r="E46" s="3">
        <v>0.59107638888888892</v>
      </c>
      <c r="F46">
        <v>12</v>
      </c>
      <c r="G46">
        <v>10</v>
      </c>
      <c r="H46" s="3">
        <f t="shared" si="2"/>
        <v>8.4999999999999964E-2</v>
      </c>
      <c r="I46" s="3">
        <f t="shared" si="3"/>
        <v>8.4999999999999964E-2</v>
      </c>
      <c r="J46" s="3">
        <f t="shared" si="4"/>
        <v>0</v>
      </c>
      <c r="K46">
        <f t="shared" si="5"/>
        <v>244.8</v>
      </c>
      <c r="M46">
        <f t="shared" si="6"/>
        <v>0</v>
      </c>
      <c r="N46">
        <f t="shared" si="7"/>
        <v>0</v>
      </c>
      <c r="O46">
        <f t="shared" si="8"/>
        <v>0</v>
      </c>
      <c r="P46">
        <f t="shared" si="8"/>
        <v>0</v>
      </c>
      <c r="Q46">
        <f t="shared" si="8"/>
        <v>0</v>
      </c>
      <c r="R46">
        <f t="shared" si="8"/>
        <v>0</v>
      </c>
      <c r="S46">
        <f t="shared" si="8"/>
        <v>0</v>
      </c>
      <c r="T46">
        <f t="shared" si="9"/>
        <v>0</v>
      </c>
      <c r="U46">
        <f t="shared" si="9"/>
        <v>244.8</v>
      </c>
      <c r="V46">
        <f t="shared" si="9"/>
        <v>0</v>
      </c>
      <c r="W46">
        <f t="shared" si="9"/>
        <v>0</v>
      </c>
      <c r="X46">
        <f t="shared" si="10"/>
        <v>0</v>
      </c>
      <c r="Y46">
        <f t="shared" si="10"/>
        <v>0</v>
      </c>
      <c r="Z46">
        <f t="shared" si="10"/>
        <v>0</v>
      </c>
      <c r="AA46">
        <f t="shared" si="10"/>
        <v>0</v>
      </c>
    </row>
    <row r="47" spans="1:27" x14ac:dyDescent="0.3">
      <c r="A47">
        <v>46</v>
      </c>
      <c r="B47" s="1">
        <v>44448</v>
      </c>
      <c r="C47" s="2">
        <v>0.68482638888888892</v>
      </c>
      <c r="D47" s="1">
        <v>44448</v>
      </c>
      <c r="E47" s="3">
        <v>0.77111111111111119</v>
      </c>
      <c r="F47">
        <v>16</v>
      </c>
      <c r="G47">
        <v>11</v>
      </c>
      <c r="H47" s="3">
        <f t="shared" si="2"/>
        <v>8.6284722222222276E-2</v>
      </c>
      <c r="I47" s="3">
        <f t="shared" si="3"/>
        <v>8.6284722222222276E-2</v>
      </c>
      <c r="J47" s="3">
        <f t="shared" si="4"/>
        <v>0</v>
      </c>
      <c r="K47">
        <f t="shared" si="5"/>
        <v>248.5</v>
      </c>
      <c r="M47">
        <f t="shared" si="6"/>
        <v>0</v>
      </c>
      <c r="N47">
        <f t="shared" si="7"/>
        <v>0</v>
      </c>
      <c r="O47">
        <f t="shared" si="8"/>
        <v>0</v>
      </c>
      <c r="P47">
        <f t="shared" si="8"/>
        <v>0</v>
      </c>
      <c r="Q47">
        <f t="shared" si="8"/>
        <v>0</v>
      </c>
      <c r="R47">
        <f t="shared" si="8"/>
        <v>0</v>
      </c>
      <c r="S47">
        <f t="shared" ref="S47:V110" si="11">IF(DAY($B47)=S$1,$K47,0)</f>
        <v>0</v>
      </c>
      <c r="T47">
        <f t="shared" si="9"/>
        <v>0</v>
      </c>
      <c r="U47">
        <f t="shared" si="9"/>
        <v>248.5</v>
      </c>
      <c r="V47">
        <f t="shared" si="9"/>
        <v>0</v>
      </c>
      <c r="W47">
        <f t="shared" si="9"/>
        <v>0</v>
      </c>
      <c r="X47">
        <f t="shared" si="10"/>
        <v>0</v>
      </c>
      <c r="Y47">
        <f t="shared" si="10"/>
        <v>0</v>
      </c>
      <c r="Z47">
        <f t="shared" si="10"/>
        <v>0</v>
      </c>
      <c r="AA47">
        <f t="shared" si="10"/>
        <v>0</v>
      </c>
    </row>
    <row r="48" spans="1:27" x14ac:dyDescent="0.3">
      <c r="A48">
        <v>47</v>
      </c>
      <c r="B48" s="1">
        <v>44448</v>
      </c>
      <c r="C48" s="2">
        <v>0.85435185185185192</v>
      </c>
      <c r="D48" s="1">
        <v>44448</v>
      </c>
      <c r="E48" s="3">
        <v>0.89</v>
      </c>
      <c r="F48">
        <v>13</v>
      </c>
      <c r="G48">
        <v>21</v>
      </c>
      <c r="H48" s="3">
        <f t="shared" si="2"/>
        <v>3.5648148148148096E-2</v>
      </c>
      <c r="I48" s="3">
        <f t="shared" si="3"/>
        <v>3.5648148148148096E-2</v>
      </c>
      <c r="J48" s="3">
        <f t="shared" si="4"/>
        <v>0</v>
      </c>
      <c r="K48">
        <f t="shared" si="5"/>
        <v>102.66666666666667</v>
      </c>
      <c r="M48">
        <f t="shared" si="6"/>
        <v>0</v>
      </c>
      <c r="N48">
        <f t="shared" si="7"/>
        <v>0</v>
      </c>
      <c r="O48">
        <f t="shared" si="8"/>
        <v>0</v>
      </c>
      <c r="P48">
        <f t="shared" si="8"/>
        <v>0</v>
      </c>
      <c r="Q48">
        <f t="shared" si="8"/>
        <v>0</v>
      </c>
      <c r="R48">
        <f t="shared" si="8"/>
        <v>0</v>
      </c>
      <c r="S48">
        <f t="shared" si="11"/>
        <v>0</v>
      </c>
      <c r="T48">
        <f t="shared" si="9"/>
        <v>0</v>
      </c>
      <c r="U48">
        <f t="shared" si="9"/>
        <v>102.66666666666667</v>
      </c>
      <c r="V48">
        <f t="shared" si="9"/>
        <v>0</v>
      </c>
      <c r="W48">
        <f t="shared" si="9"/>
        <v>0</v>
      </c>
      <c r="X48">
        <f t="shared" si="10"/>
        <v>0</v>
      </c>
      <c r="Y48">
        <f t="shared" si="10"/>
        <v>0</v>
      </c>
      <c r="Z48">
        <f t="shared" si="10"/>
        <v>0</v>
      </c>
      <c r="AA48">
        <f t="shared" si="10"/>
        <v>0</v>
      </c>
    </row>
    <row r="49" spans="1:27" x14ac:dyDescent="0.3">
      <c r="A49">
        <v>48</v>
      </c>
      <c r="B49" s="1">
        <v>44449</v>
      </c>
      <c r="C49" s="2">
        <v>0.21634259259259259</v>
      </c>
      <c r="D49" s="1">
        <v>44449</v>
      </c>
      <c r="E49" s="3">
        <v>0.30988425925925928</v>
      </c>
      <c r="F49">
        <v>7</v>
      </c>
      <c r="G49">
        <v>15</v>
      </c>
      <c r="H49" s="3">
        <f t="shared" si="2"/>
        <v>9.354166666666669E-2</v>
      </c>
      <c r="I49" s="3">
        <f t="shared" si="3"/>
        <v>9.354166666666669E-2</v>
      </c>
      <c r="J49" s="3">
        <f t="shared" si="4"/>
        <v>0</v>
      </c>
      <c r="K49">
        <f t="shared" si="5"/>
        <v>269.39999999999998</v>
      </c>
      <c r="M49">
        <f t="shared" si="6"/>
        <v>0</v>
      </c>
      <c r="N49">
        <f t="shared" si="7"/>
        <v>0</v>
      </c>
      <c r="O49">
        <f t="shared" si="8"/>
        <v>0</v>
      </c>
      <c r="P49">
        <f t="shared" si="8"/>
        <v>0</v>
      </c>
      <c r="Q49">
        <f t="shared" si="8"/>
        <v>0</v>
      </c>
      <c r="R49">
        <f t="shared" si="8"/>
        <v>0</v>
      </c>
      <c r="S49">
        <f t="shared" si="11"/>
        <v>0</v>
      </c>
      <c r="T49">
        <f t="shared" si="9"/>
        <v>0</v>
      </c>
      <c r="U49">
        <f t="shared" si="9"/>
        <v>0</v>
      </c>
      <c r="V49">
        <f t="shared" si="9"/>
        <v>269.39999999999998</v>
      </c>
      <c r="W49">
        <f t="shared" si="9"/>
        <v>0</v>
      </c>
      <c r="X49">
        <f t="shared" si="10"/>
        <v>0</v>
      </c>
      <c r="Y49">
        <f t="shared" si="10"/>
        <v>0</v>
      </c>
      <c r="Z49">
        <f t="shared" si="10"/>
        <v>0</v>
      </c>
      <c r="AA49">
        <f t="shared" si="10"/>
        <v>0</v>
      </c>
    </row>
    <row r="50" spans="1:27" x14ac:dyDescent="0.3">
      <c r="A50">
        <v>49</v>
      </c>
      <c r="B50" s="1">
        <v>44449</v>
      </c>
      <c r="C50" s="2">
        <v>0.38201388888888888</v>
      </c>
      <c r="D50" s="1">
        <v>44449</v>
      </c>
      <c r="E50" s="3">
        <v>0.44449074074074074</v>
      </c>
      <c r="F50">
        <v>7</v>
      </c>
      <c r="G50">
        <v>0</v>
      </c>
      <c r="H50" s="3">
        <f t="shared" si="2"/>
        <v>6.2476851851851867E-2</v>
      </c>
      <c r="I50" s="3">
        <f t="shared" si="3"/>
        <v>6.2476851851851867E-2</v>
      </c>
      <c r="J50" s="3">
        <f t="shared" si="4"/>
        <v>0</v>
      </c>
      <c r="K50">
        <f t="shared" si="5"/>
        <v>179.93333333333334</v>
      </c>
      <c r="M50">
        <f t="shared" si="6"/>
        <v>0</v>
      </c>
      <c r="N50">
        <f t="shared" si="7"/>
        <v>0</v>
      </c>
      <c r="O50">
        <f t="shared" si="8"/>
        <v>0</v>
      </c>
      <c r="P50">
        <f t="shared" si="8"/>
        <v>0</v>
      </c>
      <c r="Q50">
        <f t="shared" si="8"/>
        <v>0</v>
      </c>
      <c r="R50">
        <f t="shared" si="8"/>
        <v>0</v>
      </c>
      <c r="S50">
        <f t="shared" si="11"/>
        <v>0</v>
      </c>
      <c r="T50">
        <f t="shared" si="9"/>
        <v>0</v>
      </c>
      <c r="U50">
        <f t="shared" si="9"/>
        <v>0</v>
      </c>
      <c r="V50">
        <f t="shared" si="9"/>
        <v>179.93333333333334</v>
      </c>
      <c r="W50">
        <f t="shared" si="9"/>
        <v>0</v>
      </c>
      <c r="X50">
        <f t="shared" si="10"/>
        <v>0</v>
      </c>
      <c r="Y50">
        <f t="shared" si="10"/>
        <v>0</v>
      </c>
      <c r="Z50">
        <f t="shared" si="10"/>
        <v>0</v>
      </c>
      <c r="AA50">
        <f t="shared" si="10"/>
        <v>0</v>
      </c>
    </row>
    <row r="51" spans="1:27" x14ac:dyDescent="0.3">
      <c r="A51">
        <v>50</v>
      </c>
      <c r="B51" s="1">
        <v>44449</v>
      </c>
      <c r="C51" s="2">
        <v>0.49995370370370368</v>
      </c>
      <c r="D51" s="1">
        <v>44449</v>
      </c>
      <c r="E51" s="3">
        <v>0.59361111111111109</v>
      </c>
      <c r="F51">
        <v>7</v>
      </c>
      <c r="G51">
        <v>1</v>
      </c>
      <c r="H51" s="3">
        <f t="shared" si="2"/>
        <v>9.3657407407407411E-2</v>
      </c>
      <c r="I51" s="3">
        <f t="shared" si="3"/>
        <v>9.3657407407407411E-2</v>
      </c>
      <c r="J51" s="3">
        <f t="shared" si="4"/>
        <v>0</v>
      </c>
      <c r="K51">
        <f t="shared" si="5"/>
        <v>269.73333333333335</v>
      </c>
      <c r="M51">
        <f t="shared" si="6"/>
        <v>0</v>
      </c>
      <c r="N51">
        <f t="shared" si="7"/>
        <v>0</v>
      </c>
      <c r="O51">
        <f t="shared" si="8"/>
        <v>0</v>
      </c>
      <c r="P51">
        <f t="shared" si="8"/>
        <v>0</v>
      </c>
      <c r="Q51">
        <f t="shared" si="8"/>
        <v>0</v>
      </c>
      <c r="R51">
        <f t="shared" si="8"/>
        <v>0</v>
      </c>
      <c r="S51">
        <f t="shared" si="11"/>
        <v>0</v>
      </c>
      <c r="T51">
        <f t="shared" si="9"/>
        <v>0</v>
      </c>
      <c r="U51">
        <f t="shared" si="9"/>
        <v>0</v>
      </c>
      <c r="V51">
        <f t="shared" si="9"/>
        <v>269.73333333333335</v>
      </c>
      <c r="W51">
        <f t="shared" si="9"/>
        <v>0</v>
      </c>
      <c r="X51">
        <f t="shared" si="10"/>
        <v>0</v>
      </c>
      <c r="Y51">
        <f t="shared" si="10"/>
        <v>0</v>
      </c>
      <c r="Z51">
        <f t="shared" si="10"/>
        <v>0</v>
      </c>
      <c r="AA51">
        <f t="shared" si="10"/>
        <v>0</v>
      </c>
    </row>
    <row r="52" spans="1:27" x14ac:dyDescent="0.3">
      <c r="A52">
        <v>51</v>
      </c>
      <c r="B52" s="1">
        <v>44449</v>
      </c>
      <c r="C52" s="2">
        <v>0.64993055555555557</v>
      </c>
      <c r="D52" s="1">
        <v>44449</v>
      </c>
      <c r="E52" s="3">
        <v>0.70430555555555552</v>
      </c>
      <c r="F52">
        <v>13</v>
      </c>
      <c r="G52">
        <v>20</v>
      </c>
      <c r="H52" s="3">
        <f t="shared" si="2"/>
        <v>5.4374999999999951E-2</v>
      </c>
      <c r="I52" s="3">
        <f t="shared" si="3"/>
        <v>5.4374999999999951E-2</v>
      </c>
      <c r="J52" s="3">
        <f t="shared" si="4"/>
        <v>0</v>
      </c>
      <c r="K52">
        <f t="shared" si="5"/>
        <v>156.60000000000002</v>
      </c>
      <c r="M52">
        <f t="shared" si="6"/>
        <v>0</v>
      </c>
      <c r="N52">
        <f t="shared" si="7"/>
        <v>0</v>
      </c>
      <c r="O52">
        <f t="shared" si="8"/>
        <v>0</v>
      </c>
      <c r="P52">
        <f t="shared" si="8"/>
        <v>0</v>
      </c>
      <c r="Q52">
        <f t="shared" si="8"/>
        <v>0</v>
      </c>
      <c r="R52">
        <f t="shared" si="8"/>
        <v>0</v>
      </c>
      <c r="S52">
        <f t="shared" si="11"/>
        <v>0</v>
      </c>
      <c r="T52">
        <f t="shared" si="9"/>
        <v>0</v>
      </c>
      <c r="U52">
        <f t="shared" si="9"/>
        <v>0</v>
      </c>
      <c r="V52">
        <f t="shared" si="9"/>
        <v>156.60000000000002</v>
      </c>
      <c r="W52">
        <f t="shared" si="9"/>
        <v>0</v>
      </c>
      <c r="X52">
        <f t="shared" si="10"/>
        <v>0</v>
      </c>
      <c r="Y52">
        <f t="shared" si="10"/>
        <v>0</v>
      </c>
      <c r="Z52">
        <f t="shared" si="10"/>
        <v>0</v>
      </c>
      <c r="AA52">
        <f t="shared" si="10"/>
        <v>0</v>
      </c>
    </row>
    <row r="53" spans="1:27" x14ac:dyDescent="0.3">
      <c r="A53">
        <v>52</v>
      </c>
      <c r="B53" s="1">
        <v>44449</v>
      </c>
      <c r="C53" s="2">
        <v>0.79276620370370365</v>
      </c>
      <c r="D53" s="1">
        <v>44449</v>
      </c>
      <c r="E53" s="3">
        <v>0.82553240740740741</v>
      </c>
      <c r="F53">
        <v>12</v>
      </c>
      <c r="G53">
        <v>4</v>
      </c>
      <c r="H53" s="3">
        <f t="shared" si="2"/>
        <v>3.2766203703703756E-2</v>
      </c>
      <c r="I53" s="3">
        <f t="shared" si="3"/>
        <v>3.2766203703703756E-2</v>
      </c>
      <c r="J53" s="3">
        <f t="shared" si="4"/>
        <v>0</v>
      </c>
      <c r="K53">
        <f t="shared" si="5"/>
        <v>94.366666666666674</v>
      </c>
      <c r="M53">
        <f t="shared" si="6"/>
        <v>0</v>
      </c>
      <c r="N53">
        <f t="shared" si="7"/>
        <v>0</v>
      </c>
      <c r="O53">
        <f t="shared" si="8"/>
        <v>0</v>
      </c>
      <c r="P53">
        <f t="shared" si="8"/>
        <v>0</v>
      </c>
      <c r="Q53">
        <f t="shared" si="8"/>
        <v>0</v>
      </c>
      <c r="R53">
        <f t="shared" si="8"/>
        <v>0</v>
      </c>
      <c r="S53">
        <f t="shared" si="11"/>
        <v>0</v>
      </c>
      <c r="T53">
        <f t="shared" si="9"/>
        <v>0</v>
      </c>
      <c r="U53">
        <f t="shared" si="9"/>
        <v>0</v>
      </c>
      <c r="V53">
        <f t="shared" si="9"/>
        <v>94.366666666666674</v>
      </c>
      <c r="W53">
        <f t="shared" si="9"/>
        <v>0</v>
      </c>
      <c r="X53">
        <f t="shared" si="10"/>
        <v>0</v>
      </c>
      <c r="Y53">
        <f t="shared" si="10"/>
        <v>0</v>
      </c>
      <c r="Z53">
        <f t="shared" si="10"/>
        <v>0</v>
      </c>
      <c r="AA53">
        <f t="shared" si="10"/>
        <v>0</v>
      </c>
    </row>
    <row r="54" spans="1:27" x14ac:dyDescent="0.3">
      <c r="A54">
        <v>53</v>
      </c>
      <c r="B54" s="1">
        <v>44449</v>
      </c>
      <c r="C54" s="2">
        <v>0.87574074074074071</v>
      </c>
      <c r="D54" s="1">
        <v>44450</v>
      </c>
      <c r="E54" s="3">
        <v>3.770833333333333E-2</v>
      </c>
      <c r="F54">
        <v>11</v>
      </c>
      <c r="G54">
        <v>9</v>
      </c>
      <c r="H54" s="3">
        <f t="shared" si="2"/>
        <v>23.161967592592593</v>
      </c>
      <c r="I54" s="3">
        <f t="shared" si="3"/>
        <v>0</v>
      </c>
      <c r="J54" s="3">
        <f t="shared" si="4"/>
        <v>3.770833333333333E-2</v>
      </c>
      <c r="K54">
        <f t="shared" si="5"/>
        <v>233.23333333333332</v>
      </c>
      <c r="M54">
        <f t="shared" si="6"/>
        <v>0</v>
      </c>
      <c r="N54">
        <f t="shared" si="7"/>
        <v>0</v>
      </c>
      <c r="O54">
        <f t="shared" si="8"/>
        <v>0</v>
      </c>
      <c r="P54">
        <f t="shared" si="8"/>
        <v>0</v>
      </c>
      <c r="Q54">
        <f t="shared" si="8"/>
        <v>0</v>
      </c>
      <c r="R54">
        <f t="shared" si="8"/>
        <v>0</v>
      </c>
      <c r="S54">
        <f t="shared" si="11"/>
        <v>0</v>
      </c>
      <c r="T54">
        <f t="shared" si="9"/>
        <v>0</v>
      </c>
      <c r="U54">
        <f t="shared" si="9"/>
        <v>0</v>
      </c>
      <c r="V54">
        <f t="shared" si="9"/>
        <v>233.23333333333332</v>
      </c>
      <c r="W54">
        <f t="shared" si="9"/>
        <v>0</v>
      </c>
      <c r="X54">
        <f t="shared" si="10"/>
        <v>0</v>
      </c>
      <c r="Y54">
        <f t="shared" si="10"/>
        <v>0</v>
      </c>
      <c r="Z54">
        <f t="shared" si="10"/>
        <v>0</v>
      </c>
      <c r="AA54">
        <f t="shared" si="10"/>
        <v>0</v>
      </c>
    </row>
    <row r="55" spans="1:27" x14ac:dyDescent="0.3">
      <c r="A55">
        <v>54</v>
      </c>
      <c r="B55" s="1">
        <v>44450</v>
      </c>
      <c r="C55" s="2">
        <v>0.26106481481481481</v>
      </c>
      <c r="D55" s="1">
        <v>44450</v>
      </c>
      <c r="E55" s="3">
        <v>0.38315972222222222</v>
      </c>
      <c r="F55">
        <v>12</v>
      </c>
      <c r="G55">
        <v>21</v>
      </c>
      <c r="H55" s="3">
        <f t="shared" si="2"/>
        <v>0.12209490740740742</v>
      </c>
      <c r="I55" s="3">
        <f t="shared" si="3"/>
        <v>0.12209490740740742</v>
      </c>
      <c r="J55" s="3">
        <f t="shared" si="4"/>
        <v>0</v>
      </c>
      <c r="K55">
        <f t="shared" si="5"/>
        <v>351.63333333333333</v>
      </c>
      <c r="M55">
        <f t="shared" si="6"/>
        <v>0</v>
      </c>
      <c r="N55">
        <f t="shared" si="7"/>
        <v>0</v>
      </c>
      <c r="O55">
        <f t="shared" si="8"/>
        <v>0</v>
      </c>
      <c r="P55">
        <f t="shared" si="8"/>
        <v>0</v>
      </c>
      <c r="Q55">
        <f t="shared" si="8"/>
        <v>0</v>
      </c>
      <c r="R55">
        <f t="shared" si="8"/>
        <v>0</v>
      </c>
      <c r="S55">
        <f t="shared" si="11"/>
        <v>0</v>
      </c>
      <c r="T55">
        <f t="shared" si="9"/>
        <v>0</v>
      </c>
      <c r="U55">
        <f t="shared" si="9"/>
        <v>0</v>
      </c>
      <c r="V55">
        <f t="shared" si="9"/>
        <v>0</v>
      </c>
      <c r="W55">
        <f t="shared" si="9"/>
        <v>351.63333333333333</v>
      </c>
      <c r="X55">
        <f t="shared" si="10"/>
        <v>0</v>
      </c>
      <c r="Y55">
        <f t="shared" si="10"/>
        <v>0</v>
      </c>
      <c r="Z55">
        <f t="shared" si="10"/>
        <v>0</v>
      </c>
      <c r="AA55">
        <f t="shared" si="10"/>
        <v>0</v>
      </c>
    </row>
    <row r="56" spans="1:27" x14ac:dyDescent="0.3">
      <c r="A56">
        <v>55</v>
      </c>
      <c r="B56" s="1">
        <v>44450</v>
      </c>
      <c r="C56" s="2">
        <v>0.46128472222222222</v>
      </c>
      <c r="D56" s="1">
        <v>44450</v>
      </c>
      <c r="E56" s="3">
        <v>0.50633101851851847</v>
      </c>
      <c r="F56">
        <v>14</v>
      </c>
      <c r="G56">
        <v>2</v>
      </c>
      <c r="H56" s="3">
        <f t="shared" si="2"/>
        <v>4.5046296296296251E-2</v>
      </c>
      <c r="I56" s="3">
        <f t="shared" si="3"/>
        <v>4.5046296296296251E-2</v>
      </c>
      <c r="J56" s="3">
        <f t="shared" si="4"/>
        <v>0</v>
      </c>
      <c r="K56">
        <f t="shared" si="5"/>
        <v>129.73333333333335</v>
      </c>
      <c r="M56">
        <f t="shared" si="6"/>
        <v>0</v>
      </c>
      <c r="N56">
        <f t="shared" si="7"/>
        <v>0</v>
      </c>
      <c r="O56">
        <f t="shared" si="8"/>
        <v>0</v>
      </c>
      <c r="P56">
        <f t="shared" si="8"/>
        <v>0</v>
      </c>
      <c r="Q56">
        <f t="shared" si="8"/>
        <v>0</v>
      </c>
      <c r="R56">
        <f t="shared" si="8"/>
        <v>0</v>
      </c>
      <c r="S56">
        <f t="shared" si="11"/>
        <v>0</v>
      </c>
      <c r="T56">
        <f t="shared" si="9"/>
        <v>0</v>
      </c>
      <c r="U56">
        <f t="shared" si="9"/>
        <v>0</v>
      </c>
      <c r="V56">
        <f t="shared" si="9"/>
        <v>0</v>
      </c>
      <c r="W56">
        <f t="shared" si="9"/>
        <v>129.73333333333335</v>
      </c>
      <c r="X56">
        <f t="shared" si="10"/>
        <v>0</v>
      </c>
      <c r="Y56">
        <f t="shared" si="10"/>
        <v>0</v>
      </c>
      <c r="Z56">
        <f t="shared" si="10"/>
        <v>0</v>
      </c>
      <c r="AA56">
        <f t="shared" si="10"/>
        <v>0</v>
      </c>
    </row>
    <row r="57" spans="1:27" x14ac:dyDescent="0.3">
      <c r="A57">
        <v>56</v>
      </c>
      <c r="B57" s="1">
        <v>44450</v>
      </c>
      <c r="C57" s="2">
        <v>0.56730324074074068</v>
      </c>
      <c r="D57" s="1">
        <v>44450</v>
      </c>
      <c r="E57" s="3">
        <v>0.60193287037037035</v>
      </c>
      <c r="F57">
        <v>17</v>
      </c>
      <c r="G57">
        <v>9</v>
      </c>
      <c r="H57" s="3">
        <f t="shared" si="2"/>
        <v>3.4629629629629677E-2</v>
      </c>
      <c r="I57" s="3">
        <f t="shared" si="3"/>
        <v>3.4629629629629677E-2</v>
      </c>
      <c r="J57" s="3">
        <f t="shared" si="4"/>
        <v>0</v>
      </c>
      <c r="K57">
        <f t="shared" si="5"/>
        <v>99.733333333333334</v>
      </c>
      <c r="M57">
        <f t="shared" si="6"/>
        <v>0</v>
      </c>
      <c r="N57">
        <f t="shared" si="7"/>
        <v>0</v>
      </c>
      <c r="O57">
        <f t="shared" si="8"/>
        <v>0</v>
      </c>
      <c r="P57">
        <f t="shared" si="8"/>
        <v>0</v>
      </c>
      <c r="Q57">
        <f t="shared" si="8"/>
        <v>0</v>
      </c>
      <c r="R57">
        <f t="shared" si="8"/>
        <v>0</v>
      </c>
      <c r="S57">
        <f t="shared" si="11"/>
        <v>0</v>
      </c>
      <c r="T57">
        <f t="shared" si="9"/>
        <v>0</v>
      </c>
      <c r="U57">
        <f t="shared" si="9"/>
        <v>0</v>
      </c>
      <c r="V57">
        <f t="shared" si="9"/>
        <v>0</v>
      </c>
      <c r="W57">
        <f t="shared" si="9"/>
        <v>99.733333333333334</v>
      </c>
      <c r="X57">
        <f t="shared" si="10"/>
        <v>0</v>
      </c>
      <c r="Y57">
        <f t="shared" si="10"/>
        <v>0</v>
      </c>
      <c r="Z57">
        <f t="shared" si="10"/>
        <v>0</v>
      </c>
      <c r="AA57">
        <f t="shared" si="10"/>
        <v>0</v>
      </c>
    </row>
    <row r="58" spans="1:27" x14ac:dyDescent="0.3">
      <c r="A58">
        <v>57</v>
      </c>
      <c r="B58" s="1">
        <v>44450</v>
      </c>
      <c r="C58" s="2">
        <v>0.66475694444444444</v>
      </c>
      <c r="D58" s="1">
        <v>44450</v>
      </c>
      <c r="E58" s="3">
        <v>0.71930555555555553</v>
      </c>
      <c r="F58">
        <v>3</v>
      </c>
      <c r="G58">
        <v>9</v>
      </c>
      <c r="H58" s="3">
        <f t="shared" si="2"/>
        <v>5.4548611111111089E-2</v>
      </c>
      <c r="I58" s="3">
        <f t="shared" si="3"/>
        <v>5.4548611111111089E-2</v>
      </c>
      <c r="J58" s="3">
        <f t="shared" si="4"/>
        <v>0</v>
      </c>
      <c r="K58">
        <f t="shared" si="5"/>
        <v>157.10000000000002</v>
      </c>
      <c r="M58">
        <f t="shared" si="6"/>
        <v>0</v>
      </c>
      <c r="N58">
        <f t="shared" si="7"/>
        <v>0</v>
      </c>
      <c r="O58">
        <f t="shared" si="8"/>
        <v>0</v>
      </c>
      <c r="P58">
        <f t="shared" si="8"/>
        <v>0</v>
      </c>
      <c r="Q58">
        <f t="shared" si="8"/>
        <v>0</v>
      </c>
      <c r="R58">
        <f t="shared" si="8"/>
        <v>0</v>
      </c>
      <c r="S58">
        <f t="shared" si="11"/>
        <v>0</v>
      </c>
      <c r="T58">
        <f t="shared" si="9"/>
        <v>0</v>
      </c>
      <c r="U58">
        <f t="shared" si="9"/>
        <v>0</v>
      </c>
      <c r="V58">
        <f t="shared" si="9"/>
        <v>0</v>
      </c>
      <c r="W58">
        <f t="shared" si="9"/>
        <v>157.10000000000002</v>
      </c>
      <c r="X58">
        <f t="shared" si="10"/>
        <v>0</v>
      </c>
      <c r="Y58">
        <f t="shared" si="10"/>
        <v>0</v>
      </c>
      <c r="Z58">
        <f t="shared" si="10"/>
        <v>0</v>
      </c>
      <c r="AA58">
        <f t="shared" si="10"/>
        <v>0</v>
      </c>
    </row>
    <row r="59" spans="1:27" x14ac:dyDescent="0.3">
      <c r="A59">
        <v>58</v>
      </c>
      <c r="B59" s="1">
        <v>44450</v>
      </c>
      <c r="C59" s="2">
        <v>0.79238425925925926</v>
      </c>
      <c r="D59" s="1">
        <v>44450</v>
      </c>
      <c r="E59" s="3">
        <v>0.88265046296296301</v>
      </c>
      <c r="F59">
        <v>11</v>
      </c>
      <c r="G59">
        <v>3</v>
      </c>
      <c r="H59" s="3">
        <f t="shared" si="2"/>
        <v>9.0266203703703751E-2</v>
      </c>
      <c r="I59" s="3">
        <f t="shared" si="3"/>
        <v>9.0266203703703751E-2</v>
      </c>
      <c r="J59" s="3">
        <f t="shared" si="4"/>
        <v>0</v>
      </c>
      <c r="K59">
        <f t="shared" si="5"/>
        <v>259.9666666666667</v>
      </c>
      <c r="M59">
        <f t="shared" si="6"/>
        <v>0</v>
      </c>
      <c r="N59">
        <f t="shared" si="7"/>
        <v>0</v>
      </c>
      <c r="O59">
        <f t="shared" si="8"/>
        <v>0</v>
      </c>
      <c r="P59">
        <f t="shared" si="8"/>
        <v>0</v>
      </c>
      <c r="Q59">
        <f t="shared" si="8"/>
        <v>0</v>
      </c>
      <c r="R59">
        <f t="shared" si="8"/>
        <v>0</v>
      </c>
      <c r="S59">
        <f t="shared" si="11"/>
        <v>0</v>
      </c>
      <c r="T59">
        <f t="shared" si="9"/>
        <v>0</v>
      </c>
      <c r="U59">
        <f t="shared" si="9"/>
        <v>0</v>
      </c>
      <c r="V59">
        <f t="shared" si="9"/>
        <v>0</v>
      </c>
      <c r="W59">
        <f t="shared" si="9"/>
        <v>259.9666666666667</v>
      </c>
      <c r="X59">
        <f t="shared" si="10"/>
        <v>0</v>
      </c>
      <c r="Y59">
        <f t="shared" si="10"/>
        <v>0</v>
      </c>
      <c r="Z59">
        <f t="shared" si="10"/>
        <v>0</v>
      </c>
      <c r="AA59">
        <f t="shared" si="10"/>
        <v>0</v>
      </c>
    </row>
    <row r="60" spans="1:27" x14ac:dyDescent="0.3">
      <c r="A60">
        <v>59</v>
      </c>
      <c r="B60" s="1">
        <v>44451</v>
      </c>
      <c r="C60" s="2">
        <v>0.16666666666666666</v>
      </c>
      <c r="D60" s="1">
        <v>44451</v>
      </c>
      <c r="E60" s="3">
        <v>0.23270833333333332</v>
      </c>
      <c r="F60">
        <v>8</v>
      </c>
      <c r="G60">
        <v>4</v>
      </c>
      <c r="H60" s="3">
        <f t="shared" si="2"/>
        <v>6.6041666666666665E-2</v>
      </c>
      <c r="I60" s="3">
        <f t="shared" si="3"/>
        <v>6.6041666666666665E-2</v>
      </c>
      <c r="J60" s="3">
        <f t="shared" si="4"/>
        <v>0</v>
      </c>
      <c r="K60">
        <f t="shared" si="5"/>
        <v>190.2</v>
      </c>
      <c r="M60">
        <f t="shared" si="6"/>
        <v>0</v>
      </c>
      <c r="N60">
        <f t="shared" si="7"/>
        <v>0</v>
      </c>
      <c r="O60">
        <f t="shared" si="8"/>
        <v>0</v>
      </c>
      <c r="P60">
        <f t="shared" si="8"/>
        <v>0</v>
      </c>
      <c r="Q60">
        <f t="shared" si="8"/>
        <v>0</v>
      </c>
      <c r="R60">
        <f t="shared" si="8"/>
        <v>0</v>
      </c>
      <c r="S60">
        <f t="shared" si="11"/>
        <v>0</v>
      </c>
      <c r="T60">
        <f t="shared" si="9"/>
        <v>0</v>
      </c>
      <c r="U60">
        <f t="shared" si="9"/>
        <v>0</v>
      </c>
      <c r="V60">
        <f t="shared" si="9"/>
        <v>0</v>
      </c>
      <c r="W60">
        <f t="shared" si="9"/>
        <v>0</v>
      </c>
      <c r="X60">
        <f t="shared" si="10"/>
        <v>190.2</v>
      </c>
      <c r="Y60">
        <f t="shared" si="10"/>
        <v>0</v>
      </c>
      <c r="Z60">
        <f t="shared" si="10"/>
        <v>0</v>
      </c>
      <c r="AA60">
        <f t="shared" si="10"/>
        <v>0</v>
      </c>
    </row>
    <row r="61" spans="1:27" x14ac:dyDescent="0.3">
      <c r="A61">
        <v>60</v>
      </c>
      <c r="B61" s="1">
        <v>44451</v>
      </c>
      <c r="C61" s="2">
        <v>0.34324074074074074</v>
      </c>
      <c r="D61" s="1">
        <v>44451</v>
      </c>
      <c r="E61" s="3">
        <v>0.42799768518518522</v>
      </c>
      <c r="F61">
        <v>1</v>
      </c>
      <c r="G61">
        <v>6</v>
      </c>
      <c r="H61" s="3">
        <f t="shared" si="2"/>
        <v>8.4756944444444482E-2</v>
      </c>
      <c r="I61" s="3">
        <f t="shared" si="3"/>
        <v>8.4756944444444482E-2</v>
      </c>
      <c r="J61" s="3">
        <f t="shared" si="4"/>
        <v>0</v>
      </c>
      <c r="K61">
        <f t="shared" si="5"/>
        <v>244.10000000000002</v>
      </c>
      <c r="M61">
        <f t="shared" si="6"/>
        <v>0</v>
      </c>
      <c r="N61">
        <f t="shared" si="7"/>
        <v>0</v>
      </c>
      <c r="O61">
        <f t="shared" si="8"/>
        <v>0</v>
      </c>
      <c r="P61">
        <f t="shared" si="8"/>
        <v>0</v>
      </c>
      <c r="Q61">
        <f t="shared" si="8"/>
        <v>0</v>
      </c>
      <c r="R61">
        <f t="shared" si="8"/>
        <v>0</v>
      </c>
      <c r="S61">
        <f t="shared" si="11"/>
        <v>0</v>
      </c>
      <c r="T61">
        <f t="shared" si="9"/>
        <v>0</v>
      </c>
      <c r="U61">
        <f t="shared" si="9"/>
        <v>0</v>
      </c>
      <c r="V61">
        <f t="shared" si="9"/>
        <v>0</v>
      </c>
      <c r="W61">
        <f t="shared" si="9"/>
        <v>0</v>
      </c>
      <c r="X61">
        <f t="shared" si="10"/>
        <v>244.10000000000002</v>
      </c>
      <c r="Y61">
        <f t="shared" si="10"/>
        <v>0</v>
      </c>
      <c r="Z61">
        <f t="shared" si="10"/>
        <v>0</v>
      </c>
      <c r="AA61">
        <f t="shared" si="10"/>
        <v>0</v>
      </c>
    </row>
    <row r="62" spans="1:27" x14ac:dyDescent="0.3">
      <c r="A62">
        <v>61</v>
      </c>
      <c r="B62" s="1">
        <v>44451</v>
      </c>
      <c r="C62" s="2">
        <v>0.52084490740740741</v>
      </c>
      <c r="D62" s="1">
        <v>44451</v>
      </c>
      <c r="E62" s="3">
        <v>0.59403935185185186</v>
      </c>
      <c r="F62">
        <v>4</v>
      </c>
      <c r="G62">
        <v>21</v>
      </c>
      <c r="H62" s="3">
        <f t="shared" si="2"/>
        <v>7.3194444444444451E-2</v>
      </c>
      <c r="I62" s="3">
        <f t="shared" si="3"/>
        <v>7.3194444444444451E-2</v>
      </c>
      <c r="J62" s="3">
        <f t="shared" si="4"/>
        <v>0</v>
      </c>
      <c r="K62">
        <f t="shared" si="5"/>
        <v>210.8</v>
      </c>
      <c r="M62">
        <f t="shared" si="6"/>
        <v>0</v>
      </c>
      <c r="N62">
        <f t="shared" si="7"/>
        <v>0</v>
      </c>
      <c r="O62">
        <f t="shared" si="8"/>
        <v>0</v>
      </c>
      <c r="P62">
        <f t="shared" si="8"/>
        <v>0</v>
      </c>
      <c r="Q62">
        <f t="shared" si="8"/>
        <v>0</v>
      </c>
      <c r="R62">
        <f t="shared" si="8"/>
        <v>0</v>
      </c>
      <c r="S62">
        <f t="shared" si="11"/>
        <v>0</v>
      </c>
      <c r="T62">
        <f t="shared" si="9"/>
        <v>0</v>
      </c>
      <c r="U62">
        <f t="shared" si="9"/>
        <v>0</v>
      </c>
      <c r="V62">
        <f t="shared" si="9"/>
        <v>0</v>
      </c>
      <c r="W62">
        <f t="shared" si="9"/>
        <v>0</v>
      </c>
      <c r="X62">
        <f t="shared" si="10"/>
        <v>210.8</v>
      </c>
      <c r="Y62">
        <f t="shared" si="10"/>
        <v>0</v>
      </c>
      <c r="Z62">
        <f t="shared" si="10"/>
        <v>0</v>
      </c>
      <c r="AA62">
        <f t="shared" si="10"/>
        <v>0</v>
      </c>
    </row>
    <row r="63" spans="1:27" x14ac:dyDescent="0.3">
      <c r="A63">
        <v>62</v>
      </c>
      <c r="B63" s="1">
        <v>44451</v>
      </c>
      <c r="C63" s="2">
        <v>0.73968750000000005</v>
      </c>
      <c r="D63" s="1">
        <v>44451</v>
      </c>
      <c r="E63" s="3">
        <v>0.79862268518518509</v>
      </c>
      <c r="F63">
        <v>9</v>
      </c>
      <c r="G63">
        <v>11</v>
      </c>
      <c r="H63" s="3">
        <f t="shared" si="2"/>
        <v>5.8935185185185035E-2</v>
      </c>
      <c r="I63" s="3">
        <f t="shared" si="3"/>
        <v>5.8935185185185035E-2</v>
      </c>
      <c r="J63" s="3">
        <f t="shared" si="4"/>
        <v>0</v>
      </c>
      <c r="K63">
        <f t="shared" si="5"/>
        <v>169.73333333333335</v>
      </c>
      <c r="M63">
        <f t="shared" si="6"/>
        <v>0</v>
      </c>
      <c r="N63">
        <f t="shared" si="7"/>
        <v>0</v>
      </c>
      <c r="O63">
        <f t="shared" si="8"/>
        <v>0</v>
      </c>
      <c r="P63">
        <f t="shared" si="8"/>
        <v>0</v>
      </c>
      <c r="Q63">
        <f t="shared" si="8"/>
        <v>0</v>
      </c>
      <c r="R63">
        <f t="shared" si="8"/>
        <v>0</v>
      </c>
      <c r="S63">
        <f t="shared" si="11"/>
        <v>0</v>
      </c>
      <c r="T63">
        <f t="shared" si="9"/>
        <v>0</v>
      </c>
      <c r="U63">
        <f t="shared" si="9"/>
        <v>0</v>
      </c>
      <c r="V63">
        <f t="shared" si="9"/>
        <v>0</v>
      </c>
      <c r="W63">
        <f t="shared" si="9"/>
        <v>0</v>
      </c>
      <c r="X63">
        <f t="shared" si="10"/>
        <v>169.73333333333335</v>
      </c>
      <c r="Y63">
        <f t="shared" si="10"/>
        <v>0</v>
      </c>
      <c r="Z63">
        <f t="shared" si="10"/>
        <v>0</v>
      </c>
      <c r="AA63">
        <f t="shared" si="10"/>
        <v>0</v>
      </c>
    </row>
    <row r="64" spans="1:27" x14ac:dyDescent="0.3">
      <c r="A64">
        <v>63</v>
      </c>
      <c r="B64" s="1">
        <v>44452</v>
      </c>
      <c r="C64" s="2">
        <v>0.21440972222222221</v>
      </c>
      <c r="D64" s="1">
        <v>44452</v>
      </c>
      <c r="E64" s="3">
        <v>0.38071759259259258</v>
      </c>
      <c r="F64">
        <v>12</v>
      </c>
      <c r="G64">
        <v>7</v>
      </c>
      <c r="H64" s="3">
        <f t="shared" si="2"/>
        <v>0.16630787037037037</v>
      </c>
      <c r="I64" s="3">
        <f t="shared" si="3"/>
        <v>0.16630787037037037</v>
      </c>
      <c r="J64" s="3">
        <f t="shared" si="4"/>
        <v>0</v>
      </c>
      <c r="K64">
        <f t="shared" si="5"/>
        <v>478.9666666666667</v>
      </c>
      <c r="M64">
        <f t="shared" si="6"/>
        <v>0</v>
      </c>
      <c r="N64">
        <f t="shared" si="7"/>
        <v>0</v>
      </c>
      <c r="O64">
        <f t="shared" si="8"/>
        <v>0</v>
      </c>
      <c r="P64">
        <f t="shared" si="8"/>
        <v>0</v>
      </c>
      <c r="Q64">
        <f t="shared" si="8"/>
        <v>0</v>
      </c>
      <c r="R64">
        <f t="shared" si="8"/>
        <v>0</v>
      </c>
      <c r="S64">
        <f t="shared" si="11"/>
        <v>0</v>
      </c>
      <c r="T64">
        <f t="shared" si="9"/>
        <v>0</v>
      </c>
      <c r="U64">
        <f t="shared" si="9"/>
        <v>0</v>
      </c>
      <c r="V64">
        <f t="shared" si="9"/>
        <v>0</v>
      </c>
      <c r="W64">
        <f t="shared" si="9"/>
        <v>0</v>
      </c>
      <c r="X64">
        <f t="shared" si="10"/>
        <v>0</v>
      </c>
      <c r="Y64">
        <f t="shared" si="10"/>
        <v>478.9666666666667</v>
      </c>
      <c r="Z64">
        <f t="shared" si="10"/>
        <v>0</v>
      </c>
      <c r="AA64">
        <f t="shared" si="10"/>
        <v>0</v>
      </c>
    </row>
    <row r="65" spans="1:27" x14ac:dyDescent="0.3">
      <c r="A65">
        <v>64</v>
      </c>
      <c r="B65" s="1">
        <v>44452</v>
      </c>
      <c r="C65" s="2">
        <v>0.46302083333333338</v>
      </c>
      <c r="D65" s="1">
        <v>44452</v>
      </c>
      <c r="E65" s="3">
        <v>0.53340277777777778</v>
      </c>
      <c r="F65">
        <v>11</v>
      </c>
      <c r="G65">
        <v>13</v>
      </c>
      <c r="H65" s="3">
        <f t="shared" si="2"/>
        <v>7.03819444444444E-2</v>
      </c>
      <c r="I65" s="3">
        <f t="shared" si="3"/>
        <v>7.03819444444444E-2</v>
      </c>
      <c r="J65" s="3">
        <f t="shared" si="4"/>
        <v>0</v>
      </c>
      <c r="K65">
        <f t="shared" si="5"/>
        <v>202.7</v>
      </c>
      <c r="M65">
        <f t="shared" si="6"/>
        <v>0</v>
      </c>
      <c r="N65">
        <f t="shared" si="7"/>
        <v>0</v>
      </c>
      <c r="O65">
        <f t="shared" si="8"/>
        <v>0</v>
      </c>
      <c r="P65">
        <f t="shared" si="8"/>
        <v>0</v>
      </c>
      <c r="Q65">
        <f t="shared" si="8"/>
        <v>0</v>
      </c>
      <c r="R65">
        <f t="shared" si="8"/>
        <v>0</v>
      </c>
      <c r="S65">
        <f t="shared" si="11"/>
        <v>0</v>
      </c>
      <c r="T65">
        <f t="shared" si="9"/>
        <v>0</v>
      </c>
      <c r="U65">
        <f t="shared" si="9"/>
        <v>0</v>
      </c>
      <c r="V65">
        <f t="shared" si="9"/>
        <v>0</v>
      </c>
      <c r="W65">
        <f t="shared" si="9"/>
        <v>0</v>
      </c>
      <c r="X65">
        <f t="shared" si="10"/>
        <v>0</v>
      </c>
      <c r="Y65">
        <f t="shared" si="10"/>
        <v>202.7</v>
      </c>
      <c r="Z65">
        <f t="shared" si="10"/>
        <v>0</v>
      </c>
      <c r="AA65">
        <f t="shared" si="10"/>
        <v>0</v>
      </c>
    </row>
    <row r="66" spans="1:27" x14ac:dyDescent="0.3">
      <c r="A66">
        <v>65</v>
      </c>
      <c r="B66" s="1">
        <v>44452</v>
      </c>
      <c r="C66" s="2">
        <v>0.55218749999999994</v>
      </c>
      <c r="D66" s="1">
        <v>44452</v>
      </c>
      <c r="E66" s="3">
        <v>0.62197916666666664</v>
      </c>
      <c r="F66">
        <v>16</v>
      </c>
      <c r="G66">
        <v>21</v>
      </c>
      <c r="H66" s="3">
        <f t="shared" si="2"/>
        <v>6.9791666666666696E-2</v>
      </c>
      <c r="I66" s="3">
        <f t="shared" si="3"/>
        <v>6.9791666666666696E-2</v>
      </c>
      <c r="J66" s="3">
        <f t="shared" si="4"/>
        <v>0</v>
      </c>
      <c r="K66">
        <f t="shared" si="5"/>
        <v>201</v>
      </c>
      <c r="M66">
        <f t="shared" si="6"/>
        <v>0</v>
      </c>
      <c r="N66">
        <f t="shared" si="7"/>
        <v>0</v>
      </c>
      <c r="O66">
        <f t="shared" si="8"/>
        <v>0</v>
      </c>
      <c r="P66">
        <f t="shared" si="8"/>
        <v>0</v>
      </c>
      <c r="Q66">
        <f t="shared" si="8"/>
        <v>0</v>
      </c>
      <c r="R66">
        <f t="shared" si="8"/>
        <v>0</v>
      </c>
      <c r="S66">
        <f t="shared" si="11"/>
        <v>0</v>
      </c>
      <c r="T66">
        <f t="shared" si="9"/>
        <v>0</v>
      </c>
      <c r="U66">
        <f t="shared" si="9"/>
        <v>0</v>
      </c>
      <c r="V66">
        <f t="shared" si="9"/>
        <v>0</v>
      </c>
      <c r="W66">
        <f t="shared" si="9"/>
        <v>0</v>
      </c>
      <c r="X66">
        <f t="shared" si="10"/>
        <v>0</v>
      </c>
      <c r="Y66">
        <f t="shared" si="10"/>
        <v>201</v>
      </c>
      <c r="Z66">
        <f t="shared" si="10"/>
        <v>0</v>
      </c>
      <c r="AA66">
        <f t="shared" si="10"/>
        <v>0</v>
      </c>
    </row>
    <row r="67" spans="1:27" x14ac:dyDescent="0.3">
      <c r="A67">
        <v>66</v>
      </c>
      <c r="B67" s="1">
        <v>44452</v>
      </c>
      <c r="C67" s="2">
        <v>0.6699652777777777</v>
      </c>
      <c r="D67" s="1">
        <v>44452</v>
      </c>
      <c r="E67" s="3">
        <v>0.75</v>
      </c>
      <c r="F67">
        <v>19</v>
      </c>
      <c r="G67">
        <v>10</v>
      </c>
      <c r="H67" s="3">
        <f t="shared" ref="H67:H130" si="12">IF(E67&lt;C67,(24-C67)+E67,E67-C67)</f>
        <v>8.0034722222222299E-2</v>
      </c>
      <c r="I67" s="3">
        <f t="shared" ref="I67:I130" si="13">IF(B67=D67,H67,0)</f>
        <v>8.0034722222222299E-2</v>
      </c>
      <c r="J67" s="3">
        <f t="shared" ref="J67:J130" si="14">IF(B67=D67,0,E67)</f>
        <v>0</v>
      </c>
      <c r="K67">
        <f t="shared" ref="K67:K130" si="15">SUM(HOUR(H67)*60,MINUTE(H67),SECOND(H67)/60,HOUR(I67)*60,MINUTE(I67),SECOND(I67)/60)</f>
        <v>230.5</v>
      </c>
      <c r="M67">
        <f t="shared" ref="M67:M130" si="16">IF(DAY(B67)=$M$1,K67,0)</f>
        <v>0</v>
      </c>
      <c r="N67">
        <f t="shared" ref="N67:N130" si="17">IF(DAY($B67)=N$1,$K67,0)</f>
        <v>0</v>
      </c>
      <c r="O67">
        <f t="shared" ref="O67:R130" si="18">IF(DAY($B67)=O$1,$K67,0)</f>
        <v>0</v>
      </c>
      <c r="P67">
        <f t="shared" si="18"/>
        <v>0</v>
      </c>
      <c r="Q67">
        <f t="shared" si="18"/>
        <v>0</v>
      </c>
      <c r="R67">
        <f t="shared" si="18"/>
        <v>0</v>
      </c>
      <c r="S67">
        <f t="shared" si="11"/>
        <v>0</v>
      </c>
      <c r="T67">
        <f t="shared" si="9"/>
        <v>0</v>
      </c>
      <c r="U67">
        <f t="shared" si="9"/>
        <v>0</v>
      </c>
      <c r="V67">
        <f t="shared" si="9"/>
        <v>0</v>
      </c>
      <c r="W67">
        <f t="shared" si="9"/>
        <v>0</v>
      </c>
      <c r="X67">
        <f t="shared" si="10"/>
        <v>0</v>
      </c>
      <c r="Y67">
        <f t="shared" si="10"/>
        <v>230.5</v>
      </c>
      <c r="Z67">
        <f t="shared" si="10"/>
        <v>0</v>
      </c>
      <c r="AA67">
        <f t="shared" si="10"/>
        <v>0</v>
      </c>
    </row>
    <row r="68" spans="1:27" x14ac:dyDescent="0.3">
      <c r="A68">
        <v>67</v>
      </c>
      <c r="B68" s="1">
        <v>44452</v>
      </c>
      <c r="C68" s="2">
        <v>0.83971064814814822</v>
      </c>
      <c r="D68" s="1">
        <v>44452</v>
      </c>
      <c r="E68" s="3">
        <v>0.9196643518518518</v>
      </c>
      <c r="F68">
        <v>3</v>
      </c>
      <c r="G68">
        <v>0</v>
      </c>
      <c r="H68" s="3">
        <f t="shared" si="12"/>
        <v>7.9953703703703582E-2</v>
      </c>
      <c r="I68" s="3">
        <f t="shared" si="13"/>
        <v>7.9953703703703582E-2</v>
      </c>
      <c r="J68" s="3">
        <f t="shared" si="14"/>
        <v>0</v>
      </c>
      <c r="K68">
        <f t="shared" si="15"/>
        <v>230.26666666666665</v>
      </c>
      <c r="M68">
        <f t="shared" si="16"/>
        <v>0</v>
      </c>
      <c r="N68">
        <f t="shared" si="17"/>
        <v>0</v>
      </c>
      <c r="O68">
        <f t="shared" si="18"/>
        <v>0</v>
      </c>
      <c r="P68">
        <f t="shared" si="18"/>
        <v>0</v>
      </c>
      <c r="Q68">
        <f t="shared" si="18"/>
        <v>0</v>
      </c>
      <c r="R68">
        <f t="shared" si="18"/>
        <v>0</v>
      </c>
      <c r="S68">
        <f t="shared" si="11"/>
        <v>0</v>
      </c>
      <c r="T68">
        <f t="shared" si="9"/>
        <v>0</v>
      </c>
      <c r="U68">
        <f t="shared" si="9"/>
        <v>0</v>
      </c>
      <c r="V68">
        <f t="shared" si="9"/>
        <v>0</v>
      </c>
      <c r="W68">
        <f t="shared" si="9"/>
        <v>0</v>
      </c>
      <c r="X68">
        <f t="shared" si="10"/>
        <v>0</v>
      </c>
      <c r="Y68">
        <f t="shared" si="10"/>
        <v>230.26666666666665</v>
      </c>
      <c r="Z68">
        <f t="shared" si="10"/>
        <v>0</v>
      </c>
      <c r="AA68">
        <f t="shared" si="10"/>
        <v>0</v>
      </c>
    </row>
    <row r="69" spans="1:27" x14ac:dyDescent="0.3">
      <c r="A69">
        <v>68</v>
      </c>
      <c r="B69" s="1">
        <v>44453</v>
      </c>
      <c r="C69" s="2">
        <v>0.17733796296296298</v>
      </c>
      <c r="D69" s="1">
        <v>44453</v>
      </c>
      <c r="E69" s="3">
        <v>0.26</v>
      </c>
      <c r="F69">
        <v>12</v>
      </c>
      <c r="G69">
        <v>21</v>
      </c>
      <c r="H69" s="3">
        <f t="shared" si="12"/>
        <v>8.2662037037037034E-2</v>
      </c>
      <c r="I69" s="3">
        <f t="shared" si="13"/>
        <v>8.2662037037037034E-2</v>
      </c>
      <c r="J69" s="3">
        <f t="shared" si="14"/>
        <v>0</v>
      </c>
      <c r="K69">
        <f t="shared" si="15"/>
        <v>238.06666666666666</v>
      </c>
      <c r="M69">
        <f t="shared" si="16"/>
        <v>0</v>
      </c>
      <c r="N69">
        <f t="shared" si="17"/>
        <v>0</v>
      </c>
      <c r="O69">
        <f t="shared" si="18"/>
        <v>0</v>
      </c>
      <c r="P69">
        <f t="shared" si="18"/>
        <v>0</v>
      </c>
      <c r="Q69">
        <f t="shared" si="18"/>
        <v>0</v>
      </c>
      <c r="R69">
        <f t="shared" si="18"/>
        <v>0</v>
      </c>
      <c r="S69">
        <f t="shared" si="11"/>
        <v>0</v>
      </c>
      <c r="T69">
        <f t="shared" si="9"/>
        <v>0</v>
      </c>
      <c r="U69">
        <f t="shared" si="9"/>
        <v>0</v>
      </c>
      <c r="V69">
        <f t="shared" si="9"/>
        <v>0</v>
      </c>
      <c r="W69">
        <f t="shared" si="9"/>
        <v>0</v>
      </c>
      <c r="X69">
        <f t="shared" si="10"/>
        <v>0</v>
      </c>
      <c r="Y69">
        <f t="shared" si="10"/>
        <v>0</v>
      </c>
      <c r="Z69">
        <f t="shared" si="10"/>
        <v>238.06666666666666</v>
      </c>
      <c r="AA69">
        <f t="shared" si="10"/>
        <v>0</v>
      </c>
    </row>
    <row r="70" spans="1:27" x14ac:dyDescent="0.3">
      <c r="A70">
        <v>69</v>
      </c>
      <c r="B70" s="1">
        <v>44453</v>
      </c>
      <c r="C70" s="2">
        <v>0.34437500000000004</v>
      </c>
      <c r="D70" s="1">
        <v>44453</v>
      </c>
      <c r="E70" s="3">
        <v>0.42008101851851848</v>
      </c>
      <c r="F70">
        <v>17</v>
      </c>
      <c r="G70">
        <v>20</v>
      </c>
      <c r="H70" s="3">
        <f t="shared" si="12"/>
        <v>7.5706018518518436E-2</v>
      </c>
      <c r="I70" s="3">
        <f t="shared" si="13"/>
        <v>7.5706018518518436E-2</v>
      </c>
      <c r="J70" s="3">
        <f t="shared" si="14"/>
        <v>0</v>
      </c>
      <c r="K70">
        <f t="shared" si="15"/>
        <v>218.03333333333333</v>
      </c>
      <c r="M70">
        <f t="shared" si="16"/>
        <v>0</v>
      </c>
      <c r="N70">
        <f t="shared" si="17"/>
        <v>0</v>
      </c>
      <c r="O70">
        <f t="shared" si="18"/>
        <v>0</v>
      </c>
      <c r="P70">
        <f t="shared" si="18"/>
        <v>0</v>
      </c>
      <c r="Q70">
        <f t="shared" si="18"/>
        <v>0</v>
      </c>
      <c r="R70">
        <f t="shared" si="18"/>
        <v>0</v>
      </c>
      <c r="S70">
        <f t="shared" si="11"/>
        <v>0</v>
      </c>
      <c r="T70">
        <f t="shared" si="9"/>
        <v>0</v>
      </c>
      <c r="U70">
        <f t="shared" si="9"/>
        <v>0</v>
      </c>
      <c r="V70">
        <f t="shared" si="9"/>
        <v>0</v>
      </c>
      <c r="W70">
        <f t="shared" si="9"/>
        <v>0</v>
      </c>
      <c r="X70">
        <f t="shared" si="10"/>
        <v>0</v>
      </c>
      <c r="Y70">
        <f t="shared" si="10"/>
        <v>0</v>
      </c>
      <c r="Z70">
        <f t="shared" si="10"/>
        <v>218.03333333333333</v>
      </c>
      <c r="AA70">
        <f t="shared" si="10"/>
        <v>0</v>
      </c>
    </row>
    <row r="71" spans="1:27" x14ac:dyDescent="0.3">
      <c r="A71">
        <v>70</v>
      </c>
      <c r="B71" s="1">
        <v>44453</v>
      </c>
      <c r="C71" s="2">
        <v>0.5</v>
      </c>
      <c r="D71" s="1">
        <v>44453</v>
      </c>
      <c r="E71" s="3">
        <v>0.58119212962962963</v>
      </c>
      <c r="F71">
        <v>11</v>
      </c>
      <c r="G71">
        <v>22</v>
      </c>
      <c r="H71" s="3">
        <f t="shared" si="12"/>
        <v>8.1192129629629628E-2</v>
      </c>
      <c r="I71" s="3">
        <f t="shared" si="13"/>
        <v>8.1192129629629628E-2</v>
      </c>
      <c r="J71" s="3">
        <f t="shared" si="14"/>
        <v>0</v>
      </c>
      <c r="K71">
        <f t="shared" si="15"/>
        <v>233.83333333333334</v>
      </c>
      <c r="M71">
        <f t="shared" si="16"/>
        <v>0</v>
      </c>
      <c r="N71">
        <f t="shared" si="17"/>
        <v>0</v>
      </c>
      <c r="O71">
        <f t="shared" si="18"/>
        <v>0</v>
      </c>
      <c r="P71">
        <f t="shared" si="18"/>
        <v>0</v>
      </c>
      <c r="Q71">
        <f t="shared" si="18"/>
        <v>0</v>
      </c>
      <c r="R71">
        <f t="shared" si="18"/>
        <v>0</v>
      </c>
      <c r="S71">
        <f t="shared" si="11"/>
        <v>0</v>
      </c>
      <c r="T71">
        <f t="shared" si="9"/>
        <v>0</v>
      </c>
      <c r="U71">
        <f t="shared" si="9"/>
        <v>0</v>
      </c>
      <c r="V71">
        <f t="shared" si="9"/>
        <v>0</v>
      </c>
      <c r="W71">
        <f t="shared" si="9"/>
        <v>0</v>
      </c>
      <c r="X71">
        <f t="shared" si="10"/>
        <v>0</v>
      </c>
      <c r="Y71">
        <f t="shared" si="10"/>
        <v>0</v>
      </c>
      <c r="Z71">
        <f t="shared" si="10"/>
        <v>233.83333333333334</v>
      </c>
      <c r="AA71">
        <f t="shared" si="10"/>
        <v>0</v>
      </c>
    </row>
    <row r="72" spans="1:27" x14ac:dyDescent="0.3">
      <c r="A72">
        <v>71</v>
      </c>
      <c r="B72" s="1">
        <v>44453</v>
      </c>
      <c r="C72" s="2">
        <v>0.64340277777777777</v>
      </c>
      <c r="D72" s="1">
        <v>44453</v>
      </c>
      <c r="E72" s="3">
        <v>0.7085069444444444</v>
      </c>
      <c r="F72">
        <v>7</v>
      </c>
      <c r="G72">
        <v>2</v>
      </c>
      <c r="H72" s="3">
        <f t="shared" si="12"/>
        <v>6.510416666666663E-2</v>
      </c>
      <c r="I72" s="3">
        <f t="shared" si="13"/>
        <v>6.510416666666663E-2</v>
      </c>
      <c r="J72" s="3">
        <f t="shared" si="14"/>
        <v>0</v>
      </c>
      <c r="K72">
        <f t="shared" si="15"/>
        <v>187.5</v>
      </c>
      <c r="M72">
        <f t="shared" si="16"/>
        <v>0</v>
      </c>
      <c r="N72">
        <f t="shared" si="17"/>
        <v>0</v>
      </c>
      <c r="O72">
        <f t="shared" si="18"/>
        <v>0</v>
      </c>
      <c r="P72">
        <f t="shared" si="18"/>
        <v>0</v>
      </c>
      <c r="Q72">
        <f t="shared" si="18"/>
        <v>0</v>
      </c>
      <c r="R72">
        <f t="shared" si="18"/>
        <v>0</v>
      </c>
      <c r="S72">
        <f t="shared" si="11"/>
        <v>0</v>
      </c>
      <c r="T72">
        <f t="shared" si="9"/>
        <v>0</v>
      </c>
      <c r="U72">
        <f t="shared" si="9"/>
        <v>0</v>
      </c>
      <c r="V72">
        <f t="shared" si="9"/>
        <v>0</v>
      </c>
      <c r="W72">
        <f t="shared" si="9"/>
        <v>0</v>
      </c>
      <c r="X72">
        <f t="shared" si="10"/>
        <v>0</v>
      </c>
      <c r="Y72">
        <f t="shared" si="10"/>
        <v>0</v>
      </c>
      <c r="Z72">
        <f t="shared" si="10"/>
        <v>187.5</v>
      </c>
      <c r="AA72">
        <f t="shared" si="10"/>
        <v>0</v>
      </c>
    </row>
    <row r="73" spans="1:27" x14ac:dyDescent="0.3">
      <c r="A73">
        <v>72</v>
      </c>
      <c r="B73" s="1">
        <v>44453</v>
      </c>
      <c r="C73" s="2">
        <v>0.77552083333333333</v>
      </c>
      <c r="D73" s="1">
        <v>44453</v>
      </c>
      <c r="E73" s="3">
        <v>0.80270833333333336</v>
      </c>
      <c r="F73">
        <v>8</v>
      </c>
      <c r="G73">
        <v>7</v>
      </c>
      <c r="H73" s="3">
        <f t="shared" si="12"/>
        <v>2.7187500000000031E-2</v>
      </c>
      <c r="I73" s="3">
        <f t="shared" si="13"/>
        <v>2.7187500000000031E-2</v>
      </c>
      <c r="J73" s="3">
        <f t="shared" si="14"/>
        <v>0</v>
      </c>
      <c r="K73">
        <f t="shared" si="15"/>
        <v>78.300000000000011</v>
      </c>
      <c r="M73">
        <f t="shared" si="16"/>
        <v>0</v>
      </c>
      <c r="N73">
        <f t="shared" si="17"/>
        <v>0</v>
      </c>
      <c r="O73">
        <f t="shared" si="18"/>
        <v>0</v>
      </c>
      <c r="P73">
        <f t="shared" si="18"/>
        <v>0</v>
      </c>
      <c r="Q73">
        <f t="shared" si="18"/>
        <v>0</v>
      </c>
      <c r="R73">
        <f t="shared" si="18"/>
        <v>0</v>
      </c>
      <c r="S73">
        <f t="shared" si="11"/>
        <v>0</v>
      </c>
      <c r="T73">
        <f t="shared" si="9"/>
        <v>0</v>
      </c>
      <c r="U73">
        <f t="shared" si="9"/>
        <v>0</v>
      </c>
      <c r="V73">
        <f t="shared" si="9"/>
        <v>0</v>
      </c>
      <c r="W73">
        <f t="shared" si="9"/>
        <v>0</v>
      </c>
      <c r="X73">
        <f t="shared" si="10"/>
        <v>0</v>
      </c>
      <c r="Y73">
        <f t="shared" si="10"/>
        <v>0</v>
      </c>
      <c r="Z73">
        <f t="shared" si="10"/>
        <v>78.300000000000011</v>
      </c>
      <c r="AA73">
        <f t="shared" si="10"/>
        <v>0</v>
      </c>
    </row>
    <row r="74" spans="1:27" x14ac:dyDescent="0.3">
      <c r="A74">
        <v>73</v>
      </c>
      <c r="B74" s="1">
        <v>44453</v>
      </c>
      <c r="C74" s="2">
        <v>0.87285879629629637</v>
      </c>
      <c r="D74" s="1">
        <v>44453</v>
      </c>
      <c r="E74" s="3">
        <v>0.91951388888888885</v>
      </c>
      <c r="F74">
        <v>6</v>
      </c>
      <c r="G74">
        <v>1</v>
      </c>
      <c r="H74" s="3">
        <f t="shared" si="12"/>
        <v>4.6655092592592484E-2</v>
      </c>
      <c r="I74" s="3">
        <f t="shared" si="13"/>
        <v>4.6655092592592484E-2</v>
      </c>
      <c r="J74" s="3">
        <f t="shared" si="14"/>
        <v>0</v>
      </c>
      <c r="K74">
        <f t="shared" si="15"/>
        <v>134.36666666666667</v>
      </c>
      <c r="M74">
        <f t="shared" si="16"/>
        <v>0</v>
      </c>
      <c r="N74">
        <f t="shared" si="17"/>
        <v>0</v>
      </c>
      <c r="O74">
        <f t="shared" si="18"/>
        <v>0</v>
      </c>
      <c r="P74">
        <f t="shared" si="18"/>
        <v>0</v>
      </c>
      <c r="Q74">
        <f t="shared" si="18"/>
        <v>0</v>
      </c>
      <c r="R74">
        <f t="shared" si="18"/>
        <v>0</v>
      </c>
      <c r="S74">
        <f t="shared" si="11"/>
        <v>0</v>
      </c>
      <c r="T74">
        <f t="shared" si="9"/>
        <v>0</v>
      </c>
      <c r="U74">
        <f t="shared" si="9"/>
        <v>0</v>
      </c>
      <c r="V74">
        <f t="shared" si="9"/>
        <v>0</v>
      </c>
      <c r="W74">
        <f t="shared" si="9"/>
        <v>0</v>
      </c>
      <c r="X74">
        <f t="shared" si="10"/>
        <v>0</v>
      </c>
      <c r="Y74">
        <f t="shared" si="10"/>
        <v>0</v>
      </c>
      <c r="Z74">
        <f t="shared" si="10"/>
        <v>134.36666666666667</v>
      </c>
      <c r="AA74">
        <f t="shared" si="10"/>
        <v>0</v>
      </c>
    </row>
    <row r="75" spans="1:27" x14ac:dyDescent="0.3">
      <c r="A75">
        <v>74</v>
      </c>
      <c r="B75" s="1">
        <v>44454</v>
      </c>
      <c r="C75" s="2">
        <v>4.2361111111111106E-2</v>
      </c>
      <c r="D75" s="1">
        <v>44454</v>
      </c>
      <c r="E75" s="3">
        <v>0.17298611111111109</v>
      </c>
      <c r="F75">
        <v>0</v>
      </c>
      <c r="G75">
        <v>6</v>
      </c>
      <c r="H75" s="3">
        <f t="shared" si="12"/>
        <v>0.13062499999999999</v>
      </c>
      <c r="I75" s="3">
        <f t="shared" si="13"/>
        <v>0.13062499999999999</v>
      </c>
      <c r="J75" s="3">
        <f t="shared" si="14"/>
        <v>0</v>
      </c>
      <c r="K75">
        <f t="shared" si="15"/>
        <v>376.20000000000005</v>
      </c>
      <c r="M75">
        <f t="shared" si="16"/>
        <v>0</v>
      </c>
      <c r="N75">
        <f t="shared" si="17"/>
        <v>0</v>
      </c>
      <c r="O75">
        <f t="shared" si="18"/>
        <v>0</v>
      </c>
      <c r="P75">
        <f t="shared" si="18"/>
        <v>0</v>
      </c>
      <c r="Q75">
        <f t="shared" si="18"/>
        <v>0</v>
      </c>
      <c r="R75">
        <f t="shared" si="18"/>
        <v>0</v>
      </c>
      <c r="S75">
        <f t="shared" si="11"/>
        <v>0</v>
      </c>
      <c r="T75">
        <f t="shared" si="9"/>
        <v>0</v>
      </c>
      <c r="U75">
        <f t="shared" si="9"/>
        <v>0</v>
      </c>
      <c r="V75">
        <f t="shared" si="9"/>
        <v>0</v>
      </c>
      <c r="W75">
        <f t="shared" si="9"/>
        <v>0</v>
      </c>
      <c r="X75">
        <f t="shared" si="10"/>
        <v>0</v>
      </c>
      <c r="Y75">
        <f t="shared" si="10"/>
        <v>0</v>
      </c>
      <c r="Z75">
        <f t="shared" si="10"/>
        <v>0</v>
      </c>
      <c r="AA75">
        <f t="shared" si="10"/>
        <v>376.20000000000005</v>
      </c>
    </row>
    <row r="76" spans="1:27" x14ac:dyDescent="0.3">
      <c r="A76">
        <v>75</v>
      </c>
      <c r="B76" s="1">
        <v>44454</v>
      </c>
      <c r="C76" s="2">
        <v>0.28885416666666669</v>
      </c>
      <c r="D76" s="1">
        <v>44454</v>
      </c>
      <c r="E76" s="3">
        <v>0.34437500000000004</v>
      </c>
      <c r="F76">
        <v>0</v>
      </c>
      <c r="G76">
        <v>5</v>
      </c>
      <c r="H76" s="3">
        <f t="shared" si="12"/>
        <v>5.5520833333333353E-2</v>
      </c>
      <c r="I76" s="3">
        <f t="shared" si="13"/>
        <v>5.5520833333333353E-2</v>
      </c>
      <c r="J76" s="3">
        <f t="shared" si="14"/>
        <v>0</v>
      </c>
      <c r="K76">
        <f t="shared" si="15"/>
        <v>159.89999999999998</v>
      </c>
      <c r="M76">
        <f t="shared" si="16"/>
        <v>0</v>
      </c>
      <c r="N76">
        <f t="shared" si="17"/>
        <v>0</v>
      </c>
      <c r="O76">
        <f t="shared" si="18"/>
        <v>0</v>
      </c>
      <c r="P76">
        <f t="shared" si="18"/>
        <v>0</v>
      </c>
      <c r="Q76">
        <f t="shared" si="18"/>
        <v>0</v>
      </c>
      <c r="R76">
        <f t="shared" si="18"/>
        <v>0</v>
      </c>
      <c r="S76">
        <f t="shared" si="11"/>
        <v>0</v>
      </c>
      <c r="T76">
        <f t="shared" si="9"/>
        <v>0</v>
      </c>
      <c r="U76">
        <f t="shared" si="9"/>
        <v>0</v>
      </c>
      <c r="V76">
        <f t="shared" si="9"/>
        <v>0</v>
      </c>
      <c r="W76">
        <f t="shared" si="9"/>
        <v>0</v>
      </c>
      <c r="X76">
        <f t="shared" si="10"/>
        <v>0</v>
      </c>
      <c r="Y76">
        <f t="shared" si="10"/>
        <v>0</v>
      </c>
      <c r="Z76">
        <f t="shared" si="10"/>
        <v>0</v>
      </c>
      <c r="AA76">
        <f t="shared" si="10"/>
        <v>159.89999999999998</v>
      </c>
    </row>
    <row r="77" spans="1:27" x14ac:dyDescent="0.3">
      <c r="A77">
        <v>76</v>
      </c>
      <c r="B77" s="1">
        <v>44454</v>
      </c>
      <c r="C77" s="2">
        <v>0.42424768518518513</v>
      </c>
      <c r="D77" s="1">
        <v>44454</v>
      </c>
      <c r="E77" s="3">
        <v>0.53179398148148149</v>
      </c>
      <c r="F77">
        <v>10</v>
      </c>
      <c r="G77">
        <v>1</v>
      </c>
      <c r="H77" s="3">
        <f t="shared" si="12"/>
        <v>0.10754629629629636</v>
      </c>
      <c r="I77" s="3">
        <f t="shared" si="13"/>
        <v>0.10754629629629636</v>
      </c>
      <c r="J77" s="3">
        <f t="shared" si="14"/>
        <v>0</v>
      </c>
      <c r="K77">
        <f t="shared" si="15"/>
        <v>309.73333333333335</v>
      </c>
      <c r="M77">
        <f t="shared" si="16"/>
        <v>0</v>
      </c>
      <c r="N77">
        <f t="shared" si="17"/>
        <v>0</v>
      </c>
      <c r="O77">
        <f t="shared" si="18"/>
        <v>0</v>
      </c>
      <c r="P77">
        <f t="shared" si="18"/>
        <v>0</v>
      </c>
      <c r="Q77">
        <f t="shared" si="18"/>
        <v>0</v>
      </c>
      <c r="R77">
        <f t="shared" si="18"/>
        <v>0</v>
      </c>
      <c r="S77">
        <f t="shared" si="11"/>
        <v>0</v>
      </c>
      <c r="T77">
        <f t="shared" si="9"/>
        <v>0</v>
      </c>
      <c r="U77">
        <f t="shared" si="9"/>
        <v>0</v>
      </c>
      <c r="V77">
        <f t="shared" si="9"/>
        <v>0</v>
      </c>
      <c r="W77">
        <f t="shared" si="9"/>
        <v>0</v>
      </c>
      <c r="X77">
        <f t="shared" si="10"/>
        <v>0</v>
      </c>
      <c r="Y77">
        <f t="shared" si="10"/>
        <v>0</v>
      </c>
      <c r="Z77">
        <f t="shared" si="10"/>
        <v>0</v>
      </c>
      <c r="AA77">
        <f t="shared" si="10"/>
        <v>309.73333333333335</v>
      </c>
    </row>
    <row r="78" spans="1:27" x14ac:dyDescent="0.3">
      <c r="A78">
        <v>77</v>
      </c>
      <c r="B78" s="1">
        <v>44454</v>
      </c>
      <c r="C78" s="2">
        <v>0.5991319444444444</v>
      </c>
      <c r="D78" s="1">
        <v>44454</v>
      </c>
      <c r="E78" s="3">
        <v>0.63361111111111112</v>
      </c>
      <c r="F78">
        <v>14</v>
      </c>
      <c r="G78">
        <v>21</v>
      </c>
      <c r="H78" s="3">
        <f t="shared" si="12"/>
        <v>3.4479166666666727E-2</v>
      </c>
      <c r="I78" s="3">
        <f t="shared" si="13"/>
        <v>3.4479166666666727E-2</v>
      </c>
      <c r="J78" s="3">
        <f t="shared" si="14"/>
        <v>0</v>
      </c>
      <c r="K78">
        <f t="shared" si="15"/>
        <v>99.300000000000011</v>
      </c>
      <c r="M78">
        <f t="shared" si="16"/>
        <v>0</v>
      </c>
      <c r="N78">
        <f t="shared" si="17"/>
        <v>0</v>
      </c>
      <c r="O78">
        <f t="shared" si="18"/>
        <v>0</v>
      </c>
      <c r="P78">
        <f t="shared" si="18"/>
        <v>0</v>
      </c>
      <c r="Q78">
        <f t="shared" si="18"/>
        <v>0</v>
      </c>
      <c r="R78">
        <f t="shared" si="18"/>
        <v>0</v>
      </c>
      <c r="S78">
        <f t="shared" si="11"/>
        <v>0</v>
      </c>
      <c r="T78">
        <f t="shared" si="9"/>
        <v>0</v>
      </c>
      <c r="U78">
        <f t="shared" si="9"/>
        <v>0</v>
      </c>
      <c r="V78">
        <f t="shared" si="9"/>
        <v>0</v>
      </c>
      <c r="W78">
        <f t="shared" si="9"/>
        <v>0</v>
      </c>
      <c r="X78">
        <f t="shared" si="10"/>
        <v>0</v>
      </c>
      <c r="Y78">
        <f t="shared" si="10"/>
        <v>0</v>
      </c>
      <c r="Z78">
        <f t="shared" si="10"/>
        <v>0</v>
      </c>
      <c r="AA78">
        <f t="shared" si="10"/>
        <v>99.300000000000011</v>
      </c>
    </row>
    <row r="79" spans="1:27" x14ac:dyDescent="0.3">
      <c r="A79">
        <v>78</v>
      </c>
      <c r="B79" s="1">
        <v>44454</v>
      </c>
      <c r="C79" s="2">
        <v>0.7228472222222222</v>
      </c>
      <c r="D79" s="1">
        <v>44454</v>
      </c>
      <c r="E79" s="3">
        <v>0.77552083333333333</v>
      </c>
      <c r="F79">
        <v>4</v>
      </c>
      <c r="G79">
        <v>1</v>
      </c>
      <c r="H79" s="3">
        <f t="shared" si="12"/>
        <v>5.2673611111111129E-2</v>
      </c>
      <c r="I79" s="3">
        <f t="shared" si="13"/>
        <v>5.2673611111111129E-2</v>
      </c>
      <c r="J79" s="3">
        <f t="shared" si="14"/>
        <v>0</v>
      </c>
      <c r="K79">
        <f t="shared" si="15"/>
        <v>151.69999999999999</v>
      </c>
      <c r="M79">
        <f t="shared" si="16"/>
        <v>0</v>
      </c>
      <c r="N79">
        <f t="shared" si="17"/>
        <v>0</v>
      </c>
      <c r="O79">
        <f t="shared" si="18"/>
        <v>0</v>
      </c>
      <c r="P79">
        <f t="shared" si="18"/>
        <v>0</v>
      </c>
      <c r="Q79">
        <f t="shared" si="18"/>
        <v>0</v>
      </c>
      <c r="R79">
        <f t="shared" si="18"/>
        <v>0</v>
      </c>
      <c r="S79">
        <f t="shared" si="11"/>
        <v>0</v>
      </c>
      <c r="T79">
        <f t="shared" si="9"/>
        <v>0</v>
      </c>
      <c r="U79">
        <f t="shared" si="9"/>
        <v>0</v>
      </c>
      <c r="V79">
        <f t="shared" si="9"/>
        <v>0</v>
      </c>
      <c r="W79">
        <f t="shared" si="9"/>
        <v>0</v>
      </c>
      <c r="X79">
        <f t="shared" si="10"/>
        <v>0</v>
      </c>
      <c r="Y79">
        <f t="shared" si="10"/>
        <v>0</v>
      </c>
      <c r="Z79">
        <f t="shared" si="10"/>
        <v>0</v>
      </c>
      <c r="AA79">
        <f t="shared" si="10"/>
        <v>151.69999999999999</v>
      </c>
    </row>
    <row r="80" spans="1:27" x14ac:dyDescent="0.3">
      <c r="A80">
        <v>79</v>
      </c>
      <c r="B80" s="1">
        <v>44454</v>
      </c>
      <c r="C80" s="2">
        <v>0.86644675925925929</v>
      </c>
      <c r="D80" s="1">
        <v>44454</v>
      </c>
      <c r="E80" s="3">
        <v>0.90680555555555553</v>
      </c>
      <c r="F80">
        <v>7</v>
      </c>
      <c r="G80">
        <v>2</v>
      </c>
      <c r="H80" s="3">
        <f t="shared" si="12"/>
        <v>4.035879629629624E-2</v>
      </c>
      <c r="I80" s="3">
        <f t="shared" si="13"/>
        <v>4.035879629629624E-2</v>
      </c>
      <c r="J80" s="3">
        <f t="shared" si="14"/>
        <v>0</v>
      </c>
      <c r="K80">
        <f t="shared" si="15"/>
        <v>116.23333333333333</v>
      </c>
      <c r="M80">
        <f t="shared" si="16"/>
        <v>0</v>
      </c>
      <c r="N80">
        <f t="shared" si="17"/>
        <v>0</v>
      </c>
      <c r="O80">
        <f t="shared" si="18"/>
        <v>0</v>
      </c>
      <c r="P80">
        <f t="shared" si="18"/>
        <v>0</v>
      </c>
      <c r="Q80">
        <f t="shared" si="18"/>
        <v>0</v>
      </c>
      <c r="R80">
        <f t="shared" si="18"/>
        <v>0</v>
      </c>
      <c r="S80">
        <f t="shared" si="11"/>
        <v>0</v>
      </c>
      <c r="T80">
        <f t="shared" si="9"/>
        <v>0</v>
      </c>
      <c r="U80">
        <f t="shared" si="9"/>
        <v>0</v>
      </c>
      <c r="V80">
        <f t="shared" si="9"/>
        <v>0</v>
      </c>
      <c r="W80">
        <f t="shared" si="9"/>
        <v>0</v>
      </c>
      <c r="X80">
        <f t="shared" si="10"/>
        <v>0</v>
      </c>
      <c r="Y80">
        <f t="shared" si="10"/>
        <v>0</v>
      </c>
      <c r="Z80">
        <f t="shared" si="10"/>
        <v>0</v>
      </c>
      <c r="AA80">
        <f t="shared" si="10"/>
        <v>116.23333333333333</v>
      </c>
    </row>
    <row r="81" spans="1:27" x14ac:dyDescent="0.3">
      <c r="A81">
        <v>80</v>
      </c>
      <c r="B81" s="1">
        <v>44455</v>
      </c>
      <c r="C81" s="2">
        <v>0.13571759259259261</v>
      </c>
      <c r="D81" s="1">
        <v>44455</v>
      </c>
      <c r="E81" s="3">
        <v>0.25288194444444445</v>
      </c>
      <c r="F81">
        <v>13</v>
      </c>
      <c r="G81">
        <v>5</v>
      </c>
      <c r="H81" s="3">
        <f t="shared" si="12"/>
        <v>0.11716435185185184</v>
      </c>
      <c r="I81" s="3">
        <f t="shared" si="13"/>
        <v>0.11716435185185184</v>
      </c>
      <c r="J81" s="3">
        <f t="shared" si="14"/>
        <v>0</v>
      </c>
      <c r="K81">
        <f t="shared" si="15"/>
        <v>337.43333333333334</v>
      </c>
      <c r="M81">
        <f t="shared" si="16"/>
        <v>0</v>
      </c>
      <c r="N81">
        <f t="shared" si="17"/>
        <v>0</v>
      </c>
      <c r="O81">
        <f t="shared" si="18"/>
        <v>0</v>
      </c>
      <c r="P81">
        <f t="shared" si="18"/>
        <v>0</v>
      </c>
      <c r="Q81">
        <f t="shared" si="18"/>
        <v>0</v>
      </c>
      <c r="R81">
        <f t="shared" si="18"/>
        <v>0</v>
      </c>
      <c r="S81">
        <f t="shared" si="11"/>
        <v>0</v>
      </c>
      <c r="T81">
        <f t="shared" si="9"/>
        <v>0</v>
      </c>
      <c r="U81">
        <f t="shared" si="9"/>
        <v>0</v>
      </c>
      <c r="V81">
        <f t="shared" si="9"/>
        <v>0</v>
      </c>
      <c r="W81">
        <f t="shared" ref="W81:Z144" si="19">IF(DAY($B81)=W$1,$K81,0)</f>
        <v>0</v>
      </c>
      <c r="X81">
        <f t="shared" si="10"/>
        <v>0</v>
      </c>
      <c r="Y81">
        <f t="shared" si="10"/>
        <v>0</v>
      </c>
      <c r="Z81">
        <f t="shared" si="10"/>
        <v>0</v>
      </c>
      <c r="AA81">
        <f t="shared" ref="AA81:AA144" si="20">IF(DAY($B81)=AA$1,$K81,0)</f>
        <v>0</v>
      </c>
    </row>
    <row r="82" spans="1:27" x14ac:dyDescent="0.3">
      <c r="A82">
        <v>81</v>
      </c>
      <c r="B82" s="1">
        <v>44455</v>
      </c>
      <c r="C82" s="2">
        <v>0.29960648148148145</v>
      </c>
      <c r="D82" s="1">
        <v>44455</v>
      </c>
      <c r="E82" s="3">
        <v>0.37712962962962965</v>
      </c>
      <c r="F82">
        <v>13</v>
      </c>
      <c r="G82">
        <v>11</v>
      </c>
      <c r="H82" s="3">
        <f t="shared" si="12"/>
        <v>7.7523148148148202E-2</v>
      </c>
      <c r="I82" s="3">
        <f t="shared" si="13"/>
        <v>7.7523148148148202E-2</v>
      </c>
      <c r="J82" s="3">
        <f t="shared" si="14"/>
        <v>0</v>
      </c>
      <c r="K82">
        <f t="shared" si="15"/>
        <v>223.26666666666665</v>
      </c>
      <c r="M82">
        <f t="shared" si="16"/>
        <v>0</v>
      </c>
      <c r="N82">
        <f t="shared" si="17"/>
        <v>0</v>
      </c>
      <c r="O82">
        <f t="shared" si="18"/>
        <v>0</v>
      </c>
      <c r="P82">
        <f t="shared" si="18"/>
        <v>0</v>
      </c>
      <c r="Q82">
        <f t="shared" si="18"/>
        <v>0</v>
      </c>
      <c r="R82">
        <f t="shared" si="18"/>
        <v>0</v>
      </c>
      <c r="S82">
        <f t="shared" si="11"/>
        <v>0</v>
      </c>
      <c r="T82">
        <f t="shared" si="11"/>
        <v>0</v>
      </c>
      <c r="U82">
        <f t="shared" si="11"/>
        <v>0</v>
      </c>
      <c r="V82">
        <f t="shared" si="11"/>
        <v>0</v>
      </c>
      <c r="W82">
        <f t="shared" si="19"/>
        <v>0</v>
      </c>
      <c r="X82">
        <f t="shared" si="19"/>
        <v>0</v>
      </c>
      <c r="Y82">
        <f t="shared" si="19"/>
        <v>0</v>
      </c>
      <c r="Z82">
        <f t="shared" si="19"/>
        <v>0</v>
      </c>
      <c r="AA82">
        <f t="shared" si="20"/>
        <v>0</v>
      </c>
    </row>
    <row r="83" spans="1:27" x14ac:dyDescent="0.3">
      <c r="A83">
        <v>82</v>
      </c>
      <c r="B83" s="1">
        <v>44455</v>
      </c>
      <c r="C83" s="2">
        <v>0.46118055555555554</v>
      </c>
      <c r="D83" s="1">
        <v>44455</v>
      </c>
      <c r="E83" s="3">
        <v>0.5005208333333333</v>
      </c>
      <c r="F83">
        <v>14</v>
      </c>
      <c r="G83">
        <v>9</v>
      </c>
      <c r="H83" s="3">
        <f t="shared" si="12"/>
        <v>3.9340277777777766E-2</v>
      </c>
      <c r="I83" s="3">
        <f t="shared" si="13"/>
        <v>3.9340277777777766E-2</v>
      </c>
      <c r="J83" s="3">
        <f t="shared" si="14"/>
        <v>0</v>
      </c>
      <c r="K83">
        <f t="shared" si="15"/>
        <v>113.30000000000001</v>
      </c>
      <c r="M83">
        <f t="shared" si="16"/>
        <v>0</v>
      </c>
      <c r="N83">
        <f t="shared" si="17"/>
        <v>0</v>
      </c>
      <c r="O83">
        <f t="shared" si="18"/>
        <v>0</v>
      </c>
      <c r="P83">
        <f t="shared" si="18"/>
        <v>0</v>
      </c>
      <c r="Q83">
        <f t="shared" si="18"/>
        <v>0</v>
      </c>
      <c r="R83">
        <f t="shared" si="18"/>
        <v>0</v>
      </c>
      <c r="S83">
        <f t="shared" si="11"/>
        <v>0</v>
      </c>
      <c r="T83">
        <f t="shared" si="11"/>
        <v>0</v>
      </c>
      <c r="U83">
        <f t="shared" si="11"/>
        <v>0</v>
      </c>
      <c r="V83">
        <f t="shared" si="11"/>
        <v>0</v>
      </c>
      <c r="W83">
        <f t="shared" si="19"/>
        <v>0</v>
      </c>
      <c r="X83">
        <f t="shared" si="19"/>
        <v>0</v>
      </c>
      <c r="Y83">
        <f t="shared" si="19"/>
        <v>0</v>
      </c>
      <c r="Z83">
        <f t="shared" si="19"/>
        <v>0</v>
      </c>
      <c r="AA83">
        <f t="shared" si="20"/>
        <v>0</v>
      </c>
    </row>
    <row r="84" spans="1:27" x14ac:dyDescent="0.3">
      <c r="A84">
        <v>83</v>
      </c>
      <c r="B84" s="1">
        <v>44455</v>
      </c>
      <c r="C84" s="2">
        <v>0.57986111111111105</v>
      </c>
      <c r="D84" s="1">
        <v>44455</v>
      </c>
      <c r="E84" s="3">
        <v>0.61469907407407409</v>
      </c>
      <c r="F84">
        <v>14</v>
      </c>
      <c r="G84">
        <v>9</v>
      </c>
      <c r="H84" s="3">
        <f t="shared" si="12"/>
        <v>3.4837962962963043E-2</v>
      </c>
      <c r="I84" s="3">
        <f t="shared" si="13"/>
        <v>3.4837962962963043E-2</v>
      </c>
      <c r="J84" s="3">
        <f t="shared" si="14"/>
        <v>0</v>
      </c>
      <c r="K84">
        <f t="shared" si="15"/>
        <v>100.33333333333333</v>
      </c>
      <c r="M84">
        <f t="shared" si="16"/>
        <v>0</v>
      </c>
      <c r="N84">
        <f t="shared" si="17"/>
        <v>0</v>
      </c>
      <c r="O84">
        <f t="shared" si="18"/>
        <v>0</v>
      </c>
      <c r="P84">
        <f t="shared" si="18"/>
        <v>0</v>
      </c>
      <c r="Q84">
        <f t="shared" si="18"/>
        <v>0</v>
      </c>
      <c r="R84">
        <f t="shared" si="18"/>
        <v>0</v>
      </c>
      <c r="S84">
        <f t="shared" si="11"/>
        <v>0</v>
      </c>
      <c r="T84">
        <f t="shared" si="11"/>
        <v>0</v>
      </c>
      <c r="U84">
        <f t="shared" si="11"/>
        <v>0</v>
      </c>
      <c r="V84">
        <f t="shared" si="11"/>
        <v>0</v>
      </c>
      <c r="W84">
        <f t="shared" si="19"/>
        <v>0</v>
      </c>
      <c r="X84">
        <f t="shared" si="19"/>
        <v>0</v>
      </c>
      <c r="Y84">
        <f t="shared" si="19"/>
        <v>0</v>
      </c>
      <c r="Z84">
        <f t="shared" si="19"/>
        <v>0</v>
      </c>
      <c r="AA84">
        <f t="shared" si="20"/>
        <v>0</v>
      </c>
    </row>
    <row r="85" spans="1:27" x14ac:dyDescent="0.3">
      <c r="A85">
        <v>84</v>
      </c>
      <c r="B85" s="1">
        <v>44455</v>
      </c>
      <c r="C85" s="2">
        <v>0.67444444444444451</v>
      </c>
      <c r="D85" s="1">
        <v>44455</v>
      </c>
      <c r="E85" s="3">
        <v>0.72362268518518524</v>
      </c>
      <c r="F85">
        <v>12</v>
      </c>
      <c r="G85">
        <v>7</v>
      </c>
      <c r="H85" s="3">
        <f t="shared" si="12"/>
        <v>4.9178240740740731E-2</v>
      </c>
      <c r="I85" s="3">
        <f t="shared" si="13"/>
        <v>4.9178240740740731E-2</v>
      </c>
      <c r="J85" s="3">
        <f t="shared" si="14"/>
        <v>0</v>
      </c>
      <c r="K85">
        <f t="shared" si="15"/>
        <v>141.63333333333333</v>
      </c>
      <c r="M85">
        <f t="shared" si="16"/>
        <v>0</v>
      </c>
      <c r="N85">
        <f t="shared" si="17"/>
        <v>0</v>
      </c>
      <c r="O85">
        <f t="shared" si="18"/>
        <v>0</v>
      </c>
      <c r="P85">
        <f t="shared" si="18"/>
        <v>0</v>
      </c>
      <c r="Q85">
        <f t="shared" si="18"/>
        <v>0</v>
      </c>
      <c r="R85">
        <f t="shared" si="18"/>
        <v>0</v>
      </c>
      <c r="S85">
        <f t="shared" si="11"/>
        <v>0</v>
      </c>
      <c r="T85">
        <f t="shared" si="11"/>
        <v>0</v>
      </c>
      <c r="U85">
        <f t="shared" si="11"/>
        <v>0</v>
      </c>
      <c r="V85">
        <f t="shared" si="11"/>
        <v>0</v>
      </c>
      <c r="W85">
        <f t="shared" si="19"/>
        <v>0</v>
      </c>
      <c r="X85">
        <f t="shared" si="19"/>
        <v>0</v>
      </c>
      <c r="Y85">
        <f t="shared" si="19"/>
        <v>0</v>
      </c>
      <c r="Z85">
        <f t="shared" si="19"/>
        <v>0</v>
      </c>
      <c r="AA85">
        <f t="shared" si="20"/>
        <v>0</v>
      </c>
    </row>
    <row r="86" spans="1:27" x14ac:dyDescent="0.3">
      <c r="A86">
        <v>85</v>
      </c>
      <c r="B86" s="1">
        <v>44455</v>
      </c>
      <c r="C86" s="2">
        <v>0.7926157407407407</v>
      </c>
      <c r="D86" s="1">
        <v>44455</v>
      </c>
      <c r="E86" s="3">
        <v>0.86523148148148143</v>
      </c>
      <c r="F86">
        <v>2</v>
      </c>
      <c r="G86">
        <v>19</v>
      </c>
      <c r="H86" s="3">
        <f t="shared" si="12"/>
        <v>7.2615740740740731E-2</v>
      </c>
      <c r="I86" s="3">
        <f t="shared" si="13"/>
        <v>7.2615740740740731E-2</v>
      </c>
      <c r="J86" s="3">
        <f t="shared" si="14"/>
        <v>0</v>
      </c>
      <c r="K86">
        <f t="shared" si="15"/>
        <v>209.13333333333333</v>
      </c>
      <c r="M86">
        <f t="shared" si="16"/>
        <v>0</v>
      </c>
      <c r="N86">
        <f t="shared" si="17"/>
        <v>0</v>
      </c>
      <c r="O86">
        <f t="shared" si="18"/>
        <v>0</v>
      </c>
      <c r="P86">
        <f t="shared" si="18"/>
        <v>0</v>
      </c>
      <c r="Q86">
        <f t="shared" si="18"/>
        <v>0</v>
      </c>
      <c r="R86">
        <f t="shared" si="18"/>
        <v>0</v>
      </c>
      <c r="S86">
        <f t="shared" si="11"/>
        <v>0</v>
      </c>
      <c r="T86">
        <f t="shared" si="11"/>
        <v>0</v>
      </c>
      <c r="U86">
        <f t="shared" si="11"/>
        <v>0</v>
      </c>
      <c r="V86">
        <f t="shared" si="11"/>
        <v>0</v>
      </c>
      <c r="W86">
        <f t="shared" si="19"/>
        <v>0</v>
      </c>
      <c r="X86">
        <f t="shared" si="19"/>
        <v>0</v>
      </c>
      <c r="Y86">
        <f t="shared" si="19"/>
        <v>0</v>
      </c>
      <c r="Z86">
        <f t="shared" si="19"/>
        <v>0</v>
      </c>
      <c r="AA86">
        <f t="shared" si="20"/>
        <v>0</v>
      </c>
    </row>
    <row r="87" spans="1:27" x14ac:dyDescent="0.3">
      <c r="A87">
        <v>86</v>
      </c>
      <c r="B87" s="1">
        <v>44456</v>
      </c>
      <c r="C87" s="2">
        <v>0.28914351851851855</v>
      </c>
      <c r="D87" s="1">
        <v>44456</v>
      </c>
      <c r="E87" s="3">
        <v>0.33407407407407402</v>
      </c>
      <c r="F87">
        <v>4</v>
      </c>
      <c r="G87">
        <v>11</v>
      </c>
      <c r="H87" s="3">
        <f t="shared" si="12"/>
        <v>4.4930555555555474E-2</v>
      </c>
      <c r="I87" s="3">
        <f t="shared" si="13"/>
        <v>4.4930555555555474E-2</v>
      </c>
      <c r="J87" s="3">
        <f t="shared" si="14"/>
        <v>0</v>
      </c>
      <c r="K87">
        <f t="shared" si="15"/>
        <v>129.39999999999998</v>
      </c>
      <c r="M87">
        <f t="shared" si="16"/>
        <v>0</v>
      </c>
      <c r="N87">
        <f t="shared" si="17"/>
        <v>0</v>
      </c>
      <c r="O87">
        <f t="shared" si="18"/>
        <v>0</v>
      </c>
      <c r="P87">
        <f t="shared" si="18"/>
        <v>0</v>
      </c>
      <c r="Q87">
        <f t="shared" si="18"/>
        <v>0</v>
      </c>
      <c r="R87">
        <f t="shared" si="18"/>
        <v>0</v>
      </c>
      <c r="S87">
        <f t="shared" si="11"/>
        <v>0</v>
      </c>
      <c r="T87">
        <f t="shared" si="11"/>
        <v>0</v>
      </c>
      <c r="U87">
        <f t="shared" si="11"/>
        <v>0</v>
      </c>
      <c r="V87">
        <f t="shared" si="11"/>
        <v>0</v>
      </c>
      <c r="W87">
        <f t="shared" si="19"/>
        <v>0</v>
      </c>
      <c r="X87">
        <f t="shared" si="19"/>
        <v>0</v>
      </c>
      <c r="Y87">
        <f t="shared" si="19"/>
        <v>0</v>
      </c>
      <c r="Z87">
        <f t="shared" si="19"/>
        <v>0</v>
      </c>
      <c r="AA87">
        <f t="shared" si="20"/>
        <v>0</v>
      </c>
    </row>
    <row r="88" spans="1:27" x14ac:dyDescent="0.3">
      <c r="A88">
        <v>87</v>
      </c>
      <c r="B88" s="1">
        <v>44456</v>
      </c>
      <c r="C88" s="2">
        <v>0.45840277777777777</v>
      </c>
      <c r="D88" s="1">
        <v>44456</v>
      </c>
      <c r="E88" s="3">
        <v>0.47927083333333331</v>
      </c>
      <c r="F88">
        <v>21</v>
      </c>
      <c r="G88">
        <v>15</v>
      </c>
      <c r="H88" s="3">
        <f t="shared" si="12"/>
        <v>2.0868055555555542E-2</v>
      </c>
      <c r="I88" s="3">
        <f t="shared" si="13"/>
        <v>2.0868055555555542E-2</v>
      </c>
      <c r="J88" s="3">
        <f t="shared" si="14"/>
        <v>0</v>
      </c>
      <c r="K88">
        <f t="shared" si="15"/>
        <v>60.099999999999994</v>
      </c>
      <c r="M88">
        <f t="shared" si="16"/>
        <v>0</v>
      </c>
      <c r="N88">
        <f t="shared" si="17"/>
        <v>0</v>
      </c>
      <c r="O88">
        <f t="shared" si="18"/>
        <v>0</v>
      </c>
      <c r="P88">
        <f t="shared" si="18"/>
        <v>0</v>
      </c>
      <c r="Q88">
        <f t="shared" si="18"/>
        <v>0</v>
      </c>
      <c r="R88">
        <f t="shared" si="18"/>
        <v>0</v>
      </c>
      <c r="S88">
        <f t="shared" si="11"/>
        <v>0</v>
      </c>
      <c r="T88">
        <f t="shared" si="11"/>
        <v>0</v>
      </c>
      <c r="U88">
        <f t="shared" si="11"/>
        <v>0</v>
      </c>
      <c r="V88">
        <f t="shared" si="11"/>
        <v>0</v>
      </c>
      <c r="W88">
        <f t="shared" si="19"/>
        <v>0</v>
      </c>
      <c r="X88">
        <f t="shared" si="19"/>
        <v>0</v>
      </c>
      <c r="Y88">
        <f t="shared" si="19"/>
        <v>0</v>
      </c>
      <c r="Z88">
        <f t="shared" si="19"/>
        <v>0</v>
      </c>
      <c r="AA88">
        <f t="shared" si="20"/>
        <v>0</v>
      </c>
    </row>
    <row r="89" spans="1:27" x14ac:dyDescent="0.3">
      <c r="A89">
        <v>88</v>
      </c>
      <c r="B89" s="1">
        <v>44456</v>
      </c>
      <c r="C89" s="2">
        <v>0.55218749999999994</v>
      </c>
      <c r="D89" s="1">
        <v>44456</v>
      </c>
      <c r="E89" s="3">
        <v>0.62156250000000002</v>
      </c>
      <c r="F89">
        <v>7</v>
      </c>
      <c r="G89">
        <v>13</v>
      </c>
      <c r="H89" s="3">
        <f t="shared" si="12"/>
        <v>6.9375000000000075E-2</v>
      </c>
      <c r="I89" s="3">
        <f t="shared" si="13"/>
        <v>6.9375000000000075E-2</v>
      </c>
      <c r="J89" s="3">
        <f t="shared" si="14"/>
        <v>0</v>
      </c>
      <c r="K89">
        <f t="shared" si="15"/>
        <v>199.8</v>
      </c>
      <c r="M89">
        <f t="shared" si="16"/>
        <v>0</v>
      </c>
      <c r="N89">
        <f t="shared" si="17"/>
        <v>0</v>
      </c>
      <c r="O89">
        <f t="shared" si="18"/>
        <v>0</v>
      </c>
      <c r="P89">
        <f t="shared" si="18"/>
        <v>0</v>
      </c>
      <c r="Q89">
        <f t="shared" si="18"/>
        <v>0</v>
      </c>
      <c r="R89">
        <f t="shared" si="18"/>
        <v>0</v>
      </c>
      <c r="S89">
        <f t="shared" si="11"/>
        <v>0</v>
      </c>
      <c r="T89">
        <f t="shared" si="11"/>
        <v>0</v>
      </c>
      <c r="U89">
        <f t="shared" si="11"/>
        <v>0</v>
      </c>
      <c r="V89">
        <f t="shared" si="11"/>
        <v>0</v>
      </c>
      <c r="W89">
        <f t="shared" si="19"/>
        <v>0</v>
      </c>
      <c r="X89">
        <f t="shared" si="19"/>
        <v>0</v>
      </c>
      <c r="Y89">
        <f t="shared" si="19"/>
        <v>0</v>
      </c>
      <c r="Z89">
        <f t="shared" si="19"/>
        <v>0</v>
      </c>
      <c r="AA89">
        <f t="shared" si="20"/>
        <v>0</v>
      </c>
    </row>
    <row r="90" spans="1:27" x14ac:dyDescent="0.3">
      <c r="A90">
        <v>89</v>
      </c>
      <c r="B90" s="1">
        <v>44456</v>
      </c>
      <c r="C90" s="2">
        <v>0.64994212962962961</v>
      </c>
      <c r="D90" s="1">
        <v>44456</v>
      </c>
      <c r="E90" s="3">
        <v>0.71797453703703706</v>
      </c>
      <c r="F90">
        <v>14</v>
      </c>
      <c r="G90">
        <v>16</v>
      </c>
      <c r="H90" s="3">
        <f t="shared" si="12"/>
        <v>6.8032407407407458E-2</v>
      </c>
      <c r="I90" s="3">
        <f t="shared" si="13"/>
        <v>6.8032407407407458E-2</v>
      </c>
      <c r="J90" s="3">
        <f t="shared" si="14"/>
        <v>0</v>
      </c>
      <c r="K90">
        <f t="shared" si="15"/>
        <v>195.93333333333334</v>
      </c>
      <c r="M90">
        <f t="shared" si="16"/>
        <v>0</v>
      </c>
      <c r="N90">
        <f t="shared" si="17"/>
        <v>0</v>
      </c>
      <c r="O90">
        <f t="shared" si="18"/>
        <v>0</v>
      </c>
      <c r="P90">
        <f t="shared" si="18"/>
        <v>0</v>
      </c>
      <c r="Q90">
        <f t="shared" si="18"/>
        <v>0</v>
      </c>
      <c r="R90">
        <f t="shared" si="18"/>
        <v>0</v>
      </c>
      <c r="S90">
        <f t="shared" si="11"/>
        <v>0</v>
      </c>
      <c r="T90">
        <f t="shared" si="11"/>
        <v>0</v>
      </c>
      <c r="U90">
        <f t="shared" si="11"/>
        <v>0</v>
      </c>
      <c r="V90">
        <f t="shared" si="11"/>
        <v>0</v>
      </c>
      <c r="W90">
        <f t="shared" si="19"/>
        <v>0</v>
      </c>
      <c r="X90">
        <f t="shared" si="19"/>
        <v>0</v>
      </c>
      <c r="Y90">
        <f t="shared" si="19"/>
        <v>0</v>
      </c>
      <c r="Z90">
        <f t="shared" si="19"/>
        <v>0</v>
      </c>
      <c r="AA90">
        <f t="shared" si="20"/>
        <v>0</v>
      </c>
    </row>
    <row r="91" spans="1:27" x14ac:dyDescent="0.3">
      <c r="A91">
        <v>90</v>
      </c>
      <c r="B91" s="1">
        <v>44456</v>
      </c>
      <c r="C91" s="2">
        <v>0.80049768518518516</v>
      </c>
      <c r="D91" s="1">
        <v>44456</v>
      </c>
      <c r="E91" s="3">
        <v>0.86509259259259252</v>
      </c>
      <c r="F91">
        <v>7</v>
      </c>
      <c r="G91">
        <v>0</v>
      </c>
      <c r="H91" s="3">
        <f t="shared" si="12"/>
        <v>6.4594907407407365E-2</v>
      </c>
      <c r="I91" s="3">
        <f t="shared" si="13"/>
        <v>6.4594907407407365E-2</v>
      </c>
      <c r="J91" s="3">
        <f t="shared" si="14"/>
        <v>0</v>
      </c>
      <c r="K91">
        <f t="shared" si="15"/>
        <v>186.03333333333333</v>
      </c>
      <c r="M91">
        <f t="shared" si="16"/>
        <v>0</v>
      </c>
      <c r="N91">
        <f t="shared" si="17"/>
        <v>0</v>
      </c>
      <c r="O91">
        <f t="shared" si="18"/>
        <v>0</v>
      </c>
      <c r="P91">
        <f t="shared" si="18"/>
        <v>0</v>
      </c>
      <c r="Q91">
        <f t="shared" si="18"/>
        <v>0</v>
      </c>
      <c r="R91">
        <f t="shared" si="18"/>
        <v>0</v>
      </c>
      <c r="S91">
        <f t="shared" si="11"/>
        <v>0</v>
      </c>
      <c r="T91">
        <f t="shared" si="11"/>
        <v>0</v>
      </c>
      <c r="U91">
        <f t="shared" si="11"/>
        <v>0</v>
      </c>
      <c r="V91">
        <f t="shared" si="11"/>
        <v>0</v>
      </c>
      <c r="W91">
        <f t="shared" si="19"/>
        <v>0</v>
      </c>
      <c r="X91">
        <f t="shared" si="19"/>
        <v>0</v>
      </c>
      <c r="Y91">
        <f t="shared" si="19"/>
        <v>0</v>
      </c>
      <c r="Z91">
        <f t="shared" si="19"/>
        <v>0</v>
      </c>
      <c r="AA91">
        <f t="shared" si="20"/>
        <v>0</v>
      </c>
    </row>
    <row r="92" spans="1:27" x14ac:dyDescent="0.3">
      <c r="A92">
        <v>91</v>
      </c>
      <c r="B92" s="1">
        <v>44457</v>
      </c>
      <c r="C92" s="2">
        <v>0.21187500000000001</v>
      </c>
      <c r="D92" s="1">
        <v>44457</v>
      </c>
      <c r="E92" s="3">
        <v>0.26673611111111112</v>
      </c>
      <c r="F92">
        <v>17</v>
      </c>
      <c r="G92">
        <v>15</v>
      </c>
      <c r="H92" s="3">
        <f t="shared" si="12"/>
        <v>5.486111111111111E-2</v>
      </c>
      <c r="I92" s="3">
        <f t="shared" si="13"/>
        <v>5.486111111111111E-2</v>
      </c>
      <c r="J92" s="3">
        <f t="shared" si="14"/>
        <v>0</v>
      </c>
      <c r="K92">
        <f t="shared" si="15"/>
        <v>158</v>
      </c>
      <c r="M92">
        <f t="shared" si="16"/>
        <v>0</v>
      </c>
      <c r="N92">
        <f t="shared" si="17"/>
        <v>0</v>
      </c>
      <c r="O92">
        <f t="shared" si="18"/>
        <v>0</v>
      </c>
      <c r="P92">
        <f t="shared" si="18"/>
        <v>0</v>
      </c>
      <c r="Q92">
        <f t="shared" si="18"/>
        <v>0</v>
      </c>
      <c r="R92">
        <f t="shared" si="18"/>
        <v>0</v>
      </c>
      <c r="S92">
        <f t="shared" si="11"/>
        <v>0</v>
      </c>
      <c r="T92">
        <f t="shared" si="11"/>
        <v>0</v>
      </c>
      <c r="U92">
        <f t="shared" si="11"/>
        <v>0</v>
      </c>
      <c r="V92">
        <f t="shared" si="11"/>
        <v>0</v>
      </c>
      <c r="W92">
        <f t="shared" si="19"/>
        <v>0</v>
      </c>
      <c r="X92">
        <f t="shared" si="19"/>
        <v>0</v>
      </c>
      <c r="Y92">
        <f t="shared" si="19"/>
        <v>0</v>
      </c>
      <c r="Z92">
        <f t="shared" si="19"/>
        <v>0</v>
      </c>
      <c r="AA92">
        <f t="shared" si="20"/>
        <v>0</v>
      </c>
    </row>
    <row r="93" spans="1:27" x14ac:dyDescent="0.3">
      <c r="A93">
        <v>92</v>
      </c>
      <c r="B93" s="1">
        <v>44457</v>
      </c>
      <c r="C93" s="2">
        <v>0.38490740740740742</v>
      </c>
      <c r="D93" s="1">
        <v>44457</v>
      </c>
      <c r="E93" s="3">
        <v>0.41679398148148145</v>
      </c>
      <c r="F93">
        <v>5</v>
      </c>
      <c r="G93">
        <v>8</v>
      </c>
      <c r="H93" s="3">
        <f t="shared" si="12"/>
        <v>3.1886574074074026E-2</v>
      </c>
      <c r="I93" s="3">
        <f t="shared" si="13"/>
        <v>3.1886574074074026E-2</v>
      </c>
      <c r="J93" s="3">
        <f t="shared" si="14"/>
        <v>0</v>
      </c>
      <c r="K93">
        <f t="shared" si="15"/>
        <v>91.833333333333329</v>
      </c>
      <c r="M93">
        <f t="shared" si="16"/>
        <v>0</v>
      </c>
      <c r="N93">
        <f t="shared" si="17"/>
        <v>0</v>
      </c>
      <c r="O93">
        <f t="shared" si="18"/>
        <v>0</v>
      </c>
      <c r="P93">
        <f t="shared" si="18"/>
        <v>0</v>
      </c>
      <c r="Q93">
        <f t="shared" si="18"/>
        <v>0</v>
      </c>
      <c r="R93">
        <f t="shared" si="18"/>
        <v>0</v>
      </c>
      <c r="S93">
        <f t="shared" si="11"/>
        <v>0</v>
      </c>
      <c r="T93">
        <f t="shared" si="11"/>
        <v>0</v>
      </c>
      <c r="U93">
        <f t="shared" si="11"/>
        <v>0</v>
      </c>
      <c r="V93">
        <f t="shared" si="11"/>
        <v>0</v>
      </c>
      <c r="W93">
        <f t="shared" si="19"/>
        <v>0</v>
      </c>
      <c r="X93">
        <f t="shared" si="19"/>
        <v>0</v>
      </c>
      <c r="Y93">
        <f t="shared" si="19"/>
        <v>0</v>
      </c>
      <c r="Z93">
        <f t="shared" si="19"/>
        <v>0</v>
      </c>
      <c r="AA93">
        <f t="shared" si="20"/>
        <v>0</v>
      </c>
    </row>
    <row r="94" spans="1:27" x14ac:dyDescent="0.3">
      <c r="A94">
        <v>93</v>
      </c>
      <c r="B94" s="1">
        <v>44457</v>
      </c>
      <c r="C94" s="2">
        <v>0.47458333333333336</v>
      </c>
      <c r="D94" s="1">
        <v>44457</v>
      </c>
      <c r="E94" s="3">
        <v>0.5599884259259259</v>
      </c>
      <c r="F94">
        <v>14</v>
      </c>
      <c r="G94">
        <v>9</v>
      </c>
      <c r="H94" s="3">
        <f t="shared" si="12"/>
        <v>8.5405092592592546E-2</v>
      </c>
      <c r="I94" s="3">
        <f t="shared" si="13"/>
        <v>8.5405092592592546E-2</v>
      </c>
      <c r="J94" s="3">
        <f t="shared" si="14"/>
        <v>0</v>
      </c>
      <c r="K94">
        <f t="shared" si="15"/>
        <v>245.96666666666667</v>
      </c>
      <c r="M94">
        <f t="shared" si="16"/>
        <v>0</v>
      </c>
      <c r="N94">
        <f t="shared" si="17"/>
        <v>0</v>
      </c>
      <c r="O94">
        <f t="shared" si="18"/>
        <v>0</v>
      </c>
      <c r="P94">
        <f t="shared" si="18"/>
        <v>0</v>
      </c>
      <c r="Q94">
        <f t="shared" si="18"/>
        <v>0</v>
      </c>
      <c r="R94">
        <f t="shared" si="18"/>
        <v>0</v>
      </c>
      <c r="S94">
        <f t="shared" si="11"/>
        <v>0</v>
      </c>
      <c r="T94">
        <f t="shared" si="11"/>
        <v>0</v>
      </c>
      <c r="U94">
        <f t="shared" si="11"/>
        <v>0</v>
      </c>
      <c r="V94">
        <f t="shared" si="11"/>
        <v>0</v>
      </c>
      <c r="W94">
        <f t="shared" si="19"/>
        <v>0</v>
      </c>
      <c r="X94">
        <f t="shared" si="19"/>
        <v>0</v>
      </c>
      <c r="Y94">
        <f t="shared" si="19"/>
        <v>0</v>
      </c>
      <c r="Z94">
        <f t="shared" si="19"/>
        <v>0</v>
      </c>
      <c r="AA94">
        <f t="shared" si="20"/>
        <v>0</v>
      </c>
    </row>
    <row r="95" spans="1:27" x14ac:dyDescent="0.3">
      <c r="A95">
        <v>94</v>
      </c>
      <c r="B95" s="1">
        <v>44457</v>
      </c>
      <c r="C95" s="2">
        <v>0.62175925925925923</v>
      </c>
      <c r="D95" s="1">
        <v>44457</v>
      </c>
      <c r="E95" s="3">
        <v>0.64258101851851845</v>
      </c>
      <c r="F95">
        <v>11</v>
      </c>
      <c r="G95">
        <v>17</v>
      </c>
      <c r="H95" s="3">
        <f t="shared" si="12"/>
        <v>2.082175925925922E-2</v>
      </c>
      <c r="I95" s="3">
        <f t="shared" si="13"/>
        <v>2.082175925925922E-2</v>
      </c>
      <c r="J95" s="3">
        <f t="shared" si="14"/>
        <v>0</v>
      </c>
      <c r="K95">
        <f t="shared" si="15"/>
        <v>59.966666666666669</v>
      </c>
      <c r="M95">
        <f t="shared" si="16"/>
        <v>0</v>
      </c>
      <c r="N95">
        <f t="shared" si="17"/>
        <v>0</v>
      </c>
      <c r="O95">
        <f t="shared" si="18"/>
        <v>0</v>
      </c>
      <c r="P95">
        <f t="shared" si="18"/>
        <v>0</v>
      </c>
      <c r="Q95">
        <f t="shared" si="18"/>
        <v>0</v>
      </c>
      <c r="R95">
        <f t="shared" si="18"/>
        <v>0</v>
      </c>
      <c r="S95">
        <f t="shared" si="11"/>
        <v>0</v>
      </c>
      <c r="T95">
        <f t="shared" si="11"/>
        <v>0</v>
      </c>
      <c r="U95">
        <f t="shared" si="11"/>
        <v>0</v>
      </c>
      <c r="V95">
        <f t="shared" si="11"/>
        <v>0</v>
      </c>
      <c r="W95">
        <f t="shared" si="19"/>
        <v>0</v>
      </c>
      <c r="X95">
        <f t="shared" si="19"/>
        <v>0</v>
      </c>
      <c r="Y95">
        <f t="shared" si="19"/>
        <v>0</v>
      </c>
      <c r="Z95">
        <f t="shared" si="19"/>
        <v>0</v>
      </c>
      <c r="AA95">
        <f t="shared" si="20"/>
        <v>0</v>
      </c>
    </row>
    <row r="96" spans="1:27" x14ac:dyDescent="0.3">
      <c r="A96">
        <v>95</v>
      </c>
      <c r="B96" s="1">
        <v>44457</v>
      </c>
      <c r="C96" s="2">
        <v>0.72517361111111101</v>
      </c>
      <c r="D96" s="1">
        <v>44457</v>
      </c>
      <c r="E96" s="3">
        <v>0.78138888888888891</v>
      </c>
      <c r="F96">
        <v>7</v>
      </c>
      <c r="G96">
        <v>16</v>
      </c>
      <c r="H96" s="3">
        <f t="shared" si="12"/>
        <v>5.6215277777777906E-2</v>
      </c>
      <c r="I96" s="3">
        <f t="shared" si="13"/>
        <v>5.6215277777777906E-2</v>
      </c>
      <c r="J96" s="3">
        <f t="shared" si="14"/>
        <v>0</v>
      </c>
      <c r="K96">
        <f t="shared" si="15"/>
        <v>161.89999999999998</v>
      </c>
      <c r="M96">
        <f t="shared" si="16"/>
        <v>0</v>
      </c>
      <c r="N96">
        <f t="shared" si="17"/>
        <v>0</v>
      </c>
      <c r="O96">
        <f t="shared" si="18"/>
        <v>0</v>
      </c>
      <c r="P96">
        <f t="shared" si="18"/>
        <v>0</v>
      </c>
      <c r="Q96">
        <f t="shared" si="18"/>
        <v>0</v>
      </c>
      <c r="R96">
        <f t="shared" si="18"/>
        <v>0</v>
      </c>
      <c r="S96">
        <f t="shared" si="11"/>
        <v>0</v>
      </c>
      <c r="T96">
        <f t="shared" si="11"/>
        <v>0</v>
      </c>
      <c r="U96">
        <f t="shared" si="11"/>
        <v>0</v>
      </c>
      <c r="V96">
        <f t="shared" si="11"/>
        <v>0</v>
      </c>
      <c r="W96">
        <f t="shared" si="19"/>
        <v>0</v>
      </c>
      <c r="X96">
        <f t="shared" si="19"/>
        <v>0</v>
      </c>
      <c r="Y96">
        <f t="shared" si="19"/>
        <v>0</v>
      </c>
      <c r="Z96">
        <f t="shared" si="19"/>
        <v>0</v>
      </c>
      <c r="AA96">
        <f t="shared" si="20"/>
        <v>0</v>
      </c>
    </row>
    <row r="97" spans="1:27" x14ac:dyDescent="0.3">
      <c r="A97">
        <v>96</v>
      </c>
      <c r="B97" s="1">
        <v>44458</v>
      </c>
      <c r="C97" s="2">
        <v>0.37921296296296297</v>
      </c>
      <c r="D97" s="1">
        <v>44458</v>
      </c>
      <c r="E97" s="3">
        <v>0.44873842592592594</v>
      </c>
      <c r="F97">
        <v>5</v>
      </c>
      <c r="G97">
        <v>1</v>
      </c>
      <c r="H97" s="3">
        <f t="shared" si="12"/>
        <v>6.9525462962962969E-2</v>
      </c>
      <c r="I97" s="3">
        <f t="shared" si="13"/>
        <v>6.9525462962962969E-2</v>
      </c>
      <c r="J97" s="3">
        <f t="shared" si="14"/>
        <v>0</v>
      </c>
      <c r="K97">
        <f t="shared" si="15"/>
        <v>200.23333333333335</v>
      </c>
      <c r="M97">
        <f t="shared" si="16"/>
        <v>0</v>
      </c>
      <c r="N97">
        <f t="shared" si="17"/>
        <v>0</v>
      </c>
      <c r="O97">
        <f t="shared" si="18"/>
        <v>0</v>
      </c>
      <c r="P97">
        <f t="shared" si="18"/>
        <v>0</v>
      </c>
      <c r="Q97">
        <f t="shared" si="18"/>
        <v>0</v>
      </c>
      <c r="R97">
        <f t="shared" si="18"/>
        <v>0</v>
      </c>
      <c r="S97">
        <f t="shared" si="11"/>
        <v>0</v>
      </c>
      <c r="T97">
        <f t="shared" si="11"/>
        <v>0</v>
      </c>
      <c r="U97">
        <f t="shared" si="11"/>
        <v>0</v>
      </c>
      <c r="V97">
        <f t="shared" si="11"/>
        <v>0</v>
      </c>
      <c r="W97">
        <f t="shared" si="19"/>
        <v>0</v>
      </c>
      <c r="X97">
        <f t="shared" si="19"/>
        <v>0</v>
      </c>
      <c r="Y97">
        <f t="shared" si="19"/>
        <v>0</v>
      </c>
      <c r="Z97">
        <f t="shared" si="19"/>
        <v>0</v>
      </c>
      <c r="AA97">
        <f t="shared" si="20"/>
        <v>0</v>
      </c>
    </row>
    <row r="98" spans="1:27" x14ac:dyDescent="0.3">
      <c r="A98">
        <v>97</v>
      </c>
      <c r="B98" s="1">
        <v>44458</v>
      </c>
      <c r="C98" s="2">
        <v>0.58005787037037038</v>
      </c>
      <c r="D98" s="1">
        <v>44458</v>
      </c>
      <c r="E98" s="3">
        <v>0.62572916666666667</v>
      </c>
      <c r="F98">
        <v>14</v>
      </c>
      <c r="G98">
        <v>7</v>
      </c>
      <c r="H98" s="3">
        <f t="shared" si="12"/>
        <v>4.5671296296296293E-2</v>
      </c>
      <c r="I98" s="3">
        <f t="shared" si="13"/>
        <v>4.5671296296296293E-2</v>
      </c>
      <c r="J98" s="3">
        <f t="shared" si="14"/>
        <v>0</v>
      </c>
      <c r="K98">
        <f t="shared" si="15"/>
        <v>131.53333333333333</v>
      </c>
      <c r="M98">
        <f t="shared" si="16"/>
        <v>0</v>
      </c>
      <c r="N98">
        <f t="shared" si="17"/>
        <v>0</v>
      </c>
      <c r="O98">
        <f t="shared" si="18"/>
        <v>0</v>
      </c>
      <c r="P98">
        <f t="shared" si="18"/>
        <v>0</v>
      </c>
      <c r="Q98">
        <f t="shared" si="18"/>
        <v>0</v>
      </c>
      <c r="R98">
        <f t="shared" si="18"/>
        <v>0</v>
      </c>
      <c r="S98">
        <f t="shared" si="11"/>
        <v>0</v>
      </c>
      <c r="T98">
        <f t="shared" si="11"/>
        <v>0</v>
      </c>
      <c r="U98">
        <f t="shared" si="11"/>
        <v>0</v>
      </c>
      <c r="V98">
        <f t="shared" si="11"/>
        <v>0</v>
      </c>
      <c r="W98">
        <f t="shared" si="19"/>
        <v>0</v>
      </c>
      <c r="X98">
        <f t="shared" si="19"/>
        <v>0</v>
      </c>
      <c r="Y98">
        <f t="shared" si="19"/>
        <v>0</v>
      </c>
      <c r="Z98">
        <f t="shared" si="19"/>
        <v>0</v>
      </c>
      <c r="AA98">
        <f t="shared" si="20"/>
        <v>0</v>
      </c>
    </row>
    <row r="99" spans="1:27" x14ac:dyDescent="0.3">
      <c r="A99">
        <v>98</v>
      </c>
      <c r="B99" s="1">
        <v>44458</v>
      </c>
      <c r="C99" s="2">
        <v>0.67716435185185186</v>
      </c>
      <c r="D99" s="1">
        <v>44458</v>
      </c>
      <c r="E99" s="3">
        <v>0.73178240740740741</v>
      </c>
      <c r="F99">
        <v>12</v>
      </c>
      <c r="G99">
        <v>9</v>
      </c>
      <c r="H99" s="3">
        <f t="shared" si="12"/>
        <v>5.4618055555555545E-2</v>
      </c>
      <c r="I99" s="3">
        <f t="shared" si="13"/>
        <v>5.4618055555555545E-2</v>
      </c>
      <c r="J99" s="3">
        <f t="shared" si="14"/>
        <v>0</v>
      </c>
      <c r="K99">
        <f t="shared" si="15"/>
        <v>157.30000000000001</v>
      </c>
      <c r="M99">
        <f t="shared" si="16"/>
        <v>0</v>
      </c>
      <c r="N99">
        <f t="shared" si="17"/>
        <v>0</v>
      </c>
      <c r="O99">
        <f t="shared" si="18"/>
        <v>0</v>
      </c>
      <c r="P99">
        <f t="shared" si="18"/>
        <v>0</v>
      </c>
      <c r="Q99">
        <f t="shared" si="18"/>
        <v>0</v>
      </c>
      <c r="R99">
        <f t="shared" si="18"/>
        <v>0</v>
      </c>
      <c r="S99">
        <f t="shared" si="11"/>
        <v>0</v>
      </c>
      <c r="T99">
        <f t="shared" si="11"/>
        <v>0</v>
      </c>
      <c r="U99">
        <f t="shared" si="11"/>
        <v>0</v>
      </c>
      <c r="V99">
        <f t="shared" si="11"/>
        <v>0</v>
      </c>
      <c r="W99">
        <f t="shared" si="19"/>
        <v>0</v>
      </c>
      <c r="X99">
        <f t="shared" si="19"/>
        <v>0</v>
      </c>
      <c r="Y99">
        <f t="shared" si="19"/>
        <v>0</v>
      </c>
      <c r="Z99">
        <f t="shared" si="19"/>
        <v>0</v>
      </c>
      <c r="AA99">
        <f t="shared" si="20"/>
        <v>0</v>
      </c>
    </row>
    <row r="100" spans="1:27" x14ac:dyDescent="0.3">
      <c r="A100">
        <v>99</v>
      </c>
      <c r="B100" s="1">
        <v>44458</v>
      </c>
      <c r="C100" s="2">
        <v>0.81361111111111117</v>
      </c>
      <c r="D100" s="1">
        <v>44458</v>
      </c>
      <c r="E100" s="3">
        <v>0.84862268518518524</v>
      </c>
      <c r="F100">
        <v>11</v>
      </c>
      <c r="G100">
        <v>9</v>
      </c>
      <c r="H100" s="3">
        <f t="shared" si="12"/>
        <v>3.501157407407407E-2</v>
      </c>
      <c r="I100" s="3">
        <f t="shared" si="13"/>
        <v>3.501157407407407E-2</v>
      </c>
      <c r="J100" s="3">
        <f t="shared" si="14"/>
        <v>0</v>
      </c>
      <c r="K100">
        <f t="shared" si="15"/>
        <v>100.83333333333333</v>
      </c>
      <c r="M100">
        <f t="shared" si="16"/>
        <v>0</v>
      </c>
      <c r="N100">
        <f t="shared" si="17"/>
        <v>0</v>
      </c>
      <c r="O100">
        <f t="shared" si="18"/>
        <v>0</v>
      </c>
      <c r="P100">
        <f t="shared" si="18"/>
        <v>0</v>
      </c>
      <c r="Q100">
        <f t="shared" si="18"/>
        <v>0</v>
      </c>
      <c r="R100">
        <f t="shared" si="18"/>
        <v>0</v>
      </c>
      <c r="S100">
        <f t="shared" si="11"/>
        <v>0</v>
      </c>
      <c r="T100">
        <f t="shared" si="11"/>
        <v>0</v>
      </c>
      <c r="U100">
        <f t="shared" si="11"/>
        <v>0</v>
      </c>
      <c r="V100">
        <f t="shared" si="11"/>
        <v>0</v>
      </c>
      <c r="W100">
        <f t="shared" si="19"/>
        <v>0</v>
      </c>
      <c r="X100">
        <f t="shared" si="19"/>
        <v>0</v>
      </c>
      <c r="Y100">
        <f t="shared" si="19"/>
        <v>0</v>
      </c>
      <c r="Z100">
        <f t="shared" si="19"/>
        <v>0</v>
      </c>
      <c r="AA100">
        <f t="shared" si="20"/>
        <v>0</v>
      </c>
    </row>
    <row r="101" spans="1:27" x14ac:dyDescent="0.3">
      <c r="A101">
        <v>100</v>
      </c>
      <c r="B101" s="1">
        <v>44458</v>
      </c>
      <c r="C101" s="2">
        <v>0.95554398148148145</v>
      </c>
      <c r="D101" s="1">
        <v>44459</v>
      </c>
      <c r="E101" s="3">
        <v>5.0520833333333327E-2</v>
      </c>
      <c r="F101">
        <v>11</v>
      </c>
      <c r="G101">
        <v>8</v>
      </c>
      <c r="H101" s="3">
        <f t="shared" si="12"/>
        <v>23.09497685185185</v>
      </c>
      <c r="I101" s="3">
        <f t="shared" si="13"/>
        <v>0</v>
      </c>
      <c r="J101" s="3">
        <f t="shared" si="14"/>
        <v>5.0520833333333327E-2</v>
      </c>
      <c r="K101">
        <f t="shared" si="15"/>
        <v>136.76666666666668</v>
      </c>
      <c r="M101">
        <f t="shared" si="16"/>
        <v>0</v>
      </c>
      <c r="N101">
        <f t="shared" si="17"/>
        <v>0</v>
      </c>
      <c r="O101">
        <f t="shared" si="18"/>
        <v>0</v>
      </c>
      <c r="P101">
        <f t="shared" si="18"/>
        <v>0</v>
      </c>
      <c r="Q101">
        <f t="shared" si="18"/>
        <v>0</v>
      </c>
      <c r="R101">
        <f t="shared" si="18"/>
        <v>0</v>
      </c>
      <c r="S101">
        <f t="shared" si="11"/>
        <v>0</v>
      </c>
      <c r="T101">
        <f t="shared" si="11"/>
        <v>0</v>
      </c>
      <c r="U101">
        <f t="shared" si="11"/>
        <v>0</v>
      </c>
      <c r="V101">
        <f t="shared" si="11"/>
        <v>0</v>
      </c>
      <c r="W101">
        <f t="shared" si="19"/>
        <v>0</v>
      </c>
      <c r="X101">
        <f t="shared" si="19"/>
        <v>0</v>
      </c>
      <c r="Y101">
        <f t="shared" si="19"/>
        <v>0</v>
      </c>
      <c r="Z101">
        <f t="shared" si="19"/>
        <v>0</v>
      </c>
      <c r="AA101">
        <f t="shared" si="20"/>
        <v>0</v>
      </c>
    </row>
    <row r="102" spans="1:27" x14ac:dyDescent="0.3">
      <c r="A102">
        <v>101</v>
      </c>
      <c r="B102" s="1">
        <v>44459</v>
      </c>
      <c r="C102" s="2">
        <v>0.3830324074074074</v>
      </c>
      <c r="D102" s="1">
        <v>44459</v>
      </c>
      <c r="E102" s="3">
        <v>0.44746527777777773</v>
      </c>
      <c r="F102">
        <v>12</v>
      </c>
      <c r="G102">
        <v>3</v>
      </c>
      <c r="H102" s="3">
        <f t="shared" si="12"/>
        <v>6.4432870370370321E-2</v>
      </c>
      <c r="I102" s="3">
        <f t="shared" si="13"/>
        <v>6.4432870370370321E-2</v>
      </c>
      <c r="J102" s="3">
        <f t="shared" si="14"/>
        <v>0</v>
      </c>
      <c r="K102">
        <f t="shared" si="15"/>
        <v>185.56666666666666</v>
      </c>
      <c r="M102">
        <f t="shared" si="16"/>
        <v>0</v>
      </c>
      <c r="N102">
        <f t="shared" si="17"/>
        <v>0</v>
      </c>
      <c r="O102">
        <f t="shared" si="18"/>
        <v>0</v>
      </c>
      <c r="P102">
        <f t="shared" si="18"/>
        <v>0</v>
      </c>
      <c r="Q102">
        <f t="shared" si="18"/>
        <v>0</v>
      </c>
      <c r="R102">
        <f t="shared" si="18"/>
        <v>0</v>
      </c>
      <c r="S102">
        <f t="shared" si="11"/>
        <v>0</v>
      </c>
      <c r="T102">
        <f t="shared" si="11"/>
        <v>0</v>
      </c>
      <c r="U102">
        <f t="shared" si="11"/>
        <v>0</v>
      </c>
      <c r="V102">
        <f t="shared" si="11"/>
        <v>0</v>
      </c>
      <c r="W102">
        <f t="shared" si="19"/>
        <v>0</v>
      </c>
      <c r="X102">
        <f t="shared" si="19"/>
        <v>0</v>
      </c>
      <c r="Y102">
        <f t="shared" si="19"/>
        <v>0</v>
      </c>
      <c r="Z102">
        <f t="shared" si="19"/>
        <v>0</v>
      </c>
      <c r="AA102">
        <f t="shared" si="20"/>
        <v>0</v>
      </c>
    </row>
    <row r="103" spans="1:27" x14ac:dyDescent="0.3">
      <c r="A103">
        <v>102</v>
      </c>
      <c r="B103" s="1">
        <v>44459</v>
      </c>
      <c r="C103" s="2">
        <v>0.47513888888888883</v>
      </c>
      <c r="D103" s="1">
        <v>44459</v>
      </c>
      <c r="E103" s="3">
        <v>0.52998842592592588</v>
      </c>
      <c r="F103">
        <v>7</v>
      </c>
      <c r="G103">
        <v>12</v>
      </c>
      <c r="H103" s="3">
        <f t="shared" si="12"/>
        <v>5.4849537037037044E-2</v>
      </c>
      <c r="I103" s="3">
        <f t="shared" si="13"/>
        <v>5.4849537037037044E-2</v>
      </c>
      <c r="J103" s="3">
        <f t="shared" si="14"/>
        <v>0</v>
      </c>
      <c r="K103">
        <f t="shared" si="15"/>
        <v>157.96666666666667</v>
      </c>
      <c r="M103">
        <f t="shared" si="16"/>
        <v>0</v>
      </c>
      <c r="N103">
        <f t="shared" si="17"/>
        <v>0</v>
      </c>
      <c r="O103">
        <f t="shared" si="18"/>
        <v>0</v>
      </c>
      <c r="P103">
        <f t="shared" si="18"/>
        <v>0</v>
      </c>
      <c r="Q103">
        <f t="shared" si="18"/>
        <v>0</v>
      </c>
      <c r="R103">
        <f t="shared" si="18"/>
        <v>0</v>
      </c>
      <c r="S103">
        <f t="shared" si="11"/>
        <v>0</v>
      </c>
      <c r="T103">
        <f t="shared" si="11"/>
        <v>0</v>
      </c>
      <c r="U103">
        <f t="shared" si="11"/>
        <v>0</v>
      </c>
      <c r="V103">
        <f t="shared" si="11"/>
        <v>0</v>
      </c>
      <c r="W103">
        <f t="shared" si="19"/>
        <v>0</v>
      </c>
      <c r="X103">
        <f t="shared" si="19"/>
        <v>0</v>
      </c>
      <c r="Y103">
        <f t="shared" si="19"/>
        <v>0</v>
      </c>
      <c r="Z103">
        <f t="shared" si="19"/>
        <v>0</v>
      </c>
      <c r="AA103">
        <f t="shared" si="20"/>
        <v>0</v>
      </c>
    </row>
    <row r="104" spans="1:27" x14ac:dyDescent="0.3">
      <c r="A104">
        <v>103</v>
      </c>
      <c r="B104" s="1">
        <v>44459</v>
      </c>
      <c r="C104" s="2">
        <v>0.54886574074074079</v>
      </c>
      <c r="D104" s="1">
        <v>44459</v>
      </c>
      <c r="E104" s="3">
        <v>0.59329861111111104</v>
      </c>
      <c r="F104">
        <v>9</v>
      </c>
      <c r="G104">
        <v>14</v>
      </c>
      <c r="H104" s="3">
        <f t="shared" si="12"/>
        <v>4.4432870370370248E-2</v>
      </c>
      <c r="I104" s="3">
        <f t="shared" si="13"/>
        <v>4.4432870370370248E-2</v>
      </c>
      <c r="J104" s="3">
        <f t="shared" si="14"/>
        <v>0</v>
      </c>
      <c r="K104">
        <f t="shared" si="15"/>
        <v>127.96666666666667</v>
      </c>
      <c r="M104">
        <f t="shared" si="16"/>
        <v>0</v>
      </c>
      <c r="N104">
        <f t="shared" si="17"/>
        <v>0</v>
      </c>
      <c r="O104">
        <f t="shared" si="18"/>
        <v>0</v>
      </c>
      <c r="P104">
        <f t="shared" si="18"/>
        <v>0</v>
      </c>
      <c r="Q104">
        <f t="shared" si="18"/>
        <v>0</v>
      </c>
      <c r="R104">
        <f t="shared" si="18"/>
        <v>0</v>
      </c>
      <c r="S104">
        <f t="shared" si="11"/>
        <v>0</v>
      </c>
      <c r="T104">
        <f t="shared" si="11"/>
        <v>0</v>
      </c>
      <c r="U104">
        <f t="shared" si="11"/>
        <v>0</v>
      </c>
      <c r="V104">
        <f t="shared" si="11"/>
        <v>0</v>
      </c>
      <c r="W104">
        <f t="shared" si="19"/>
        <v>0</v>
      </c>
      <c r="X104">
        <f t="shared" si="19"/>
        <v>0</v>
      </c>
      <c r="Y104">
        <f t="shared" si="19"/>
        <v>0</v>
      </c>
      <c r="Z104">
        <f t="shared" si="19"/>
        <v>0</v>
      </c>
      <c r="AA104">
        <f t="shared" si="20"/>
        <v>0</v>
      </c>
    </row>
    <row r="105" spans="1:27" x14ac:dyDescent="0.3">
      <c r="A105">
        <v>104</v>
      </c>
      <c r="B105" s="1">
        <v>44459</v>
      </c>
      <c r="C105" s="2">
        <v>0.63266203703703705</v>
      </c>
      <c r="D105" s="1">
        <v>44459</v>
      </c>
      <c r="E105" s="3">
        <v>0.67504629629629631</v>
      </c>
      <c r="F105">
        <v>8</v>
      </c>
      <c r="G105">
        <v>19</v>
      </c>
      <c r="H105" s="3">
        <f t="shared" si="12"/>
        <v>4.238425925925926E-2</v>
      </c>
      <c r="I105" s="3">
        <f t="shared" si="13"/>
        <v>4.238425925925926E-2</v>
      </c>
      <c r="J105" s="3">
        <f t="shared" si="14"/>
        <v>0</v>
      </c>
      <c r="K105">
        <f t="shared" si="15"/>
        <v>122.06666666666666</v>
      </c>
      <c r="M105">
        <f t="shared" si="16"/>
        <v>0</v>
      </c>
      <c r="N105">
        <f t="shared" si="17"/>
        <v>0</v>
      </c>
      <c r="O105">
        <f t="shared" si="18"/>
        <v>0</v>
      </c>
      <c r="P105">
        <f t="shared" si="18"/>
        <v>0</v>
      </c>
      <c r="Q105">
        <f t="shared" si="18"/>
        <v>0</v>
      </c>
      <c r="R105">
        <f t="shared" si="18"/>
        <v>0</v>
      </c>
      <c r="S105">
        <f t="shared" si="11"/>
        <v>0</v>
      </c>
      <c r="T105">
        <f t="shared" si="11"/>
        <v>0</v>
      </c>
      <c r="U105">
        <f t="shared" si="11"/>
        <v>0</v>
      </c>
      <c r="V105">
        <f t="shared" si="11"/>
        <v>0</v>
      </c>
      <c r="W105">
        <f t="shared" si="19"/>
        <v>0</v>
      </c>
      <c r="X105">
        <f t="shared" si="19"/>
        <v>0</v>
      </c>
      <c r="Y105">
        <f t="shared" si="19"/>
        <v>0</v>
      </c>
      <c r="Z105">
        <f t="shared" si="19"/>
        <v>0</v>
      </c>
      <c r="AA105">
        <f t="shared" si="20"/>
        <v>0</v>
      </c>
    </row>
    <row r="106" spans="1:27" x14ac:dyDescent="0.3">
      <c r="A106">
        <v>105</v>
      </c>
      <c r="B106" s="1">
        <v>44459</v>
      </c>
      <c r="C106" s="2">
        <v>0.70928240740740733</v>
      </c>
      <c r="D106" s="1">
        <v>44459</v>
      </c>
      <c r="E106" s="3">
        <v>0.72917824074074078</v>
      </c>
      <c r="F106">
        <v>23</v>
      </c>
      <c r="G106">
        <v>14</v>
      </c>
      <c r="H106" s="3">
        <f t="shared" si="12"/>
        <v>1.9895833333333446E-2</v>
      </c>
      <c r="I106" s="3">
        <f t="shared" si="13"/>
        <v>1.9895833333333446E-2</v>
      </c>
      <c r="J106" s="3">
        <f t="shared" si="14"/>
        <v>0</v>
      </c>
      <c r="K106">
        <f t="shared" si="15"/>
        <v>57.3</v>
      </c>
      <c r="M106">
        <f t="shared" si="16"/>
        <v>0</v>
      </c>
      <c r="N106">
        <f t="shared" si="17"/>
        <v>0</v>
      </c>
      <c r="O106">
        <f t="shared" si="18"/>
        <v>0</v>
      </c>
      <c r="P106">
        <f t="shared" si="18"/>
        <v>0</v>
      </c>
      <c r="Q106">
        <f t="shared" si="18"/>
        <v>0</v>
      </c>
      <c r="R106">
        <f t="shared" si="18"/>
        <v>0</v>
      </c>
      <c r="S106">
        <f t="shared" si="11"/>
        <v>0</v>
      </c>
      <c r="T106">
        <f t="shared" si="11"/>
        <v>0</v>
      </c>
      <c r="U106">
        <f t="shared" si="11"/>
        <v>0</v>
      </c>
      <c r="V106">
        <f t="shared" si="11"/>
        <v>0</v>
      </c>
      <c r="W106">
        <f t="shared" si="19"/>
        <v>0</v>
      </c>
      <c r="X106">
        <f t="shared" si="19"/>
        <v>0</v>
      </c>
      <c r="Y106">
        <f t="shared" si="19"/>
        <v>0</v>
      </c>
      <c r="Z106">
        <f t="shared" si="19"/>
        <v>0</v>
      </c>
      <c r="AA106">
        <f t="shared" si="20"/>
        <v>0</v>
      </c>
    </row>
    <row r="107" spans="1:27" x14ac:dyDescent="0.3">
      <c r="A107">
        <v>106</v>
      </c>
      <c r="B107" s="1">
        <v>44459</v>
      </c>
      <c r="C107" s="2">
        <v>0.74663194444444436</v>
      </c>
      <c r="D107" s="1">
        <v>44459</v>
      </c>
      <c r="E107" s="3">
        <v>0.78163194444444439</v>
      </c>
      <c r="F107">
        <v>19</v>
      </c>
      <c r="G107">
        <v>9</v>
      </c>
      <c r="H107" s="3">
        <f t="shared" si="12"/>
        <v>3.5000000000000031E-2</v>
      </c>
      <c r="I107" s="3">
        <f t="shared" si="13"/>
        <v>3.5000000000000031E-2</v>
      </c>
      <c r="J107" s="3">
        <f t="shared" si="14"/>
        <v>0</v>
      </c>
      <c r="K107">
        <f t="shared" si="15"/>
        <v>100.80000000000001</v>
      </c>
      <c r="M107">
        <f t="shared" si="16"/>
        <v>0</v>
      </c>
      <c r="N107">
        <f t="shared" si="17"/>
        <v>0</v>
      </c>
      <c r="O107">
        <f t="shared" si="18"/>
        <v>0</v>
      </c>
      <c r="P107">
        <f t="shared" si="18"/>
        <v>0</v>
      </c>
      <c r="Q107">
        <f t="shared" si="18"/>
        <v>0</v>
      </c>
      <c r="R107">
        <f t="shared" si="18"/>
        <v>0</v>
      </c>
      <c r="S107">
        <f t="shared" si="11"/>
        <v>0</v>
      </c>
      <c r="T107">
        <f t="shared" si="11"/>
        <v>0</v>
      </c>
      <c r="U107">
        <f t="shared" si="11"/>
        <v>0</v>
      </c>
      <c r="V107">
        <f t="shared" si="11"/>
        <v>0</v>
      </c>
      <c r="W107">
        <f t="shared" si="19"/>
        <v>0</v>
      </c>
      <c r="X107">
        <f t="shared" si="19"/>
        <v>0</v>
      </c>
      <c r="Y107">
        <f t="shared" si="19"/>
        <v>0</v>
      </c>
      <c r="Z107">
        <f t="shared" si="19"/>
        <v>0</v>
      </c>
      <c r="AA107">
        <f t="shared" si="20"/>
        <v>0</v>
      </c>
    </row>
    <row r="108" spans="1:27" x14ac:dyDescent="0.3">
      <c r="A108">
        <v>107</v>
      </c>
      <c r="B108" s="1">
        <v>44459</v>
      </c>
      <c r="C108" s="2">
        <v>0.82415509259259256</v>
      </c>
      <c r="D108" s="1">
        <v>44459</v>
      </c>
      <c r="E108" s="3">
        <v>0.91810185185185178</v>
      </c>
      <c r="F108">
        <v>0</v>
      </c>
      <c r="G108">
        <v>6</v>
      </c>
      <c r="H108" s="3">
        <f t="shared" si="12"/>
        <v>9.3946759259259216E-2</v>
      </c>
      <c r="I108" s="3">
        <f t="shared" si="13"/>
        <v>9.3946759259259216E-2</v>
      </c>
      <c r="J108" s="3">
        <f t="shared" si="14"/>
        <v>0</v>
      </c>
      <c r="K108">
        <f t="shared" si="15"/>
        <v>270.56666666666666</v>
      </c>
      <c r="M108">
        <f t="shared" si="16"/>
        <v>0</v>
      </c>
      <c r="N108">
        <f t="shared" si="17"/>
        <v>0</v>
      </c>
      <c r="O108">
        <f t="shared" si="18"/>
        <v>0</v>
      </c>
      <c r="P108">
        <f t="shared" si="18"/>
        <v>0</v>
      </c>
      <c r="Q108">
        <f t="shared" si="18"/>
        <v>0</v>
      </c>
      <c r="R108">
        <f t="shared" si="18"/>
        <v>0</v>
      </c>
      <c r="S108">
        <f t="shared" si="11"/>
        <v>0</v>
      </c>
      <c r="T108">
        <f t="shared" si="11"/>
        <v>0</v>
      </c>
      <c r="U108">
        <f t="shared" si="11"/>
        <v>0</v>
      </c>
      <c r="V108">
        <f t="shared" si="11"/>
        <v>0</v>
      </c>
      <c r="W108">
        <f t="shared" si="19"/>
        <v>0</v>
      </c>
      <c r="X108">
        <f t="shared" si="19"/>
        <v>0</v>
      </c>
      <c r="Y108">
        <f t="shared" si="19"/>
        <v>0</v>
      </c>
      <c r="Z108">
        <f t="shared" si="19"/>
        <v>0</v>
      </c>
      <c r="AA108">
        <f t="shared" si="20"/>
        <v>0</v>
      </c>
    </row>
    <row r="109" spans="1:27" x14ac:dyDescent="0.3">
      <c r="A109">
        <v>108</v>
      </c>
      <c r="B109" s="1">
        <v>44459</v>
      </c>
      <c r="C109" s="2">
        <v>0.97640046296296301</v>
      </c>
      <c r="D109" s="1">
        <v>44460</v>
      </c>
      <c r="E109" s="3">
        <v>5.7824074074074076E-2</v>
      </c>
      <c r="F109">
        <v>4</v>
      </c>
      <c r="G109">
        <v>15</v>
      </c>
      <c r="H109" s="3">
        <f t="shared" si="12"/>
        <v>23.081423611111109</v>
      </c>
      <c r="I109" s="3">
        <f t="shared" si="13"/>
        <v>0</v>
      </c>
      <c r="J109" s="3">
        <f t="shared" si="14"/>
        <v>5.7824074074074076E-2</v>
      </c>
      <c r="K109">
        <f t="shared" si="15"/>
        <v>117.25</v>
      </c>
      <c r="M109">
        <f t="shared" si="16"/>
        <v>0</v>
      </c>
      <c r="N109">
        <f t="shared" si="17"/>
        <v>0</v>
      </c>
      <c r="O109">
        <f t="shared" si="18"/>
        <v>0</v>
      </c>
      <c r="P109">
        <f t="shared" si="18"/>
        <v>0</v>
      </c>
      <c r="Q109">
        <f t="shared" si="18"/>
        <v>0</v>
      </c>
      <c r="R109">
        <f t="shared" si="18"/>
        <v>0</v>
      </c>
      <c r="S109">
        <f t="shared" si="11"/>
        <v>0</v>
      </c>
      <c r="T109">
        <f t="shared" si="11"/>
        <v>0</v>
      </c>
      <c r="U109">
        <f t="shared" si="11"/>
        <v>0</v>
      </c>
      <c r="V109">
        <f t="shared" si="11"/>
        <v>0</v>
      </c>
      <c r="W109">
        <f t="shared" si="19"/>
        <v>0</v>
      </c>
      <c r="X109">
        <f t="shared" si="19"/>
        <v>0</v>
      </c>
      <c r="Y109">
        <f t="shared" si="19"/>
        <v>0</v>
      </c>
      <c r="Z109">
        <f t="shared" si="19"/>
        <v>0</v>
      </c>
      <c r="AA109">
        <f t="shared" si="20"/>
        <v>0</v>
      </c>
    </row>
    <row r="110" spans="1:27" x14ac:dyDescent="0.3">
      <c r="A110">
        <v>109</v>
      </c>
      <c r="B110" s="1">
        <v>44460</v>
      </c>
      <c r="C110" s="2">
        <v>0.29172453703703705</v>
      </c>
      <c r="D110" s="1">
        <v>44460</v>
      </c>
      <c r="E110" s="3">
        <v>0.33641203703703698</v>
      </c>
      <c r="F110">
        <v>11</v>
      </c>
      <c r="G110">
        <v>0</v>
      </c>
      <c r="H110" s="3">
        <f t="shared" si="12"/>
        <v>4.4687499999999936E-2</v>
      </c>
      <c r="I110" s="3">
        <f t="shared" si="13"/>
        <v>4.4687499999999936E-2</v>
      </c>
      <c r="J110" s="3">
        <f t="shared" si="14"/>
        <v>0</v>
      </c>
      <c r="K110">
        <f t="shared" si="15"/>
        <v>128.69999999999999</v>
      </c>
      <c r="M110">
        <f t="shared" si="16"/>
        <v>0</v>
      </c>
      <c r="N110">
        <f t="shared" si="17"/>
        <v>0</v>
      </c>
      <c r="O110">
        <f t="shared" si="18"/>
        <v>0</v>
      </c>
      <c r="P110">
        <f t="shared" si="18"/>
        <v>0</v>
      </c>
      <c r="Q110">
        <f t="shared" si="18"/>
        <v>0</v>
      </c>
      <c r="R110">
        <f t="shared" si="18"/>
        <v>0</v>
      </c>
      <c r="S110">
        <f t="shared" si="11"/>
        <v>0</v>
      </c>
      <c r="T110">
        <f t="shared" si="11"/>
        <v>0</v>
      </c>
      <c r="U110">
        <f t="shared" si="11"/>
        <v>0</v>
      </c>
      <c r="V110">
        <f t="shared" si="11"/>
        <v>0</v>
      </c>
      <c r="W110">
        <f t="shared" si="19"/>
        <v>0</v>
      </c>
      <c r="X110">
        <f t="shared" si="19"/>
        <v>0</v>
      </c>
      <c r="Y110">
        <f t="shared" si="19"/>
        <v>0</v>
      </c>
      <c r="Z110">
        <f t="shared" si="19"/>
        <v>0</v>
      </c>
      <c r="AA110">
        <f t="shared" si="20"/>
        <v>0</v>
      </c>
    </row>
    <row r="111" spans="1:27" x14ac:dyDescent="0.3">
      <c r="A111">
        <v>110</v>
      </c>
      <c r="B111" s="1">
        <v>44460</v>
      </c>
      <c r="C111" s="2">
        <v>0.42815972222222221</v>
      </c>
      <c r="D111" s="1">
        <v>44460</v>
      </c>
      <c r="E111" s="3">
        <v>0.58225694444444442</v>
      </c>
      <c r="F111">
        <v>9</v>
      </c>
      <c r="G111">
        <v>4</v>
      </c>
      <c r="H111" s="3">
        <f t="shared" si="12"/>
        <v>0.15409722222222222</v>
      </c>
      <c r="I111" s="3">
        <f t="shared" si="13"/>
        <v>0.15409722222222222</v>
      </c>
      <c r="J111" s="3">
        <f t="shared" si="14"/>
        <v>0</v>
      </c>
      <c r="K111">
        <f t="shared" si="15"/>
        <v>443.79999999999995</v>
      </c>
      <c r="M111">
        <f t="shared" si="16"/>
        <v>0</v>
      </c>
      <c r="N111">
        <f t="shared" si="17"/>
        <v>0</v>
      </c>
      <c r="O111">
        <f t="shared" si="18"/>
        <v>0</v>
      </c>
      <c r="P111">
        <f t="shared" si="18"/>
        <v>0</v>
      </c>
      <c r="Q111">
        <f t="shared" si="18"/>
        <v>0</v>
      </c>
      <c r="R111">
        <f t="shared" si="18"/>
        <v>0</v>
      </c>
      <c r="S111">
        <f t="shared" ref="S111:AA158" si="21">IF(DAY($B111)=S$1,$K111,0)</f>
        <v>0</v>
      </c>
      <c r="T111">
        <f t="shared" si="21"/>
        <v>0</v>
      </c>
      <c r="U111">
        <f t="shared" si="21"/>
        <v>0</v>
      </c>
      <c r="V111">
        <f t="shared" si="21"/>
        <v>0</v>
      </c>
      <c r="W111">
        <f t="shared" si="19"/>
        <v>0</v>
      </c>
      <c r="X111">
        <f t="shared" si="19"/>
        <v>0</v>
      </c>
      <c r="Y111">
        <f t="shared" si="19"/>
        <v>0</v>
      </c>
      <c r="Z111">
        <f t="shared" si="19"/>
        <v>0</v>
      </c>
      <c r="AA111">
        <f t="shared" si="20"/>
        <v>0</v>
      </c>
    </row>
    <row r="112" spans="1:27" x14ac:dyDescent="0.3">
      <c r="A112">
        <v>111</v>
      </c>
      <c r="B112" s="1">
        <v>44460</v>
      </c>
      <c r="C112" s="2">
        <v>0.62174768518518519</v>
      </c>
      <c r="D112" s="1">
        <v>44460</v>
      </c>
      <c r="E112" s="3">
        <v>0.66903935185185182</v>
      </c>
      <c r="F112">
        <v>9</v>
      </c>
      <c r="G112">
        <v>28</v>
      </c>
      <c r="H112" s="3">
        <f t="shared" si="12"/>
        <v>4.7291666666666621E-2</v>
      </c>
      <c r="I112" s="3">
        <f t="shared" si="13"/>
        <v>4.7291666666666621E-2</v>
      </c>
      <c r="J112" s="3">
        <f t="shared" si="14"/>
        <v>0</v>
      </c>
      <c r="K112">
        <f t="shared" si="15"/>
        <v>136.19999999999999</v>
      </c>
      <c r="M112">
        <f t="shared" si="16"/>
        <v>0</v>
      </c>
      <c r="N112">
        <f t="shared" si="17"/>
        <v>0</v>
      </c>
      <c r="O112">
        <f t="shared" si="18"/>
        <v>0</v>
      </c>
      <c r="P112">
        <f t="shared" si="18"/>
        <v>0</v>
      </c>
      <c r="Q112">
        <f t="shared" si="18"/>
        <v>0</v>
      </c>
      <c r="R112">
        <f t="shared" si="18"/>
        <v>0</v>
      </c>
      <c r="S112">
        <f t="shared" si="21"/>
        <v>0</v>
      </c>
      <c r="T112">
        <f t="shared" si="21"/>
        <v>0</v>
      </c>
      <c r="U112">
        <f t="shared" si="21"/>
        <v>0</v>
      </c>
      <c r="V112">
        <f t="shared" si="21"/>
        <v>0</v>
      </c>
      <c r="W112">
        <f t="shared" si="19"/>
        <v>0</v>
      </c>
      <c r="X112">
        <f t="shared" si="19"/>
        <v>0</v>
      </c>
      <c r="Y112">
        <f t="shared" si="19"/>
        <v>0</v>
      </c>
      <c r="Z112">
        <f t="shared" si="19"/>
        <v>0</v>
      </c>
      <c r="AA112">
        <f t="shared" si="20"/>
        <v>0</v>
      </c>
    </row>
    <row r="113" spans="1:27" x14ac:dyDescent="0.3">
      <c r="A113">
        <v>112</v>
      </c>
      <c r="B113" s="1">
        <v>44460</v>
      </c>
      <c r="C113" s="2">
        <v>0.71136574074074066</v>
      </c>
      <c r="D113" s="1">
        <v>44460</v>
      </c>
      <c r="E113" s="3">
        <v>0.76173611111111106</v>
      </c>
      <c r="F113">
        <v>0</v>
      </c>
      <c r="G113">
        <v>10</v>
      </c>
      <c r="H113" s="3">
        <f t="shared" si="12"/>
        <v>5.0370370370370399E-2</v>
      </c>
      <c r="I113" s="3">
        <f t="shared" si="13"/>
        <v>5.0370370370370399E-2</v>
      </c>
      <c r="J113" s="3">
        <f t="shared" si="14"/>
        <v>0</v>
      </c>
      <c r="K113">
        <f t="shared" si="15"/>
        <v>145.06666666666666</v>
      </c>
      <c r="M113">
        <f t="shared" si="16"/>
        <v>0</v>
      </c>
      <c r="N113">
        <f t="shared" si="17"/>
        <v>0</v>
      </c>
      <c r="O113">
        <f t="shared" si="18"/>
        <v>0</v>
      </c>
      <c r="P113">
        <f t="shared" si="18"/>
        <v>0</v>
      </c>
      <c r="Q113">
        <f t="shared" si="18"/>
        <v>0</v>
      </c>
      <c r="R113">
        <f t="shared" si="18"/>
        <v>0</v>
      </c>
      <c r="S113">
        <f t="shared" si="21"/>
        <v>0</v>
      </c>
      <c r="T113">
        <f t="shared" si="21"/>
        <v>0</v>
      </c>
      <c r="U113">
        <f t="shared" si="21"/>
        <v>0</v>
      </c>
      <c r="V113">
        <f t="shared" si="21"/>
        <v>0</v>
      </c>
      <c r="W113">
        <f t="shared" si="19"/>
        <v>0</v>
      </c>
      <c r="X113">
        <f t="shared" si="19"/>
        <v>0</v>
      </c>
      <c r="Y113">
        <f t="shared" si="19"/>
        <v>0</v>
      </c>
      <c r="Z113">
        <f t="shared" si="19"/>
        <v>0</v>
      </c>
      <c r="AA113">
        <f t="shared" si="20"/>
        <v>0</v>
      </c>
    </row>
    <row r="114" spans="1:27" x14ac:dyDescent="0.3">
      <c r="A114">
        <v>113</v>
      </c>
      <c r="B114" s="1">
        <v>44460</v>
      </c>
      <c r="C114" s="2">
        <v>0.83270833333333327</v>
      </c>
      <c r="D114" s="1">
        <v>44460</v>
      </c>
      <c r="E114" s="3">
        <v>0.9375</v>
      </c>
      <c r="F114">
        <v>12</v>
      </c>
      <c r="G114">
        <v>6</v>
      </c>
      <c r="H114" s="3">
        <f t="shared" si="12"/>
        <v>0.10479166666666673</v>
      </c>
      <c r="I114" s="3">
        <f t="shared" si="13"/>
        <v>0.10479166666666673</v>
      </c>
      <c r="J114" s="3">
        <f t="shared" si="14"/>
        <v>0</v>
      </c>
      <c r="K114">
        <f t="shared" si="15"/>
        <v>301.79999999999995</v>
      </c>
      <c r="M114">
        <f t="shared" si="16"/>
        <v>0</v>
      </c>
      <c r="N114">
        <f t="shared" si="17"/>
        <v>0</v>
      </c>
      <c r="O114">
        <f t="shared" si="18"/>
        <v>0</v>
      </c>
      <c r="P114">
        <f t="shared" si="18"/>
        <v>0</v>
      </c>
      <c r="Q114">
        <f t="shared" si="18"/>
        <v>0</v>
      </c>
      <c r="R114">
        <f t="shared" si="18"/>
        <v>0</v>
      </c>
      <c r="S114">
        <f t="shared" si="21"/>
        <v>0</v>
      </c>
      <c r="T114">
        <f t="shared" si="21"/>
        <v>0</v>
      </c>
      <c r="U114">
        <f t="shared" si="21"/>
        <v>0</v>
      </c>
      <c r="V114">
        <f t="shared" si="21"/>
        <v>0</v>
      </c>
      <c r="W114">
        <f t="shared" si="19"/>
        <v>0</v>
      </c>
      <c r="X114">
        <f t="shared" si="19"/>
        <v>0</v>
      </c>
      <c r="Y114">
        <f t="shared" si="19"/>
        <v>0</v>
      </c>
      <c r="Z114">
        <f t="shared" si="19"/>
        <v>0</v>
      </c>
      <c r="AA114">
        <f t="shared" si="20"/>
        <v>0</v>
      </c>
    </row>
    <row r="115" spans="1:27" x14ac:dyDescent="0.3">
      <c r="A115">
        <v>114</v>
      </c>
      <c r="B115" s="1">
        <v>44461</v>
      </c>
      <c r="C115" s="2">
        <v>0.29829861111111111</v>
      </c>
      <c r="D115" s="1">
        <v>44461</v>
      </c>
      <c r="E115" s="3">
        <v>0.3449652777777778</v>
      </c>
      <c r="F115">
        <v>11</v>
      </c>
      <c r="G115">
        <v>5</v>
      </c>
      <c r="H115" s="3">
        <f t="shared" si="12"/>
        <v>4.666666666666669E-2</v>
      </c>
      <c r="I115" s="3">
        <f t="shared" si="13"/>
        <v>4.666666666666669E-2</v>
      </c>
      <c r="J115" s="3">
        <f t="shared" si="14"/>
        <v>0</v>
      </c>
      <c r="K115">
        <f t="shared" si="15"/>
        <v>134.39999999999998</v>
      </c>
      <c r="M115">
        <f t="shared" si="16"/>
        <v>0</v>
      </c>
      <c r="N115">
        <f t="shared" si="17"/>
        <v>0</v>
      </c>
      <c r="O115">
        <f t="shared" si="18"/>
        <v>0</v>
      </c>
      <c r="P115">
        <f t="shared" si="18"/>
        <v>0</v>
      </c>
      <c r="Q115">
        <f t="shared" si="18"/>
        <v>0</v>
      </c>
      <c r="R115">
        <f t="shared" si="18"/>
        <v>0</v>
      </c>
      <c r="S115">
        <f t="shared" si="21"/>
        <v>0</v>
      </c>
      <c r="T115">
        <f t="shared" si="21"/>
        <v>0</v>
      </c>
      <c r="U115">
        <f t="shared" si="21"/>
        <v>0</v>
      </c>
      <c r="V115">
        <f t="shared" si="21"/>
        <v>0</v>
      </c>
      <c r="W115">
        <f t="shared" si="19"/>
        <v>0</v>
      </c>
      <c r="X115">
        <f t="shared" si="19"/>
        <v>0</v>
      </c>
      <c r="Y115">
        <f t="shared" si="19"/>
        <v>0</v>
      </c>
      <c r="Z115">
        <f t="shared" si="19"/>
        <v>0</v>
      </c>
      <c r="AA115">
        <f t="shared" si="20"/>
        <v>0</v>
      </c>
    </row>
    <row r="116" spans="1:27" x14ac:dyDescent="0.3">
      <c r="A116">
        <v>115</v>
      </c>
      <c r="B116" s="1">
        <v>44461</v>
      </c>
      <c r="C116" s="2">
        <v>0.38718750000000002</v>
      </c>
      <c r="D116" s="1">
        <v>44461</v>
      </c>
      <c r="E116" s="3">
        <v>0.46149305555555559</v>
      </c>
      <c r="F116">
        <v>13</v>
      </c>
      <c r="G116">
        <v>9</v>
      </c>
      <c r="H116" s="3">
        <f t="shared" si="12"/>
        <v>7.4305555555555569E-2</v>
      </c>
      <c r="I116" s="3">
        <f t="shared" si="13"/>
        <v>7.4305555555555569E-2</v>
      </c>
      <c r="J116" s="3">
        <f t="shared" si="14"/>
        <v>0</v>
      </c>
      <c r="K116">
        <f t="shared" si="15"/>
        <v>214</v>
      </c>
      <c r="M116">
        <f t="shared" si="16"/>
        <v>0</v>
      </c>
      <c r="N116">
        <f t="shared" si="17"/>
        <v>0</v>
      </c>
      <c r="O116">
        <f t="shared" si="18"/>
        <v>0</v>
      </c>
      <c r="P116">
        <f t="shared" si="18"/>
        <v>0</v>
      </c>
      <c r="Q116">
        <f t="shared" si="18"/>
        <v>0</v>
      </c>
      <c r="R116">
        <f t="shared" si="18"/>
        <v>0</v>
      </c>
      <c r="S116">
        <f t="shared" si="21"/>
        <v>0</v>
      </c>
      <c r="T116">
        <f t="shared" si="21"/>
        <v>0</v>
      </c>
      <c r="U116">
        <f t="shared" si="21"/>
        <v>0</v>
      </c>
      <c r="V116">
        <f t="shared" si="21"/>
        <v>0</v>
      </c>
      <c r="W116">
        <f t="shared" si="19"/>
        <v>0</v>
      </c>
      <c r="X116">
        <f t="shared" si="19"/>
        <v>0</v>
      </c>
      <c r="Y116">
        <f t="shared" si="19"/>
        <v>0</v>
      </c>
      <c r="Z116">
        <f t="shared" si="19"/>
        <v>0</v>
      </c>
      <c r="AA116">
        <f t="shared" si="20"/>
        <v>0</v>
      </c>
    </row>
    <row r="117" spans="1:27" x14ac:dyDescent="0.3">
      <c r="A117">
        <v>116</v>
      </c>
      <c r="B117" s="1">
        <v>44461</v>
      </c>
      <c r="C117" s="2">
        <v>0.60652777777777778</v>
      </c>
      <c r="D117" s="1">
        <v>44461</v>
      </c>
      <c r="E117" s="3">
        <v>0.63285879629629627</v>
      </c>
      <c r="F117">
        <v>14</v>
      </c>
      <c r="G117">
        <v>11</v>
      </c>
      <c r="H117" s="3">
        <f t="shared" si="12"/>
        <v>2.633101851851849E-2</v>
      </c>
      <c r="I117" s="3">
        <f t="shared" si="13"/>
        <v>2.633101851851849E-2</v>
      </c>
      <c r="J117" s="3">
        <f t="shared" si="14"/>
        <v>0</v>
      </c>
      <c r="K117">
        <f t="shared" si="15"/>
        <v>75.833333333333329</v>
      </c>
      <c r="M117">
        <f t="shared" si="16"/>
        <v>0</v>
      </c>
      <c r="N117">
        <f t="shared" si="17"/>
        <v>0</v>
      </c>
      <c r="O117">
        <f t="shared" si="18"/>
        <v>0</v>
      </c>
      <c r="P117">
        <f t="shared" si="18"/>
        <v>0</v>
      </c>
      <c r="Q117">
        <f t="shared" si="18"/>
        <v>0</v>
      </c>
      <c r="R117">
        <f t="shared" si="18"/>
        <v>0</v>
      </c>
      <c r="S117">
        <f t="shared" si="21"/>
        <v>0</v>
      </c>
      <c r="T117">
        <f t="shared" si="21"/>
        <v>0</v>
      </c>
      <c r="U117">
        <f t="shared" si="21"/>
        <v>0</v>
      </c>
      <c r="V117">
        <f t="shared" si="21"/>
        <v>0</v>
      </c>
      <c r="W117">
        <f t="shared" si="19"/>
        <v>0</v>
      </c>
      <c r="X117">
        <f t="shared" si="19"/>
        <v>0</v>
      </c>
      <c r="Y117">
        <f t="shared" si="19"/>
        <v>0</v>
      </c>
      <c r="Z117">
        <f t="shared" si="19"/>
        <v>0</v>
      </c>
      <c r="AA117">
        <f t="shared" si="20"/>
        <v>0</v>
      </c>
    </row>
    <row r="118" spans="1:27" x14ac:dyDescent="0.3">
      <c r="A118">
        <v>117</v>
      </c>
      <c r="B118" s="1">
        <v>44461</v>
      </c>
      <c r="C118" s="2">
        <v>0.64589120370370368</v>
      </c>
      <c r="D118" s="1">
        <v>44461</v>
      </c>
      <c r="E118" s="3">
        <v>0.70006944444444441</v>
      </c>
      <c r="F118">
        <v>2</v>
      </c>
      <c r="G118">
        <v>0</v>
      </c>
      <c r="H118" s="3">
        <f t="shared" si="12"/>
        <v>5.4178240740740735E-2</v>
      </c>
      <c r="I118" s="3">
        <f t="shared" si="13"/>
        <v>5.4178240740740735E-2</v>
      </c>
      <c r="J118" s="3">
        <f t="shared" si="14"/>
        <v>0</v>
      </c>
      <c r="K118">
        <f t="shared" si="15"/>
        <v>156.03333333333333</v>
      </c>
      <c r="M118">
        <f t="shared" si="16"/>
        <v>0</v>
      </c>
      <c r="N118">
        <f t="shared" si="17"/>
        <v>0</v>
      </c>
      <c r="O118">
        <f t="shared" si="18"/>
        <v>0</v>
      </c>
      <c r="P118">
        <f t="shared" si="18"/>
        <v>0</v>
      </c>
      <c r="Q118">
        <f t="shared" si="18"/>
        <v>0</v>
      </c>
      <c r="R118">
        <f t="shared" si="18"/>
        <v>0</v>
      </c>
      <c r="S118">
        <f t="shared" si="21"/>
        <v>0</v>
      </c>
      <c r="T118">
        <f t="shared" si="21"/>
        <v>0</v>
      </c>
      <c r="U118">
        <f t="shared" si="21"/>
        <v>0</v>
      </c>
      <c r="V118">
        <f t="shared" si="21"/>
        <v>0</v>
      </c>
      <c r="W118">
        <f t="shared" si="19"/>
        <v>0</v>
      </c>
      <c r="X118">
        <f t="shared" si="19"/>
        <v>0</v>
      </c>
      <c r="Y118">
        <f t="shared" si="19"/>
        <v>0</v>
      </c>
      <c r="Z118">
        <f t="shared" si="19"/>
        <v>0</v>
      </c>
      <c r="AA118">
        <f t="shared" si="20"/>
        <v>0</v>
      </c>
    </row>
    <row r="119" spans="1:27" x14ac:dyDescent="0.3">
      <c r="A119">
        <v>118</v>
      </c>
      <c r="B119" s="1">
        <v>44461</v>
      </c>
      <c r="C119" s="2">
        <v>0.76406249999999998</v>
      </c>
      <c r="D119" s="1">
        <v>44461</v>
      </c>
      <c r="E119" s="3">
        <v>0.84799768518518526</v>
      </c>
      <c r="F119">
        <v>6</v>
      </c>
      <c r="G119">
        <v>0</v>
      </c>
      <c r="H119" s="3">
        <f t="shared" si="12"/>
        <v>8.3935185185185279E-2</v>
      </c>
      <c r="I119" s="3">
        <f t="shared" si="13"/>
        <v>8.3935185185185279E-2</v>
      </c>
      <c r="J119" s="3">
        <f t="shared" si="14"/>
        <v>0</v>
      </c>
      <c r="K119">
        <f t="shared" si="15"/>
        <v>241.73333333333335</v>
      </c>
      <c r="M119">
        <f t="shared" si="16"/>
        <v>0</v>
      </c>
      <c r="N119">
        <f t="shared" si="17"/>
        <v>0</v>
      </c>
      <c r="O119">
        <f t="shared" si="18"/>
        <v>0</v>
      </c>
      <c r="P119">
        <f t="shared" si="18"/>
        <v>0</v>
      </c>
      <c r="Q119">
        <f t="shared" si="18"/>
        <v>0</v>
      </c>
      <c r="R119">
        <f t="shared" si="18"/>
        <v>0</v>
      </c>
      <c r="S119">
        <f t="shared" si="21"/>
        <v>0</v>
      </c>
      <c r="T119">
        <f t="shared" si="21"/>
        <v>0</v>
      </c>
      <c r="U119">
        <f t="shared" si="21"/>
        <v>0</v>
      </c>
      <c r="V119">
        <f t="shared" si="21"/>
        <v>0</v>
      </c>
      <c r="W119">
        <f t="shared" si="19"/>
        <v>0</v>
      </c>
      <c r="X119">
        <f t="shared" si="19"/>
        <v>0</v>
      </c>
      <c r="Y119">
        <f t="shared" si="19"/>
        <v>0</v>
      </c>
      <c r="Z119">
        <f t="shared" si="19"/>
        <v>0</v>
      </c>
      <c r="AA119">
        <f t="shared" si="20"/>
        <v>0</v>
      </c>
    </row>
    <row r="120" spans="1:27" x14ac:dyDescent="0.3">
      <c r="A120">
        <v>119</v>
      </c>
      <c r="B120" s="1">
        <v>44461</v>
      </c>
      <c r="C120" s="2">
        <v>0.98342592592592604</v>
      </c>
      <c r="D120" s="1">
        <v>44462</v>
      </c>
      <c r="E120" s="3">
        <v>4.2638888888888893E-2</v>
      </c>
      <c r="F120">
        <v>4</v>
      </c>
      <c r="G120">
        <v>11</v>
      </c>
      <c r="H120" s="3">
        <f t="shared" si="12"/>
        <v>23.059212962962963</v>
      </c>
      <c r="I120" s="3">
        <f t="shared" si="13"/>
        <v>0</v>
      </c>
      <c r="J120" s="3">
        <f t="shared" si="14"/>
        <v>4.2638888888888893E-2</v>
      </c>
      <c r="K120">
        <f t="shared" si="15"/>
        <v>85.266666666666666</v>
      </c>
      <c r="M120">
        <f t="shared" si="16"/>
        <v>0</v>
      </c>
      <c r="N120">
        <f t="shared" si="17"/>
        <v>0</v>
      </c>
      <c r="O120">
        <f t="shared" si="18"/>
        <v>0</v>
      </c>
      <c r="P120">
        <f t="shared" si="18"/>
        <v>0</v>
      </c>
      <c r="Q120">
        <f t="shared" si="18"/>
        <v>0</v>
      </c>
      <c r="R120">
        <f t="shared" si="18"/>
        <v>0</v>
      </c>
      <c r="S120">
        <f t="shared" si="21"/>
        <v>0</v>
      </c>
      <c r="T120">
        <f t="shared" si="21"/>
        <v>0</v>
      </c>
      <c r="U120">
        <f t="shared" si="21"/>
        <v>0</v>
      </c>
      <c r="V120">
        <f t="shared" si="21"/>
        <v>0</v>
      </c>
      <c r="W120">
        <f t="shared" si="19"/>
        <v>0</v>
      </c>
      <c r="X120">
        <f t="shared" si="19"/>
        <v>0</v>
      </c>
      <c r="Y120">
        <f t="shared" si="19"/>
        <v>0</v>
      </c>
      <c r="Z120">
        <f t="shared" si="19"/>
        <v>0</v>
      </c>
      <c r="AA120">
        <f t="shared" si="20"/>
        <v>0</v>
      </c>
    </row>
    <row r="121" spans="1:27" x14ac:dyDescent="0.3">
      <c r="A121">
        <v>120</v>
      </c>
      <c r="B121" s="1">
        <v>44462</v>
      </c>
      <c r="C121" s="2">
        <v>0.29726851851851849</v>
      </c>
      <c r="D121" s="1">
        <v>44462</v>
      </c>
      <c r="E121" s="3">
        <v>0.39068287037037036</v>
      </c>
      <c r="F121">
        <v>19</v>
      </c>
      <c r="G121">
        <v>3</v>
      </c>
      <c r="H121" s="3">
        <f t="shared" si="12"/>
        <v>9.3414351851851873E-2</v>
      </c>
      <c r="I121" s="3">
        <f t="shared" si="13"/>
        <v>9.3414351851851873E-2</v>
      </c>
      <c r="J121" s="3">
        <f t="shared" si="14"/>
        <v>0</v>
      </c>
      <c r="K121">
        <f t="shared" si="15"/>
        <v>269.0333333333333</v>
      </c>
      <c r="M121">
        <f t="shared" si="16"/>
        <v>0</v>
      </c>
      <c r="N121">
        <f t="shared" si="17"/>
        <v>0</v>
      </c>
      <c r="O121">
        <f t="shared" si="18"/>
        <v>0</v>
      </c>
      <c r="P121">
        <f t="shared" si="18"/>
        <v>0</v>
      </c>
      <c r="Q121">
        <f t="shared" si="18"/>
        <v>0</v>
      </c>
      <c r="R121">
        <f t="shared" si="18"/>
        <v>0</v>
      </c>
      <c r="S121">
        <f t="shared" si="21"/>
        <v>0</v>
      </c>
      <c r="T121">
        <f t="shared" si="21"/>
        <v>0</v>
      </c>
      <c r="U121">
        <f t="shared" si="21"/>
        <v>0</v>
      </c>
      <c r="V121">
        <f t="shared" si="21"/>
        <v>0</v>
      </c>
      <c r="W121">
        <f t="shared" si="19"/>
        <v>0</v>
      </c>
      <c r="X121">
        <f t="shared" si="19"/>
        <v>0</v>
      </c>
      <c r="Y121">
        <f t="shared" si="19"/>
        <v>0</v>
      </c>
      <c r="Z121">
        <f t="shared" si="19"/>
        <v>0</v>
      </c>
      <c r="AA121">
        <f t="shared" si="20"/>
        <v>0</v>
      </c>
    </row>
    <row r="122" spans="1:27" x14ac:dyDescent="0.3">
      <c r="A122">
        <v>121</v>
      </c>
      <c r="B122" s="1">
        <v>44462</v>
      </c>
      <c r="C122" s="2">
        <v>0.43444444444444441</v>
      </c>
      <c r="D122" s="1">
        <v>44462</v>
      </c>
      <c r="E122" s="3">
        <v>0.51065972222222222</v>
      </c>
      <c r="F122">
        <v>3</v>
      </c>
      <c r="G122">
        <v>21</v>
      </c>
      <c r="H122" s="3">
        <f t="shared" si="12"/>
        <v>7.6215277777777812E-2</v>
      </c>
      <c r="I122" s="3">
        <f t="shared" si="13"/>
        <v>7.6215277777777812E-2</v>
      </c>
      <c r="J122" s="3">
        <f t="shared" si="14"/>
        <v>0</v>
      </c>
      <c r="K122">
        <f t="shared" si="15"/>
        <v>219.5</v>
      </c>
      <c r="M122">
        <f t="shared" si="16"/>
        <v>0</v>
      </c>
      <c r="N122">
        <f t="shared" si="17"/>
        <v>0</v>
      </c>
      <c r="O122">
        <f t="shared" si="18"/>
        <v>0</v>
      </c>
      <c r="P122">
        <f t="shared" si="18"/>
        <v>0</v>
      </c>
      <c r="Q122">
        <f t="shared" si="18"/>
        <v>0</v>
      </c>
      <c r="R122">
        <f t="shared" si="18"/>
        <v>0</v>
      </c>
      <c r="S122">
        <f t="shared" si="21"/>
        <v>0</v>
      </c>
      <c r="T122">
        <f t="shared" si="21"/>
        <v>0</v>
      </c>
      <c r="U122">
        <f t="shared" si="21"/>
        <v>0</v>
      </c>
      <c r="V122">
        <f t="shared" si="21"/>
        <v>0</v>
      </c>
      <c r="W122">
        <f t="shared" si="19"/>
        <v>0</v>
      </c>
      <c r="X122">
        <f t="shared" si="19"/>
        <v>0</v>
      </c>
      <c r="Y122">
        <f t="shared" si="19"/>
        <v>0</v>
      </c>
      <c r="Z122">
        <f t="shared" si="19"/>
        <v>0</v>
      </c>
      <c r="AA122">
        <f t="shared" si="20"/>
        <v>0</v>
      </c>
    </row>
    <row r="123" spans="1:27" x14ac:dyDescent="0.3">
      <c r="A123">
        <v>122</v>
      </c>
      <c r="B123" s="1">
        <v>44462</v>
      </c>
      <c r="C123" s="2">
        <v>0.54518518518518522</v>
      </c>
      <c r="D123" s="1">
        <v>44462</v>
      </c>
      <c r="E123" s="3">
        <v>0.58775462962962965</v>
      </c>
      <c r="F123">
        <v>19</v>
      </c>
      <c r="G123">
        <v>22</v>
      </c>
      <c r="H123" s="3">
        <f t="shared" si="12"/>
        <v>4.2569444444444438E-2</v>
      </c>
      <c r="I123" s="3">
        <f t="shared" si="13"/>
        <v>4.2569444444444438E-2</v>
      </c>
      <c r="J123" s="3">
        <f t="shared" si="14"/>
        <v>0</v>
      </c>
      <c r="K123">
        <f t="shared" si="15"/>
        <v>122.6</v>
      </c>
      <c r="M123">
        <f t="shared" si="16"/>
        <v>0</v>
      </c>
      <c r="N123">
        <f t="shared" si="17"/>
        <v>0</v>
      </c>
      <c r="O123">
        <f t="shared" si="18"/>
        <v>0</v>
      </c>
      <c r="P123">
        <f t="shared" si="18"/>
        <v>0</v>
      </c>
      <c r="Q123">
        <f t="shared" si="18"/>
        <v>0</v>
      </c>
      <c r="R123">
        <f t="shared" si="18"/>
        <v>0</v>
      </c>
      <c r="S123">
        <f t="shared" si="21"/>
        <v>0</v>
      </c>
      <c r="T123">
        <f t="shared" si="21"/>
        <v>0</v>
      </c>
      <c r="U123">
        <f t="shared" si="21"/>
        <v>0</v>
      </c>
      <c r="V123">
        <f t="shared" si="21"/>
        <v>0</v>
      </c>
      <c r="W123">
        <f t="shared" si="19"/>
        <v>0</v>
      </c>
      <c r="X123">
        <f t="shared" si="19"/>
        <v>0</v>
      </c>
      <c r="Y123">
        <f t="shared" si="19"/>
        <v>0</v>
      </c>
      <c r="Z123">
        <f t="shared" si="19"/>
        <v>0</v>
      </c>
      <c r="AA123">
        <f t="shared" si="20"/>
        <v>0</v>
      </c>
    </row>
    <row r="124" spans="1:27" x14ac:dyDescent="0.3">
      <c r="A124">
        <v>123</v>
      </c>
      <c r="B124" s="1">
        <v>44462</v>
      </c>
      <c r="C124" s="2">
        <v>0.63270833333333332</v>
      </c>
      <c r="D124" s="1">
        <v>44462</v>
      </c>
      <c r="E124" s="3">
        <v>0.74785879629629637</v>
      </c>
      <c r="F124">
        <v>13</v>
      </c>
      <c r="G124">
        <v>14</v>
      </c>
      <c r="H124" s="3">
        <f t="shared" si="12"/>
        <v>0.11515046296296305</v>
      </c>
      <c r="I124" s="3">
        <f t="shared" si="13"/>
        <v>0.11515046296296305</v>
      </c>
      <c r="J124" s="3">
        <f t="shared" si="14"/>
        <v>0</v>
      </c>
      <c r="K124">
        <f t="shared" si="15"/>
        <v>331.63333333333333</v>
      </c>
      <c r="M124">
        <f t="shared" si="16"/>
        <v>0</v>
      </c>
      <c r="N124">
        <f t="shared" si="17"/>
        <v>0</v>
      </c>
      <c r="O124">
        <f t="shared" si="18"/>
        <v>0</v>
      </c>
      <c r="P124">
        <f t="shared" si="18"/>
        <v>0</v>
      </c>
      <c r="Q124">
        <f t="shared" si="18"/>
        <v>0</v>
      </c>
      <c r="R124">
        <f t="shared" si="18"/>
        <v>0</v>
      </c>
      <c r="S124">
        <f t="shared" si="21"/>
        <v>0</v>
      </c>
      <c r="T124">
        <f t="shared" si="21"/>
        <v>0</v>
      </c>
      <c r="U124">
        <f t="shared" si="21"/>
        <v>0</v>
      </c>
      <c r="V124">
        <f t="shared" si="21"/>
        <v>0</v>
      </c>
      <c r="W124">
        <f t="shared" si="19"/>
        <v>0</v>
      </c>
      <c r="X124">
        <f t="shared" si="19"/>
        <v>0</v>
      </c>
      <c r="Y124">
        <f t="shared" si="19"/>
        <v>0</v>
      </c>
      <c r="Z124">
        <f t="shared" si="19"/>
        <v>0</v>
      </c>
      <c r="AA124">
        <f t="shared" si="20"/>
        <v>0</v>
      </c>
    </row>
    <row r="125" spans="1:27" x14ac:dyDescent="0.3">
      <c r="A125">
        <v>124</v>
      </c>
      <c r="B125" s="1">
        <v>44462</v>
      </c>
      <c r="C125" s="2">
        <v>0.78940972222222217</v>
      </c>
      <c r="D125" s="1">
        <v>44462</v>
      </c>
      <c r="E125" s="3">
        <v>0.88962962962962966</v>
      </c>
      <c r="F125">
        <v>19</v>
      </c>
      <c r="G125">
        <v>25</v>
      </c>
      <c r="H125" s="3">
        <f t="shared" si="12"/>
        <v>0.10021990740740749</v>
      </c>
      <c r="I125" s="3">
        <f t="shared" si="13"/>
        <v>0.10021990740740749</v>
      </c>
      <c r="J125" s="3">
        <f t="shared" si="14"/>
        <v>0</v>
      </c>
      <c r="K125">
        <f t="shared" si="15"/>
        <v>288.63333333333333</v>
      </c>
      <c r="M125">
        <f t="shared" si="16"/>
        <v>0</v>
      </c>
      <c r="N125">
        <f t="shared" si="17"/>
        <v>0</v>
      </c>
      <c r="O125">
        <f t="shared" si="18"/>
        <v>0</v>
      </c>
      <c r="P125">
        <f t="shared" si="18"/>
        <v>0</v>
      </c>
      <c r="Q125">
        <f t="shared" si="18"/>
        <v>0</v>
      </c>
      <c r="R125">
        <f t="shared" si="18"/>
        <v>0</v>
      </c>
      <c r="S125">
        <f t="shared" si="21"/>
        <v>0</v>
      </c>
      <c r="T125">
        <f t="shared" si="21"/>
        <v>0</v>
      </c>
      <c r="U125">
        <f t="shared" si="21"/>
        <v>0</v>
      </c>
      <c r="V125">
        <f t="shared" si="21"/>
        <v>0</v>
      </c>
      <c r="W125">
        <f t="shared" si="19"/>
        <v>0</v>
      </c>
      <c r="X125">
        <f t="shared" si="19"/>
        <v>0</v>
      </c>
      <c r="Y125">
        <f t="shared" si="19"/>
        <v>0</v>
      </c>
      <c r="Z125">
        <f t="shared" si="19"/>
        <v>0</v>
      </c>
      <c r="AA125">
        <f t="shared" si="20"/>
        <v>0</v>
      </c>
    </row>
    <row r="126" spans="1:27" x14ac:dyDescent="0.3">
      <c r="A126">
        <v>125</v>
      </c>
      <c r="B126" s="1">
        <v>44463</v>
      </c>
      <c r="C126" s="2">
        <v>0.17437499999999997</v>
      </c>
      <c r="D126" s="1">
        <v>44463</v>
      </c>
      <c r="E126" s="3">
        <v>0.30024305555555558</v>
      </c>
      <c r="F126">
        <v>19</v>
      </c>
      <c r="G126">
        <v>11</v>
      </c>
      <c r="H126" s="3">
        <f t="shared" si="12"/>
        <v>0.12586805555555561</v>
      </c>
      <c r="I126" s="3">
        <f t="shared" si="13"/>
        <v>0.12586805555555561</v>
      </c>
      <c r="J126" s="3">
        <f t="shared" si="14"/>
        <v>0</v>
      </c>
      <c r="K126">
        <f t="shared" si="15"/>
        <v>362.5</v>
      </c>
      <c r="M126">
        <f t="shared" si="16"/>
        <v>0</v>
      </c>
      <c r="N126">
        <f t="shared" si="17"/>
        <v>0</v>
      </c>
      <c r="O126">
        <f t="shared" si="18"/>
        <v>0</v>
      </c>
      <c r="P126">
        <f t="shared" si="18"/>
        <v>0</v>
      </c>
      <c r="Q126">
        <f t="shared" si="18"/>
        <v>0</v>
      </c>
      <c r="R126">
        <f t="shared" si="18"/>
        <v>0</v>
      </c>
      <c r="S126">
        <f t="shared" si="21"/>
        <v>0</v>
      </c>
      <c r="T126">
        <f t="shared" si="21"/>
        <v>0</v>
      </c>
      <c r="U126">
        <f t="shared" si="21"/>
        <v>0</v>
      </c>
      <c r="V126">
        <f t="shared" si="21"/>
        <v>0</v>
      </c>
      <c r="W126">
        <f t="shared" si="19"/>
        <v>0</v>
      </c>
      <c r="X126">
        <f t="shared" si="19"/>
        <v>0</v>
      </c>
      <c r="Y126">
        <f t="shared" si="19"/>
        <v>0</v>
      </c>
      <c r="Z126">
        <f t="shared" si="19"/>
        <v>0</v>
      </c>
      <c r="AA126">
        <f t="shared" si="20"/>
        <v>0</v>
      </c>
    </row>
    <row r="127" spans="1:27" x14ac:dyDescent="0.3">
      <c r="A127">
        <v>126</v>
      </c>
      <c r="B127" s="1">
        <v>44463</v>
      </c>
      <c r="C127" s="2">
        <v>0.45619212962962963</v>
      </c>
      <c r="D127" s="1">
        <v>44463</v>
      </c>
      <c r="E127" s="3">
        <v>0.59104166666666669</v>
      </c>
      <c r="F127">
        <v>13</v>
      </c>
      <c r="G127">
        <v>4</v>
      </c>
      <c r="H127" s="3">
        <f t="shared" si="12"/>
        <v>0.13484953703703706</v>
      </c>
      <c r="I127" s="3">
        <f t="shared" si="13"/>
        <v>0.13484953703703706</v>
      </c>
      <c r="J127" s="3">
        <f t="shared" si="14"/>
        <v>0</v>
      </c>
      <c r="K127">
        <f t="shared" si="15"/>
        <v>388.36666666666667</v>
      </c>
      <c r="M127">
        <f t="shared" si="16"/>
        <v>0</v>
      </c>
      <c r="N127">
        <f t="shared" si="17"/>
        <v>0</v>
      </c>
      <c r="O127">
        <f t="shared" si="18"/>
        <v>0</v>
      </c>
      <c r="P127">
        <f t="shared" si="18"/>
        <v>0</v>
      </c>
      <c r="Q127">
        <f t="shared" si="18"/>
        <v>0</v>
      </c>
      <c r="R127">
        <f t="shared" si="18"/>
        <v>0</v>
      </c>
      <c r="S127">
        <f t="shared" si="21"/>
        <v>0</v>
      </c>
      <c r="T127">
        <f t="shared" si="21"/>
        <v>0</v>
      </c>
      <c r="U127">
        <f t="shared" si="21"/>
        <v>0</v>
      </c>
      <c r="V127">
        <f t="shared" si="21"/>
        <v>0</v>
      </c>
      <c r="W127">
        <f t="shared" si="19"/>
        <v>0</v>
      </c>
      <c r="X127">
        <f t="shared" si="19"/>
        <v>0</v>
      </c>
      <c r="Y127">
        <f t="shared" si="19"/>
        <v>0</v>
      </c>
      <c r="Z127">
        <f t="shared" si="19"/>
        <v>0</v>
      </c>
      <c r="AA127">
        <f t="shared" si="20"/>
        <v>0</v>
      </c>
    </row>
    <row r="128" spans="1:27" x14ac:dyDescent="0.3">
      <c r="A128">
        <v>127</v>
      </c>
      <c r="B128" s="1">
        <v>44463</v>
      </c>
      <c r="C128" s="2">
        <v>0.72642361111111109</v>
      </c>
      <c r="D128" s="1">
        <v>44463</v>
      </c>
      <c r="E128" s="3">
        <v>0.78383101851851855</v>
      </c>
      <c r="F128">
        <v>13</v>
      </c>
      <c r="G128">
        <v>9</v>
      </c>
      <c r="H128" s="3">
        <f t="shared" si="12"/>
        <v>5.7407407407407463E-2</v>
      </c>
      <c r="I128" s="3">
        <f t="shared" si="13"/>
        <v>5.7407407407407463E-2</v>
      </c>
      <c r="J128" s="3">
        <f t="shared" si="14"/>
        <v>0</v>
      </c>
      <c r="K128">
        <f t="shared" si="15"/>
        <v>165.33333333333334</v>
      </c>
      <c r="M128">
        <f t="shared" si="16"/>
        <v>0</v>
      </c>
      <c r="N128">
        <f t="shared" si="17"/>
        <v>0</v>
      </c>
      <c r="O128">
        <f t="shared" si="18"/>
        <v>0</v>
      </c>
      <c r="P128">
        <f t="shared" si="18"/>
        <v>0</v>
      </c>
      <c r="Q128">
        <f t="shared" si="18"/>
        <v>0</v>
      </c>
      <c r="R128">
        <f t="shared" si="18"/>
        <v>0</v>
      </c>
      <c r="S128">
        <f t="shared" si="21"/>
        <v>0</v>
      </c>
      <c r="T128">
        <f t="shared" si="21"/>
        <v>0</v>
      </c>
      <c r="U128">
        <f t="shared" si="21"/>
        <v>0</v>
      </c>
      <c r="V128">
        <f t="shared" si="21"/>
        <v>0</v>
      </c>
      <c r="W128">
        <f t="shared" si="19"/>
        <v>0</v>
      </c>
      <c r="X128">
        <f t="shared" si="19"/>
        <v>0</v>
      </c>
      <c r="Y128">
        <f t="shared" si="19"/>
        <v>0</v>
      </c>
      <c r="Z128">
        <f t="shared" si="19"/>
        <v>0</v>
      </c>
      <c r="AA128">
        <f t="shared" si="20"/>
        <v>0</v>
      </c>
    </row>
    <row r="129" spans="1:27" x14ac:dyDescent="0.3">
      <c r="A129">
        <v>128</v>
      </c>
      <c r="B129" s="1">
        <v>44463</v>
      </c>
      <c r="C129" s="2">
        <v>0.8197106481481482</v>
      </c>
      <c r="D129" s="1">
        <v>44463</v>
      </c>
      <c r="E129" s="3">
        <v>0.88407407407407401</v>
      </c>
      <c r="F129">
        <v>10</v>
      </c>
      <c r="G129">
        <v>12</v>
      </c>
      <c r="H129" s="3">
        <f t="shared" si="12"/>
        <v>6.436342592592581E-2</v>
      </c>
      <c r="I129" s="3">
        <f t="shared" si="13"/>
        <v>6.436342592592581E-2</v>
      </c>
      <c r="J129" s="3">
        <f t="shared" si="14"/>
        <v>0</v>
      </c>
      <c r="K129">
        <f t="shared" si="15"/>
        <v>185.36666666666667</v>
      </c>
      <c r="M129">
        <f t="shared" si="16"/>
        <v>0</v>
      </c>
      <c r="N129">
        <f t="shared" si="17"/>
        <v>0</v>
      </c>
      <c r="O129">
        <f t="shared" si="18"/>
        <v>0</v>
      </c>
      <c r="P129">
        <f t="shared" si="18"/>
        <v>0</v>
      </c>
      <c r="Q129">
        <f t="shared" si="18"/>
        <v>0</v>
      </c>
      <c r="R129">
        <f t="shared" si="18"/>
        <v>0</v>
      </c>
      <c r="S129">
        <f t="shared" si="21"/>
        <v>0</v>
      </c>
      <c r="T129">
        <f t="shared" si="21"/>
        <v>0</v>
      </c>
      <c r="U129">
        <f t="shared" si="21"/>
        <v>0</v>
      </c>
      <c r="V129">
        <f t="shared" si="21"/>
        <v>0</v>
      </c>
      <c r="W129">
        <f t="shared" si="19"/>
        <v>0</v>
      </c>
      <c r="X129">
        <f t="shared" si="19"/>
        <v>0</v>
      </c>
      <c r="Y129">
        <f t="shared" si="19"/>
        <v>0</v>
      </c>
      <c r="Z129">
        <f t="shared" si="19"/>
        <v>0</v>
      </c>
      <c r="AA129">
        <f t="shared" si="20"/>
        <v>0</v>
      </c>
    </row>
    <row r="130" spans="1:27" x14ac:dyDescent="0.3">
      <c r="A130">
        <v>129</v>
      </c>
      <c r="B130" s="1">
        <v>44464</v>
      </c>
      <c r="C130" s="2">
        <v>0.29473379629629631</v>
      </c>
      <c r="D130" s="1">
        <v>44464</v>
      </c>
      <c r="E130" s="3">
        <v>0.3518634259259259</v>
      </c>
      <c r="F130">
        <v>9</v>
      </c>
      <c r="G130">
        <v>11</v>
      </c>
      <c r="H130" s="3">
        <f t="shared" si="12"/>
        <v>5.7129629629629586E-2</v>
      </c>
      <c r="I130" s="3">
        <f t="shared" si="13"/>
        <v>5.7129629629629586E-2</v>
      </c>
      <c r="J130" s="3">
        <f t="shared" si="14"/>
        <v>0</v>
      </c>
      <c r="K130">
        <f t="shared" si="15"/>
        <v>164.53333333333333</v>
      </c>
      <c r="M130">
        <f t="shared" si="16"/>
        <v>0</v>
      </c>
      <c r="N130">
        <f t="shared" si="17"/>
        <v>0</v>
      </c>
      <c r="O130">
        <f t="shared" si="18"/>
        <v>0</v>
      </c>
      <c r="P130">
        <f t="shared" si="18"/>
        <v>0</v>
      </c>
      <c r="Q130">
        <f t="shared" si="18"/>
        <v>0</v>
      </c>
      <c r="R130">
        <f t="shared" ref="R130:R158" si="22">IF(DAY($B130)=R$1,$K130,0)</f>
        <v>0</v>
      </c>
      <c r="S130">
        <f t="shared" si="21"/>
        <v>0</v>
      </c>
      <c r="T130">
        <f t="shared" si="21"/>
        <v>0</v>
      </c>
      <c r="U130">
        <f t="shared" si="21"/>
        <v>0</v>
      </c>
      <c r="V130">
        <f t="shared" si="21"/>
        <v>0</v>
      </c>
      <c r="W130">
        <f t="shared" si="19"/>
        <v>0</v>
      </c>
      <c r="X130">
        <f t="shared" si="19"/>
        <v>0</v>
      </c>
      <c r="Y130">
        <f t="shared" si="19"/>
        <v>0</v>
      </c>
      <c r="Z130">
        <f t="shared" si="19"/>
        <v>0</v>
      </c>
      <c r="AA130">
        <f t="shared" si="20"/>
        <v>0</v>
      </c>
    </row>
    <row r="131" spans="1:27" x14ac:dyDescent="0.3">
      <c r="A131">
        <v>130</v>
      </c>
      <c r="B131" s="1">
        <v>44464</v>
      </c>
      <c r="C131" s="2">
        <v>0.42454861111111114</v>
      </c>
      <c r="D131" s="1">
        <v>44464</v>
      </c>
      <c r="E131" s="3">
        <v>0.50074074074074071</v>
      </c>
      <c r="F131">
        <v>14</v>
      </c>
      <c r="G131">
        <v>20</v>
      </c>
      <c r="H131" s="3">
        <f t="shared" ref="H131:H158" si="23">IF(E131&lt;C131,(24-C131)+E131,E131-C131)</f>
        <v>7.6192129629629568E-2</v>
      </c>
      <c r="I131" s="3">
        <f t="shared" ref="I131:I158" si="24">IF(B131=D131,H131,0)</f>
        <v>7.6192129629629568E-2</v>
      </c>
      <c r="J131" s="3">
        <f t="shared" ref="J131:J158" si="25">IF(B131=D131,0,E131)</f>
        <v>0</v>
      </c>
      <c r="K131">
        <f t="shared" ref="K131:K158" si="26">SUM(HOUR(H131)*60,MINUTE(H131),SECOND(H131)/60,HOUR(I131)*60,MINUTE(I131),SECOND(I131)/60)</f>
        <v>219.43333333333334</v>
      </c>
      <c r="M131">
        <f t="shared" ref="M131:M158" si="27">IF(DAY(B131)=$M$1,K131,0)</f>
        <v>0</v>
      </c>
      <c r="N131">
        <f t="shared" ref="N131:N158" si="28">IF(DAY($B131)=N$1,$K131,0)</f>
        <v>0</v>
      </c>
      <c r="O131">
        <f t="shared" ref="O131:Q158" si="29">IF(DAY($B131)=O$1,$K131,0)</f>
        <v>0</v>
      </c>
      <c r="P131">
        <f t="shared" si="29"/>
        <v>0</v>
      </c>
      <c r="Q131">
        <f t="shared" si="29"/>
        <v>0</v>
      </c>
      <c r="R131">
        <f t="shared" si="22"/>
        <v>0</v>
      </c>
      <c r="S131">
        <f t="shared" si="21"/>
        <v>0</v>
      </c>
      <c r="T131">
        <f t="shared" si="21"/>
        <v>0</v>
      </c>
      <c r="U131">
        <f t="shared" si="21"/>
        <v>0</v>
      </c>
      <c r="V131">
        <f t="shared" si="21"/>
        <v>0</v>
      </c>
      <c r="W131">
        <f t="shared" si="19"/>
        <v>0</v>
      </c>
      <c r="X131">
        <f t="shared" si="19"/>
        <v>0</v>
      </c>
      <c r="Y131">
        <f t="shared" si="19"/>
        <v>0</v>
      </c>
      <c r="Z131">
        <f t="shared" si="19"/>
        <v>0</v>
      </c>
      <c r="AA131">
        <f t="shared" si="20"/>
        <v>0</v>
      </c>
    </row>
    <row r="132" spans="1:27" x14ac:dyDescent="0.3">
      <c r="A132">
        <v>131</v>
      </c>
      <c r="B132" s="1">
        <v>44464</v>
      </c>
      <c r="C132" s="2">
        <v>0.5447453703703703</v>
      </c>
      <c r="D132" s="1">
        <v>44464</v>
      </c>
      <c r="E132" s="3">
        <v>0.57574074074074078</v>
      </c>
      <c r="F132">
        <v>1</v>
      </c>
      <c r="G132">
        <v>3</v>
      </c>
      <c r="H132" s="3">
        <f t="shared" si="23"/>
        <v>3.0995370370370479E-2</v>
      </c>
      <c r="I132" s="3">
        <f t="shared" si="24"/>
        <v>3.0995370370370479E-2</v>
      </c>
      <c r="J132" s="3">
        <f t="shared" si="25"/>
        <v>0</v>
      </c>
      <c r="K132">
        <f t="shared" si="26"/>
        <v>89.266666666666666</v>
      </c>
      <c r="M132">
        <f t="shared" si="27"/>
        <v>0</v>
      </c>
      <c r="N132">
        <f t="shared" si="28"/>
        <v>0</v>
      </c>
      <c r="O132">
        <f t="shared" si="29"/>
        <v>0</v>
      </c>
      <c r="P132">
        <f t="shared" si="29"/>
        <v>0</v>
      </c>
      <c r="Q132">
        <f t="shared" si="29"/>
        <v>0</v>
      </c>
      <c r="R132">
        <f t="shared" si="22"/>
        <v>0</v>
      </c>
      <c r="S132">
        <f t="shared" si="21"/>
        <v>0</v>
      </c>
      <c r="T132">
        <f t="shared" si="21"/>
        <v>0</v>
      </c>
      <c r="U132">
        <f t="shared" si="21"/>
        <v>0</v>
      </c>
      <c r="V132">
        <f t="shared" si="21"/>
        <v>0</v>
      </c>
      <c r="W132">
        <f t="shared" si="19"/>
        <v>0</v>
      </c>
      <c r="X132">
        <f t="shared" si="19"/>
        <v>0</v>
      </c>
      <c r="Y132">
        <f t="shared" si="19"/>
        <v>0</v>
      </c>
      <c r="Z132">
        <f t="shared" si="19"/>
        <v>0</v>
      </c>
      <c r="AA132">
        <f t="shared" si="20"/>
        <v>0</v>
      </c>
    </row>
    <row r="133" spans="1:27" x14ac:dyDescent="0.3">
      <c r="A133">
        <v>132</v>
      </c>
      <c r="B133" s="1">
        <v>44464</v>
      </c>
      <c r="C133" s="2">
        <v>0.63065972222222222</v>
      </c>
      <c r="D133" s="1">
        <v>44464</v>
      </c>
      <c r="E133" s="3">
        <v>0.66954861111111119</v>
      </c>
      <c r="F133">
        <v>5</v>
      </c>
      <c r="G133">
        <v>6</v>
      </c>
      <c r="H133" s="3">
        <f t="shared" si="23"/>
        <v>3.8888888888888973E-2</v>
      </c>
      <c r="I133" s="3">
        <f t="shared" si="24"/>
        <v>3.8888888888888973E-2</v>
      </c>
      <c r="J133" s="3">
        <f t="shared" si="25"/>
        <v>0</v>
      </c>
      <c r="K133">
        <f t="shared" si="26"/>
        <v>112</v>
      </c>
      <c r="M133">
        <f t="shared" si="27"/>
        <v>0</v>
      </c>
      <c r="N133">
        <f t="shared" si="28"/>
        <v>0</v>
      </c>
      <c r="O133">
        <f t="shared" si="29"/>
        <v>0</v>
      </c>
      <c r="P133">
        <f t="shared" si="29"/>
        <v>0</v>
      </c>
      <c r="Q133">
        <f t="shared" si="29"/>
        <v>0</v>
      </c>
      <c r="R133">
        <f t="shared" si="22"/>
        <v>0</v>
      </c>
      <c r="S133">
        <f t="shared" si="21"/>
        <v>0</v>
      </c>
      <c r="T133">
        <f t="shared" si="21"/>
        <v>0</v>
      </c>
      <c r="U133">
        <f t="shared" si="21"/>
        <v>0</v>
      </c>
      <c r="V133">
        <f t="shared" si="21"/>
        <v>0</v>
      </c>
      <c r="W133">
        <f t="shared" si="19"/>
        <v>0</v>
      </c>
      <c r="X133">
        <f t="shared" si="19"/>
        <v>0</v>
      </c>
      <c r="Y133">
        <f t="shared" si="19"/>
        <v>0</v>
      </c>
      <c r="Z133">
        <f t="shared" si="19"/>
        <v>0</v>
      </c>
      <c r="AA133">
        <f t="shared" si="20"/>
        <v>0</v>
      </c>
    </row>
    <row r="134" spans="1:27" x14ac:dyDescent="0.3">
      <c r="A134">
        <v>133</v>
      </c>
      <c r="B134" s="1">
        <v>44464</v>
      </c>
      <c r="C134" s="2">
        <v>0.71141203703703704</v>
      </c>
      <c r="D134" s="1">
        <v>44464</v>
      </c>
      <c r="E134" s="3">
        <v>0.75629629629629624</v>
      </c>
      <c r="F134">
        <v>12</v>
      </c>
      <c r="G134">
        <v>6</v>
      </c>
      <c r="H134" s="3">
        <f t="shared" si="23"/>
        <v>4.4884259259259207E-2</v>
      </c>
      <c r="I134" s="3">
        <f t="shared" si="24"/>
        <v>4.4884259259259207E-2</v>
      </c>
      <c r="J134" s="3">
        <f t="shared" si="25"/>
        <v>0</v>
      </c>
      <c r="K134">
        <f t="shared" si="26"/>
        <v>129.26666666666665</v>
      </c>
      <c r="M134">
        <f t="shared" si="27"/>
        <v>0</v>
      </c>
      <c r="N134">
        <f t="shared" si="28"/>
        <v>0</v>
      </c>
      <c r="O134">
        <f t="shared" si="29"/>
        <v>0</v>
      </c>
      <c r="P134">
        <f t="shared" si="29"/>
        <v>0</v>
      </c>
      <c r="Q134">
        <f t="shared" si="29"/>
        <v>0</v>
      </c>
      <c r="R134">
        <f t="shared" si="22"/>
        <v>0</v>
      </c>
      <c r="S134">
        <f t="shared" si="21"/>
        <v>0</v>
      </c>
      <c r="T134">
        <f t="shared" si="21"/>
        <v>0</v>
      </c>
      <c r="U134">
        <f t="shared" si="21"/>
        <v>0</v>
      </c>
      <c r="V134">
        <f t="shared" si="21"/>
        <v>0</v>
      </c>
      <c r="W134">
        <f t="shared" si="19"/>
        <v>0</v>
      </c>
      <c r="X134">
        <f t="shared" si="19"/>
        <v>0</v>
      </c>
      <c r="Y134">
        <f t="shared" si="19"/>
        <v>0</v>
      </c>
      <c r="Z134">
        <f t="shared" si="19"/>
        <v>0</v>
      </c>
      <c r="AA134">
        <f t="shared" si="20"/>
        <v>0</v>
      </c>
    </row>
    <row r="135" spans="1:27" x14ac:dyDescent="0.3">
      <c r="A135">
        <v>134</v>
      </c>
      <c r="B135" s="1">
        <v>44465</v>
      </c>
      <c r="C135" s="2">
        <v>0.26834490740740741</v>
      </c>
      <c r="D135" s="1">
        <v>44465</v>
      </c>
      <c r="E135" s="3">
        <v>0.33027777777777778</v>
      </c>
      <c r="F135">
        <v>13</v>
      </c>
      <c r="G135">
        <v>24</v>
      </c>
      <c r="H135" s="3">
        <f t="shared" si="23"/>
        <v>6.1932870370370374E-2</v>
      </c>
      <c r="I135" s="3">
        <f t="shared" si="24"/>
        <v>6.1932870370370374E-2</v>
      </c>
      <c r="J135" s="3">
        <f t="shared" si="25"/>
        <v>0</v>
      </c>
      <c r="K135">
        <f t="shared" si="26"/>
        <v>178.36666666666667</v>
      </c>
      <c r="M135">
        <f t="shared" si="27"/>
        <v>0</v>
      </c>
      <c r="N135">
        <f t="shared" si="28"/>
        <v>0</v>
      </c>
      <c r="O135">
        <f t="shared" si="29"/>
        <v>0</v>
      </c>
      <c r="P135">
        <f t="shared" si="29"/>
        <v>0</v>
      </c>
      <c r="Q135">
        <f t="shared" si="29"/>
        <v>0</v>
      </c>
      <c r="R135">
        <f t="shared" si="22"/>
        <v>0</v>
      </c>
      <c r="S135">
        <f t="shared" si="21"/>
        <v>0</v>
      </c>
      <c r="T135">
        <f t="shared" si="21"/>
        <v>0</v>
      </c>
      <c r="U135">
        <f t="shared" si="21"/>
        <v>0</v>
      </c>
      <c r="V135">
        <f t="shared" si="21"/>
        <v>0</v>
      </c>
      <c r="W135">
        <f t="shared" si="19"/>
        <v>0</v>
      </c>
      <c r="X135">
        <f t="shared" si="19"/>
        <v>0</v>
      </c>
      <c r="Y135">
        <f t="shared" si="19"/>
        <v>0</v>
      </c>
      <c r="Z135">
        <f t="shared" si="19"/>
        <v>0</v>
      </c>
      <c r="AA135">
        <f t="shared" si="20"/>
        <v>0</v>
      </c>
    </row>
    <row r="136" spans="1:27" x14ac:dyDescent="0.3">
      <c r="A136">
        <v>135</v>
      </c>
      <c r="B136" s="1">
        <v>44465</v>
      </c>
      <c r="C136" s="2">
        <v>0.38269675925925922</v>
      </c>
      <c r="D136" s="1">
        <v>44465</v>
      </c>
      <c r="E136" s="3">
        <v>0.42315972222222226</v>
      </c>
      <c r="F136">
        <v>9</v>
      </c>
      <c r="G136">
        <v>2</v>
      </c>
      <c r="H136" s="3">
        <f t="shared" si="23"/>
        <v>4.0462962962963034E-2</v>
      </c>
      <c r="I136" s="3">
        <f t="shared" si="24"/>
        <v>4.0462962962963034E-2</v>
      </c>
      <c r="J136" s="3">
        <f t="shared" si="25"/>
        <v>0</v>
      </c>
      <c r="K136">
        <f t="shared" si="26"/>
        <v>116.53333333333333</v>
      </c>
      <c r="M136">
        <f t="shared" si="27"/>
        <v>0</v>
      </c>
      <c r="N136">
        <f t="shared" si="28"/>
        <v>0</v>
      </c>
      <c r="O136">
        <f t="shared" si="29"/>
        <v>0</v>
      </c>
      <c r="P136">
        <f t="shared" si="29"/>
        <v>0</v>
      </c>
      <c r="Q136">
        <f t="shared" si="29"/>
        <v>0</v>
      </c>
      <c r="R136">
        <f t="shared" si="22"/>
        <v>0</v>
      </c>
      <c r="S136">
        <f t="shared" si="21"/>
        <v>0</v>
      </c>
      <c r="T136">
        <f t="shared" si="21"/>
        <v>0</v>
      </c>
      <c r="U136">
        <f t="shared" si="21"/>
        <v>0</v>
      </c>
      <c r="V136">
        <f t="shared" si="21"/>
        <v>0</v>
      </c>
      <c r="W136">
        <f t="shared" si="19"/>
        <v>0</v>
      </c>
      <c r="X136">
        <f t="shared" si="19"/>
        <v>0</v>
      </c>
      <c r="Y136">
        <f t="shared" si="19"/>
        <v>0</v>
      </c>
      <c r="Z136">
        <f t="shared" si="19"/>
        <v>0</v>
      </c>
      <c r="AA136">
        <f t="shared" si="20"/>
        <v>0</v>
      </c>
    </row>
    <row r="137" spans="1:27" x14ac:dyDescent="0.3">
      <c r="A137">
        <v>136</v>
      </c>
      <c r="B137" s="1">
        <v>44465</v>
      </c>
      <c r="C137" s="2">
        <v>0.45490740740740737</v>
      </c>
      <c r="D137" s="1">
        <v>44465</v>
      </c>
      <c r="E137" s="3">
        <v>0.49594907407407413</v>
      </c>
      <c r="F137">
        <v>11</v>
      </c>
      <c r="G137">
        <v>6</v>
      </c>
      <c r="H137" s="3">
        <f t="shared" si="23"/>
        <v>4.1041666666666754E-2</v>
      </c>
      <c r="I137" s="3">
        <f t="shared" si="24"/>
        <v>4.1041666666666754E-2</v>
      </c>
      <c r="J137" s="3">
        <f t="shared" si="25"/>
        <v>0</v>
      </c>
      <c r="K137">
        <f t="shared" si="26"/>
        <v>118.19999999999999</v>
      </c>
      <c r="M137">
        <f t="shared" si="27"/>
        <v>0</v>
      </c>
      <c r="N137">
        <f t="shared" si="28"/>
        <v>0</v>
      </c>
      <c r="O137">
        <f t="shared" si="29"/>
        <v>0</v>
      </c>
      <c r="P137">
        <f t="shared" si="29"/>
        <v>0</v>
      </c>
      <c r="Q137">
        <f t="shared" si="29"/>
        <v>0</v>
      </c>
      <c r="R137">
        <f t="shared" si="22"/>
        <v>0</v>
      </c>
      <c r="S137">
        <f t="shared" si="21"/>
        <v>0</v>
      </c>
      <c r="T137">
        <f t="shared" si="21"/>
        <v>0</v>
      </c>
      <c r="U137">
        <f t="shared" si="21"/>
        <v>0</v>
      </c>
      <c r="V137">
        <f t="shared" si="21"/>
        <v>0</v>
      </c>
      <c r="W137">
        <f t="shared" si="19"/>
        <v>0</v>
      </c>
      <c r="X137">
        <f t="shared" si="19"/>
        <v>0</v>
      </c>
      <c r="Y137">
        <f t="shared" si="19"/>
        <v>0</v>
      </c>
      <c r="Z137">
        <f t="shared" si="19"/>
        <v>0</v>
      </c>
      <c r="AA137">
        <f t="shared" si="20"/>
        <v>0</v>
      </c>
    </row>
    <row r="138" spans="1:27" x14ac:dyDescent="0.3">
      <c r="A138">
        <v>137</v>
      </c>
      <c r="B138" s="1">
        <v>44465</v>
      </c>
      <c r="C138" s="2">
        <v>0.54450231481481481</v>
      </c>
      <c r="D138" s="1">
        <v>44465</v>
      </c>
      <c r="E138" s="3">
        <v>0.58751157407407406</v>
      </c>
      <c r="F138">
        <v>11</v>
      </c>
      <c r="G138">
        <v>9</v>
      </c>
      <c r="H138" s="3">
        <f t="shared" si="23"/>
        <v>4.3009259259259247E-2</v>
      </c>
      <c r="I138" s="3">
        <f t="shared" si="24"/>
        <v>4.3009259259259247E-2</v>
      </c>
      <c r="J138" s="3">
        <f t="shared" si="25"/>
        <v>0</v>
      </c>
      <c r="K138">
        <f t="shared" si="26"/>
        <v>123.86666666666667</v>
      </c>
      <c r="M138">
        <f t="shared" si="27"/>
        <v>0</v>
      </c>
      <c r="N138">
        <f t="shared" si="28"/>
        <v>0</v>
      </c>
      <c r="O138">
        <f t="shared" si="29"/>
        <v>0</v>
      </c>
      <c r="P138">
        <f t="shared" si="29"/>
        <v>0</v>
      </c>
      <c r="Q138">
        <f t="shared" si="29"/>
        <v>0</v>
      </c>
      <c r="R138">
        <f t="shared" si="22"/>
        <v>0</v>
      </c>
      <c r="S138">
        <f t="shared" si="21"/>
        <v>0</v>
      </c>
      <c r="T138">
        <f t="shared" si="21"/>
        <v>0</v>
      </c>
      <c r="U138">
        <f t="shared" si="21"/>
        <v>0</v>
      </c>
      <c r="V138">
        <f t="shared" si="21"/>
        <v>0</v>
      </c>
      <c r="W138">
        <f t="shared" si="19"/>
        <v>0</v>
      </c>
      <c r="X138">
        <f t="shared" si="19"/>
        <v>0</v>
      </c>
      <c r="Y138">
        <f t="shared" si="19"/>
        <v>0</v>
      </c>
      <c r="Z138">
        <f t="shared" si="19"/>
        <v>0</v>
      </c>
      <c r="AA138">
        <f t="shared" si="20"/>
        <v>0</v>
      </c>
    </row>
    <row r="139" spans="1:27" x14ac:dyDescent="0.3">
      <c r="A139">
        <v>138</v>
      </c>
      <c r="B139" s="1">
        <v>44465</v>
      </c>
      <c r="C139" s="2">
        <v>0.67274305555555547</v>
      </c>
      <c r="D139" s="1">
        <v>44465</v>
      </c>
      <c r="E139" s="3">
        <v>0.74657407407407417</v>
      </c>
      <c r="F139">
        <v>13</v>
      </c>
      <c r="G139">
        <v>24</v>
      </c>
      <c r="H139" s="3">
        <f t="shared" si="23"/>
        <v>7.3831018518518698E-2</v>
      </c>
      <c r="I139" s="3">
        <f t="shared" si="24"/>
        <v>7.3831018518518698E-2</v>
      </c>
      <c r="J139" s="3">
        <f t="shared" si="25"/>
        <v>0</v>
      </c>
      <c r="K139">
        <f t="shared" si="26"/>
        <v>212.63333333333333</v>
      </c>
      <c r="M139">
        <f t="shared" si="27"/>
        <v>0</v>
      </c>
      <c r="N139">
        <f t="shared" si="28"/>
        <v>0</v>
      </c>
      <c r="O139">
        <f t="shared" si="29"/>
        <v>0</v>
      </c>
      <c r="P139">
        <f t="shared" si="29"/>
        <v>0</v>
      </c>
      <c r="Q139">
        <f t="shared" si="29"/>
        <v>0</v>
      </c>
      <c r="R139">
        <f t="shared" si="22"/>
        <v>0</v>
      </c>
      <c r="S139">
        <f t="shared" si="21"/>
        <v>0</v>
      </c>
      <c r="T139">
        <f t="shared" si="21"/>
        <v>0</v>
      </c>
      <c r="U139">
        <f t="shared" si="21"/>
        <v>0</v>
      </c>
      <c r="V139">
        <f t="shared" si="21"/>
        <v>0</v>
      </c>
      <c r="W139">
        <f t="shared" si="19"/>
        <v>0</v>
      </c>
      <c r="X139">
        <f t="shared" si="19"/>
        <v>0</v>
      </c>
      <c r="Y139">
        <f t="shared" si="19"/>
        <v>0</v>
      </c>
      <c r="Z139">
        <f t="shared" si="19"/>
        <v>0</v>
      </c>
      <c r="AA139">
        <f t="shared" si="20"/>
        <v>0</v>
      </c>
    </row>
    <row r="140" spans="1:27" x14ac:dyDescent="0.3">
      <c r="A140">
        <v>139</v>
      </c>
      <c r="B140" s="1">
        <v>44465</v>
      </c>
      <c r="C140" s="2">
        <v>0.79449074074074078</v>
      </c>
      <c r="D140" s="1">
        <v>44465</v>
      </c>
      <c r="E140" s="3">
        <v>0.85421296296296301</v>
      </c>
      <c r="F140">
        <v>15</v>
      </c>
      <c r="G140">
        <v>6</v>
      </c>
      <c r="H140" s="3">
        <f t="shared" si="23"/>
        <v>5.9722222222222232E-2</v>
      </c>
      <c r="I140" s="3">
        <f t="shared" si="24"/>
        <v>5.9722222222222232E-2</v>
      </c>
      <c r="J140" s="3">
        <f t="shared" si="25"/>
        <v>0</v>
      </c>
      <c r="K140">
        <f t="shared" si="26"/>
        <v>172</v>
      </c>
      <c r="M140">
        <f t="shared" si="27"/>
        <v>0</v>
      </c>
      <c r="N140">
        <f t="shared" si="28"/>
        <v>0</v>
      </c>
      <c r="O140">
        <f t="shared" si="29"/>
        <v>0</v>
      </c>
      <c r="P140">
        <f t="shared" si="29"/>
        <v>0</v>
      </c>
      <c r="Q140">
        <f t="shared" si="29"/>
        <v>0</v>
      </c>
      <c r="R140">
        <f t="shared" si="22"/>
        <v>0</v>
      </c>
      <c r="S140">
        <f t="shared" si="21"/>
        <v>0</v>
      </c>
      <c r="T140">
        <f t="shared" si="21"/>
        <v>0</v>
      </c>
      <c r="U140">
        <f t="shared" si="21"/>
        <v>0</v>
      </c>
      <c r="V140">
        <f t="shared" si="21"/>
        <v>0</v>
      </c>
      <c r="W140">
        <f t="shared" si="19"/>
        <v>0</v>
      </c>
      <c r="X140">
        <f t="shared" si="19"/>
        <v>0</v>
      </c>
      <c r="Y140">
        <f t="shared" si="19"/>
        <v>0</v>
      </c>
      <c r="Z140">
        <f t="shared" si="19"/>
        <v>0</v>
      </c>
      <c r="AA140">
        <f t="shared" si="20"/>
        <v>0</v>
      </c>
    </row>
    <row r="141" spans="1:27" x14ac:dyDescent="0.3">
      <c r="A141">
        <v>140</v>
      </c>
      <c r="B141" s="1">
        <v>44466</v>
      </c>
      <c r="C141" s="2">
        <v>0.25283564814814813</v>
      </c>
      <c r="D141" s="1">
        <v>44466</v>
      </c>
      <c r="E141" s="3">
        <v>0.33119212962962963</v>
      </c>
      <c r="F141">
        <v>15</v>
      </c>
      <c r="G141">
        <v>9</v>
      </c>
      <c r="H141" s="3">
        <f t="shared" si="23"/>
        <v>7.8356481481481499E-2</v>
      </c>
      <c r="I141" s="3">
        <f t="shared" si="24"/>
        <v>7.8356481481481499E-2</v>
      </c>
      <c r="J141" s="3">
        <f t="shared" si="25"/>
        <v>0</v>
      </c>
      <c r="K141">
        <f t="shared" si="26"/>
        <v>225.66666666666666</v>
      </c>
      <c r="M141">
        <f t="shared" si="27"/>
        <v>0</v>
      </c>
      <c r="N141">
        <f t="shared" si="28"/>
        <v>0</v>
      </c>
      <c r="O141">
        <f t="shared" si="29"/>
        <v>0</v>
      </c>
      <c r="P141">
        <f t="shared" si="29"/>
        <v>0</v>
      </c>
      <c r="Q141">
        <f t="shared" si="29"/>
        <v>0</v>
      </c>
      <c r="R141">
        <f t="shared" si="22"/>
        <v>0</v>
      </c>
      <c r="S141">
        <f t="shared" si="21"/>
        <v>0</v>
      </c>
      <c r="T141">
        <f t="shared" si="21"/>
        <v>0</v>
      </c>
      <c r="U141">
        <f t="shared" si="21"/>
        <v>0</v>
      </c>
      <c r="V141">
        <f t="shared" si="21"/>
        <v>0</v>
      </c>
      <c r="W141">
        <f t="shared" si="19"/>
        <v>0</v>
      </c>
      <c r="X141">
        <f t="shared" si="19"/>
        <v>0</v>
      </c>
      <c r="Y141">
        <f t="shared" si="19"/>
        <v>0</v>
      </c>
      <c r="Z141">
        <f t="shared" si="19"/>
        <v>0</v>
      </c>
      <c r="AA141">
        <f t="shared" si="20"/>
        <v>0</v>
      </c>
    </row>
    <row r="142" spans="1:27" x14ac:dyDescent="0.3">
      <c r="A142">
        <v>141</v>
      </c>
      <c r="B142" s="1">
        <v>44466</v>
      </c>
      <c r="C142" s="2">
        <v>0.38195601851851851</v>
      </c>
      <c r="D142" s="1">
        <v>44466</v>
      </c>
      <c r="E142" s="3">
        <v>0.42439814814814819</v>
      </c>
      <c r="F142">
        <v>10</v>
      </c>
      <c r="G142">
        <v>19</v>
      </c>
      <c r="H142" s="3">
        <f t="shared" si="23"/>
        <v>4.2442129629629677E-2</v>
      </c>
      <c r="I142" s="3">
        <f t="shared" si="24"/>
        <v>4.2442129629629677E-2</v>
      </c>
      <c r="J142" s="3">
        <f t="shared" si="25"/>
        <v>0</v>
      </c>
      <c r="K142">
        <f t="shared" si="26"/>
        <v>122.23333333333333</v>
      </c>
      <c r="M142">
        <f t="shared" si="27"/>
        <v>0</v>
      </c>
      <c r="N142">
        <f t="shared" si="28"/>
        <v>0</v>
      </c>
      <c r="O142">
        <f t="shared" si="29"/>
        <v>0</v>
      </c>
      <c r="P142">
        <f t="shared" si="29"/>
        <v>0</v>
      </c>
      <c r="Q142">
        <f t="shared" si="29"/>
        <v>0</v>
      </c>
      <c r="R142">
        <f t="shared" si="22"/>
        <v>0</v>
      </c>
      <c r="S142">
        <f t="shared" si="21"/>
        <v>0</v>
      </c>
      <c r="T142">
        <f t="shared" si="21"/>
        <v>0</v>
      </c>
      <c r="U142">
        <f t="shared" si="21"/>
        <v>0</v>
      </c>
      <c r="V142">
        <f t="shared" si="21"/>
        <v>0</v>
      </c>
      <c r="W142">
        <f t="shared" si="19"/>
        <v>0</v>
      </c>
      <c r="X142">
        <f t="shared" si="19"/>
        <v>0</v>
      </c>
      <c r="Y142">
        <f t="shared" si="19"/>
        <v>0</v>
      </c>
      <c r="Z142">
        <f t="shared" si="19"/>
        <v>0</v>
      </c>
      <c r="AA142">
        <f t="shared" si="20"/>
        <v>0</v>
      </c>
    </row>
    <row r="143" spans="1:27" x14ac:dyDescent="0.3">
      <c r="A143">
        <v>142</v>
      </c>
      <c r="B143" s="1">
        <v>44466</v>
      </c>
      <c r="C143" s="2">
        <v>0.54520833333333341</v>
      </c>
      <c r="D143" s="1">
        <v>44466</v>
      </c>
      <c r="E143" s="3">
        <v>0.62854166666666667</v>
      </c>
      <c r="F143">
        <v>1</v>
      </c>
      <c r="G143">
        <v>0</v>
      </c>
      <c r="H143" s="3">
        <f t="shared" si="23"/>
        <v>8.3333333333333259E-2</v>
      </c>
      <c r="I143" s="3">
        <f t="shared" si="24"/>
        <v>8.3333333333333259E-2</v>
      </c>
      <c r="J143" s="3">
        <f t="shared" si="25"/>
        <v>0</v>
      </c>
      <c r="K143">
        <f t="shared" si="26"/>
        <v>240</v>
      </c>
      <c r="M143">
        <f t="shared" si="27"/>
        <v>0</v>
      </c>
      <c r="N143">
        <f t="shared" si="28"/>
        <v>0</v>
      </c>
      <c r="O143">
        <f t="shared" si="29"/>
        <v>0</v>
      </c>
      <c r="P143">
        <f t="shared" si="29"/>
        <v>0</v>
      </c>
      <c r="Q143">
        <f t="shared" si="29"/>
        <v>0</v>
      </c>
      <c r="R143">
        <f t="shared" si="22"/>
        <v>0</v>
      </c>
      <c r="S143">
        <f t="shared" si="21"/>
        <v>0</v>
      </c>
      <c r="T143">
        <f t="shared" si="21"/>
        <v>0</v>
      </c>
      <c r="U143">
        <f t="shared" si="21"/>
        <v>0</v>
      </c>
      <c r="V143">
        <f t="shared" si="21"/>
        <v>0</v>
      </c>
      <c r="W143">
        <f t="shared" si="19"/>
        <v>0</v>
      </c>
      <c r="X143">
        <f t="shared" si="19"/>
        <v>0</v>
      </c>
      <c r="Y143">
        <f t="shared" si="19"/>
        <v>0</v>
      </c>
      <c r="Z143">
        <f t="shared" si="19"/>
        <v>0</v>
      </c>
      <c r="AA143">
        <f t="shared" si="20"/>
        <v>0</v>
      </c>
    </row>
    <row r="144" spans="1:27" x14ac:dyDescent="0.3">
      <c r="A144">
        <v>143</v>
      </c>
      <c r="B144" s="1">
        <v>44466</v>
      </c>
      <c r="C144" s="2">
        <v>0.71118055555555548</v>
      </c>
      <c r="D144" s="1">
        <v>44466</v>
      </c>
      <c r="E144" s="3">
        <v>0.79310185185185178</v>
      </c>
      <c r="F144">
        <v>3</v>
      </c>
      <c r="G144">
        <v>0</v>
      </c>
      <c r="H144" s="3">
        <f t="shared" si="23"/>
        <v>8.1921296296296298E-2</v>
      </c>
      <c r="I144" s="3">
        <f t="shared" si="24"/>
        <v>8.1921296296296298E-2</v>
      </c>
      <c r="J144" s="3">
        <f t="shared" si="25"/>
        <v>0</v>
      </c>
      <c r="K144">
        <f t="shared" si="26"/>
        <v>235.93333333333334</v>
      </c>
      <c r="M144">
        <f t="shared" si="27"/>
        <v>0</v>
      </c>
      <c r="N144">
        <f t="shared" si="28"/>
        <v>0</v>
      </c>
      <c r="O144">
        <f t="shared" si="29"/>
        <v>0</v>
      </c>
      <c r="P144">
        <f t="shared" si="29"/>
        <v>0</v>
      </c>
      <c r="Q144">
        <f t="shared" si="29"/>
        <v>0</v>
      </c>
      <c r="R144">
        <f t="shared" si="22"/>
        <v>0</v>
      </c>
      <c r="S144">
        <f t="shared" si="21"/>
        <v>0</v>
      </c>
      <c r="T144">
        <f t="shared" si="21"/>
        <v>0</v>
      </c>
      <c r="U144">
        <f t="shared" si="21"/>
        <v>0</v>
      </c>
      <c r="V144">
        <f t="shared" si="21"/>
        <v>0</v>
      </c>
      <c r="W144">
        <f t="shared" si="19"/>
        <v>0</v>
      </c>
      <c r="X144">
        <f t="shared" si="19"/>
        <v>0</v>
      </c>
      <c r="Y144">
        <f t="shared" si="19"/>
        <v>0</v>
      </c>
      <c r="Z144">
        <f t="shared" si="19"/>
        <v>0</v>
      </c>
      <c r="AA144">
        <f t="shared" si="20"/>
        <v>0</v>
      </c>
    </row>
    <row r="145" spans="1:27" x14ac:dyDescent="0.3">
      <c r="A145">
        <v>144</v>
      </c>
      <c r="B145" s="1">
        <v>44467</v>
      </c>
      <c r="C145" s="2">
        <v>0.41951388888888891</v>
      </c>
      <c r="D145" s="1">
        <v>44467</v>
      </c>
      <c r="E145" s="3">
        <v>0.4959027777777778</v>
      </c>
      <c r="F145">
        <v>9</v>
      </c>
      <c r="G145">
        <v>14</v>
      </c>
      <c r="H145" s="3">
        <f t="shared" si="23"/>
        <v>7.6388888888888895E-2</v>
      </c>
      <c r="I145" s="3">
        <f t="shared" si="24"/>
        <v>7.6388888888888895E-2</v>
      </c>
      <c r="J145" s="3">
        <f t="shared" si="25"/>
        <v>0</v>
      </c>
      <c r="K145">
        <f t="shared" si="26"/>
        <v>220</v>
      </c>
      <c r="M145">
        <f t="shared" si="27"/>
        <v>0</v>
      </c>
      <c r="N145">
        <f t="shared" si="28"/>
        <v>0</v>
      </c>
      <c r="O145">
        <f t="shared" si="29"/>
        <v>0</v>
      </c>
      <c r="P145">
        <f t="shared" si="29"/>
        <v>0</v>
      </c>
      <c r="Q145">
        <f t="shared" si="29"/>
        <v>0</v>
      </c>
      <c r="R145">
        <f t="shared" si="22"/>
        <v>0</v>
      </c>
      <c r="S145">
        <f t="shared" si="21"/>
        <v>0</v>
      </c>
      <c r="T145">
        <f t="shared" si="21"/>
        <v>0</v>
      </c>
      <c r="U145">
        <f t="shared" si="21"/>
        <v>0</v>
      </c>
      <c r="V145">
        <f t="shared" si="21"/>
        <v>0</v>
      </c>
      <c r="W145">
        <f t="shared" si="21"/>
        <v>0</v>
      </c>
      <c r="X145">
        <f t="shared" si="21"/>
        <v>0</v>
      </c>
      <c r="Y145">
        <f t="shared" si="21"/>
        <v>0</v>
      </c>
      <c r="Z145">
        <f t="shared" si="21"/>
        <v>0</v>
      </c>
      <c r="AA145">
        <f t="shared" si="21"/>
        <v>0</v>
      </c>
    </row>
    <row r="146" spans="1:27" x14ac:dyDescent="0.3">
      <c r="A146">
        <v>145</v>
      </c>
      <c r="B146" s="1">
        <v>44467</v>
      </c>
      <c r="C146" s="2">
        <v>0.54101851851851845</v>
      </c>
      <c r="D146" s="1">
        <v>44467</v>
      </c>
      <c r="E146" s="3">
        <v>0.62842592592592594</v>
      </c>
      <c r="F146">
        <v>11</v>
      </c>
      <c r="G146">
        <v>13</v>
      </c>
      <c r="H146" s="3">
        <f t="shared" si="23"/>
        <v>8.7407407407407489E-2</v>
      </c>
      <c r="I146" s="3">
        <f t="shared" si="24"/>
        <v>8.7407407407407489E-2</v>
      </c>
      <c r="J146" s="3">
        <f t="shared" si="25"/>
        <v>0</v>
      </c>
      <c r="K146">
        <f t="shared" si="26"/>
        <v>251.73333333333335</v>
      </c>
      <c r="M146">
        <f t="shared" si="27"/>
        <v>0</v>
      </c>
      <c r="N146">
        <f t="shared" si="28"/>
        <v>0</v>
      </c>
      <c r="O146">
        <f t="shared" si="29"/>
        <v>0</v>
      </c>
      <c r="P146">
        <f t="shared" si="29"/>
        <v>0</v>
      </c>
      <c r="Q146">
        <f t="shared" si="29"/>
        <v>0</v>
      </c>
      <c r="R146">
        <f t="shared" si="22"/>
        <v>0</v>
      </c>
      <c r="S146">
        <f t="shared" si="21"/>
        <v>0</v>
      </c>
      <c r="T146">
        <f t="shared" si="21"/>
        <v>0</v>
      </c>
      <c r="U146">
        <f t="shared" si="21"/>
        <v>0</v>
      </c>
      <c r="V146">
        <f t="shared" si="21"/>
        <v>0</v>
      </c>
      <c r="W146">
        <f t="shared" si="21"/>
        <v>0</v>
      </c>
      <c r="X146">
        <f t="shared" si="21"/>
        <v>0</v>
      </c>
      <c r="Y146">
        <f t="shared" si="21"/>
        <v>0</v>
      </c>
      <c r="Z146">
        <f t="shared" si="21"/>
        <v>0</v>
      </c>
      <c r="AA146">
        <f t="shared" si="21"/>
        <v>0</v>
      </c>
    </row>
    <row r="147" spans="1:27" x14ac:dyDescent="0.3">
      <c r="A147">
        <v>146</v>
      </c>
      <c r="B147" s="1">
        <v>44467</v>
      </c>
      <c r="C147" s="2">
        <v>0.7125462962962964</v>
      </c>
      <c r="D147" s="1">
        <v>44467</v>
      </c>
      <c r="E147" s="3">
        <v>0.75473379629629633</v>
      </c>
      <c r="F147">
        <v>12</v>
      </c>
      <c r="G147">
        <v>9</v>
      </c>
      <c r="H147" s="3">
        <f t="shared" si="23"/>
        <v>4.2187499999999933E-2</v>
      </c>
      <c r="I147" s="3">
        <f t="shared" si="24"/>
        <v>4.2187499999999933E-2</v>
      </c>
      <c r="J147" s="3">
        <f t="shared" si="25"/>
        <v>0</v>
      </c>
      <c r="K147">
        <f t="shared" si="26"/>
        <v>121.5</v>
      </c>
      <c r="M147">
        <f t="shared" si="27"/>
        <v>0</v>
      </c>
      <c r="N147">
        <f t="shared" si="28"/>
        <v>0</v>
      </c>
      <c r="O147">
        <f t="shared" si="29"/>
        <v>0</v>
      </c>
      <c r="P147">
        <f t="shared" si="29"/>
        <v>0</v>
      </c>
      <c r="Q147">
        <f t="shared" si="29"/>
        <v>0</v>
      </c>
      <c r="R147">
        <f t="shared" si="22"/>
        <v>0</v>
      </c>
      <c r="S147">
        <f t="shared" si="21"/>
        <v>0</v>
      </c>
      <c r="T147">
        <f t="shared" si="21"/>
        <v>0</v>
      </c>
      <c r="U147">
        <f t="shared" si="21"/>
        <v>0</v>
      </c>
      <c r="V147">
        <f t="shared" si="21"/>
        <v>0</v>
      </c>
      <c r="W147">
        <f t="shared" si="21"/>
        <v>0</v>
      </c>
      <c r="X147">
        <f t="shared" si="21"/>
        <v>0</v>
      </c>
      <c r="Y147">
        <f t="shared" si="21"/>
        <v>0</v>
      </c>
      <c r="Z147">
        <f t="shared" si="21"/>
        <v>0</v>
      </c>
      <c r="AA147">
        <f t="shared" si="21"/>
        <v>0</v>
      </c>
    </row>
    <row r="148" spans="1:27" x14ac:dyDescent="0.3">
      <c r="A148">
        <v>147</v>
      </c>
      <c r="B148" s="1">
        <v>44467</v>
      </c>
      <c r="C148" s="2">
        <v>0.79166666666666663</v>
      </c>
      <c r="D148" s="1">
        <v>44467</v>
      </c>
      <c r="E148" s="3">
        <v>0.87570601851851848</v>
      </c>
      <c r="F148">
        <v>14</v>
      </c>
      <c r="G148">
        <v>9</v>
      </c>
      <c r="H148" s="3">
        <f t="shared" si="23"/>
        <v>8.4039351851851851E-2</v>
      </c>
      <c r="I148" s="3">
        <f t="shared" si="24"/>
        <v>8.4039351851851851E-2</v>
      </c>
      <c r="J148" s="3">
        <f t="shared" si="25"/>
        <v>0</v>
      </c>
      <c r="K148">
        <f t="shared" si="26"/>
        <v>242.03333333333333</v>
      </c>
      <c r="M148">
        <f t="shared" si="27"/>
        <v>0</v>
      </c>
      <c r="N148">
        <f t="shared" si="28"/>
        <v>0</v>
      </c>
      <c r="O148">
        <f t="shared" si="29"/>
        <v>0</v>
      </c>
      <c r="P148">
        <f t="shared" si="29"/>
        <v>0</v>
      </c>
      <c r="Q148">
        <f t="shared" si="29"/>
        <v>0</v>
      </c>
      <c r="R148">
        <f t="shared" si="22"/>
        <v>0</v>
      </c>
      <c r="S148">
        <f t="shared" si="21"/>
        <v>0</v>
      </c>
      <c r="T148">
        <f t="shared" si="21"/>
        <v>0</v>
      </c>
      <c r="U148">
        <f t="shared" si="21"/>
        <v>0</v>
      </c>
      <c r="V148">
        <f t="shared" si="21"/>
        <v>0</v>
      </c>
      <c r="W148">
        <f t="shared" si="21"/>
        <v>0</v>
      </c>
      <c r="X148">
        <f t="shared" si="21"/>
        <v>0</v>
      </c>
      <c r="Y148">
        <f t="shared" si="21"/>
        <v>0</v>
      </c>
      <c r="Z148">
        <f t="shared" si="21"/>
        <v>0</v>
      </c>
      <c r="AA148">
        <f t="shared" si="21"/>
        <v>0</v>
      </c>
    </row>
    <row r="149" spans="1:27" x14ac:dyDescent="0.3">
      <c r="A149">
        <v>148</v>
      </c>
      <c r="B149" s="1">
        <v>44468</v>
      </c>
      <c r="C149" s="2">
        <v>0.29934027777777777</v>
      </c>
      <c r="D149" s="1">
        <v>44468</v>
      </c>
      <c r="E149" s="3">
        <v>0.37398148148148147</v>
      </c>
      <c r="F149">
        <v>12</v>
      </c>
      <c r="G149">
        <v>16</v>
      </c>
      <c r="H149" s="3">
        <f t="shared" si="23"/>
        <v>7.4641203703703696E-2</v>
      </c>
      <c r="I149" s="3">
        <f t="shared" si="24"/>
        <v>7.4641203703703696E-2</v>
      </c>
      <c r="J149" s="3">
        <f t="shared" si="25"/>
        <v>0</v>
      </c>
      <c r="K149">
        <f t="shared" si="26"/>
        <v>214.96666666666667</v>
      </c>
      <c r="M149">
        <f t="shared" si="27"/>
        <v>0</v>
      </c>
      <c r="N149">
        <f t="shared" si="28"/>
        <v>0</v>
      </c>
      <c r="O149">
        <f t="shared" si="29"/>
        <v>0</v>
      </c>
      <c r="P149">
        <f t="shared" si="29"/>
        <v>0</v>
      </c>
      <c r="Q149">
        <f t="shared" si="29"/>
        <v>0</v>
      </c>
      <c r="R149">
        <f t="shared" si="22"/>
        <v>0</v>
      </c>
      <c r="S149">
        <f t="shared" si="21"/>
        <v>0</v>
      </c>
      <c r="T149">
        <f t="shared" si="21"/>
        <v>0</v>
      </c>
      <c r="U149">
        <f t="shared" si="21"/>
        <v>0</v>
      </c>
      <c r="V149">
        <f t="shared" si="21"/>
        <v>0</v>
      </c>
      <c r="W149">
        <f t="shared" si="21"/>
        <v>0</v>
      </c>
      <c r="X149">
        <f t="shared" si="21"/>
        <v>0</v>
      </c>
      <c r="Y149">
        <f t="shared" si="21"/>
        <v>0</v>
      </c>
      <c r="Z149">
        <f t="shared" si="21"/>
        <v>0</v>
      </c>
      <c r="AA149">
        <f t="shared" si="21"/>
        <v>0</v>
      </c>
    </row>
    <row r="150" spans="1:27" x14ac:dyDescent="0.3">
      <c r="A150">
        <v>149</v>
      </c>
      <c r="B150" s="1">
        <v>44468</v>
      </c>
      <c r="C150" s="2">
        <v>0.41740740740740739</v>
      </c>
      <c r="D150" s="1">
        <v>44468</v>
      </c>
      <c r="E150" s="3">
        <v>0.50071759259259252</v>
      </c>
      <c r="F150">
        <v>9</v>
      </c>
      <c r="G150">
        <v>21</v>
      </c>
      <c r="H150" s="3">
        <f t="shared" si="23"/>
        <v>8.3310185185185126E-2</v>
      </c>
      <c r="I150" s="3">
        <f t="shared" si="24"/>
        <v>8.3310185185185126E-2</v>
      </c>
      <c r="J150" s="3">
        <f t="shared" si="25"/>
        <v>0</v>
      </c>
      <c r="K150">
        <f t="shared" si="26"/>
        <v>239.93333333333334</v>
      </c>
      <c r="M150">
        <f t="shared" si="27"/>
        <v>0</v>
      </c>
      <c r="N150">
        <f t="shared" si="28"/>
        <v>0</v>
      </c>
      <c r="O150">
        <f t="shared" si="29"/>
        <v>0</v>
      </c>
      <c r="P150">
        <f t="shared" si="29"/>
        <v>0</v>
      </c>
      <c r="Q150">
        <f t="shared" si="29"/>
        <v>0</v>
      </c>
      <c r="R150">
        <f t="shared" si="22"/>
        <v>0</v>
      </c>
      <c r="S150">
        <f t="shared" si="21"/>
        <v>0</v>
      </c>
      <c r="T150">
        <f t="shared" si="21"/>
        <v>0</v>
      </c>
      <c r="U150">
        <f t="shared" si="21"/>
        <v>0</v>
      </c>
      <c r="V150">
        <f t="shared" si="21"/>
        <v>0</v>
      </c>
      <c r="W150">
        <f t="shared" si="21"/>
        <v>0</v>
      </c>
      <c r="X150">
        <f t="shared" si="21"/>
        <v>0</v>
      </c>
      <c r="Y150">
        <f t="shared" si="21"/>
        <v>0</v>
      </c>
      <c r="Z150">
        <f t="shared" si="21"/>
        <v>0</v>
      </c>
      <c r="AA150">
        <f t="shared" si="21"/>
        <v>0</v>
      </c>
    </row>
    <row r="151" spans="1:27" x14ac:dyDescent="0.3">
      <c r="A151">
        <v>150</v>
      </c>
      <c r="B151" s="1">
        <v>44468</v>
      </c>
      <c r="C151" s="2">
        <v>0.55636574074074074</v>
      </c>
      <c r="D151" s="1">
        <v>44468</v>
      </c>
      <c r="E151" s="3">
        <v>0.61332175925925925</v>
      </c>
      <c r="F151">
        <v>15</v>
      </c>
      <c r="G151">
        <v>9</v>
      </c>
      <c r="H151" s="3">
        <f t="shared" si="23"/>
        <v>5.6956018518518503E-2</v>
      </c>
      <c r="I151" s="3">
        <f t="shared" si="24"/>
        <v>5.6956018518518503E-2</v>
      </c>
      <c r="J151" s="3">
        <f t="shared" si="25"/>
        <v>0</v>
      </c>
      <c r="K151">
        <f t="shared" si="26"/>
        <v>164.03333333333333</v>
      </c>
      <c r="M151">
        <f t="shared" si="27"/>
        <v>0</v>
      </c>
      <c r="N151">
        <f t="shared" si="28"/>
        <v>0</v>
      </c>
      <c r="O151">
        <f t="shared" si="29"/>
        <v>0</v>
      </c>
      <c r="P151">
        <f t="shared" si="29"/>
        <v>0</v>
      </c>
      <c r="Q151">
        <f t="shared" si="29"/>
        <v>0</v>
      </c>
      <c r="R151">
        <f t="shared" si="22"/>
        <v>0</v>
      </c>
      <c r="S151">
        <f t="shared" si="21"/>
        <v>0</v>
      </c>
      <c r="T151">
        <f t="shared" si="21"/>
        <v>0</v>
      </c>
      <c r="U151">
        <f t="shared" si="21"/>
        <v>0</v>
      </c>
      <c r="V151">
        <f t="shared" si="21"/>
        <v>0</v>
      </c>
      <c r="W151">
        <f t="shared" si="21"/>
        <v>0</v>
      </c>
      <c r="X151">
        <f t="shared" si="21"/>
        <v>0</v>
      </c>
      <c r="Y151">
        <f t="shared" si="21"/>
        <v>0</v>
      </c>
      <c r="Z151">
        <f t="shared" si="21"/>
        <v>0</v>
      </c>
      <c r="AA151">
        <f t="shared" si="21"/>
        <v>0</v>
      </c>
    </row>
    <row r="152" spans="1:27" x14ac:dyDescent="0.3">
      <c r="A152">
        <v>151</v>
      </c>
      <c r="B152" s="1">
        <v>44468</v>
      </c>
      <c r="C152" s="2">
        <v>0.67305555555555552</v>
      </c>
      <c r="D152" s="1">
        <v>44468</v>
      </c>
      <c r="E152" s="3">
        <v>0.73208333333333331</v>
      </c>
      <c r="F152">
        <v>14</v>
      </c>
      <c r="G152">
        <v>8</v>
      </c>
      <c r="H152" s="3">
        <f t="shared" si="23"/>
        <v>5.902777777777779E-2</v>
      </c>
      <c r="I152" s="3">
        <f t="shared" si="24"/>
        <v>5.902777777777779E-2</v>
      </c>
      <c r="J152" s="3">
        <f t="shared" si="25"/>
        <v>0</v>
      </c>
      <c r="K152">
        <f t="shared" si="26"/>
        <v>170</v>
      </c>
      <c r="M152">
        <f t="shared" si="27"/>
        <v>0</v>
      </c>
      <c r="N152">
        <f t="shared" si="28"/>
        <v>0</v>
      </c>
      <c r="O152">
        <f t="shared" si="29"/>
        <v>0</v>
      </c>
      <c r="P152">
        <f t="shared" si="29"/>
        <v>0</v>
      </c>
      <c r="Q152">
        <f t="shared" si="29"/>
        <v>0</v>
      </c>
      <c r="R152">
        <f t="shared" si="22"/>
        <v>0</v>
      </c>
      <c r="S152">
        <f t="shared" si="21"/>
        <v>0</v>
      </c>
      <c r="T152">
        <f t="shared" si="21"/>
        <v>0</v>
      </c>
      <c r="U152">
        <f t="shared" si="21"/>
        <v>0</v>
      </c>
      <c r="V152">
        <f t="shared" si="21"/>
        <v>0</v>
      </c>
      <c r="W152">
        <f t="shared" si="21"/>
        <v>0</v>
      </c>
      <c r="X152">
        <f t="shared" si="21"/>
        <v>0</v>
      </c>
      <c r="Y152">
        <f t="shared" si="21"/>
        <v>0</v>
      </c>
      <c r="Z152">
        <f t="shared" si="21"/>
        <v>0</v>
      </c>
      <c r="AA152">
        <f t="shared" ref="AA152:AA158" si="30">IF(DAY($B152)=AA$1,$K152,0)</f>
        <v>0</v>
      </c>
    </row>
    <row r="153" spans="1:27" x14ac:dyDescent="0.3">
      <c r="A153">
        <v>152</v>
      </c>
      <c r="B153" s="1">
        <v>44468</v>
      </c>
      <c r="C153" s="2">
        <v>0.79931712962962964</v>
      </c>
      <c r="D153" s="1">
        <v>44468</v>
      </c>
      <c r="E153" s="3">
        <v>0.84817129629629628</v>
      </c>
      <c r="F153">
        <v>16</v>
      </c>
      <c r="G153">
        <v>21</v>
      </c>
      <c r="H153" s="3">
        <f t="shared" si="23"/>
        <v>4.8854166666666643E-2</v>
      </c>
      <c r="I153" s="3">
        <f t="shared" si="24"/>
        <v>4.8854166666666643E-2</v>
      </c>
      <c r="J153" s="3">
        <f t="shared" si="25"/>
        <v>0</v>
      </c>
      <c r="K153">
        <f t="shared" si="26"/>
        <v>140.69999999999999</v>
      </c>
      <c r="M153">
        <f t="shared" si="27"/>
        <v>0</v>
      </c>
      <c r="N153">
        <f t="shared" si="28"/>
        <v>0</v>
      </c>
      <c r="O153">
        <f t="shared" si="29"/>
        <v>0</v>
      </c>
      <c r="P153">
        <f t="shared" si="29"/>
        <v>0</v>
      </c>
      <c r="Q153">
        <f t="shared" si="29"/>
        <v>0</v>
      </c>
      <c r="R153">
        <f t="shared" si="22"/>
        <v>0</v>
      </c>
      <c r="S153">
        <f t="shared" si="21"/>
        <v>0</v>
      </c>
      <c r="T153">
        <f t="shared" si="21"/>
        <v>0</v>
      </c>
      <c r="U153">
        <f t="shared" si="21"/>
        <v>0</v>
      </c>
      <c r="V153">
        <f t="shared" si="21"/>
        <v>0</v>
      </c>
      <c r="W153">
        <f t="shared" si="21"/>
        <v>0</v>
      </c>
      <c r="X153">
        <f t="shared" si="21"/>
        <v>0</v>
      </c>
      <c r="Y153">
        <f t="shared" si="21"/>
        <v>0</v>
      </c>
      <c r="Z153">
        <f t="shared" si="21"/>
        <v>0</v>
      </c>
      <c r="AA153">
        <f t="shared" si="30"/>
        <v>0</v>
      </c>
    </row>
    <row r="154" spans="1:27" x14ac:dyDescent="0.3">
      <c r="A154">
        <v>153</v>
      </c>
      <c r="B154" s="1">
        <v>44468</v>
      </c>
      <c r="C154" s="2">
        <v>0.9611574074074074</v>
      </c>
      <c r="D154" s="1">
        <v>44469</v>
      </c>
      <c r="E154" s="3">
        <v>3.9629629629629633E-2</v>
      </c>
      <c r="F154">
        <v>14</v>
      </c>
      <c r="G154">
        <v>9</v>
      </c>
      <c r="H154" s="3">
        <f t="shared" si="23"/>
        <v>23.078472222222224</v>
      </c>
      <c r="I154" s="3">
        <f t="shared" si="24"/>
        <v>0</v>
      </c>
      <c r="J154" s="3">
        <f t="shared" si="25"/>
        <v>3.9629629629629633E-2</v>
      </c>
      <c r="K154">
        <f t="shared" si="26"/>
        <v>113</v>
      </c>
      <c r="M154">
        <f t="shared" si="27"/>
        <v>0</v>
      </c>
      <c r="N154">
        <f t="shared" si="28"/>
        <v>0</v>
      </c>
      <c r="O154">
        <f t="shared" si="29"/>
        <v>0</v>
      </c>
      <c r="P154">
        <f t="shared" si="29"/>
        <v>0</v>
      </c>
      <c r="Q154">
        <f t="shared" si="29"/>
        <v>0</v>
      </c>
      <c r="R154">
        <f t="shared" si="22"/>
        <v>0</v>
      </c>
      <c r="S154">
        <f t="shared" si="21"/>
        <v>0</v>
      </c>
      <c r="T154">
        <f t="shared" si="21"/>
        <v>0</v>
      </c>
      <c r="U154">
        <f t="shared" si="21"/>
        <v>0</v>
      </c>
      <c r="V154">
        <f t="shared" si="21"/>
        <v>0</v>
      </c>
      <c r="W154">
        <f t="shared" si="21"/>
        <v>0</v>
      </c>
      <c r="X154">
        <f t="shared" si="21"/>
        <v>0</v>
      </c>
      <c r="Y154">
        <f t="shared" si="21"/>
        <v>0</v>
      </c>
      <c r="Z154">
        <f t="shared" si="21"/>
        <v>0</v>
      </c>
      <c r="AA154">
        <f t="shared" si="30"/>
        <v>0</v>
      </c>
    </row>
    <row r="155" spans="1:27" x14ac:dyDescent="0.3">
      <c r="A155">
        <v>154</v>
      </c>
      <c r="B155" s="1">
        <v>44469</v>
      </c>
      <c r="C155" s="2">
        <v>0.3125</v>
      </c>
      <c r="D155" s="1">
        <v>44469</v>
      </c>
      <c r="E155" s="3">
        <v>0.33385416666666662</v>
      </c>
      <c r="F155">
        <v>17</v>
      </c>
      <c r="G155">
        <v>3</v>
      </c>
      <c r="H155" s="3">
        <f t="shared" si="23"/>
        <v>2.1354166666666619E-2</v>
      </c>
      <c r="I155" s="3">
        <f t="shared" si="24"/>
        <v>2.1354166666666619E-2</v>
      </c>
      <c r="J155" s="3">
        <f t="shared" si="25"/>
        <v>0</v>
      </c>
      <c r="K155">
        <f t="shared" si="26"/>
        <v>61.5</v>
      </c>
      <c r="M155">
        <f t="shared" si="27"/>
        <v>0</v>
      </c>
      <c r="N155">
        <f t="shared" si="28"/>
        <v>0</v>
      </c>
      <c r="O155">
        <f t="shared" si="29"/>
        <v>0</v>
      </c>
      <c r="P155">
        <f t="shared" si="29"/>
        <v>0</v>
      </c>
      <c r="Q155">
        <f t="shared" si="29"/>
        <v>0</v>
      </c>
      <c r="R155">
        <f t="shared" si="22"/>
        <v>0</v>
      </c>
      <c r="S155">
        <f t="shared" si="21"/>
        <v>0</v>
      </c>
      <c r="T155">
        <f t="shared" si="21"/>
        <v>0</v>
      </c>
      <c r="U155">
        <f t="shared" si="21"/>
        <v>0</v>
      </c>
      <c r="V155">
        <f t="shared" si="21"/>
        <v>0</v>
      </c>
      <c r="W155">
        <f t="shared" si="21"/>
        <v>0</v>
      </c>
      <c r="X155">
        <f t="shared" si="21"/>
        <v>0</v>
      </c>
      <c r="Y155">
        <f t="shared" si="21"/>
        <v>0</v>
      </c>
      <c r="Z155">
        <f t="shared" si="21"/>
        <v>0</v>
      </c>
      <c r="AA155">
        <f t="shared" si="30"/>
        <v>0</v>
      </c>
    </row>
    <row r="156" spans="1:27" x14ac:dyDescent="0.3">
      <c r="A156">
        <v>155</v>
      </c>
      <c r="B156" s="1">
        <v>44469</v>
      </c>
      <c r="C156" s="2">
        <v>0.44229166666666669</v>
      </c>
      <c r="D156" s="1">
        <v>44469</v>
      </c>
      <c r="E156" s="3">
        <v>0.50074074074074071</v>
      </c>
      <c r="F156">
        <v>0</v>
      </c>
      <c r="G156">
        <v>9</v>
      </c>
      <c r="H156" s="3">
        <f t="shared" si="23"/>
        <v>5.8449074074074014E-2</v>
      </c>
      <c r="I156" s="3">
        <f t="shared" si="24"/>
        <v>5.8449074074074014E-2</v>
      </c>
      <c r="J156" s="3">
        <f t="shared" si="25"/>
        <v>0</v>
      </c>
      <c r="K156">
        <f t="shared" si="26"/>
        <v>168.33333333333334</v>
      </c>
      <c r="M156">
        <f t="shared" si="27"/>
        <v>0</v>
      </c>
      <c r="N156">
        <f t="shared" si="28"/>
        <v>0</v>
      </c>
      <c r="O156">
        <f t="shared" si="29"/>
        <v>0</v>
      </c>
      <c r="P156">
        <f t="shared" si="29"/>
        <v>0</v>
      </c>
      <c r="Q156">
        <f t="shared" si="29"/>
        <v>0</v>
      </c>
      <c r="R156">
        <f t="shared" si="22"/>
        <v>0</v>
      </c>
      <c r="S156">
        <f t="shared" si="21"/>
        <v>0</v>
      </c>
      <c r="T156">
        <f t="shared" si="21"/>
        <v>0</v>
      </c>
      <c r="U156">
        <f t="shared" si="21"/>
        <v>0</v>
      </c>
      <c r="V156">
        <f t="shared" si="21"/>
        <v>0</v>
      </c>
      <c r="W156">
        <f t="shared" si="21"/>
        <v>0</v>
      </c>
      <c r="X156">
        <f t="shared" si="21"/>
        <v>0</v>
      </c>
      <c r="Y156">
        <f t="shared" si="21"/>
        <v>0</v>
      </c>
      <c r="Z156">
        <f t="shared" si="21"/>
        <v>0</v>
      </c>
      <c r="AA156">
        <f t="shared" si="30"/>
        <v>0</v>
      </c>
    </row>
    <row r="157" spans="1:27" x14ac:dyDescent="0.3">
      <c r="A157">
        <v>156</v>
      </c>
      <c r="B157" s="1">
        <v>44469</v>
      </c>
      <c r="C157" s="2">
        <v>0.59045138888888882</v>
      </c>
      <c r="D157" s="1">
        <v>44469</v>
      </c>
      <c r="E157" s="3">
        <v>0.63065972222222222</v>
      </c>
      <c r="F157">
        <v>14</v>
      </c>
      <c r="G157">
        <v>8</v>
      </c>
      <c r="H157" s="3">
        <f t="shared" si="23"/>
        <v>4.0208333333333401E-2</v>
      </c>
      <c r="I157" s="3">
        <f t="shared" si="24"/>
        <v>4.0208333333333401E-2</v>
      </c>
      <c r="J157" s="3">
        <f t="shared" si="25"/>
        <v>0</v>
      </c>
      <c r="K157">
        <f t="shared" si="26"/>
        <v>115.80000000000001</v>
      </c>
      <c r="M157">
        <f t="shared" si="27"/>
        <v>0</v>
      </c>
      <c r="N157">
        <f t="shared" si="28"/>
        <v>0</v>
      </c>
      <c r="O157">
        <f t="shared" si="29"/>
        <v>0</v>
      </c>
      <c r="P157">
        <f t="shared" si="29"/>
        <v>0</v>
      </c>
      <c r="Q157">
        <f t="shared" si="29"/>
        <v>0</v>
      </c>
      <c r="R157">
        <f t="shared" si="22"/>
        <v>0</v>
      </c>
      <c r="S157">
        <f t="shared" si="21"/>
        <v>0</v>
      </c>
      <c r="T157">
        <f t="shared" si="21"/>
        <v>0</v>
      </c>
      <c r="U157">
        <f t="shared" si="21"/>
        <v>0</v>
      </c>
      <c r="V157">
        <f t="shared" si="21"/>
        <v>0</v>
      </c>
      <c r="W157">
        <f t="shared" si="21"/>
        <v>0</v>
      </c>
      <c r="X157">
        <f t="shared" si="21"/>
        <v>0</v>
      </c>
      <c r="Y157">
        <f t="shared" si="21"/>
        <v>0</v>
      </c>
      <c r="Z157">
        <f t="shared" si="21"/>
        <v>0</v>
      </c>
      <c r="AA157">
        <f t="shared" si="30"/>
        <v>0</v>
      </c>
    </row>
    <row r="158" spans="1:27" x14ac:dyDescent="0.3">
      <c r="A158">
        <v>157</v>
      </c>
      <c r="B158" s="1">
        <v>44469</v>
      </c>
      <c r="C158" s="2">
        <v>0.7142708333333333</v>
      </c>
      <c r="D158" s="1">
        <v>44469</v>
      </c>
      <c r="E158" s="3">
        <v>0.789525462962963</v>
      </c>
      <c r="F158">
        <v>6</v>
      </c>
      <c r="G158">
        <v>39</v>
      </c>
      <c r="H158" s="3">
        <f t="shared" si="23"/>
        <v>7.5254629629629699E-2</v>
      </c>
      <c r="I158" s="3">
        <f t="shared" si="24"/>
        <v>7.5254629629629699E-2</v>
      </c>
      <c r="J158" s="3">
        <f t="shared" si="25"/>
        <v>0</v>
      </c>
      <c r="K158">
        <f t="shared" si="26"/>
        <v>216.73333333333335</v>
      </c>
      <c r="M158">
        <f t="shared" si="27"/>
        <v>0</v>
      </c>
      <c r="N158">
        <f t="shared" si="28"/>
        <v>0</v>
      </c>
      <c r="O158">
        <f t="shared" si="29"/>
        <v>0</v>
      </c>
      <c r="P158">
        <f t="shared" si="29"/>
        <v>0</v>
      </c>
      <c r="Q158">
        <f t="shared" si="29"/>
        <v>0</v>
      </c>
      <c r="R158">
        <f t="shared" si="22"/>
        <v>0</v>
      </c>
      <c r="S158">
        <f t="shared" si="21"/>
        <v>0</v>
      </c>
      <c r="T158">
        <f t="shared" si="21"/>
        <v>0</v>
      </c>
      <c r="U158">
        <f t="shared" si="21"/>
        <v>0</v>
      </c>
      <c r="V158">
        <f t="shared" si="21"/>
        <v>0</v>
      </c>
      <c r="W158">
        <f t="shared" si="21"/>
        <v>0</v>
      </c>
      <c r="X158">
        <f t="shared" si="21"/>
        <v>0</v>
      </c>
      <c r="Y158">
        <f t="shared" si="21"/>
        <v>0</v>
      </c>
      <c r="Z158">
        <f t="shared" si="21"/>
        <v>0</v>
      </c>
      <c r="AA158">
        <f t="shared" si="3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</vt:i4>
      </vt:variant>
    </vt:vector>
  </HeadingPairs>
  <TitlesOfParts>
    <vt:vector size="4" baseType="lpstr">
      <vt:lpstr>Arkusz1</vt:lpstr>
      <vt:lpstr>Arkusz2</vt:lpstr>
      <vt:lpstr>Arkusz3</vt:lpstr>
      <vt:lpstr>Arkusz1!loty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2025-11-27T09:23:35Z</dcterms:created>
  <dcterms:modified xsi:type="dcterms:W3CDTF">2025-11-27T10:02:54Z</dcterms:modified>
</cp:coreProperties>
</file>