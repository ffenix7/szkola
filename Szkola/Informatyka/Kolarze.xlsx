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trasa" sheetId="2" r:id="rId1"/>
    <sheet name="Arkusz1" sheetId="1" r:id="rId2"/>
  </sheets>
  <definedNames>
    <definedName name="DaneZewnętrzne_1" localSheetId="0" hidden="1">trasa!$A$1:$C$61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2" l="1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2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 s="1"/>
  <c r="T30" i="2"/>
  <c r="T31" i="2"/>
  <c r="T32" i="2"/>
  <c r="T33" i="2"/>
  <c r="T34" i="2"/>
  <c r="T35" i="2"/>
  <c r="T36" i="2"/>
  <c r="T37" i="2"/>
  <c r="T38" i="2"/>
  <c r="T39" i="2"/>
  <c r="T40" i="2"/>
  <c r="T41" i="2" s="1"/>
  <c r="T42" i="2" s="1"/>
  <c r="T43" i="2" s="1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2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2" i="2"/>
  <c r="Q1" i="2"/>
  <c r="H3" i="2"/>
  <c r="H4" i="2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H15" i="2"/>
  <c r="H16" i="2"/>
  <c r="H17" i="2"/>
  <c r="H18" i="2"/>
  <c r="H19" i="2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K61" i="2" s="1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2" i="2"/>
  <c r="J2" i="2" s="1"/>
  <c r="K4" i="2"/>
  <c r="K17" i="2"/>
  <c r="K18" i="2"/>
  <c r="K19" i="2"/>
  <c r="K29" i="2"/>
  <c r="K30" i="2"/>
  <c r="K35" i="2"/>
  <c r="K36" i="2"/>
  <c r="K37" i="2"/>
  <c r="K42" i="2"/>
  <c r="K2" i="2"/>
  <c r="J5" i="2"/>
  <c r="K49" i="2" l="1"/>
  <c r="K48" i="2"/>
  <c r="K47" i="2"/>
  <c r="K58" i="2"/>
  <c r="K34" i="2"/>
  <c r="K57" i="2"/>
  <c r="K45" i="2"/>
  <c r="K33" i="2"/>
  <c r="K59" i="2"/>
  <c r="K46" i="2"/>
  <c r="K56" i="2"/>
  <c r="K44" i="2"/>
  <c r="K32" i="2"/>
  <c r="K60" i="2"/>
  <c r="K55" i="2"/>
  <c r="K43" i="2"/>
  <c r="K31" i="2"/>
  <c r="K51" i="2"/>
  <c r="K39" i="2"/>
  <c r="K27" i="2"/>
  <c r="K15" i="2"/>
  <c r="K3" i="2"/>
  <c r="K54" i="2"/>
  <c r="K53" i="2"/>
  <c r="K41" i="2"/>
  <c r="K52" i="2"/>
  <c r="K40" i="2"/>
  <c r="K28" i="2"/>
  <c r="K16" i="2"/>
  <c r="K50" i="2"/>
  <c r="K38" i="2"/>
  <c r="K26" i="2"/>
  <c r="K14" i="2"/>
  <c r="J4" i="2"/>
  <c r="J3" i="2"/>
  <c r="J6" i="2"/>
  <c r="J7" i="2" l="1"/>
  <c r="J8" i="2" l="1"/>
  <c r="J9" i="2" l="1"/>
  <c r="J10" i="2" l="1"/>
  <c r="J11" i="2" l="1"/>
  <c r="J12" i="2" l="1"/>
  <c r="J13" i="2" l="1"/>
  <c r="J14" i="2" l="1"/>
  <c r="J15" i="2" l="1"/>
  <c r="J16" i="2" l="1"/>
  <c r="J17" i="2" l="1"/>
  <c r="J18" i="2" l="1"/>
  <c r="J19" i="2" l="1"/>
  <c r="J20" i="2" l="1"/>
  <c r="J21" i="2" l="1"/>
  <c r="J22" i="2" l="1"/>
  <c r="J23" i="2" l="1"/>
  <c r="J24" i="2" l="1"/>
  <c r="J25" i="2" l="1"/>
  <c r="J26" i="2" l="1"/>
  <c r="J27" i="2" l="1"/>
  <c r="J28" i="2" l="1"/>
  <c r="J29" i="2" l="1"/>
  <c r="J30" i="2" l="1"/>
  <c r="J31" i="2" l="1"/>
  <c r="J32" i="2" l="1"/>
  <c r="J33" i="2" l="1"/>
  <c r="J34" i="2" l="1"/>
  <c r="J35" i="2" l="1"/>
  <c r="J36" i="2" l="1"/>
  <c r="J37" i="2" l="1"/>
  <c r="J38" i="2" l="1"/>
  <c r="J39" i="2" l="1"/>
  <c r="J40" i="2" l="1"/>
  <c r="J41" i="2" l="1"/>
  <c r="J42" i="2" l="1"/>
  <c r="J43" i="2" l="1"/>
  <c r="J44" i="2" l="1"/>
  <c r="J45" i="2" l="1"/>
  <c r="J46" i="2" l="1"/>
  <c r="J47" i="2" l="1"/>
  <c r="J48" i="2" l="1"/>
  <c r="J49" i="2" l="1"/>
  <c r="J50" i="2" l="1"/>
  <c r="J51" i="2" l="1"/>
  <c r="J52" i="2" l="1"/>
  <c r="J53" i="2" l="1"/>
  <c r="J54" i="2" l="1"/>
  <c r="J55" i="2" l="1"/>
  <c r="J56" i="2" l="1"/>
  <c r="J57" i="2" l="1"/>
  <c r="J58" i="2" l="1"/>
  <c r="J59" i="2" l="1"/>
  <c r="J61" i="2" l="1"/>
  <c r="J60" i="2"/>
  <c r="M2" i="2"/>
  <c r="N2" i="2" l="1"/>
</calcChain>
</file>

<file path=xl/connections.xml><?xml version="1.0" encoding="utf-8"?>
<connections xmlns="http://schemas.openxmlformats.org/spreadsheetml/2006/main">
  <connection id="1" keepAlive="1" name="Zapytanie — trasa" description="Połączenie z zapytaniem „trasa” w skoroszycie." type="5" refreshedVersion="7" background="1" saveData="1">
    <dbPr connection="Provider=Microsoft.Mashup.OleDb.1;Data Source=$Workbook$;Location=trasa;Extended Properties=&quot;&quot;" command="SELECT * FROM [trasa]"/>
  </connection>
</connections>
</file>

<file path=xl/sharedStrings.xml><?xml version="1.0" encoding="utf-8"?>
<sst xmlns="http://schemas.openxmlformats.org/spreadsheetml/2006/main" count="12" uniqueCount="12">
  <si>
    <t>nr_odcinka</t>
  </si>
  <si>
    <t>dlugosc</t>
  </si>
  <si>
    <t>przewyzszenie</t>
  </si>
  <si>
    <t>podjazdy</t>
  </si>
  <si>
    <t>zjazdy</t>
  </si>
  <si>
    <t>max</t>
  </si>
  <si>
    <t>wysokosc start</t>
  </si>
  <si>
    <t>do gory</t>
  </si>
  <si>
    <t>w dol</t>
  </si>
  <si>
    <t>czy podjazd</t>
  </si>
  <si>
    <t>czy zjazd</t>
  </si>
  <si>
    <t>max wysokosc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</si>
</sst>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wysokości</a:t>
            </a:r>
            <a:r>
              <a:rPr lang="en-US"/>
              <a:t> [m]</a:t>
            </a:r>
            <a:r>
              <a:rPr lang="pl-PL"/>
              <a:t> od dystansu [km]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wysokocs [m]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trasa!$W:$W</c:f>
              <c:numCache>
                <c:formatCode>General</c:formatCode>
                <c:ptCount val="1048576"/>
                <c:pt idx="0">
                  <c:v>0</c:v>
                </c:pt>
                <c:pt idx="1">
                  <c:v>1.4</c:v>
                </c:pt>
                <c:pt idx="2">
                  <c:v>2.2999999999999998</c:v>
                </c:pt>
                <c:pt idx="3">
                  <c:v>3.6999999999999997</c:v>
                </c:pt>
                <c:pt idx="4">
                  <c:v>4.3</c:v>
                </c:pt>
                <c:pt idx="5">
                  <c:v>5.3</c:v>
                </c:pt>
                <c:pt idx="6">
                  <c:v>6.3</c:v>
                </c:pt>
                <c:pt idx="7">
                  <c:v>7.8</c:v>
                </c:pt>
                <c:pt idx="8">
                  <c:v>8.5</c:v>
                </c:pt>
                <c:pt idx="9">
                  <c:v>9.9</c:v>
                </c:pt>
                <c:pt idx="10">
                  <c:v>10.8</c:v>
                </c:pt>
                <c:pt idx="11">
                  <c:v>11.5</c:v>
                </c:pt>
                <c:pt idx="12">
                  <c:v>12.2</c:v>
                </c:pt>
                <c:pt idx="13">
                  <c:v>13.2</c:v>
                </c:pt>
                <c:pt idx="14">
                  <c:v>13.799999999999999</c:v>
                </c:pt>
                <c:pt idx="15">
                  <c:v>15.1</c:v>
                </c:pt>
                <c:pt idx="16">
                  <c:v>16</c:v>
                </c:pt>
                <c:pt idx="17">
                  <c:v>17</c:v>
                </c:pt>
                <c:pt idx="18">
                  <c:v>17.5</c:v>
                </c:pt>
                <c:pt idx="19">
                  <c:v>18.600000000000001</c:v>
                </c:pt>
                <c:pt idx="20">
                  <c:v>19.8</c:v>
                </c:pt>
                <c:pt idx="21">
                  <c:v>20.7</c:v>
                </c:pt>
                <c:pt idx="22">
                  <c:v>21.599999999999998</c:v>
                </c:pt>
                <c:pt idx="23">
                  <c:v>22.999999999999996</c:v>
                </c:pt>
                <c:pt idx="24">
                  <c:v>24.099999999999998</c:v>
                </c:pt>
                <c:pt idx="25">
                  <c:v>25.599999999999998</c:v>
                </c:pt>
                <c:pt idx="26">
                  <c:v>26.2</c:v>
                </c:pt>
                <c:pt idx="27">
                  <c:v>27.099999999999998</c:v>
                </c:pt>
                <c:pt idx="28">
                  <c:v>28.299999999999997</c:v>
                </c:pt>
                <c:pt idx="29">
                  <c:v>29.199999999999996</c:v>
                </c:pt>
                <c:pt idx="30">
                  <c:v>30.599999999999994</c:v>
                </c:pt>
                <c:pt idx="31">
                  <c:v>31.099999999999994</c:v>
                </c:pt>
                <c:pt idx="32">
                  <c:v>31.599999999999994</c:v>
                </c:pt>
                <c:pt idx="33">
                  <c:v>33.099999999999994</c:v>
                </c:pt>
                <c:pt idx="34">
                  <c:v>34.599999999999994</c:v>
                </c:pt>
                <c:pt idx="35">
                  <c:v>36.099999999999994</c:v>
                </c:pt>
                <c:pt idx="36">
                  <c:v>37.199999999999996</c:v>
                </c:pt>
                <c:pt idx="37">
                  <c:v>38.699999999999996</c:v>
                </c:pt>
                <c:pt idx="38">
                  <c:v>40.199999999999996</c:v>
                </c:pt>
                <c:pt idx="39">
                  <c:v>40.799999999999997</c:v>
                </c:pt>
                <c:pt idx="40">
                  <c:v>42.199999999999996</c:v>
                </c:pt>
                <c:pt idx="41">
                  <c:v>43.099999999999994</c:v>
                </c:pt>
                <c:pt idx="42">
                  <c:v>44.399999999999991</c:v>
                </c:pt>
                <c:pt idx="43">
                  <c:v>45.099999999999994</c:v>
                </c:pt>
                <c:pt idx="44">
                  <c:v>46.499999999999993</c:v>
                </c:pt>
                <c:pt idx="45">
                  <c:v>46.999999999999993</c:v>
                </c:pt>
                <c:pt idx="46">
                  <c:v>47.499999999999993</c:v>
                </c:pt>
                <c:pt idx="47">
                  <c:v>48.29999999999999</c:v>
                </c:pt>
                <c:pt idx="48">
                  <c:v>49.599999999999987</c:v>
                </c:pt>
                <c:pt idx="49">
                  <c:v>50.79999999999999</c:v>
                </c:pt>
                <c:pt idx="50">
                  <c:v>51.699999999999989</c:v>
                </c:pt>
                <c:pt idx="51">
                  <c:v>53.099999999999987</c:v>
                </c:pt>
                <c:pt idx="52">
                  <c:v>53.79999999999999</c:v>
                </c:pt>
                <c:pt idx="53">
                  <c:v>54.499999999999993</c:v>
                </c:pt>
                <c:pt idx="54">
                  <c:v>55.399999999999991</c:v>
                </c:pt>
                <c:pt idx="55">
                  <c:v>56.79999999999999</c:v>
                </c:pt>
                <c:pt idx="56">
                  <c:v>58.099999999999987</c:v>
                </c:pt>
                <c:pt idx="57">
                  <c:v>59.29999999999999</c:v>
                </c:pt>
                <c:pt idx="58">
                  <c:v>60.699999999999989</c:v>
                </c:pt>
                <c:pt idx="59">
                  <c:v>61.699999999999989</c:v>
                </c:pt>
                <c:pt idx="60">
                  <c:v>62.699999999999989</c:v>
                </c:pt>
              </c:numCache>
            </c:numRef>
          </c:cat>
          <c:val>
            <c:numRef>
              <c:f>trasa!$Q$1:$Q$61</c:f>
              <c:numCache>
                <c:formatCode>General</c:formatCode>
                <c:ptCount val="61"/>
                <c:pt idx="0">
                  <c:v>320</c:v>
                </c:pt>
                <c:pt idx="1">
                  <c:v>344</c:v>
                </c:pt>
                <c:pt idx="2">
                  <c:v>358</c:v>
                </c:pt>
                <c:pt idx="3">
                  <c:v>377</c:v>
                </c:pt>
                <c:pt idx="4">
                  <c:v>377</c:v>
                </c:pt>
                <c:pt idx="5">
                  <c:v>407</c:v>
                </c:pt>
                <c:pt idx="6">
                  <c:v>387</c:v>
                </c:pt>
                <c:pt idx="7">
                  <c:v>407</c:v>
                </c:pt>
                <c:pt idx="8">
                  <c:v>422</c:v>
                </c:pt>
                <c:pt idx="9">
                  <c:v>402</c:v>
                </c:pt>
                <c:pt idx="10">
                  <c:v>402</c:v>
                </c:pt>
                <c:pt idx="11">
                  <c:v>432</c:v>
                </c:pt>
                <c:pt idx="12">
                  <c:v>462</c:v>
                </c:pt>
                <c:pt idx="13">
                  <c:v>512</c:v>
                </c:pt>
                <c:pt idx="14">
                  <c:v>542</c:v>
                </c:pt>
                <c:pt idx="15">
                  <c:v>542</c:v>
                </c:pt>
                <c:pt idx="16">
                  <c:v>582</c:v>
                </c:pt>
                <c:pt idx="17">
                  <c:v>642</c:v>
                </c:pt>
                <c:pt idx="18">
                  <c:v>682</c:v>
                </c:pt>
                <c:pt idx="19">
                  <c:v>722</c:v>
                </c:pt>
                <c:pt idx="20">
                  <c:v>732</c:v>
                </c:pt>
                <c:pt idx="21">
                  <c:v>752</c:v>
                </c:pt>
                <c:pt idx="22">
                  <c:v>727</c:v>
                </c:pt>
                <c:pt idx="23">
                  <c:v>707</c:v>
                </c:pt>
                <c:pt idx="24">
                  <c:v>667</c:v>
                </c:pt>
                <c:pt idx="25">
                  <c:v>587</c:v>
                </c:pt>
                <c:pt idx="26">
                  <c:v>567</c:v>
                </c:pt>
                <c:pt idx="27">
                  <c:v>542</c:v>
                </c:pt>
                <c:pt idx="28">
                  <c:v>472</c:v>
                </c:pt>
                <c:pt idx="29">
                  <c:v>472</c:v>
                </c:pt>
                <c:pt idx="30">
                  <c:v>472</c:v>
                </c:pt>
                <c:pt idx="31">
                  <c:v>482</c:v>
                </c:pt>
                <c:pt idx="32">
                  <c:v>542</c:v>
                </c:pt>
                <c:pt idx="33">
                  <c:v>602</c:v>
                </c:pt>
                <c:pt idx="34">
                  <c:v>612</c:v>
                </c:pt>
                <c:pt idx="35">
                  <c:v>542</c:v>
                </c:pt>
                <c:pt idx="36">
                  <c:v>452</c:v>
                </c:pt>
                <c:pt idx="37">
                  <c:v>402</c:v>
                </c:pt>
                <c:pt idx="38">
                  <c:v>352</c:v>
                </c:pt>
                <c:pt idx="39">
                  <c:v>352</c:v>
                </c:pt>
                <c:pt idx="40">
                  <c:v>342</c:v>
                </c:pt>
                <c:pt idx="41">
                  <c:v>332</c:v>
                </c:pt>
                <c:pt idx="42">
                  <c:v>322</c:v>
                </c:pt>
                <c:pt idx="43">
                  <c:v>322</c:v>
                </c:pt>
                <c:pt idx="44">
                  <c:v>342</c:v>
                </c:pt>
                <c:pt idx="45">
                  <c:v>362</c:v>
                </c:pt>
                <c:pt idx="46">
                  <c:v>372</c:v>
                </c:pt>
                <c:pt idx="47">
                  <c:v>372</c:v>
                </c:pt>
                <c:pt idx="48">
                  <c:v>352</c:v>
                </c:pt>
                <c:pt idx="49">
                  <c:v>382</c:v>
                </c:pt>
                <c:pt idx="50">
                  <c:v>402</c:v>
                </c:pt>
                <c:pt idx="51">
                  <c:v>442</c:v>
                </c:pt>
                <c:pt idx="52">
                  <c:v>472</c:v>
                </c:pt>
                <c:pt idx="53">
                  <c:v>457</c:v>
                </c:pt>
                <c:pt idx="54">
                  <c:v>437</c:v>
                </c:pt>
                <c:pt idx="55">
                  <c:v>427</c:v>
                </c:pt>
                <c:pt idx="56">
                  <c:v>397</c:v>
                </c:pt>
                <c:pt idx="57">
                  <c:v>377</c:v>
                </c:pt>
                <c:pt idx="58">
                  <c:v>447</c:v>
                </c:pt>
                <c:pt idx="59">
                  <c:v>447</c:v>
                </c:pt>
                <c:pt idx="60">
                  <c:v>437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E51-40E7-9266-32E052C2E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92736"/>
        <c:axId val="235181696"/>
      </c:lineChart>
      <c:catAx>
        <c:axId val="2374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5181696"/>
        <c:crosses val="autoZero"/>
        <c:auto val="1"/>
        <c:lblAlgn val="ctr"/>
        <c:lblOffset val="100"/>
        <c:noMultiLvlLbl val="0"/>
      </c:catAx>
      <c:valAx>
        <c:axId val="2351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4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365760</xdr:colOff>
      <xdr:row>5</xdr:row>
      <xdr:rowOff>171450</xdr:rowOff>
    </xdr:from>
    <xdr:to>
      <xdr:col>31</xdr:col>
      <xdr:colOff>60960</xdr:colOff>
      <xdr:row>20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xmlns="" id="{3BC2895C-7121-4692-9213-A9D72614B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aneZewnętrzne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nr_odcinka" tableColumnId="1"/>
      <queryTableField id="2" name="dlugosc" tableColumnId="2"/>
      <queryTableField id="3" name="przewyzszeni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rasa" displayName="trasa" ref="A1:C61" tableType="queryTable" totalsRowShown="0">
  <autoFilter ref="A1:C61"/>
  <tableColumns count="3">
    <tableColumn id="1" uniqueName="1" name="nr_odcinka" queryTableFieldId="1"/>
    <tableColumn id="2" uniqueName="2" name="dlugosc" queryTableFieldId="2"/>
    <tableColumn id="3" uniqueName="3" name="przewyzszeni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abSelected="1" workbookViewId="0">
      <selection activeCell="R4" sqref="R4"/>
    </sheetView>
  </sheetViews>
  <sheetFormatPr defaultRowHeight="14.4" x14ac:dyDescent="0.3"/>
  <cols>
    <col min="1" max="1" width="12.6640625" bestFit="1" customWidth="1"/>
    <col min="2" max="2" width="9.6640625" bestFit="1" customWidth="1"/>
    <col min="3" max="3" width="15.109375" bestFit="1" customWidth="1"/>
    <col min="6" max="6" width="3.109375" customWidth="1"/>
    <col min="7" max="7" width="15.6640625" customWidth="1"/>
    <col min="8" max="8" width="18.109375" customWidth="1"/>
  </cols>
  <sheetData>
    <row r="1" spans="1:23" x14ac:dyDescent="0.3">
      <c r="A1" t="s">
        <v>0</v>
      </c>
      <c r="B1" t="s">
        <v>1</v>
      </c>
      <c r="C1" t="s">
        <v>2</v>
      </c>
      <c r="E1" t="s">
        <v>6</v>
      </c>
      <c r="G1" t="s">
        <v>7</v>
      </c>
      <c r="H1" t="s">
        <v>8</v>
      </c>
      <c r="J1" t="s">
        <v>9</v>
      </c>
      <c r="K1" t="s">
        <v>10</v>
      </c>
      <c r="M1" t="s">
        <v>3</v>
      </c>
      <c r="N1" t="s">
        <v>4</v>
      </c>
      <c r="Q1">
        <f>E2</f>
        <v>320</v>
      </c>
      <c r="R1" t="s">
        <v>11</v>
      </c>
      <c r="T1">
        <v>0</v>
      </c>
      <c r="U1" t="s">
        <v>5</v>
      </c>
      <c r="W1">
        <v>0</v>
      </c>
    </row>
    <row r="2" spans="1:23" x14ac:dyDescent="0.3">
      <c r="A2">
        <v>1</v>
      </c>
      <c r="B2">
        <v>1400</v>
      </c>
      <c r="C2">
        <v>24</v>
      </c>
      <c r="E2">
        <v>320</v>
      </c>
      <c r="G2" t="b">
        <f>C2&gt;0</f>
        <v>1</v>
      </c>
      <c r="H2" t="b">
        <f>C2&lt;0</f>
        <v>0</v>
      </c>
      <c r="J2">
        <f>IF(AND(G2&lt;&gt;G1,G2),1,0)</f>
        <v>1</v>
      </c>
      <c r="K2">
        <f>IF(AND(H2&lt;&gt;H1,H2),1,0)</f>
        <v>0</v>
      </c>
      <c r="M2">
        <f>SUM(J:J)</f>
        <v>9</v>
      </c>
      <c r="N2">
        <f>SUM(K:K)</f>
        <v>8</v>
      </c>
      <c r="Q2">
        <f>Q1+C2</f>
        <v>344</v>
      </c>
      <c r="R2">
        <f>MAX(Q:Q)</f>
        <v>752</v>
      </c>
      <c r="T2">
        <f>IF(H2,T1+B2,0)</f>
        <v>0</v>
      </c>
      <c r="U2">
        <f>MAX(T:T)</f>
        <v>7600</v>
      </c>
      <c r="W2">
        <f>W1+B2/1000</f>
        <v>1.4</v>
      </c>
    </row>
    <row r="3" spans="1:23" x14ac:dyDescent="0.3">
      <c r="A3">
        <v>2</v>
      </c>
      <c r="B3">
        <v>900</v>
      </c>
      <c r="C3">
        <v>14</v>
      </c>
      <c r="G3" t="b">
        <f t="shared" ref="G3:G61" si="0">C3&gt;0</f>
        <v>1</v>
      </c>
      <c r="H3" t="b">
        <f t="shared" ref="H3:H61" si="1">C3&lt;0</f>
        <v>0</v>
      </c>
      <c r="J3">
        <f>IF(AND(G3&lt;&gt;G2,G3),1,0)</f>
        <v>0</v>
      </c>
      <c r="K3">
        <f t="shared" ref="K3:K61" si="2">IF(AND(H3&lt;&gt;H2,H3),1,0)</f>
        <v>0</v>
      </c>
      <c r="Q3">
        <f t="shared" ref="Q3:Q61" si="3">Q2+C3</f>
        <v>358</v>
      </c>
      <c r="T3">
        <f t="shared" ref="T3:T61" si="4">IF(H3,T2+B3,0)</f>
        <v>0</v>
      </c>
      <c r="W3">
        <f t="shared" ref="W3:W61" si="5">W2+B3/1000</f>
        <v>2.2999999999999998</v>
      </c>
    </row>
    <row r="4" spans="1:23" x14ac:dyDescent="0.3">
      <c r="A4">
        <v>3</v>
      </c>
      <c r="B4">
        <v>1400</v>
      </c>
      <c r="C4">
        <v>19</v>
      </c>
      <c r="G4" t="b">
        <f t="shared" si="0"/>
        <v>1</v>
      </c>
      <c r="H4" t="b">
        <f t="shared" si="1"/>
        <v>0</v>
      </c>
      <c r="J4">
        <f t="shared" ref="J4:J61" si="6">IF(AND(G4&lt;&gt;G3,G4),1,0)</f>
        <v>0</v>
      </c>
      <c r="K4">
        <f t="shared" si="2"/>
        <v>0</v>
      </c>
      <c r="Q4">
        <f t="shared" si="3"/>
        <v>377</v>
      </c>
      <c r="T4">
        <f t="shared" si="4"/>
        <v>0</v>
      </c>
      <c r="W4">
        <f t="shared" si="5"/>
        <v>3.6999999999999997</v>
      </c>
    </row>
    <row r="5" spans="1:23" x14ac:dyDescent="0.3">
      <c r="A5">
        <v>4</v>
      </c>
      <c r="B5">
        <v>600</v>
      </c>
      <c r="C5">
        <v>0</v>
      </c>
      <c r="G5" t="b">
        <f t="shared" si="0"/>
        <v>0</v>
      </c>
      <c r="H5" t="b">
        <f t="shared" si="1"/>
        <v>0</v>
      </c>
      <c r="J5">
        <f t="shared" si="6"/>
        <v>0</v>
      </c>
      <c r="K5">
        <f t="shared" si="2"/>
        <v>0</v>
      </c>
      <c r="Q5">
        <f t="shared" si="3"/>
        <v>377</v>
      </c>
      <c r="T5">
        <f t="shared" si="4"/>
        <v>0</v>
      </c>
      <c r="W5">
        <f t="shared" si="5"/>
        <v>4.3</v>
      </c>
    </row>
    <row r="6" spans="1:23" x14ac:dyDescent="0.3">
      <c r="A6">
        <v>5</v>
      </c>
      <c r="B6">
        <v>1000</v>
      </c>
      <c r="C6">
        <v>30</v>
      </c>
      <c r="G6" t="b">
        <f t="shared" si="0"/>
        <v>1</v>
      </c>
      <c r="H6" t="b">
        <f t="shared" si="1"/>
        <v>0</v>
      </c>
      <c r="J6">
        <f t="shared" si="6"/>
        <v>1</v>
      </c>
      <c r="K6">
        <f t="shared" si="2"/>
        <v>0</v>
      </c>
      <c r="Q6">
        <f t="shared" si="3"/>
        <v>407</v>
      </c>
      <c r="T6">
        <f t="shared" si="4"/>
        <v>0</v>
      </c>
      <c r="W6">
        <f t="shared" si="5"/>
        <v>5.3</v>
      </c>
    </row>
    <row r="7" spans="1:23" x14ac:dyDescent="0.3">
      <c r="A7">
        <v>6</v>
      </c>
      <c r="B7">
        <v>1000</v>
      </c>
      <c r="C7">
        <v>-20</v>
      </c>
      <c r="G7" t="b">
        <f t="shared" si="0"/>
        <v>0</v>
      </c>
      <c r="H7" t="b">
        <f t="shared" si="1"/>
        <v>1</v>
      </c>
      <c r="J7">
        <f t="shared" si="6"/>
        <v>0</v>
      </c>
      <c r="K7">
        <f t="shared" si="2"/>
        <v>1</v>
      </c>
      <c r="Q7">
        <f t="shared" si="3"/>
        <v>387</v>
      </c>
      <c r="T7">
        <f t="shared" si="4"/>
        <v>1000</v>
      </c>
      <c r="W7">
        <f t="shared" si="5"/>
        <v>6.3</v>
      </c>
    </row>
    <row r="8" spans="1:23" x14ac:dyDescent="0.3">
      <c r="A8">
        <v>7</v>
      </c>
      <c r="B8">
        <v>1500</v>
      </c>
      <c r="C8">
        <v>20</v>
      </c>
      <c r="G8" t="b">
        <f t="shared" si="0"/>
        <v>1</v>
      </c>
      <c r="H8" t="b">
        <f t="shared" si="1"/>
        <v>0</v>
      </c>
      <c r="J8">
        <f t="shared" si="6"/>
        <v>1</v>
      </c>
      <c r="K8">
        <f t="shared" si="2"/>
        <v>0</v>
      </c>
      <c r="Q8">
        <f t="shared" si="3"/>
        <v>407</v>
      </c>
      <c r="T8">
        <f t="shared" si="4"/>
        <v>0</v>
      </c>
      <c r="W8">
        <f t="shared" si="5"/>
        <v>7.8</v>
      </c>
    </row>
    <row r="9" spans="1:23" x14ac:dyDescent="0.3">
      <c r="A9">
        <v>8</v>
      </c>
      <c r="B9">
        <v>700</v>
      </c>
      <c r="C9">
        <v>15</v>
      </c>
      <c r="G9" t="b">
        <f t="shared" si="0"/>
        <v>1</v>
      </c>
      <c r="H9" t="b">
        <f t="shared" si="1"/>
        <v>0</v>
      </c>
      <c r="J9">
        <f t="shared" si="6"/>
        <v>0</v>
      </c>
      <c r="K9">
        <f t="shared" si="2"/>
        <v>0</v>
      </c>
      <c r="Q9">
        <f t="shared" si="3"/>
        <v>422</v>
      </c>
      <c r="T9">
        <f t="shared" si="4"/>
        <v>0</v>
      </c>
      <c r="W9">
        <f t="shared" si="5"/>
        <v>8.5</v>
      </c>
    </row>
    <row r="10" spans="1:23" x14ac:dyDescent="0.3">
      <c r="A10">
        <v>9</v>
      </c>
      <c r="B10">
        <v>1400</v>
      </c>
      <c r="C10">
        <v>-20</v>
      </c>
      <c r="G10" t="b">
        <f t="shared" si="0"/>
        <v>0</v>
      </c>
      <c r="H10" t="b">
        <f t="shared" si="1"/>
        <v>1</v>
      </c>
      <c r="J10">
        <f t="shared" si="6"/>
        <v>0</v>
      </c>
      <c r="K10">
        <f t="shared" si="2"/>
        <v>1</v>
      </c>
      <c r="Q10">
        <f t="shared" si="3"/>
        <v>402</v>
      </c>
      <c r="T10">
        <f t="shared" si="4"/>
        <v>1400</v>
      </c>
      <c r="W10">
        <f t="shared" si="5"/>
        <v>9.9</v>
      </c>
    </row>
    <row r="11" spans="1:23" x14ac:dyDescent="0.3">
      <c r="A11">
        <v>10</v>
      </c>
      <c r="B11">
        <v>900</v>
      </c>
      <c r="C11">
        <v>0</v>
      </c>
      <c r="G11" t="b">
        <f t="shared" si="0"/>
        <v>0</v>
      </c>
      <c r="H11" t="b">
        <f t="shared" si="1"/>
        <v>0</v>
      </c>
      <c r="J11">
        <f t="shared" si="6"/>
        <v>0</v>
      </c>
      <c r="K11">
        <f t="shared" si="2"/>
        <v>0</v>
      </c>
      <c r="Q11">
        <f t="shared" si="3"/>
        <v>402</v>
      </c>
      <c r="T11">
        <f t="shared" si="4"/>
        <v>0</v>
      </c>
      <c r="W11">
        <f t="shared" si="5"/>
        <v>10.8</v>
      </c>
    </row>
    <row r="12" spans="1:23" x14ac:dyDescent="0.3">
      <c r="A12">
        <v>11</v>
      </c>
      <c r="B12">
        <v>700</v>
      </c>
      <c r="C12">
        <v>30</v>
      </c>
      <c r="G12" t="b">
        <f t="shared" si="0"/>
        <v>1</v>
      </c>
      <c r="H12" t="b">
        <f t="shared" si="1"/>
        <v>0</v>
      </c>
      <c r="J12">
        <f t="shared" si="6"/>
        <v>1</v>
      </c>
      <c r="K12">
        <f t="shared" si="2"/>
        <v>0</v>
      </c>
      <c r="Q12">
        <f t="shared" si="3"/>
        <v>432</v>
      </c>
      <c r="T12">
        <f t="shared" si="4"/>
        <v>0</v>
      </c>
      <c r="W12">
        <f t="shared" si="5"/>
        <v>11.5</v>
      </c>
    </row>
    <row r="13" spans="1:23" x14ac:dyDescent="0.3">
      <c r="A13">
        <v>12</v>
      </c>
      <c r="B13">
        <v>700</v>
      </c>
      <c r="C13">
        <v>30</v>
      </c>
      <c r="G13" t="b">
        <f t="shared" si="0"/>
        <v>1</v>
      </c>
      <c r="H13" t="b">
        <f t="shared" si="1"/>
        <v>0</v>
      </c>
      <c r="J13">
        <f t="shared" si="6"/>
        <v>0</v>
      </c>
      <c r="K13">
        <f t="shared" si="2"/>
        <v>0</v>
      </c>
      <c r="Q13">
        <f t="shared" si="3"/>
        <v>462</v>
      </c>
      <c r="T13">
        <f t="shared" si="4"/>
        <v>0</v>
      </c>
      <c r="W13">
        <f t="shared" si="5"/>
        <v>12.2</v>
      </c>
    </row>
    <row r="14" spans="1:23" x14ac:dyDescent="0.3">
      <c r="A14">
        <v>13</v>
      </c>
      <c r="B14">
        <v>1000</v>
      </c>
      <c r="C14">
        <v>50</v>
      </c>
      <c r="G14" t="b">
        <f t="shared" si="0"/>
        <v>1</v>
      </c>
      <c r="H14" t="b">
        <f t="shared" si="1"/>
        <v>0</v>
      </c>
      <c r="J14">
        <f t="shared" si="6"/>
        <v>0</v>
      </c>
      <c r="K14">
        <f t="shared" si="2"/>
        <v>0</v>
      </c>
      <c r="Q14">
        <f t="shared" si="3"/>
        <v>512</v>
      </c>
      <c r="T14">
        <f t="shared" si="4"/>
        <v>0</v>
      </c>
      <c r="W14">
        <f t="shared" si="5"/>
        <v>13.2</v>
      </c>
    </row>
    <row r="15" spans="1:23" x14ac:dyDescent="0.3">
      <c r="A15">
        <v>14</v>
      </c>
      <c r="B15">
        <v>600</v>
      </c>
      <c r="C15">
        <v>30</v>
      </c>
      <c r="G15" t="b">
        <f t="shared" si="0"/>
        <v>1</v>
      </c>
      <c r="H15" t="b">
        <f t="shared" si="1"/>
        <v>0</v>
      </c>
      <c r="J15">
        <f t="shared" si="6"/>
        <v>0</v>
      </c>
      <c r="K15">
        <f t="shared" si="2"/>
        <v>0</v>
      </c>
      <c r="Q15">
        <f t="shared" si="3"/>
        <v>542</v>
      </c>
      <c r="T15">
        <f t="shared" si="4"/>
        <v>0</v>
      </c>
      <c r="W15">
        <f t="shared" si="5"/>
        <v>13.799999999999999</v>
      </c>
    </row>
    <row r="16" spans="1:23" x14ac:dyDescent="0.3">
      <c r="A16">
        <v>15</v>
      </c>
      <c r="B16">
        <v>1300</v>
      </c>
      <c r="C16">
        <v>0</v>
      </c>
      <c r="G16" t="b">
        <f t="shared" si="0"/>
        <v>0</v>
      </c>
      <c r="H16" t="b">
        <f t="shared" si="1"/>
        <v>0</v>
      </c>
      <c r="J16">
        <f t="shared" si="6"/>
        <v>0</v>
      </c>
      <c r="K16">
        <f t="shared" si="2"/>
        <v>0</v>
      </c>
      <c r="Q16">
        <f t="shared" si="3"/>
        <v>542</v>
      </c>
      <c r="T16">
        <f t="shared" si="4"/>
        <v>0</v>
      </c>
      <c r="W16">
        <f t="shared" si="5"/>
        <v>15.1</v>
      </c>
    </row>
    <row r="17" spans="1:23" x14ac:dyDescent="0.3">
      <c r="A17">
        <v>16</v>
      </c>
      <c r="B17">
        <v>900</v>
      </c>
      <c r="C17">
        <v>40</v>
      </c>
      <c r="G17" t="b">
        <f t="shared" si="0"/>
        <v>1</v>
      </c>
      <c r="H17" t="b">
        <f t="shared" si="1"/>
        <v>0</v>
      </c>
      <c r="J17">
        <f t="shared" si="6"/>
        <v>1</v>
      </c>
      <c r="K17">
        <f t="shared" si="2"/>
        <v>0</v>
      </c>
      <c r="Q17">
        <f t="shared" si="3"/>
        <v>582</v>
      </c>
      <c r="T17">
        <f t="shared" si="4"/>
        <v>0</v>
      </c>
      <c r="W17">
        <f t="shared" si="5"/>
        <v>16</v>
      </c>
    </row>
    <row r="18" spans="1:23" x14ac:dyDescent="0.3">
      <c r="A18">
        <v>17</v>
      </c>
      <c r="B18">
        <v>1000</v>
      </c>
      <c r="C18">
        <v>60</v>
      </c>
      <c r="G18" t="b">
        <f t="shared" si="0"/>
        <v>1</v>
      </c>
      <c r="H18" t="b">
        <f t="shared" si="1"/>
        <v>0</v>
      </c>
      <c r="J18">
        <f t="shared" si="6"/>
        <v>0</v>
      </c>
      <c r="K18">
        <f t="shared" si="2"/>
        <v>0</v>
      </c>
      <c r="Q18">
        <f t="shared" si="3"/>
        <v>642</v>
      </c>
      <c r="T18">
        <f t="shared" si="4"/>
        <v>0</v>
      </c>
      <c r="W18">
        <f t="shared" si="5"/>
        <v>17</v>
      </c>
    </row>
    <row r="19" spans="1:23" x14ac:dyDescent="0.3">
      <c r="A19">
        <v>18</v>
      </c>
      <c r="B19">
        <v>500</v>
      </c>
      <c r="C19">
        <v>40</v>
      </c>
      <c r="G19" t="b">
        <f t="shared" si="0"/>
        <v>1</v>
      </c>
      <c r="H19" t="b">
        <f t="shared" si="1"/>
        <v>0</v>
      </c>
      <c r="J19">
        <f t="shared" si="6"/>
        <v>0</v>
      </c>
      <c r="K19">
        <f t="shared" si="2"/>
        <v>0</v>
      </c>
      <c r="Q19">
        <f t="shared" si="3"/>
        <v>682</v>
      </c>
      <c r="T19">
        <f t="shared" si="4"/>
        <v>0</v>
      </c>
      <c r="W19">
        <f t="shared" si="5"/>
        <v>17.5</v>
      </c>
    </row>
    <row r="20" spans="1:23" x14ac:dyDescent="0.3">
      <c r="A20">
        <v>19</v>
      </c>
      <c r="B20">
        <v>1100</v>
      </c>
      <c r="C20">
        <v>40</v>
      </c>
      <c r="G20" t="b">
        <f t="shared" si="0"/>
        <v>1</v>
      </c>
      <c r="H20" t="b">
        <f t="shared" si="1"/>
        <v>0</v>
      </c>
      <c r="J20">
        <f t="shared" si="6"/>
        <v>0</v>
      </c>
      <c r="K20">
        <f t="shared" si="2"/>
        <v>0</v>
      </c>
      <c r="Q20">
        <f t="shared" si="3"/>
        <v>722</v>
      </c>
      <c r="T20">
        <f t="shared" si="4"/>
        <v>0</v>
      </c>
      <c r="W20">
        <f t="shared" si="5"/>
        <v>18.600000000000001</v>
      </c>
    </row>
    <row r="21" spans="1:23" x14ac:dyDescent="0.3">
      <c r="A21">
        <v>20</v>
      </c>
      <c r="B21">
        <v>1200</v>
      </c>
      <c r="C21">
        <v>10</v>
      </c>
      <c r="G21" t="b">
        <f t="shared" si="0"/>
        <v>1</v>
      </c>
      <c r="H21" t="b">
        <f t="shared" si="1"/>
        <v>0</v>
      </c>
      <c r="J21">
        <f t="shared" si="6"/>
        <v>0</v>
      </c>
      <c r="K21">
        <f t="shared" si="2"/>
        <v>0</v>
      </c>
      <c r="Q21">
        <f t="shared" si="3"/>
        <v>732</v>
      </c>
      <c r="T21">
        <f t="shared" si="4"/>
        <v>0</v>
      </c>
      <c r="W21">
        <f t="shared" si="5"/>
        <v>19.8</v>
      </c>
    </row>
    <row r="22" spans="1:23" x14ac:dyDescent="0.3">
      <c r="A22">
        <v>21</v>
      </c>
      <c r="B22">
        <v>900</v>
      </c>
      <c r="C22">
        <v>20</v>
      </c>
      <c r="G22" t="b">
        <f t="shared" si="0"/>
        <v>1</v>
      </c>
      <c r="H22" t="b">
        <f t="shared" si="1"/>
        <v>0</v>
      </c>
      <c r="J22">
        <f t="shared" si="6"/>
        <v>0</v>
      </c>
      <c r="K22">
        <f t="shared" si="2"/>
        <v>0</v>
      </c>
      <c r="Q22">
        <f t="shared" si="3"/>
        <v>752</v>
      </c>
      <c r="T22">
        <f t="shared" si="4"/>
        <v>0</v>
      </c>
      <c r="W22">
        <f t="shared" si="5"/>
        <v>20.7</v>
      </c>
    </row>
    <row r="23" spans="1:23" x14ac:dyDescent="0.3">
      <c r="A23">
        <v>22</v>
      </c>
      <c r="B23">
        <v>900</v>
      </c>
      <c r="C23">
        <v>-25</v>
      </c>
      <c r="G23" t="b">
        <f t="shared" si="0"/>
        <v>0</v>
      </c>
      <c r="H23" t="b">
        <f t="shared" si="1"/>
        <v>1</v>
      </c>
      <c r="J23">
        <f t="shared" si="6"/>
        <v>0</v>
      </c>
      <c r="K23">
        <f t="shared" si="2"/>
        <v>1</v>
      </c>
      <c r="Q23">
        <f t="shared" si="3"/>
        <v>727</v>
      </c>
      <c r="T23">
        <f t="shared" si="4"/>
        <v>900</v>
      </c>
      <c r="W23">
        <f t="shared" si="5"/>
        <v>21.599999999999998</v>
      </c>
    </row>
    <row r="24" spans="1:23" x14ac:dyDescent="0.3">
      <c r="A24">
        <v>23</v>
      </c>
      <c r="B24">
        <v>1400</v>
      </c>
      <c r="C24">
        <v>-20</v>
      </c>
      <c r="G24" t="b">
        <f t="shared" si="0"/>
        <v>0</v>
      </c>
      <c r="H24" t="b">
        <f t="shared" si="1"/>
        <v>1</v>
      </c>
      <c r="J24">
        <f t="shared" si="6"/>
        <v>0</v>
      </c>
      <c r="K24">
        <f t="shared" si="2"/>
        <v>0</v>
      </c>
      <c r="Q24">
        <f t="shared" si="3"/>
        <v>707</v>
      </c>
      <c r="T24">
        <f t="shared" si="4"/>
        <v>2300</v>
      </c>
      <c r="W24">
        <f t="shared" si="5"/>
        <v>22.999999999999996</v>
      </c>
    </row>
    <row r="25" spans="1:23" x14ac:dyDescent="0.3">
      <c r="A25">
        <v>24</v>
      </c>
      <c r="B25">
        <v>1100</v>
      </c>
      <c r="C25">
        <v>-40</v>
      </c>
      <c r="G25" t="b">
        <f t="shared" si="0"/>
        <v>0</v>
      </c>
      <c r="H25" t="b">
        <f t="shared" si="1"/>
        <v>1</v>
      </c>
      <c r="J25">
        <f t="shared" si="6"/>
        <v>0</v>
      </c>
      <c r="K25">
        <f t="shared" si="2"/>
        <v>0</v>
      </c>
      <c r="Q25">
        <f t="shared" si="3"/>
        <v>667</v>
      </c>
      <c r="T25">
        <f t="shared" si="4"/>
        <v>3400</v>
      </c>
      <c r="W25">
        <f t="shared" si="5"/>
        <v>24.099999999999998</v>
      </c>
    </row>
    <row r="26" spans="1:23" x14ac:dyDescent="0.3">
      <c r="A26">
        <v>25</v>
      </c>
      <c r="B26">
        <v>1500</v>
      </c>
      <c r="C26">
        <v>-80</v>
      </c>
      <c r="G26" t="b">
        <f t="shared" si="0"/>
        <v>0</v>
      </c>
      <c r="H26" t="b">
        <f t="shared" si="1"/>
        <v>1</v>
      </c>
      <c r="J26">
        <f t="shared" si="6"/>
        <v>0</v>
      </c>
      <c r="K26">
        <f t="shared" si="2"/>
        <v>0</v>
      </c>
      <c r="Q26">
        <f t="shared" si="3"/>
        <v>587</v>
      </c>
      <c r="T26">
        <f t="shared" si="4"/>
        <v>4900</v>
      </c>
      <c r="W26">
        <f t="shared" si="5"/>
        <v>25.599999999999998</v>
      </c>
    </row>
    <row r="27" spans="1:23" x14ac:dyDescent="0.3">
      <c r="A27">
        <v>26</v>
      </c>
      <c r="B27">
        <v>600</v>
      </c>
      <c r="C27">
        <v>-20</v>
      </c>
      <c r="G27" t="b">
        <f t="shared" si="0"/>
        <v>0</v>
      </c>
      <c r="H27" t="b">
        <f t="shared" si="1"/>
        <v>1</v>
      </c>
      <c r="J27">
        <f t="shared" si="6"/>
        <v>0</v>
      </c>
      <c r="K27">
        <f t="shared" si="2"/>
        <v>0</v>
      </c>
      <c r="Q27">
        <f t="shared" si="3"/>
        <v>567</v>
      </c>
      <c r="T27">
        <f t="shared" si="4"/>
        <v>5500</v>
      </c>
      <c r="W27">
        <f t="shared" si="5"/>
        <v>26.2</v>
      </c>
    </row>
    <row r="28" spans="1:23" x14ac:dyDescent="0.3">
      <c r="A28">
        <v>27</v>
      </c>
      <c r="B28">
        <v>900</v>
      </c>
      <c r="C28">
        <v>-25</v>
      </c>
      <c r="G28" t="b">
        <f t="shared" si="0"/>
        <v>0</v>
      </c>
      <c r="H28" t="b">
        <f t="shared" si="1"/>
        <v>1</v>
      </c>
      <c r="J28">
        <f t="shared" si="6"/>
        <v>0</v>
      </c>
      <c r="K28">
        <f t="shared" si="2"/>
        <v>0</v>
      </c>
      <c r="Q28">
        <f t="shared" si="3"/>
        <v>542</v>
      </c>
      <c r="T28">
        <f t="shared" si="4"/>
        <v>6400</v>
      </c>
      <c r="W28">
        <f t="shared" si="5"/>
        <v>27.099999999999998</v>
      </c>
    </row>
    <row r="29" spans="1:23" x14ac:dyDescent="0.3">
      <c r="A29">
        <v>28</v>
      </c>
      <c r="B29">
        <v>1200</v>
      </c>
      <c r="C29">
        <v>-70</v>
      </c>
      <c r="G29" t="b">
        <f t="shared" si="0"/>
        <v>0</v>
      </c>
      <c r="H29" t="b">
        <f t="shared" si="1"/>
        <v>1</v>
      </c>
      <c r="J29">
        <f t="shared" si="6"/>
        <v>0</v>
      </c>
      <c r="K29">
        <f t="shared" si="2"/>
        <v>0</v>
      </c>
      <c r="Q29">
        <f t="shared" si="3"/>
        <v>472</v>
      </c>
      <c r="T29">
        <f t="shared" si="4"/>
        <v>7600</v>
      </c>
      <c r="W29">
        <f t="shared" si="5"/>
        <v>28.299999999999997</v>
      </c>
    </row>
    <row r="30" spans="1:23" x14ac:dyDescent="0.3">
      <c r="A30">
        <v>29</v>
      </c>
      <c r="B30">
        <v>900</v>
      </c>
      <c r="C30">
        <v>0</v>
      </c>
      <c r="G30" t="b">
        <f t="shared" si="0"/>
        <v>0</v>
      </c>
      <c r="H30" t="b">
        <f t="shared" si="1"/>
        <v>0</v>
      </c>
      <c r="J30">
        <f t="shared" si="6"/>
        <v>0</v>
      </c>
      <c r="K30">
        <f t="shared" si="2"/>
        <v>0</v>
      </c>
      <c r="Q30">
        <f t="shared" si="3"/>
        <v>472</v>
      </c>
      <c r="T30">
        <f t="shared" si="4"/>
        <v>0</v>
      </c>
      <c r="W30">
        <f t="shared" si="5"/>
        <v>29.199999999999996</v>
      </c>
    </row>
    <row r="31" spans="1:23" x14ac:dyDescent="0.3">
      <c r="A31">
        <v>30</v>
      </c>
      <c r="B31">
        <v>1400</v>
      </c>
      <c r="C31">
        <v>0</v>
      </c>
      <c r="G31" t="b">
        <f t="shared" si="0"/>
        <v>0</v>
      </c>
      <c r="H31" t="b">
        <f t="shared" si="1"/>
        <v>0</v>
      </c>
      <c r="J31">
        <f t="shared" si="6"/>
        <v>0</v>
      </c>
      <c r="K31">
        <f t="shared" si="2"/>
        <v>0</v>
      </c>
      <c r="Q31">
        <f t="shared" si="3"/>
        <v>472</v>
      </c>
      <c r="T31">
        <f t="shared" si="4"/>
        <v>0</v>
      </c>
      <c r="W31">
        <f t="shared" si="5"/>
        <v>30.599999999999994</v>
      </c>
    </row>
    <row r="32" spans="1:23" x14ac:dyDescent="0.3">
      <c r="A32">
        <v>31</v>
      </c>
      <c r="B32">
        <v>500</v>
      </c>
      <c r="C32">
        <v>10</v>
      </c>
      <c r="G32" t="b">
        <f t="shared" si="0"/>
        <v>1</v>
      </c>
      <c r="H32" t="b">
        <f t="shared" si="1"/>
        <v>0</v>
      </c>
      <c r="J32">
        <f t="shared" si="6"/>
        <v>1</v>
      </c>
      <c r="K32">
        <f t="shared" si="2"/>
        <v>0</v>
      </c>
      <c r="Q32">
        <f t="shared" si="3"/>
        <v>482</v>
      </c>
      <c r="T32">
        <f t="shared" si="4"/>
        <v>0</v>
      </c>
      <c r="W32">
        <f t="shared" si="5"/>
        <v>31.099999999999994</v>
      </c>
    </row>
    <row r="33" spans="1:23" x14ac:dyDescent="0.3">
      <c r="A33">
        <v>32</v>
      </c>
      <c r="B33">
        <v>500</v>
      </c>
      <c r="C33">
        <v>60</v>
      </c>
      <c r="G33" t="b">
        <f t="shared" si="0"/>
        <v>1</v>
      </c>
      <c r="H33" t="b">
        <f t="shared" si="1"/>
        <v>0</v>
      </c>
      <c r="J33">
        <f t="shared" si="6"/>
        <v>0</v>
      </c>
      <c r="K33">
        <f t="shared" si="2"/>
        <v>0</v>
      </c>
      <c r="Q33">
        <f t="shared" si="3"/>
        <v>542</v>
      </c>
      <c r="T33">
        <f t="shared" si="4"/>
        <v>0</v>
      </c>
      <c r="W33">
        <f t="shared" si="5"/>
        <v>31.599999999999994</v>
      </c>
    </row>
    <row r="34" spans="1:23" x14ac:dyDescent="0.3">
      <c r="A34">
        <v>33</v>
      </c>
      <c r="B34">
        <v>1500</v>
      </c>
      <c r="C34">
        <v>60</v>
      </c>
      <c r="G34" t="b">
        <f t="shared" si="0"/>
        <v>1</v>
      </c>
      <c r="H34" t="b">
        <f t="shared" si="1"/>
        <v>0</v>
      </c>
      <c r="J34">
        <f t="shared" si="6"/>
        <v>0</v>
      </c>
      <c r="K34">
        <f t="shared" si="2"/>
        <v>0</v>
      </c>
      <c r="Q34">
        <f t="shared" si="3"/>
        <v>602</v>
      </c>
      <c r="T34">
        <f t="shared" si="4"/>
        <v>0</v>
      </c>
      <c r="W34">
        <f t="shared" si="5"/>
        <v>33.099999999999994</v>
      </c>
    </row>
    <row r="35" spans="1:23" x14ac:dyDescent="0.3">
      <c r="A35">
        <v>34</v>
      </c>
      <c r="B35">
        <v>1500</v>
      </c>
      <c r="C35">
        <v>10</v>
      </c>
      <c r="G35" t="b">
        <f t="shared" si="0"/>
        <v>1</v>
      </c>
      <c r="H35" t="b">
        <f t="shared" si="1"/>
        <v>0</v>
      </c>
      <c r="J35">
        <f t="shared" si="6"/>
        <v>0</v>
      </c>
      <c r="K35">
        <f t="shared" si="2"/>
        <v>0</v>
      </c>
      <c r="Q35">
        <f t="shared" si="3"/>
        <v>612</v>
      </c>
      <c r="T35">
        <f t="shared" si="4"/>
        <v>0</v>
      </c>
      <c r="W35">
        <f t="shared" si="5"/>
        <v>34.599999999999994</v>
      </c>
    </row>
    <row r="36" spans="1:23" x14ac:dyDescent="0.3">
      <c r="A36">
        <v>35</v>
      </c>
      <c r="B36">
        <v>1500</v>
      </c>
      <c r="C36">
        <v>-70</v>
      </c>
      <c r="G36" t="b">
        <f t="shared" si="0"/>
        <v>0</v>
      </c>
      <c r="H36" t="b">
        <f t="shared" si="1"/>
        <v>1</v>
      </c>
      <c r="J36">
        <f t="shared" si="6"/>
        <v>0</v>
      </c>
      <c r="K36">
        <f t="shared" si="2"/>
        <v>1</v>
      </c>
      <c r="Q36">
        <f t="shared" si="3"/>
        <v>542</v>
      </c>
      <c r="T36">
        <f t="shared" si="4"/>
        <v>1500</v>
      </c>
      <c r="W36">
        <f t="shared" si="5"/>
        <v>36.099999999999994</v>
      </c>
    </row>
    <row r="37" spans="1:23" x14ac:dyDescent="0.3">
      <c r="A37">
        <v>36</v>
      </c>
      <c r="B37">
        <v>1100</v>
      </c>
      <c r="C37">
        <v>-90</v>
      </c>
      <c r="G37" t="b">
        <f t="shared" si="0"/>
        <v>0</v>
      </c>
      <c r="H37" t="b">
        <f t="shared" si="1"/>
        <v>1</v>
      </c>
      <c r="J37">
        <f t="shared" si="6"/>
        <v>0</v>
      </c>
      <c r="K37">
        <f t="shared" si="2"/>
        <v>0</v>
      </c>
      <c r="Q37">
        <f t="shared" si="3"/>
        <v>452</v>
      </c>
      <c r="T37">
        <f t="shared" si="4"/>
        <v>2600</v>
      </c>
      <c r="W37">
        <f t="shared" si="5"/>
        <v>37.199999999999996</v>
      </c>
    </row>
    <row r="38" spans="1:23" x14ac:dyDescent="0.3">
      <c r="A38">
        <v>37</v>
      </c>
      <c r="B38">
        <v>1500</v>
      </c>
      <c r="C38">
        <v>-50</v>
      </c>
      <c r="G38" t="b">
        <f t="shared" si="0"/>
        <v>0</v>
      </c>
      <c r="H38" t="b">
        <f t="shared" si="1"/>
        <v>1</v>
      </c>
      <c r="J38">
        <f t="shared" si="6"/>
        <v>0</v>
      </c>
      <c r="K38">
        <f t="shared" si="2"/>
        <v>0</v>
      </c>
      <c r="Q38">
        <f t="shared" si="3"/>
        <v>402</v>
      </c>
      <c r="T38">
        <f t="shared" si="4"/>
        <v>4100</v>
      </c>
      <c r="W38">
        <f t="shared" si="5"/>
        <v>38.699999999999996</v>
      </c>
    </row>
    <row r="39" spans="1:23" x14ac:dyDescent="0.3">
      <c r="A39">
        <v>38</v>
      </c>
      <c r="B39">
        <v>1500</v>
      </c>
      <c r="C39">
        <v>-50</v>
      </c>
      <c r="G39" t="b">
        <f t="shared" si="0"/>
        <v>0</v>
      </c>
      <c r="H39" t="b">
        <f t="shared" si="1"/>
        <v>1</v>
      </c>
      <c r="J39">
        <f t="shared" si="6"/>
        <v>0</v>
      </c>
      <c r="K39">
        <f t="shared" si="2"/>
        <v>0</v>
      </c>
      <c r="Q39">
        <f t="shared" si="3"/>
        <v>352</v>
      </c>
      <c r="T39">
        <f t="shared" si="4"/>
        <v>5600</v>
      </c>
      <c r="W39">
        <f t="shared" si="5"/>
        <v>40.199999999999996</v>
      </c>
    </row>
    <row r="40" spans="1:23" x14ac:dyDescent="0.3">
      <c r="A40">
        <v>39</v>
      </c>
      <c r="B40">
        <v>600</v>
      </c>
      <c r="C40">
        <v>0</v>
      </c>
      <c r="G40" t="b">
        <f t="shared" si="0"/>
        <v>0</v>
      </c>
      <c r="H40" t="b">
        <f t="shared" si="1"/>
        <v>0</v>
      </c>
      <c r="J40">
        <f t="shared" si="6"/>
        <v>0</v>
      </c>
      <c r="K40">
        <f t="shared" si="2"/>
        <v>0</v>
      </c>
      <c r="Q40">
        <f t="shared" si="3"/>
        <v>352</v>
      </c>
      <c r="T40">
        <f t="shared" si="4"/>
        <v>0</v>
      </c>
      <c r="W40">
        <f t="shared" si="5"/>
        <v>40.799999999999997</v>
      </c>
    </row>
    <row r="41" spans="1:23" x14ac:dyDescent="0.3">
      <c r="A41">
        <v>40</v>
      </c>
      <c r="B41">
        <v>1400</v>
      </c>
      <c r="C41">
        <v>-10</v>
      </c>
      <c r="G41" t="b">
        <f t="shared" si="0"/>
        <v>0</v>
      </c>
      <c r="H41" t="b">
        <f t="shared" si="1"/>
        <v>1</v>
      </c>
      <c r="J41">
        <f t="shared" si="6"/>
        <v>0</v>
      </c>
      <c r="K41">
        <f t="shared" si="2"/>
        <v>1</v>
      </c>
      <c r="Q41">
        <f t="shared" si="3"/>
        <v>342</v>
      </c>
      <c r="T41">
        <f t="shared" si="4"/>
        <v>1400</v>
      </c>
      <c r="W41">
        <f t="shared" si="5"/>
        <v>42.199999999999996</v>
      </c>
    </row>
    <row r="42" spans="1:23" x14ac:dyDescent="0.3">
      <c r="A42">
        <v>41</v>
      </c>
      <c r="B42">
        <v>900</v>
      </c>
      <c r="C42">
        <v>-10</v>
      </c>
      <c r="G42" t="b">
        <f t="shared" si="0"/>
        <v>0</v>
      </c>
      <c r="H42" t="b">
        <f t="shared" si="1"/>
        <v>1</v>
      </c>
      <c r="J42">
        <f t="shared" si="6"/>
        <v>0</v>
      </c>
      <c r="K42">
        <f t="shared" si="2"/>
        <v>0</v>
      </c>
      <c r="Q42">
        <f t="shared" si="3"/>
        <v>332</v>
      </c>
      <c r="T42">
        <f t="shared" si="4"/>
        <v>2300</v>
      </c>
      <c r="W42">
        <f t="shared" si="5"/>
        <v>43.099999999999994</v>
      </c>
    </row>
    <row r="43" spans="1:23" x14ac:dyDescent="0.3">
      <c r="A43">
        <v>42</v>
      </c>
      <c r="B43">
        <v>1300</v>
      </c>
      <c r="C43">
        <v>-10</v>
      </c>
      <c r="G43" t="b">
        <f t="shared" si="0"/>
        <v>0</v>
      </c>
      <c r="H43" t="b">
        <f t="shared" si="1"/>
        <v>1</v>
      </c>
      <c r="J43">
        <f t="shared" si="6"/>
        <v>0</v>
      </c>
      <c r="K43">
        <f t="shared" si="2"/>
        <v>0</v>
      </c>
      <c r="Q43">
        <f t="shared" si="3"/>
        <v>322</v>
      </c>
      <c r="T43">
        <f t="shared" si="4"/>
        <v>3600</v>
      </c>
      <c r="W43">
        <f t="shared" si="5"/>
        <v>44.399999999999991</v>
      </c>
    </row>
    <row r="44" spans="1:23" x14ac:dyDescent="0.3">
      <c r="A44">
        <v>43</v>
      </c>
      <c r="B44">
        <v>700</v>
      </c>
      <c r="C44">
        <v>0</v>
      </c>
      <c r="G44" t="b">
        <f t="shared" si="0"/>
        <v>0</v>
      </c>
      <c r="H44" t="b">
        <f t="shared" si="1"/>
        <v>0</v>
      </c>
      <c r="J44">
        <f t="shared" si="6"/>
        <v>0</v>
      </c>
      <c r="K44">
        <f t="shared" si="2"/>
        <v>0</v>
      </c>
      <c r="Q44">
        <f t="shared" si="3"/>
        <v>322</v>
      </c>
      <c r="T44">
        <f t="shared" si="4"/>
        <v>0</v>
      </c>
      <c r="W44">
        <f t="shared" si="5"/>
        <v>45.099999999999994</v>
      </c>
    </row>
    <row r="45" spans="1:23" x14ac:dyDescent="0.3">
      <c r="A45">
        <v>44</v>
      </c>
      <c r="B45">
        <v>1400</v>
      </c>
      <c r="C45">
        <v>20</v>
      </c>
      <c r="G45" t="b">
        <f t="shared" si="0"/>
        <v>1</v>
      </c>
      <c r="H45" t="b">
        <f t="shared" si="1"/>
        <v>0</v>
      </c>
      <c r="J45">
        <f t="shared" si="6"/>
        <v>1</v>
      </c>
      <c r="K45">
        <f t="shared" si="2"/>
        <v>0</v>
      </c>
      <c r="Q45">
        <f t="shared" si="3"/>
        <v>342</v>
      </c>
      <c r="T45">
        <f t="shared" si="4"/>
        <v>0</v>
      </c>
      <c r="W45">
        <f t="shared" si="5"/>
        <v>46.499999999999993</v>
      </c>
    </row>
    <row r="46" spans="1:23" x14ac:dyDescent="0.3">
      <c r="A46">
        <v>45</v>
      </c>
      <c r="B46">
        <v>500</v>
      </c>
      <c r="C46">
        <v>20</v>
      </c>
      <c r="G46" t="b">
        <f t="shared" si="0"/>
        <v>1</v>
      </c>
      <c r="H46" t="b">
        <f t="shared" si="1"/>
        <v>0</v>
      </c>
      <c r="J46">
        <f t="shared" si="6"/>
        <v>0</v>
      </c>
      <c r="K46">
        <f t="shared" si="2"/>
        <v>0</v>
      </c>
      <c r="Q46">
        <f t="shared" si="3"/>
        <v>362</v>
      </c>
      <c r="T46">
        <f t="shared" si="4"/>
        <v>0</v>
      </c>
      <c r="W46">
        <f t="shared" si="5"/>
        <v>46.999999999999993</v>
      </c>
    </row>
    <row r="47" spans="1:23" x14ac:dyDescent="0.3">
      <c r="A47">
        <v>46</v>
      </c>
      <c r="B47">
        <v>500</v>
      </c>
      <c r="C47">
        <v>10</v>
      </c>
      <c r="G47" t="b">
        <f t="shared" si="0"/>
        <v>1</v>
      </c>
      <c r="H47" t="b">
        <f t="shared" si="1"/>
        <v>0</v>
      </c>
      <c r="J47">
        <f t="shared" si="6"/>
        <v>0</v>
      </c>
      <c r="K47">
        <f t="shared" si="2"/>
        <v>0</v>
      </c>
      <c r="Q47">
        <f t="shared" si="3"/>
        <v>372</v>
      </c>
      <c r="T47">
        <f t="shared" si="4"/>
        <v>0</v>
      </c>
      <c r="W47">
        <f t="shared" si="5"/>
        <v>47.499999999999993</v>
      </c>
    </row>
    <row r="48" spans="1:23" x14ac:dyDescent="0.3">
      <c r="A48">
        <v>47</v>
      </c>
      <c r="B48">
        <v>800</v>
      </c>
      <c r="C48">
        <v>0</v>
      </c>
      <c r="G48" t="b">
        <f t="shared" si="0"/>
        <v>0</v>
      </c>
      <c r="H48" t="b">
        <f t="shared" si="1"/>
        <v>0</v>
      </c>
      <c r="J48">
        <f t="shared" si="6"/>
        <v>0</v>
      </c>
      <c r="K48">
        <f t="shared" si="2"/>
        <v>0</v>
      </c>
      <c r="Q48">
        <f t="shared" si="3"/>
        <v>372</v>
      </c>
      <c r="T48">
        <f t="shared" si="4"/>
        <v>0</v>
      </c>
      <c r="W48">
        <f t="shared" si="5"/>
        <v>48.29999999999999</v>
      </c>
    </row>
    <row r="49" spans="1:23" x14ac:dyDescent="0.3">
      <c r="A49">
        <v>48</v>
      </c>
      <c r="B49">
        <v>1300</v>
      </c>
      <c r="C49">
        <v>-20</v>
      </c>
      <c r="G49" t="b">
        <f t="shared" si="0"/>
        <v>0</v>
      </c>
      <c r="H49" t="b">
        <f t="shared" si="1"/>
        <v>1</v>
      </c>
      <c r="J49">
        <f t="shared" si="6"/>
        <v>0</v>
      </c>
      <c r="K49">
        <f t="shared" si="2"/>
        <v>1</v>
      </c>
      <c r="Q49">
        <f t="shared" si="3"/>
        <v>352</v>
      </c>
      <c r="T49">
        <f t="shared" si="4"/>
        <v>1300</v>
      </c>
      <c r="W49">
        <f t="shared" si="5"/>
        <v>49.599999999999987</v>
      </c>
    </row>
    <row r="50" spans="1:23" x14ac:dyDescent="0.3">
      <c r="A50">
        <v>49</v>
      </c>
      <c r="B50">
        <v>1200</v>
      </c>
      <c r="C50">
        <v>30</v>
      </c>
      <c r="G50" t="b">
        <f t="shared" si="0"/>
        <v>1</v>
      </c>
      <c r="H50" t="b">
        <f t="shared" si="1"/>
        <v>0</v>
      </c>
      <c r="J50">
        <f t="shared" si="6"/>
        <v>1</v>
      </c>
      <c r="K50">
        <f t="shared" si="2"/>
        <v>0</v>
      </c>
      <c r="Q50">
        <f t="shared" si="3"/>
        <v>382</v>
      </c>
      <c r="T50">
        <f t="shared" si="4"/>
        <v>0</v>
      </c>
      <c r="W50">
        <f t="shared" si="5"/>
        <v>50.79999999999999</v>
      </c>
    </row>
    <row r="51" spans="1:23" x14ac:dyDescent="0.3">
      <c r="A51">
        <v>50</v>
      </c>
      <c r="B51">
        <v>900</v>
      </c>
      <c r="C51">
        <v>20</v>
      </c>
      <c r="G51" t="b">
        <f t="shared" si="0"/>
        <v>1</v>
      </c>
      <c r="H51" t="b">
        <f t="shared" si="1"/>
        <v>0</v>
      </c>
      <c r="J51">
        <f t="shared" si="6"/>
        <v>0</v>
      </c>
      <c r="K51">
        <f t="shared" si="2"/>
        <v>0</v>
      </c>
      <c r="Q51">
        <f t="shared" si="3"/>
        <v>402</v>
      </c>
      <c r="T51">
        <f t="shared" si="4"/>
        <v>0</v>
      </c>
      <c r="W51">
        <f t="shared" si="5"/>
        <v>51.699999999999989</v>
      </c>
    </row>
    <row r="52" spans="1:23" x14ac:dyDescent="0.3">
      <c r="A52">
        <v>51</v>
      </c>
      <c r="B52">
        <v>1400</v>
      </c>
      <c r="C52">
        <v>40</v>
      </c>
      <c r="G52" t="b">
        <f t="shared" si="0"/>
        <v>1</v>
      </c>
      <c r="H52" t="b">
        <f t="shared" si="1"/>
        <v>0</v>
      </c>
      <c r="J52">
        <f t="shared" si="6"/>
        <v>0</v>
      </c>
      <c r="K52">
        <f t="shared" si="2"/>
        <v>0</v>
      </c>
      <c r="Q52">
        <f t="shared" si="3"/>
        <v>442</v>
      </c>
      <c r="T52">
        <f t="shared" si="4"/>
        <v>0</v>
      </c>
      <c r="W52">
        <f t="shared" si="5"/>
        <v>53.099999999999987</v>
      </c>
    </row>
    <row r="53" spans="1:23" x14ac:dyDescent="0.3">
      <c r="A53">
        <v>52</v>
      </c>
      <c r="B53">
        <v>700</v>
      </c>
      <c r="C53">
        <v>30</v>
      </c>
      <c r="G53" t="b">
        <f t="shared" si="0"/>
        <v>1</v>
      </c>
      <c r="H53" t="b">
        <f t="shared" si="1"/>
        <v>0</v>
      </c>
      <c r="J53">
        <f t="shared" si="6"/>
        <v>0</v>
      </c>
      <c r="K53">
        <f t="shared" si="2"/>
        <v>0</v>
      </c>
      <c r="Q53">
        <f t="shared" si="3"/>
        <v>472</v>
      </c>
      <c r="T53">
        <f t="shared" si="4"/>
        <v>0</v>
      </c>
      <c r="W53">
        <f t="shared" si="5"/>
        <v>53.79999999999999</v>
      </c>
    </row>
    <row r="54" spans="1:23" x14ac:dyDescent="0.3">
      <c r="A54">
        <v>53</v>
      </c>
      <c r="B54">
        <v>700</v>
      </c>
      <c r="C54">
        <v>-15</v>
      </c>
      <c r="G54" t="b">
        <f t="shared" si="0"/>
        <v>0</v>
      </c>
      <c r="H54" t="b">
        <f t="shared" si="1"/>
        <v>1</v>
      </c>
      <c r="J54">
        <f t="shared" si="6"/>
        <v>0</v>
      </c>
      <c r="K54">
        <f t="shared" si="2"/>
        <v>1</v>
      </c>
      <c r="Q54">
        <f t="shared" si="3"/>
        <v>457</v>
      </c>
      <c r="T54">
        <f t="shared" si="4"/>
        <v>700</v>
      </c>
      <c r="W54">
        <f t="shared" si="5"/>
        <v>54.499999999999993</v>
      </c>
    </row>
    <row r="55" spans="1:23" x14ac:dyDescent="0.3">
      <c r="A55">
        <v>54</v>
      </c>
      <c r="B55">
        <v>900</v>
      </c>
      <c r="C55">
        <v>-20</v>
      </c>
      <c r="G55" t="b">
        <f t="shared" si="0"/>
        <v>0</v>
      </c>
      <c r="H55" t="b">
        <f t="shared" si="1"/>
        <v>1</v>
      </c>
      <c r="J55">
        <f t="shared" si="6"/>
        <v>0</v>
      </c>
      <c r="K55">
        <f t="shared" si="2"/>
        <v>0</v>
      </c>
      <c r="Q55">
        <f t="shared" si="3"/>
        <v>437</v>
      </c>
      <c r="T55">
        <f t="shared" si="4"/>
        <v>1600</v>
      </c>
      <c r="W55">
        <f t="shared" si="5"/>
        <v>55.399999999999991</v>
      </c>
    </row>
    <row r="56" spans="1:23" x14ac:dyDescent="0.3">
      <c r="A56">
        <v>55</v>
      </c>
      <c r="B56">
        <v>1400</v>
      </c>
      <c r="C56">
        <v>-10</v>
      </c>
      <c r="G56" t="b">
        <f t="shared" si="0"/>
        <v>0</v>
      </c>
      <c r="H56" t="b">
        <f t="shared" si="1"/>
        <v>1</v>
      </c>
      <c r="J56">
        <f t="shared" si="6"/>
        <v>0</v>
      </c>
      <c r="K56">
        <f t="shared" si="2"/>
        <v>0</v>
      </c>
      <c r="Q56">
        <f t="shared" si="3"/>
        <v>427</v>
      </c>
      <c r="T56">
        <f t="shared" si="4"/>
        <v>3000</v>
      </c>
      <c r="W56">
        <f t="shared" si="5"/>
        <v>56.79999999999999</v>
      </c>
    </row>
    <row r="57" spans="1:23" x14ac:dyDescent="0.3">
      <c r="A57">
        <v>56</v>
      </c>
      <c r="B57">
        <v>1300</v>
      </c>
      <c r="C57">
        <v>-30</v>
      </c>
      <c r="G57" t="b">
        <f t="shared" si="0"/>
        <v>0</v>
      </c>
      <c r="H57" t="b">
        <f t="shared" si="1"/>
        <v>1</v>
      </c>
      <c r="J57">
        <f t="shared" si="6"/>
        <v>0</v>
      </c>
      <c r="K57">
        <f t="shared" si="2"/>
        <v>0</v>
      </c>
      <c r="Q57">
        <f t="shared" si="3"/>
        <v>397</v>
      </c>
      <c r="T57">
        <f t="shared" si="4"/>
        <v>4300</v>
      </c>
      <c r="W57">
        <f t="shared" si="5"/>
        <v>58.099999999999987</v>
      </c>
    </row>
    <row r="58" spans="1:23" x14ac:dyDescent="0.3">
      <c r="A58">
        <v>57</v>
      </c>
      <c r="B58">
        <v>1200</v>
      </c>
      <c r="C58">
        <v>-20</v>
      </c>
      <c r="G58" t="b">
        <f t="shared" si="0"/>
        <v>0</v>
      </c>
      <c r="H58" t="b">
        <f t="shared" si="1"/>
        <v>1</v>
      </c>
      <c r="J58">
        <f t="shared" si="6"/>
        <v>0</v>
      </c>
      <c r="K58">
        <f t="shared" si="2"/>
        <v>0</v>
      </c>
      <c r="Q58">
        <f t="shared" si="3"/>
        <v>377</v>
      </c>
      <c r="T58">
        <f t="shared" si="4"/>
        <v>5500</v>
      </c>
      <c r="W58">
        <f t="shared" si="5"/>
        <v>59.29999999999999</v>
      </c>
    </row>
    <row r="59" spans="1:23" x14ac:dyDescent="0.3">
      <c r="A59">
        <v>58</v>
      </c>
      <c r="B59">
        <v>1400</v>
      </c>
      <c r="C59">
        <v>70</v>
      </c>
      <c r="G59" t="b">
        <f t="shared" si="0"/>
        <v>1</v>
      </c>
      <c r="H59" t="b">
        <f t="shared" si="1"/>
        <v>0</v>
      </c>
      <c r="J59">
        <f t="shared" si="6"/>
        <v>1</v>
      </c>
      <c r="K59">
        <f t="shared" si="2"/>
        <v>0</v>
      </c>
      <c r="Q59">
        <f t="shared" si="3"/>
        <v>447</v>
      </c>
      <c r="T59">
        <f t="shared" si="4"/>
        <v>0</v>
      </c>
      <c r="W59">
        <f t="shared" si="5"/>
        <v>60.699999999999989</v>
      </c>
    </row>
    <row r="60" spans="1:23" x14ac:dyDescent="0.3">
      <c r="A60">
        <v>59</v>
      </c>
      <c r="B60">
        <v>1000</v>
      </c>
      <c r="C60">
        <v>0</v>
      </c>
      <c r="G60" t="b">
        <f t="shared" si="0"/>
        <v>0</v>
      </c>
      <c r="H60" t="b">
        <f t="shared" si="1"/>
        <v>0</v>
      </c>
      <c r="J60">
        <f t="shared" si="6"/>
        <v>0</v>
      </c>
      <c r="K60">
        <f t="shared" si="2"/>
        <v>0</v>
      </c>
      <c r="Q60">
        <f t="shared" si="3"/>
        <v>447</v>
      </c>
      <c r="T60">
        <f t="shared" si="4"/>
        <v>0</v>
      </c>
      <c r="W60">
        <f t="shared" si="5"/>
        <v>61.699999999999989</v>
      </c>
    </row>
    <row r="61" spans="1:23" x14ac:dyDescent="0.3">
      <c r="A61">
        <v>60</v>
      </c>
      <c r="B61">
        <v>1000</v>
      </c>
      <c r="C61">
        <v>-10</v>
      </c>
      <c r="G61" t="b">
        <f t="shared" si="0"/>
        <v>0</v>
      </c>
      <c r="H61" t="b">
        <f t="shared" si="1"/>
        <v>1</v>
      </c>
      <c r="J61">
        <f t="shared" si="6"/>
        <v>0</v>
      </c>
      <c r="K61">
        <f t="shared" si="2"/>
        <v>1</v>
      </c>
      <c r="Q61">
        <f t="shared" si="3"/>
        <v>437</v>
      </c>
      <c r="T61">
        <f t="shared" si="4"/>
        <v>1000</v>
      </c>
      <c r="W61">
        <f t="shared" si="5"/>
        <v>62.699999999999989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A9E50-D30F-4DB8-BCC8-3755A85C7C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trasa</vt:lpstr>
      <vt:lpstr>Arkusz1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Filip Gębala</cp:lastModifiedBy>
  <dcterms:created xsi:type="dcterms:W3CDTF">2025-09-25T09:18:39Z</dcterms:created>
  <dcterms:modified xsi:type="dcterms:W3CDTF">2025-10-16T09:58:08Z</dcterms:modified>
</cp:coreProperties>
</file>