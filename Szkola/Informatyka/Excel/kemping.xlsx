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10872" activeTab="3"/>
  </bookViews>
  <sheets>
    <sheet name="Arkusz1" sheetId="1" r:id="rId1"/>
    <sheet name="Arkusz2" sheetId="2" r:id="rId2"/>
    <sheet name="Arkusz3" sheetId="3" r:id="rId3"/>
    <sheet name="Arkusz4" sheetId="4" r:id="rId4"/>
  </sheets>
  <definedNames>
    <definedName name="wynajem" localSheetId="0">Arkusz1!$A$1:$E$1001</definedName>
    <definedName name="wynajem" localSheetId="1">Arkusz2!$A$1:$E$1001</definedName>
    <definedName name="wynajem" localSheetId="2">Arkusz3!$A$1:$E$1001</definedName>
    <definedName name="wynajem" localSheetId="3">Arkusz4!$A$1:$E$1001</definedName>
  </definedNames>
  <calcPr calcId="145621"/>
</workbook>
</file>

<file path=xl/calcChain.xml><?xml version="1.0" encoding="utf-8"?>
<calcChain xmlns="http://schemas.openxmlformats.org/spreadsheetml/2006/main">
  <c r="V13" i="4" l="1"/>
  <c r="V12" i="4"/>
  <c r="V11" i="4"/>
  <c r="V10" i="4"/>
  <c r="V9" i="4"/>
  <c r="V8" i="4"/>
  <c r="V7" i="4"/>
  <c r="V6" i="4"/>
  <c r="V5" i="4"/>
  <c r="V4" i="4"/>
  <c r="V3" i="4"/>
  <c r="V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P2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2" i="4"/>
  <c r="U2" i="3"/>
  <c r="U3" i="3"/>
  <c r="U4" i="3"/>
  <c r="U5" i="3"/>
  <c r="U6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2" i="3"/>
  <c r="J1001" i="3"/>
  <c r="I1001" i="3"/>
  <c r="H1001" i="3"/>
  <c r="G1001" i="3"/>
  <c r="F1001" i="3"/>
  <c r="J1000" i="3"/>
  <c r="I1000" i="3"/>
  <c r="H1000" i="3"/>
  <c r="G1000" i="3"/>
  <c r="F1000" i="3"/>
  <c r="J999" i="3"/>
  <c r="I999" i="3"/>
  <c r="H999" i="3"/>
  <c r="G999" i="3"/>
  <c r="F999" i="3"/>
  <c r="J998" i="3"/>
  <c r="I998" i="3"/>
  <c r="H998" i="3"/>
  <c r="G998" i="3"/>
  <c r="F998" i="3"/>
  <c r="J997" i="3"/>
  <c r="I997" i="3"/>
  <c r="H997" i="3"/>
  <c r="G997" i="3"/>
  <c r="F997" i="3"/>
  <c r="J996" i="3"/>
  <c r="I996" i="3"/>
  <c r="H996" i="3"/>
  <c r="G996" i="3"/>
  <c r="F996" i="3"/>
  <c r="J995" i="3"/>
  <c r="I995" i="3"/>
  <c r="H995" i="3"/>
  <c r="G995" i="3"/>
  <c r="F995" i="3"/>
  <c r="J994" i="3"/>
  <c r="I994" i="3"/>
  <c r="H994" i="3"/>
  <c r="G994" i="3"/>
  <c r="F994" i="3"/>
  <c r="J993" i="3"/>
  <c r="I993" i="3"/>
  <c r="H993" i="3"/>
  <c r="G993" i="3"/>
  <c r="F993" i="3"/>
  <c r="J992" i="3"/>
  <c r="I992" i="3"/>
  <c r="H992" i="3"/>
  <c r="G992" i="3"/>
  <c r="F992" i="3"/>
  <c r="J991" i="3"/>
  <c r="I991" i="3"/>
  <c r="H991" i="3"/>
  <c r="G991" i="3"/>
  <c r="F991" i="3"/>
  <c r="J990" i="3"/>
  <c r="I990" i="3"/>
  <c r="H990" i="3"/>
  <c r="G990" i="3"/>
  <c r="F990" i="3"/>
  <c r="J989" i="3"/>
  <c r="I989" i="3"/>
  <c r="H989" i="3"/>
  <c r="G989" i="3"/>
  <c r="F989" i="3"/>
  <c r="J988" i="3"/>
  <c r="I988" i="3"/>
  <c r="H988" i="3"/>
  <c r="G988" i="3"/>
  <c r="F988" i="3"/>
  <c r="J987" i="3"/>
  <c r="I987" i="3"/>
  <c r="H987" i="3"/>
  <c r="G987" i="3"/>
  <c r="F987" i="3"/>
  <c r="J986" i="3"/>
  <c r="I986" i="3"/>
  <c r="H986" i="3"/>
  <c r="G986" i="3"/>
  <c r="F986" i="3"/>
  <c r="J985" i="3"/>
  <c r="I985" i="3"/>
  <c r="H985" i="3"/>
  <c r="G985" i="3"/>
  <c r="F985" i="3"/>
  <c r="J984" i="3"/>
  <c r="I984" i="3"/>
  <c r="H984" i="3"/>
  <c r="G984" i="3"/>
  <c r="F984" i="3"/>
  <c r="J983" i="3"/>
  <c r="I983" i="3"/>
  <c r="H983" i="3"/>
  <c r="G983" i="3"/>
  <c r="F983" i="3"/>
  <c r="J982" i="3"/>
  <c r="I982" i="3"/>
  <c r="H982" i="3"/>
  <c r="G982" i="3"/>
  <c r="F982" i="3"/>
  <c r="J981" i="3"/>
  <c r="I981" i="3"/>
  <c r="H981" i="3"/>
  <c r="G981" i="3"/>
  <c r="F981" i="3"/>
  <c r="J980" i="3"/>
  <c r="I980" i="3"/>
  <c r="H980" i="3"/>
  <c r="G980" i="3"/>
  <c r="F980" i="3"/>
  <c r="J979" i="3"/>
  <c r="I979" i="3"/>
  <c r="H979" i="3"/>
  <c r="G979" i="3"/>
  <c r="F979" i="3"/>
  <c r="J978" i="3"/>
  <c r="I978" i="3"/>
  <c r="H978" i="3"/>
  <c r="G978" i="3"/>
  <c r="F978" i="3"/>
  <c r="J977" i="3"/>
  <c r="I977" i="3"/>
  <c r="H977" i="3"/>
  <c r="G977" i="3"/>
  <c r="F977" i="3"/>
  <c r="J976" i="3"/>
  <c r="I976" i="3"/>
  <c r="H976" i="3"/>
  <c r="G976" i="3"/>
  <c r="F976" i="3"/>
  <c r="J975" i="3"/>
  <c r="I975" i="3"/>
  <c r="H975" i="3"/>
  <c r="G975" i="3"/>
  <c r="F975" i="3"/>
  <c r="J974" i="3"/>
  <c r="I974" i="3"/>
  <c r="H974" i="3"/>
  <c r="G974" i="3"/>
  <c r="F974" i="3"/>
  <c r="J973" i="3"/>
  <c r="I973" i="3"/>
  <c r="H973" i="3"/>
  <c r="G973" i="3"/>
  <c r="F973" i="3"/>
  <c r="J972" i="3"/>
  <c r="I972" i="3"/>
  <c r="H972" i="3"/>
  <c r="G972" i="3"/>
  <c r="F972" i="3"/>
  <c r="J971" i="3"/>
  <c r="I971" i="3"/>
  <c r="H971" i="3"/>
  <c r="G971" i="3"/>
  <c r="F971" i="3"/>
  <c r="J970" i="3"/>
  <c r="I970" i="3"/>
  <c r="H970" i="3"/>
  <c r="G970" i="3"/>
  <c r="F970" i="3"/>
  <c r="J969" i="3"/>
  <c r="I969" i="3"/>
  <c r="H969" i="3"/>
  <c r="G969" i="3"/>
  <c r="F969" i="3"/>
  <c r="J968" i="3"/>
  <c r="I968" i="3"/>
  <c r="H968" i="3"/>
  <c r="G968" i="3"/>
  <c r="F968" i="3"/>
  <c r="J967" i="3"/>
  <c r="I967" i="3"/>
  <c r="H967" i="3"/>
  <c r="G967" i="3"/>
  <c r="F967" i="3"/>
  <c r="J966" i="3"/>
  <c r="I966" i="3"/>
  <c r="H966" i="3"/>
  <c r="G966" i="3"/>
  <c r="F966" i="3"/>
  <c r="J965" i="3"/>
  <c r="I965" i="3"/>
  <c r="H965" i="3"/>
  <c r="G965" i="3"/>
  <c r="F965" i="3"/>
  <c r="J964" i="3"/>
  <c r="I964" i="3"/>
  <c r="H964" i="3"/>
  <c r="G964" i="3"/>
  <c r="F964" i="3"/>
  <c r="J963" i="3"/>
  <c r="I963" i="3"/>
  <c r="H963" i="3"/>
  <c r="G963" i="3"/>
  <c r="F963" i="3"/>
  <c r="J962" i="3"/>
  <c r="I962" i="3"/>
  <c r="H962" i="3"/>
  <c r="G962" i="3"/>
  <c r="F962" i="3"/>
  <c r="J961" i="3"/>
  <c r="I961" i="3"/>
  <c r="H961" i="3"/>
  <c r="G961" i="3"/>
  <c r="F961" i="3"/>
  <c r="J960" i="3"/>
  <c r="I960" i="3"/>
  <c r="H960" i="3"/>
  <c r="G960" i="3"/>
  <c r="F960" i="3"/>
  <c r="J959" i="3"/>
  <c r="I959" i="3"/>
  <c r="H959" i="3"/>
  <c r="G959" i="3"/>
  <c r="F959" i="3"/>
  <c r="J958" i="3"/>
  <c r="I958" i="3"/>
  <c r="H958" i="3"/>
  <c r="G958" i="3"/>
  <c r="F958" i="3"/>
  <c r="J957" i="3"/>
  <c r="I957" i="3"/>
  <c r="H957" i="3"/>
  <c r="G957" i="3"/>
  <c r="F957" i="3"/>
  <c r="J956" i="3"/>
  <c r="I956" i="3"/>
  <c r="H956" i="3"/>
  <c r="G956" i="3"/>
  <c r="F956" i="3"/>
  <c r="J955" i="3"/>
  <c r="I955" i="3"/>
  <c r="H955" i="3"/>
  <c r="G955" i="3"/>
  <c r="F955" i="3"/>
  <c r="J954" i="3"/>
  <c r="I954" i="3"/>
  <c r="H954" i="3"/>
  <c r="G954" i="3"/>
  <c r="F954" i="3"/>
  <c r="J953" i="3"/>
  <c r="I953" i="3"/>
  <c r="H953" i="3"/>
  <c r="G953" i="3"/>
  <c r="F953" i="3"/>
  <c r="J952" i="3"/>
  <c r="I952" i="3"/>
  <c r="H952" i="3"/>
  <c r="G952" i="3"/>
  <c r="F952" i="3"/>
  <c r="J951" i="3"/>
  <c r="I951" i="3"/>
  <c r="H951" i="3"/>
  <c r="G951" i="3"/>
  <c r="F951" i="3"/>
  <c r="J950" i="3"/>
  <c r="I950" i="3"/>
  <c r="H950" i="3"/>
  <c r="G950" i="3"/>
  <c r="F950" i="3"/>
  <c r="J949" i="3"/>
  <c r="I949" i="3"/>
  <c r="H949" i="3"/>
  <c r="G949" i="3"/>
  <c r="F949" i="3"/>
  <c r="J948" i="3"/>
  <c r="I948" i="3"/>
  <c r="H948" i="3"/>
  <c r="G948" i="3"/>
  <c r="F948" i="3"/>
  <c r="J947" i="3"/>
  <c r="I947" i="3"/>
  <c r="H947" i="3"/>
  <c r="G947" i="3"/>
  <c r="F947" i="3"/>
  <c r="J946" i="3"/>
  <c r="I946" i="3"/>
  <c r="H946" i="3"/>
  <c r="G946" i="3"/>
  <c r="F946" i="3"/>
  <c r="J945" i="3"/>
  <c r="I945" i="3"/>
  <c r="H945" i="3"/>
  <c r="G945" i="3"/>
  <c r="F945" i="3"/>
  <c r="J944" i="3"/>
  <c r="I944" i="3"/>
  <c r="H944" i="3"/>
  <c r="G944" i="3"/>
  <c r="F944" i="3"/>
  <c r="J943" i="3"/>
  <c r="I943" i="3"/>
  <c r="H943" i="3"/>
  <c r="G943" i="3"/>
  <c r="F943" i="3"/>
  <c r="J942" i="3"/>
  <c r="I942" i="3"/>
  <c r="H942" i="3"/>
  <c r="G942" i="3"/>
  <c r="F942" i="3"/>
  <c r="J941" i="3"/>
  <c r="I941" i="3"/>
  <c r="H941" i="3"/>
  <c r="G941" i="3"/>
  <c r="F941" i="3"/>
  <c r="J940" i="3"/>
  <c r="I940" i="3"/>
  <c r="H940" i="3"/>
  <c r="G940" i="3"/>
  <c r="F940" i="3"/>
  <c r="J939" i="3"/>
  <c r="I939" i="3"/>
  <c r="H939" i="3"/>
  <c r="G939" i="3"/>
  <c r="F939" i="3"/>
  <c r="J938" i="3"/>
  <c r="I938" i="3"/>
  <c r="H938" i="3"/>
  <c r="G938" i="3"/>
  <c r="F938" i="3"/>
  <c r="J937" i="3"/>
  <c r="I937" i="3"/>
  <c r="H937" i="3"/>
  <c r="G937" i="3"/>
  <c r="F937" i="3"/>
  <c r="J936" i="3"/>
  <c r="I936" i="3"/>
  <c r="H936" i="3"/>
  <c r="G936" i="3"/>
  <c r="F936" i="3"/>
  <c r="J935" i="3"/>
  <c r="I935" i="3"/>
  <c r="H935" i="3"/>
  <c r="G935" i="3"/>
  <c r="F935" i="3"/>
  <c r="J934" i="3"/>
  <c r="I934" i="3"/>
  <c r="H934" i="3"/>
  <c r="G934" i="3"/>
  <c r="F934" i="3"/>
  <c r="J933" i="3"/>
  <c r="I933" i="3"/>
  <c r="H933" i="3"/>
  <c r="G933" i="3"/>
  <c r="F933" i="3"/>
  <c r="J932" i="3"/>
  <c r="I932" i="3"/>
  <c r="H932" i="3"/>
  <c r="G932" i="3"/>
  <c r="F932" i="3"/>
  <c r="J931" i="3"/>
  <c r="I931" i="3"/>
  <c r="H931" i="3"/>
  <c r="G931" i="3"/>
  <c r="F931" i="3"/>
  <c r="J930" i="3"/>
  <c r="I930" i="3"/>
  <c r="H930" i="3"/>
  <c r="G930" i="3"/>
  <c r="F930" i="3"/>
  <c r="J929" i="3"/>
  <c r="I929" i="3"/>
  <c r="H929" i="3"/>
  <c r="G929" i="3"/>
  <c r="F929" i="3"/>
  <c r="J928" i="3"/>
  <c r="I928" i="3"/>
  <c r="H928" i="3"/>
  <c r="G928" i="3"/>
  <c r="F928" i="3"/>
  <c r="J927" i="3"/>
  <c r="I927" i="3"/>
  <c r="H927" i="3"/>
  <c r="G927" i="3"/>
  <c r="F927" i="3"/>
  <c r="J926" i="3"/>
  <c r="I926" i="3"/>
  <c r="H926" i="3"/>
  <c r="G926" i="3"/>
  <c r="F926" i="3"/>
  <c r="J925" i="3"/>
  <c r="I925" i="3"/>
  <c r="H925" i="3"/>
  <c r="G925" i="3"/>
  <c r="F925" i="3"/>
  <c r="J924" i="3"/>
  <c r="I924" i="3"/>
  <c r="H924" i="3"/>
  <c r="G924" i="3"/>
  <c r="F924" i="3"/>
  <c r="J923" i="3"/>
  <c r="I923" i="3"/>
  <c r="H923" i="3"/>
  <c r="G923" i="3"/>
  <c r="F923" i="3"/>
  <c r="J922" i="3"/>
  <c r="I922" i="3"/>
  <c r="H922" i="3"/>
  <c r="G922" i="3"/>
  <c r="F922" i="3"/>
  <c r="J921" i="3"/>
  <c r="I921" i="3"/>
  <c r="H921" i="3"/>
  <c r="G921" i="3"/>
  <c r="F921" i="3"/>
  <c r="J920" i="3"/>
  <c r="I920" i="3"/>
  <c r="H920" i="3"/>
  <c r="G920" i="3"/>
  <c r="F920" i="3"/>
  <c r="J919" i="3"/>
  <c r="I919" i="3"/>
  <c r="H919" i="3"/>
  <c r="G919" i="3"/>
  <c r="F919" i="3"/>
  <c r="J918" i="3"/>
  <c r="I918" i="3"/>
  <c r="H918" i="3"/>
  <c r="G918" i="3"/>
  <c r="F918" i="3"/>
  <c r="J917" i="3"/>
  <c r="I917" i="3"/>
  <c r="H917" i="3"/>
  <c r="G917" i="3"/>
  <c r="F917" i="3"/>
  <c r="J916" i="3"/>
  <c r="I916" i="3"/>
  <c r="H916" i="3"/>
  <c r="G916" i="3"/>
  <c r="F916" i="3"/>
  <c r="J915" i="3"/>
  <c r="I915" i="3"/>
  <c r="H915" i="3"/>
  <c r="G915" i="3"/>
  <c r="F915" i="3"/>
  <c r="J914" i="3"/>
  <c r="I914" i="3"/>
  <c r="H914" i="3"/>
  <c r="G914" i="3"/>
  <c r="F914" i="3"/>
  <c r="J913" i="3"/>
  <c r="I913" i="3"/>
  <c r="H913" i="3"/>
  <c r="G913" i="3"/>
  <c r="F913" i="3"/>
  <c r="J912" i="3"/>
  <c r="I912" i="3"/>
  <c r="H912" i="3"/>
  <c r="G912" i="3"/>
  <c r="F912" i="3"/>
  <c r="J911" i="3"/>
  <c r="I911" i="3"/>
  <c r="H911" i="3"/>
  <c r="G911" i="3"/>
  <c r="F911" i="3"/>
  <c r="J910" i="3"/>
  <c r="I910" i="3"/>
  <c r="H910" i="3"/>
  <c r="G910" i="3"/>
  <c r="F910" i="3"/>
  <c r="J909" i="3"/>
  <c r="I909" i="3"/>
  <c r="H909" i="3"/>
  <c r="G909" i="3"/>
  <c r="F909" i="3"/>
  <c r="J908" i="3"/>
  <c r="I908" i="3"/>
  <c r="H908" i="3"/>
  <c r="G908" i="3"/>
  <c r="F908" i="3"/>
  <c r="J907" i="3"/>
  <c r="I907" i="3"/>
  <c r="H907" i="3"/>
  <c r="G907" i="3"/>
  <c r="F907" i="3"/>
  <c r="J906" i="3"/>
  <c r="I906" i="3"/>
  <c r="H906" i="3"/>
  <c r="G906" i="3"/>
  <c r="F906" i="3"/>
  <c r="J905" i="3"/>
  <c r="I905" i="3"/>
  <c r="H905" i="3"/>
  <c r="G905" i="3"/>
  <c r="F905" i="3"/>
  <c r="J904" i="3"/>
  <c r="I904" i="3"/>
  <c r="H904" i="3"/>
  <c r="G904" i="3"/>
  <c r="F904" i="3"/>
  <c r="J903" i="3"/>
  <c r="I903" i="3"/>
  <c r="H903" i="3"/>
  <c r="G903" i="3"/>
  <c r="F903" i="3"/>
  <c r="J902" i="3"/>
  <c r="I902" i="3"/>
  <c r="H902" i="3"/>
  <c r="G902" i="3"/>
  <c r="F902" i="3"/>
  <c r="J901" i="3"/>
  <c r="I901" i="3"/>
  <c r="H901" i="3"/>
  <c r="G901" i="3"/>
  <c r="F901" i="3"/>
  <c r="J900" i="3"/>
  <c r="I900" i="3"/>
  <c r="H900" i="3"/>
  <c r="G900" i="3"/>
  <c r="F900" i="3"/>
  <c r="J899" i="3"/>
  <c r="I899" i="3"/>
  <c r="H899" i="3"/>
  <c r="G899" i="3"/>
  <c r="F899" i="3"/>
  <c r="J898" i="3"/>
  <c r="I898" i="3"/>
  <c r="H898" i="3"/>
  <c r="G898" i="3"/>
  <c r="F898" i="3"/>
  <c r="J897" i="3"/>
  <c r="I897" i="3"/>
  <c r="H897" i="3"/>
  <c r="G897" i="3"/>
  <c r="F897" i="3"/>
  <c r="J896" i="3"/>
  <c r="I896" i="3"/>
  <c r="H896" i="3"/>
  <c r="G896" i="3"/>
  <c r="F896" i="3"/>
  <c r="J895" i="3"/>
  <c r="I895" i="3"/>
  <c r="H895" i="3"/>
  <c r="G895" i="3"/>
  <c r="F895" i="3"/>
  <c r="J894" i="3"/>
  <c r="I894" i="3"/>
  <c r="H894" i="3"/>
  <c r="G894" i="3"/>
  <c r="F894" i="3"/>
  <c r="J893" i="3"/>
  <c r="I893" i="3"/>
  <c r="H893" i="3"/>
  <c r="G893" i="3"/>
  <c r="F893" i="3"/>
  <c r="J892" i="3"/>
  <c r="I892" i="3"/>
  <c r="H892" i="3"/>
  <c r="G892" i="3"/>
  <c r="F892" i="3"/>
  <c r="J891" i="3"/>
  <c r="I891" i="3"/>
  <c r="H891" i="3"/>
  <c r="G891" i="3"/>
  <c r="F891" i="3"/>
  <c r="J890" i="3"/>
  <c r="I890" i="3"/>
  <c r="H890" i="3"/>
  <c r="G890" i="3"/>
  <c r="F890" i="3"/>
  <c r="J889" i="3"/>
  <c r="I889" i="3"/>
  <c r="H889" i="3"/>
  <c r="G889" i="3"/>
  <c r="F889" i="3"/>
  <c r="J888" i="3"/>
  <c r="I888" i="3"/>
  <c r="H888" i="3"/>
  <c r="G888" i="3"/>
  <c r="F888" i="3"/>
  <c r="J887" i="3"/>
  <c r="I887" i="3"/>
  <c r="H887" i="3"/>
  <c r="G887" i="3"/>
  <c r="F887" i="3"/>
  <c r="J886" i="3"/>
  <c r="I886" i="3"/>
  <c r="H886" i="3"/>
  <c r="G886" i="3"/>
  <c r="F886" i="3"/>
  <c r="J885" i="3"/>
  <c r="I885" i="3"/>
  <c r="H885" i="3"/>
  <c r="G885" i="3"/>
  <c r="F885" i="3"/>
  <c r="J884" i="3"/>
  <c r="I884" i="3"/>
  <c r="H884" i="3"/>
  <c r="G884" i="3"/>
  <c r="F884" i="3"/>
  <c r="J883" i="3"/>
  <c r="I883" i="3"/>
  <c r="H883" i="3"/>
  <c r="G883" i="3"/>
  <c r="F883" i="3"/>
  <c r="J882" i="3"/>
  <c r="I882" i="3"/>
  <c r="H882" i="3"/>
  <c r="G882" i="3"/>
  <c r="F882" i="3"/>
  <c r="J881" i="3"/>
  <c r="I881" i="3"/>
  <c r="H881" i="3"/>
  <c r="G881" i="3"/>
  <c r="F881" i="3"/>
  <c r="J880" i="3"/>
  <c r="I880" i="3"/>
  <c r="H880" i="3"/>
  <c r="G880" i="3"/>
  <c r="F880" i="3"/>
  <c r="J879" i="3"/>
  <c r="I879" i="3"/>
  <c r="H879" i="3"/>
  <c r="G879" i="3"/>
  <c r="F879" i="3"/>
  <c r="J878" i="3"/>
  <c r="I878" i="3"/>
  <c r="H878" i="3"/>
  <c r="G878" i="3"/>
  <c r="F878" i="3"/>
  <c r="J877" i="3"/>
  <c r="I877" i="3"/>
  <c r="H877" i="3"/>
  <c r="G877" i="3"/>
  <c r="F877" i="3"/>
  <c r="J876" i="3"/>
  <c r="I876" i="3"/>
  <c r="H876" i="3"/>
  <c r="G876" i="3"/>
  <c r="F876" i="3"/>
  <c r="J875" i="3"/>
  <c r="I875" i="3"/>
  <c r="H875" i="3"/>
  <c r="G875" i="3"/>
  <c r="F875" i="3"/>
  <c r="J874" i="3"/>
  <c r="I874" i="3"/>
  <c r="H874" i="3"/>
  <c r="G874" i="3"/>
  <c r="F874" i="3"/>
  <c r="J873" i="3"/>
  <c r="I873" i="3"/>
  <c r="H873" i="3"/>
  <c r="G873" i="3"/>
  <c r="F873" i="3"/>
  <c r="J872" i="3"/>
  <c r="I872" i="3"/>
  <c r="H872" i="3"/>
  <c r="G872" i="3"/>
  <c r="F872" i="3"/>
  <c r="J871" i="3"/>
  <c r="I871" i="3"/>
  <c r="H871" i="3"/>
  <c r="G871" i="3"/>
  <c r="F871" i="3"/>
  <c r="J870" i="3"/>
  <c r="I870" i="3"/>
  <c r="H870" i="3"/>
  <c r="G870" i="3"/>
  <c r="F870" i="3"/>
  <c r="J869" i="3"/>
  <c r="I869" i="3"/>
  <c r="H869" i="3"/>
  <c r="G869" i="3"/>
  <c r="F869" i="3"/>
  <c r="J868" i="3"/>
  <c r="I868" i="3"/>
  <c r="H868" i="3"/>
  <c r="G868" i="3"/>
  <c r="F868" i="3"/>
  <c r="J867" i="3"/>
  <c r="I867" i="3"/>
  <c r="H867" i="3"/>
  <c r="G867" i="3"/>
  <c r="F867" i="3"/>
  <c r="J866" i="3"/>
  <c r="I866" i="3"/>
  <c r="H866" i="3"/>
  <c r="G866" i="3"/>
  <c r="F866" i="3"/>
  <c r="J865" i="3"/>
  <c r="I865" i="3"/>
  <c r="H865" i="3"/>
  <c r="G865" i="3"/>
  <c r="F865" i="3"/>
  <c r="J864" i="3"/>
  <c r="I864" i="3"/>
  <c r="H864" i="3"/>
  <c r="G864" i="3"/>
  <c r="F864" i="3"/>
  <c r="J863" i="3"/>
  <c r="I863" i="3"/>
  <c r="H863" i="3"/>
  <c r="G863" i="3"/>
  <c r="F863" i="3"/>
  <c r="J862" i="3"/>
  <c r="I862" i="3"/>
  <c r="H862" i="3"/>
  <c r="G862" i="3"/>
  <c r="F862" i="3"/>
  <c r="J861" i="3"/>
  <c r="I861" i="3"/>
  <c r="H861" i="3"/>
  <c r="G861" i="3"/>
  <c r="F861" i="3"/>
  <c r="J860" i="3"/>
  <c r="I860" i="3"/>
  <c r="H860" i="3"/>
  <c r="G860" i="3"/>
  <c r="F860" i="3"/>
  <c r="J859" i="3"/>
  <c r="I859" i="3"/>
  <c r="H859" i="3"/>
  <c r="G859" i="3"/>
  <c r="F859" i="3"/>
  <c r="J858" i="3"/>
  <c r="I858" i="3"/>
  <c r="H858" i="3"/>
  <c r="G858" i="3"/>
  <c r="F858" i="3"/>
  <c r="J857" i="3"/>
  <c r="I857" i="3"/>
  <c r="H857" i="3"/>
  <c r="G857" i="3"/>
  <c r="F857" i="3"/>
  <c r="J856" i="3"/>
  <c r="I856" i="3"/>
  <c r="H856" i="3"/>
  <c r="G856" i="3"/>
  <c r="F856" i="3"/>
  <c r="J855" i="3"/>
  <c r="I855" i="3"/>
  <c r="H855" i="3"/>
  <c r="G855" i="3"/>
  <c r="F855" i="3"/>
  <c r="J854" i="3"/>
  <c r="I854" i="3"/>
  <c r="H854" i="3"/>
  <c r="G854" i="3"/>
  <c r="F854" i="3"/>
  <c r="J853" i="3"/>
  <c r="I853" i="3"/>
  <c r="H853" i="3"/>
  <c r="G853" i="3"/>
  <c r="F853" i="3"/>
  <c r="J852" i="3"/>
  <c r="I852" i="3"/>
  <c r="H852" i="3"/>
  <c r="G852" i="3"/>
  <c r="F852" i="3"/>
  <c r="J851" i="3"/>
  <c r="I851" i="3"/>
  <c r="H851" i="3"/>
  <c r="G851" i="3"/>
  <c r="F851" i="3"/>
  <c r="J850" i="3"/>
  <c r="I850" i="3"/>
  <c r="H850" i="3"/>
  <c r="G850" i="3"/>
  <c r="F850" i="3"/>
  <c r="J849" i="3"/>
  <c r="I849" i="3"/>
  <c r="H849" i="3"/>
  <c r="G849" i="3"/>
  <c r="F849" i="3"/>
  <c r="J848" i="3"/>
  <c r="I848" i="3"/>
  <c r="H848" i="3"/>
  <c r="G848" i="3"/>
  <c r="F848" i="3"/>
  <c r="J847" i="3"/>
  <c r="I847" i="3"/>
  <c r="H847" i="3"/>
  <c r="G847" i="3"/>
  <c r="F847" i="3"/>
  <c r="J846" i="3"/>
  <c r="I846" i="3"/>
  <c r="H846" i="3"/>
  <c r="G846" i="3"/>
  <c r="F846" i="3"/>
  <c r="J845" i="3"/>
  <c r="I845" i="3"/>
  <c r="H845" i="3"/>
  <c r="G845" i="3"/>
  <c r="F845" i="3"/>
  <c r="J844" i="3"/>
  <c r="I844" i="3"/>
  <c r="H844" i="3"/>
  <c r="G844" i="3"/>
  <c r="F844" i="3"/>
  <c r="J843" i="3"/>
  <c r="I843" i="3"/>
  <c r="H843" i="3"/>
  <c r="G843" i="3"/>
  <c r="F843" i="3"/>
  <c r="J842" i="3"/>
  <c r="I842" i="3"/>
  <c r="H842" i="3"/>
  <c r="G842" i="3"/>
  <c r="F842" i="3"/>
  <c r="J841" i="3"/>
  <c r="I841" i="3"/>
  <c r="H841" i="3"/>
  <c r="G841" i="3"/>
  <c r="F841" i="3"/>
  <c r="J840" i="3"/>
  <c r="I840" i="3"/>
  <c r="H840" i="3"/>
  <c r="G840" i="3"/>
  <c r="F840" i="3"/>
  <c r="J839" i="3"/>
  <c r="I839" i="3"/>
  <c r="H839" i="3"/>
  <c r="G839" i="3"/>
  <c r="F839" i="3"/>
  <c r="J838" i="3"/>
  <c r="I838" i="3"/>
  <c r="H838" i="3"/>
  <c r="G838" i="3"/>
  <c r="F838" i="3"/>
  <c r="J837" i="3"/>
  <c r="I837" i="3"/>
  <c r="H837" i="3"/>
  <c r="G837" i="3"/>
  <c r="F837" i="3"/>
  <c r="J836" i="3"/>
  <c r="I836" i="3"/>
  <c r="H836" i="3"/>
  <c r="G836" i="3"/>
  <c r="F836" i="3"/>
  <c r="J835" i="3"/>
  <c r="I835" i="3"/>
  <c r="H835" i="3"/>
  <c r="G835" i="3"/>
  <c r="F835" i="3"/>
  <c r="J834" i="3"/>
  <c r="I834" i="3"/>
  <c r="H834" i="3"/>
  <c r="G834" i="3"/>
  <c r="F834" i="3"/>
  <c r="J833" i="3"/>
  <c r="I833" i="3"/>
  <c r="H833" i="3"/>
  <c r="G833" i="3"/>
  <c r="F833" i="3"/>
  <c r="J832" i="3"/>
  <c r="I832" i="3"/>
  <c r="H832" i="3"/>
  <c r="G832" i="3"/>
  <c r="F832" i="3"/>
  <c r="J831" i="3"/>
  <c r="I831" i="3"/>
  <c r="H831" i="3"/>
  <c r="G831" i="3"/>
  <c r="F831" i="3"/>
  <c r="J830" i="3"/>
  <c r="I830" i="3"/>
  <c r="H830" i="3"/>
  <c r="G830" i="3"/>
  <c r="F830" i="3"/>
  <c r="J829" i="3"/>
  <c r="I829" i="3"/>
  <c r="H829" i="3"/>
  <c r="G829" i="3"/>
  <c r="F829" i="3"/>
  <c r="J828" i="3"/>
  <c r="I828" i="3"/>
  <c r="H828" i="3"/>
  <c r="G828" i="3"/>
  <c r="F828" i="3"/>
  <c r="J827" i="3"/>
  <c r="I827" i="3"/>
  <c r="H827" i="3"/>
  <c r="G827" i="3"/>
  <c r="F827" i="3"/>
  <c r="J826" i="3"/>
  <c r="I826" i="3"/>
  <c r="H826" i="3"/>
  <c r="G826" i="3"/>
  <c r="F826" i="3"/>
  <c r="J825" i="3"/>
  <c r="I825" i="3"/>
  <c r="H825" i="3"/>
  <c r="G825" i="3"/>
  <c r="F825" i="3"/>
  <c r="J824" i="3"/>
  <c r="I824" i="3"/>
  <c r="H824" i="3"/>
  <c r="G824" i="3"/>
  <c r="F824" i="3"/>
  <c r="J823" i="3"/>
  <c r="I823" i="3"/>
  <c r="H823" i="3"/>
  <c r="G823" i="3"/>
  <c r="F823" i="3"/>
  <c r="J822" i="3"/>
  <c r="I822" i="3"/>
  <c r="H822" i="3"/>
  <c r="G822" i="3"/>
  <c r="F822" i="3"/>
  <c r="J821" i="3"/>
  <c r="I821" i="3"/>
  <c r="H821" i="3"/>
  <c r="G821" i="3"/>
  <c r="F821" i="3"/>
  <c r="J820" i="3"/>
  <c r="I820" i="3"/>
  <c r="H820" i="3"/>
  <c r="G820" i="3"/>
  <c r="F820" i="3"/>
  <c r="J819" i="3"/>
  <c r="I819" i="3"/>
  <c r="H819" i="3"/>
  <c r="G819" i="3"/>
  <c r="F819" i="3"/>
  <c r="J818" i="3"/>
  <c r="I818" i="3"/>
  <c r="H818" i="3"/>
  <c r="G818" i="3"/>
  <c r="F818" i="3"/>
  <c r="J817" i="3"/>
  <c r="I817" i="3"/>
  <c r="H817" i="3"/>
  <c r="G817" i="3"/>
  <c r="F817" i="3"/>
  <c r="J816" i="3"/>
  <c r="I816" i="3"/>
  <c r="H816" i="3"/>
  <c r="G816" i="3"/>
  <c r="F816" i="3"/>
  <c r="J815" i="3"/>
  <c r="I815" i="3"/>
  <c r="H815" i="3"/>
  <c r="G815" i="3"/>
  <c r="F815" i="3"/>
  <c r="J814" i="3"/>
  <c r="I814" i="3"/>
  <c r="H814" i="3"/>
  <c r="G814" i="3"/>
  <c r="F814" i="3"/>
  <c r="J813" i="3"/>
  <c r="I813" i="3"/>
  <c r="H813" i="3"/>
  <c r="G813" i="3"/>
  <c r="F813" i="3"/>
  <c r="J812" i="3"/>
  <c r="I812" i="3"/>
  <c r="H812" i="3"/>
  <c r="G812" i="3"/>
  <c r="F812" i="3"/>
  <c r="J811" i="3"/>
  <c r="I811" i="3"/>
  <c r="H811" i="3"/>
  <c r="G811" i="3"/>
  <c r="F811" i="3"/>
  <c r="J810" i="3"/>
  <c r="I810" i="3"/>
  <c r="H810" i="3"/>
  <c r="G810" i="3"/>
  <c r="F810" i="3"/>
  <c r="J809" i="3"/>
  <c r="I809" i="3"/>
  <c r="H809" i="3"/>
  <c r="G809" i="3"/>
  <c r="F809" i="3"/>
  <c r="J808" i="3"/>
  <c r="I808" i="3"/>
  <c r="H808" i="3"/>
  <c r="G808" i="3"/>
  <c r="F808" i="3"/>
  <c r="J807" i="3"/>
  <c r="I807" i="3"/>
  <c r="H807" i="3"/>
  <c r="G807" i="3"/>
  <c r="F807" i="3"/>
  <c r="J806" i="3"/>
  <c r="I806" i="3"/>
  <c r="H806" i="3"/>
  <c r="G806" i="3"/>
  <c r="F806" i="3"/>
  <c r="J805" i="3"/>
  <c r="I805" i="3"/>
  <c r="H805" i="3"/>
  <c r="G805" i="3"/>
  <c r="F805" i="3"/>
  <c r="J804" i="3"/>
  <c r="I804" i="3"/>
  <c r="H804" i="3"/>
  <c r="G804" i="3"/>
  <c r="F804" i="3"/>
  <c r="J803" i="3"/>
  <c r="I803" i="3"/>
  <c r="H803" i="3"/>
  <c r="G803" i="3"/>
  <c r="F803" i="3"/>
  <c r="J802" i="3"/>
  <c r="I802" i="3"/>
  <c r="H802" i="3"/>
  <c r="G802" i="3"/>
  <c r="F802" i="3"/>
  <c r="J801" i="3"/>
  <c r="I801" i="3"/>
  <c r="H801" i="3"/>
  <c r="G801" i="3"/>
  <c r="F801" i="3"/>
  <c r="J800" i="3"/>
  <c r="I800" i="3"/>
  <c r="H800" i="3"/>
  <c r="G800" i="3"/>
  <c r="F800" i="3"/>
  <c r="J799" i="3"/>
  <c r="I799" i="3"/>
  <c r="H799" i="3"/>
  <c r="G799" i="3"/>
  <c r="F799" i="3"/>
  <c r="J798" i="3"/>
  <c r="I798" i="3"/>
  <c r="H798" i="3"/>
  <c r="G798" i="3"/>
  <c r="F798" i="3"/>
  <c r="J797" i="3"/>
  <c r="I797" i="3"/>
  <c r="H797" i="3"/>
  <c r="G797" i="3"/>
  <c r="F797" i="3"/>
  <c r="J796" i="3"/>
  <c r="I796" i="3"/>
  <c r="H796" i="3"/>
  <c r="G796" i="3"/>
  <c r="F796" i="3"/>
  <c r="J795" i="3"/>
  <c r="I795" i="3"/>
  <c r="H795" i="3"/>
  <c r="G795" i="3"/>
  <c r="F795" i="3"/>
  <c r="J794" i="3"/>
  <c r="I794" i="3"/>
  <c r="H794" i="3"/>
  <c r="G794" i="3"/>
  <c r="F794" i="3"/>
  <c r="J793" i="3"/>
  <c r="I793" i="3"/>
  <c r="H793" i="3"/>
  <c r="G793" i="3"/>
  <c r="F793" i="3"/>
  <c r="J792" i="3"/>
  <c r="I792" i="3"/>
  <c r="H792" i="3"/>
  <c r="G792" i="3"/>
  <c r="F792" i="3"/>
  <c r="J791" i="3"/>
  <c r="I791" i="3"/>
  <c r="H791" i="3"/>
  <c r="G791" i="3"/>
  <c r="F791" i="3"/>
  <c r="J790" i="3"/>
  <c r="I790" i="3"/>
  <c r="H790" i="3"/>
  <c r="G790" i="3"/>
  <c r="F790" i="3"/>
  <c r="J789" i="3"/>
  <c r="I789" i="3"/>
  <c r="H789" i="3"/>
  <c r="G789" i="3"/>
  <c r="F789" i="3"/>
  <c r="J788" i="3"/>
  <c r="I788" i="3"/>
  <c r="H788" i="3"/>
  <c r="G788" i="3"/>
  <c r="F788" i="3"/>
  <c r="J787" i="3"/>
  <c r="I787" i="3"/>
  <c r="H787" i="3"/>
  <c r="G787" i="3"/>
  <c r="F787" i="3"/>
  <c r="J786" i="3"/>
  <c r="I786" i="3"/>
  <c r="H786" i="3"/>
  <c r="G786" i="3"/>
  <c r="F786" i="3"/>
  <c r="J785" i="3"/>
  <c r="I785" i="3"/>
  <c r="H785" i="3"/>
  <c r="G785" i="3"/>
  <c r="F785" i="3"/>
  <c r="J784" i="3"/>
  <c r="I784" i="3"/>
  <c r="H784" i="3"/>
  <c r="G784" i="3"/>
  <c r="F784" i="3"/>
  <c r="J783" i="3"/>
  <c r="I783" i="3"/>
  <c r="H783" i="3"/>
  <c r="G783" i="3"/>
  <c r="F783" i="3"/>
  <c r="J782" i="3"/>
  <c r="I782" i="3"/>
  <c r="H782" i="3"/>
  <c r="G782" i="3"/>
  <c r="F782" i="3"/>
  <c r="J781" i="3"/>
  <c r="I781" i="3"/>
  <c r="H781" i="3"/>
  <c r="G781" i="3"/>
  <c r="F781" i="3"/>
  <c r="J780" i="3"/>
  <c r="I780" i="3"/>
  <c r="H780" i="3"/>
  <c r="G780" i="3"/>
  <c r="F780" i="3"/>
  <c r="J779" i="3"/>
  <c r="I779" i="3"/>
  <c r="H779" i="3"/>
  <c r="G779" i="3"/>
  <c r="F779" i="3"/>
  <c r="J778" i="3"/>
  <c r="I778" i="3"/>
  <c r="H778" i="3"/>
  <c r="G778" i="3"/>
  <c r="F778" i="3"/>
  <c r="J777" i="3"/>
  <c r="I777" i="3"/>
  <c r="H777" i="3"/>
  <c r="G777" i="3"/>
  <c r="F777" i="3"/>
  <c r="J776" i="3"/>
  <c r="I776" i="3"/>
  <c r="H776" i="3"/>
  <c r="G776" i="3"/>
  <c r="F776" i="3"/>
  <c r="J775" i="3"/>
  <c r="I775" i="3"/>
  <c r="H775" i="3"/>
  <c r="G775" i="3"/>
  <c r="F775" i="3"/>
  <c r="J774" i="3"/>
  <c r="I774" i="3"/>
  <c r="H774" i="3"/>
  <c r="G774" i="3"/>
  <c r="F774" i="3"/>
  <c r="J773" i="3"/>
  <c r="I773" i="3"/>
  <c r="H773" i="3"/>
  <c r="G773" i="3"/>
  <c r="F773" i="3"/>
  <c r="J772" i="3"/>
  <c r="I772" i="3"/>
  <c r="H772" i="3"/>
  <c r="G772" i="3"/>
  <c r="F772" i="3"/>
  <c r="J771" i="3"/>
  <c r="I771" i="3"/>
  <c r="H771" i="3"/>
  <c r="G771" i="3"/>
  <c r="F771" i="3"/>
  <c r="J770" i="3"/>
  <c r="I770" i="3"/>
  <c r="H770" i="3"/>
  <c r="G770" i="3"/>
  <c r="F770" i="3"/>
  <c r="J769" i="3"/>
  <c r="I769" i="3"/>
  <c r="H769" i="3"/>
  <c r="G769" i="3"/>
  <c r="F769" i="3"/>
  <c r="J768" i="3"/>
  <c r="I768" i="3"/>
  <c r="H768" i="3"/>
  <c r="G768" i="3"/>
  <c r="F768" i="3"/>
  <c r="J767" i="3"/>
  <c r="I767" i="3"/>
  <c r="H767" i="3"/>
  <c r="G767" i="3"/>
  <c r="F767" i="3"/>
  <c r="J766" i="3"/>
  <c r="I766" i="3"/>
  <c r="H766" i="3"/>
  <c r="G766" i="3"/>
  <c r="F766" i="3"/>
  <c r="J765" i="3"/>
  <c r="I765" i="3"/>
  <c r="H765" i="3"/>
  <c r="G765" i="3"/>
  <c r="F765" i="3"/>
  <c r="J764" i="3"/>
  <c r="I764" i="3"/>
  <c r="H764" i="3"/>
  <c r="G764" i="3"/>
  <c r="F764" i="3"/>
  <c r="J763" i="3"/>
  <c r="I763" i="3"/>
  <c r="H763" i="3"/>
  <c r="G763" i="3"/>
  <c r="F763" i="3"/>
  <c r="J762" i="3"/>
  <c r="I762" i="3"/>
  <c r="H762" i="3"/>
  <c r="G762" i="3"/>
  <c r="F762" i="3"/>
  <c r="J761" i="3"/>
  <c r="I761" i="3"/>
  <c r="H761" i="3"/>
  <c r="G761" i="3"/>
  <c r="F761" i="3"/>
  <c r="J760" i="3"/>
  <c r="I760" i="3"/>
  <c r="H760" i="3"/>
  <c r="G760" i="3"/>
  <c r="F760" i="3"/>
  <c r="J759" i="3"/>
  <c r="I759" i="3"/>
  <c r="H759" i="3"/>
  <c r="G759" i="3"/>
  <c r="F759" i="3"/>
  <c r="J758" i="3"/>
  <c r="I758" i="3"/>
  <c r="H758" i="3"/>
  <c r="G758" i="3"/>
  <c r="F758" i="3"/>
  <c r="J757" i="3"/>
  <c r="I757" i="3"/>
  <c r="H757" i="3"/>
  <c r="G757" i="3"/>
  <c r="F757" i="3"/>
  <c r="J756" i="3"/>
  <c r="I756" i="3"/>
  <c r="H756" i="3"/>
  <c r="G756" i="3"/>
  <c r="F756" i="3"/>
  <c r="J755" i="3"/>
  <c r="I755" i="3"/>
  <c r="H755" i="3"/>
  <c r="G755" i="3"/>
  <c r="F755" i="3"/>
  <c r="J754" i="3"/>
  <c r="I754" i="3"/>
  <c r="H754" i="3"/>
  <c r="G754" i="3"/>
  <c r="F754" i="3"/>
  <c r="J753" i="3"/>
  <c r="I753" i="3"/>
  <c r="H753" i="3"/>
  <c r="G753" i="3"/>
  <c r="F753" i="3"/>
  <c r="J752" i="3"/>
  <c r="I752" i="3"/>
  <c r="H752" i="3"/>
  <c r="G752" i="3"/>
  <c r="F752" i="3"/>
  <c r="J751" i="3"/>
  <c r="I751" i="3"/>
  <c r="H751" i="3"/>
  <c r="G751" i="3"/>
  <c r="F751" i="3"/>
  <c r="J750" i="3"/>
  <c r="I750" i="3"/>
  <c r="H750" i="3"/>
  <c r="G750" i="3"/>
  <c r="F750" i="3"/>
  <c r="J749" i="3"/>
  <c r="I749" i="3"/>
  <c r="H749" i="3"/>
  <c r="G749" i="3"/>
  <c r="F749" i="3"/>
  <c r="J748" i="3"/>
  <c r="I748" i="3"/>
  <c r="H748" i="3"/>
  <c r="G748" i="3"/>
  <c r="F748" i="3"/>
  <c r="J747" i="3"/>
  <c r="I747" i="3"/>
  <c r="H747" i="3"/>
  <c r="G747" i="3"/>
  <c r="F747" i="3"/>
  <c r="J746" i="3"/>
  <c r="I746" i="3"/>
  <c r="H746" i="3"/>
  <c r="G746" i="3"/>
  <c r="F746" i="3"/>
  <c r="J745" i="3"/>
  <c r="I745" i="3"/>
  <c r="H745" i="3"/>
  <c r="G745" i="3"/>
  <c r="F745" i="3"/>
  <c r="J744" i="3"/>
  <c r="I744" i="3"/>
  <c r="H744" i="3"/>
  <c r="G744" i="3"/>
  <c r="F744" i="3"/>
  <c r="J743" i="3"/>
  <c r="I743" i="3"/>
  <c r="H743" i="3"/>
  <c r="G743" i="3"/>
  <c r="F743" i="3"/>
  <c r="J742" i="3"/>
  <c r="I742" i="3"/>
  <c r="H742" i="3"/>
  <c r="G742" i="3"/>
  <c r="F742" i="3"/>
  <c r="J741" i="3"/>
  <c r="I741" i="3"/>
  <c r="H741" i="3"/>
  <c r="G741" i="3"/>
  <c r="F741" i="3"/>
  <c r="J740" i="3"/>
  <c r="I740" i="3"/>
  <c r="H740" i="3"/>
  <c r="G740" i="3"/>
  <c r="F740" i="3"/>
  <c r="J739" i="3"/>
  <c r="I739" i="3"/>
  <c r="H739" i="3"/>
  <c r="G739" i="3"/>
  <c r="F739" i="3"/>
  <c r="J738" i="3"/>
  <c r="I738" i="3"/>
  <c r="H738" i="3"/>
  <c r="G738" i="3"/>
  <c r="F738" i="3"/>
  <c r="J737" i="3"/>
  <c r="I737" i="3"/>
  <c r="H737" i="3"/>
  <c r="G737" i="3"/>
  <c r="F737" i="3"/>
  <c r="J736" i="3"/>
  <c r="I736" i="3"/>
  <c r="H736" i="3"/>
  <c r="G736" i="3"/>
  <c r="F736" i="3"/>
  <c r="J735" i="3"/>
  <c r="I735" i="3"/>
  <c r="H735" i="3"/>
  <c r="G735" i="3"/>
  <c r="F735" i="3"/>
  <c r="J734" i="3"/>
  <c r="I734" i="3"/>
  <c r="H734" i="3"/>
  <c r="G734" i="3"/>
  <c r="F734" i="3"/>
  <c r="J733" i="3"/>
  <c r="I733" i="3"/>
  <c r="H733" i="3"/>
  <c r="G733" i="3"/>
  <c r="F733" i="3"/>
  <c r="J732" i="3"/>
  <c r="I732" i="3"/>
  <c r="H732" i="3"/>
  <c r="G732" i="3"/>
  <c r="F732" i="3"/>
  <c r="J731" i="3"/>
  <c r="I731" i="3"/>
  <c r="H731" i="3"/>
  <c r="G731" i="3"/>
  <c r="F731" i="3"/>
  <c r="J730" i="3"/>
  <c r="I730" i="3"/>
  <c r="H730" i="3"/>
  <c r="G730" i="3"/>
  <c r="F730" i="3"/>
  <c r="J729" i="3"/>
  <c r="I729" i="3"/>
  <c r="H729" i="3"/>
  <c r="G729" i="3"/>
  <c r="F729" i="3"/>
  <c r="J728" i="3"/>
  <c r="I728" i="3"/>
  <c r="H728" i="3"/>
  <c r="G728" i="3"/>
  <c r="F728" i="3"/>
  <c r="J727" i="3"/>
  <c r="I727" i="3"/>
  <c r="H727" i="3"/>
  <c r="G727" i="3"/>
  <c r="F727" i="3"/>
  <c r="J726" i="3"/>
  <c r="I726" i="3"/>
  <c r="H726" i="3"/>
  <c r="G726" i="3"/>
  <c r="F726" i="3"/>
  <c r="J725" i="3"/>
  <c r="I725" i="3"/>
  <c r="H725" i="3"/>
  <c r="G725" i="3"/>
  <c r="F725" i="3"/>
  <c r="J724" i="3"/>
  <c r="I724" i="3"/>
  <c r="H724" i="3"/>
  <c r="G724" i="3"/>
  <c r="F724" i="3"/>
  <c r="J723" i="3"/>
  <c r="I723" i="3"/>
  <c r="H723" i="3"/>
  <c r="G723" i="3"/>
  <c r="F723" i="3"/>
  <c r="J722" i="3"/>
  <c r="I722" i="3"/>
  <c r="H722" i="3"/>
  <c r="G722" i="3"/>
  <c r="F722" i="3"/>
  <c r="J721" i="3"/>
  <c r="I721" i="3"/>
  <c r="H721" i="3"/>
  <c r="G721" i="3"/>
  <c r="F721" i="3"/>
  <c r="J720" i="3"/>
  <c r="I720" i="3"/>
  <c r="H720" i="3"/>
  <c r="G720" i="3"/>
  <c r="F720" i="3"/>
  <c r="J719" i="3"/>
  <c r="I719" i="3"/>
  <c r="H719" i="3"/>
  <c r="G719" i="3"/>
  <c r="F719" i="3"/>
  <c r="J718" i="3"/>
  <c r="I718" i="3"/>
  <c r="H718" i="3"/>
  <c r="G718" i="3"/>
  <c r="F718" i="3"/>
  <c r="J717" i="3"/>
  <c r="I717" i="3"/>
  <c r="H717" i="3"/>
  <c r="G717" i="3"/>
  <c r="F717" i="3"/>
  <c r="J716" i="3"/>
  <c r="I716" i="3"/>
  <c r="H716" i="3"/>
  <c r="G716" i="3"/>
  <c r="F716" i="3"/>
  <c r="J715" i="3"/>
  <c r="I715" i="3"/>
  <c r="H715" i="3"/>
  <c r="G715" i="3"/>
  <c r="F715" i="3"/>
  <c r="J714" i="3"/>
  <c r="I714" i="3"/>
  <c r="H714" i="3"/>
  <c r="G714" i="3"/>
  <c r="F714" i="3"/>
  <c r="J713" i="3"/>
  <c r="I713" i="3"/>
  <c r="H713" i="3"/>
  <c r="G713" i="3"/>
  <c r="F713" i="3"/>
  <c r="J712" i="3"/>
  <c r="I712" i="3"/>
  <c r="H712" i="3"/>
  <c r="G712" i="3"/>
  <c r="F712" i="3"/>
  <c r="J711" i="3"/>
  <c r="I711" i="3"/>
  <c r="H711" i="3"/>
  <c r="G711" i="3"/>
  <c r="F711" i="3"/>
  <c r="J710" i="3"/>
  <c r="I710" i="3"/>
  <c r="H710" i="3"/>
  <c r="G710" i="3"/>
  <c r="F710" i="3"/>
  <c r="J709" i="3"/>
  <c r="I709" i="3"/>
  <c r="H709" i="3"/>
  <c r="G709" i="3"/>
  <c r="F709" i="3"/>
  <c r="J708" i="3"/>
  <c r="I708" i="3"/>
  <c r="H708" i="3"/>
  <c r="G708" i="3"/>
  <c r="F708" i="3"/>
  <c r="J707" i="3"/>
  <c r="I707" i="3"/>
  <c r="H707" i="3"/>
  <c r="G707" i="3"/>
  <c r="F707" i="3"/>
  <c r="J706" i="3"/>
  <c r="I706" i="3"/>
  <c r="H706" i="3"/>
  <c r="G706" i="3"/>
  <c r="F706" i="3"/>
  <c r="J705" i="3"/>
  <c r="I705" i="3"/>
  <c r="H705" i="3"/>
  <c r="G705" i="3"/>
  <c r="F705" i="3"/>
  <c r="J704" i="3"/>
  <c r="I704" i="3"/>
  <c r="H704" i="3"/>
  <c r="G704" i="3"/>
  <c r="F704" i="3"/>
  <c r="J703" i="3"/>
  <c r="I703" i="3"/>
  <c r="H703" i="3"/>
  <c r="G703" i="3"/>
  <c r="F703" i="3"/>
  <c r="J702" i="3"/>
  <c r="I702" i="3"/>
  <c r="H702" i="3"/>
  <c r="G702" i="3"/>
  <c r="F702" i="3"/>
  <c r="J701" i="3"/>
  <c r="I701" i="3"/>
  <c r="H701" i="3"/>
  <c r="G701" i="3"/>
  <c r="F701" i="3"/>
  <c r="J700" i="3"/>
  <c r="I700" i="3"/>
  <c r="H700" i="3"/>
  <c r="G700" i="3"/>
  <c r="F700" i="3"/>
  <c r="J699" i="3"/>
  <c r="I699" i="3"/>
  <c r="H699" i="3"/>
  <c r="G699" i="3"/>
  <c r="F699" i="3"/>
  <c r="J698" i="3"/>
  <c r="I698" i="3"/>
  <c r="H698" i="3"/>
  <c r="G698" i="3"/>
  <c r="F698" i="3"/>
  <c r="J697" i="3"/>
  <c r="I697" i="3"/>
  <c r="H697" i="3"/>
  <c r="G697" i="3"/>
  <c r="F697" i="3"/>
  <c r="J696" i="3"/>
  <c r="I696" i="3"/>
  <c r="H696" i="3"/>
  <c r="G696" i="3"/>
  <c r="F696" i="3"/>
  <c r="J695" i="3"/>
  <c r="I695" i="3"/>
  <c r="H695" i="3"/>
  <c r="G695" i="3"/>
  <c r="F695" i="3"/>
  <c r="J694" i="3"/>
  <c r="I694" i="3"/>
  <c r="H694" i="3"/>
  <c r="G694" i="3"/>
  <c r="F694" i="3"/>
  <c r="J693" i="3"/>
  <c r="I693" i="3"/>
  <c r="H693" i="3"/>
  <c r="G693" i="3"/>
  <c r="F693" i="3"/>
  <c r="J692" i="3"/>
  <c r="I692" i="3"/>
  <c r="H692" i="3"/>
  <c r="G692" i="3"/>
  <c r="F692" i="3"/>
  <c r="J691" i="3"/>
  <c r="I691" i="3"/>
  <c r="H691" i="3"/>
  <c r="G691" i="3"/>
  <c r="F691" i="3"/>
  <c r="J690" i="3"/>
  <c r="I690" i="3"/>
  <c r="H690" i="3"/>
  <c r="G690" i="3"/>
  <c r="F690" i="3"/>
  <c r="J689" i="3"/>
  <c r="I689" i="3"/>
  <c r="H689" i="3"/>
  <c r="G689" i="3"/>
  <c r="F689" i="3"/>
  <c r="J688" i="3"/>
  <c r="I688" i="3"/>
  <c r="H688" i="3"/>
  <c r="G688" i="3"/>
  <c r="F688" i="3"/>
  <c r="J687" i="3"/>
  <c r="I687" i="3"/>
  <c r="H687" i="3"/>
  <c r="G687" i="3"/>
  <c r="F687" i="3"/>
  <c r="J686" i="3"/>
  <c r="I686" i="3"/>
  <c r="H686" i="3"/>
  <c r="G686" i="3"/>
  <c r="F686" i="3"/>
  <c r="J685" i="3"/>
  <c r="I685" i="3"/>
  <c r="H685" i="3"/>
  <c r="G685" i="3"/>
  <c r="F685" i="3"/>
  <c r="J684" i="3"/>
  <c r="I684" i="3"/>
  <c r="H684" i="3"/>
  <c r="G684" i="3"/>
  <c r="F684" i="3"/>
  <c r="J683" i="3"/>
  <c r="I683" i="3"/>
  <c r="H683" i="3"/>
  <c r="G683" i="3"/>
  <c r="F683" i="3"/>
  <c r="J682" i="3"/>
  <c r="I682" i="3"/>
  <c r="H682" i="3"/>
  <c r="G682" i="3"/>
  <c r="F682" i="3"/>
  <c r="J681" i="3"/>
  <c r="I681" i="3"/>
  <c r="H681" i="3"/>
  <c r="G681" i="3"/>
  <c r="F681" i="3"/>
  <c r="J680" i="3"/>
  <c r="I680" i="3"/>
  <c r="H680" i="3"/>
  <c r="G680" i="3"/>
  <c r="F680" i="3"/>
  <c r="J679" i="3"/>
  <c r="I679" i="3"/>
  <c r="H679" i="3"/>
  <c r="G679" i="3"/>
  <c r="F679" i="3"/>
  <c r="J678" i="3"/>
  <c r="I678" i="3"/>
  <c r="H678" i="3"/>
  <c r="G678" i="3"/>
  <c r="F678" i="3"/>
  <c r="J677" i="3"/>
  <c r="I677" i="3"/>
  <c r="H677" i="3"/>
  <c r="G677" i="3"/>
  <c r="F677" i="3"/>
  <c r="J676" i="3"/>
  <c r="I676" i="3"/>
  <c r="H676" i="3"/>
  <c r="G676" i="3"/>
  <c r="F676" i="3"/>
  <c r="J675" i="3"/>
  <c r="I675" i="3"/>
  <c r="H675" i="3"/>
  <c r="G675" i="3"/>
  <c r="F675" i="3"/>
  <c r="J674" i="3"/>
  <c r="I674" i="3"/>
  <c r="H674" i="3"/>
  <c r="G674" i="3"/>
  <c r="F674" i="3"/>
  <c r="J673" i="3"/>
  <c r="I673" i="3"/>
  <c r="H673" i="3"/>
  <c r="G673" i="3"/>
  <c r="F673" i="3"/>
  <c r="J672" i="3"/>
  <c r="I672" i="3"/>
  <c r="H672" i="3"/>
  <c r="G672" i="3"/>
  <c r="F672" i="3"/>
  <c r="J671" i="3"/>
  <c r="I671" i="3"/>
  <c r="H671" i="3"/>
  <c r="G671" i="3"/>
  <c r="F671" i="3"/>
  <c r="J670" i="3"/>
  <c r="I670" i="3"/>
  <c r="H670" i="3"/>
  <c r="G670" i="3"/>
  <c r="F670" i="3"/>
  <c r="J669" i="3"/>
  <c r="I669" i="3"/>
  <c r="H669" i="3"/>
  <c r="G669" i="3"/>
  <c r="F669" i="3"/>
  <c r="J668" i="3"/>
  <c r="I668" i="3"/>
  <c r="H668" i="3"/>
  <c r="G668" i="3"/>
  <c r="F668" i="3"/>
  <c r="J667" i="3"/>
  <c r="I667" i="3"/>
  <c r="H667" i="3"/>
  <c r="G667" i="3"/>
  <c r="F667" i="3"/>
  <c r="J666" i="3"/>
  <c r="I666" i="3"/>
  <c r="H666" i="3"/>
  <c r="G666" i="3"/>
  <c r="F666" i="3"/>
  <c r="J665" i="3"/>
  <c r="I665" i="3"/>
  <c r="H665" i="3"/>
  <c r="G665" i="3"/>
  <c r="F665" i="3"/>
  <c r="J664" i="3"/>
  <c r="I664" i="3"/>
  <c r="H664" i="3"/>
  <c r="G664" i="3"/>
  <c r="F664" i="3"/>
  <c r="J663" i="3"/>
  <c r="I663" i="3"/>
  <c r="H663" i="3"/>
  <c r="G663" i="3"/>
  <c r="F663" i="3"/>
  <c r="J662" i="3"/>
  <c r="I662" i="3"/>
  <c r="H662" i="3"/>
  <c r="G662" i="3"/>
  <c r="F662" i="3"/>
  <c r="J661" i="3"/>
  <c r="I661" i="3"/>
  <c r="H661" i="3"/>
  <c r="G661" i="3"/>
  <c r="F661" i="3"/>
  <c r="J660" i="3"/>
  <c r="I660" i="3"/>
  <c r="H660" i="3"/>
  <c r="G660" i="3"/>
  <c r="F660" i="3"/>
  <c r="J659" i="3"/>
  <c r="I659" i="3"/>
  <c r="H659" i="3"/>
  <c r="G659" i="3"/>
  <c r="F659" i="3"/>
  <c r="J658" i="3"/>
  <c r="I658" i="3"/>
  <c r="H658" i="3"/>
  <c r="G658" i="3"/>
  <c r="F658" i="3"/>
  <c r="J657" i="3"/>
  <c r="I657" i="3"/>
  <c r="H657" i="3"/>
  <c r="G657" i="3"/>
  <c r="F657" i="3"/>
  <c r="J656" i="3"/>
  <c r="I656" i="3"/>
  <c r="H656" i="3"/>
  <c r="G656" i="3"/>
  <c r="F656" i="3"/>
  <c r="J655" i="3"/>
  <c r="I655" i="3"/>
  <c r="H655" i="3"/>
  <c r="G655" i="3"/>
  <c r="F655" i="3"/>
  <c r="J654" i="3"/>
  <c r="I654" i="3"/>
  <c r="H654" i="3"/>
  <c r="G654" i="3"/>
  <c r="F654" i="3"/>
  <c r="J653" i="3"/>
  <c r="I653" i="3"/>
  <c r="H653" i="3"/>
  <c r="G653" i="3"/>
  <c r="F653" i="3"/>
  <c r="J652" i="3"/>
  <c r="I652" i="3"/>
  <c r="H652" i="3"/>
  <c r="G652" i="3"/>
  <c r="F652" i="3"/>
  <c r="J651" i="3"/>
  <c r="I651" i="3"/>
  <c r="H651" i="3"/>
  <c r="G651" i="3"/>
  <c r="F651" i="3"/>
  <c r="J650" i="3"/>
  <c r="I650" i="3"/>
  <c r="H650" i="3"/>
  <c r="G650" i="3"/>
  <c r="F650" i="3"/>
  <c r="J649" i="3"/>
  <c r="I649" i="3"/>
  <c r="H649" i="3"/>
  <c r="G649" i="3"/>
  <c r="F649" i="3"/>
  <c r="J648" i="3"/>
  <c r="I648" i="3"/>
  <c r="H648" i="3"/>
  <c r="G648" i="3"/>
  <c r="F648" i="3"/>
  <c r="J647" i="3"/>
  <c r="I647" i="3"/>
  <c r="H647" i="3"/>
  <c r="G647" i="3"/>
  <c r="F647" i="3"/>
  <c r="J646" i="3"/>
  <c r="I646" i="3"/>
  <c r="H646" i="3"/>
  <c r="G646" i="3"/>
  <c r="F646" i="3"/>
  <c r="J645" i="3"/>
  <c r="I645" i="3"/>
  <c r="H645" i="3"/>
  <c r="G645" i="3"/>
  <c r="F645" i="3"/>
  <c r="J644" i="3"/>
  <c r="I644" i="3"/>
  <c r="H644" i="3"/>
  <c r="G644" i="3"/>
  <c r="F644" i="3"/>
  <c r="J643" i="3"/>
  <c r="I643" i="3"/>
  <c r="H643" i="3"/>
  <c r="G643" i="3"/>
  <c r="F643" i="3"/>
  <c r="J642" i="3"/>
  <c r="I642" i="3"/>
  <c r="H642" i="3"/>
  <c r="G642" i="3"/>
  <c r="F642" i="3"/>
  <c r="J641" i="3"/>
  <c r="I641" i="3"/>
  <c r="H641" i="3"/>
  <c r="G641" i="3"/>
  <c r="F641" i="3"/>
  <c r="J640" i="3"/>
  <c r="I640" i="3"/>
  <c r="H640" i="3"/>
  <c r="G640" i="3"/>
  <c r="F640" i="3"/>
  <c r="J639" i="3"/>
  <c r="I639" i="3"/>
  <c r="H639" i="3"/>
  <c r="G639" i="3"/>
  <c r="F639" i="3"/>
  <c r="J638" i="3"/>
  <c r="I638" i="3"/>
  <c r="H638" i="3"/>
  <c r="G638" i="3"/>
  <c r="F638" i="3"/>
  <c r="J637" i="3"/>
  <c r="I637" i="3"/>
  <c r="H637" i="3"/>
  <c r="G637" i="3"/>
  <c r="F637" i="3"/>
  <c r="J636" i="3"/>
  <c r="I636" i="3"/>
  <c r="H636" i="3"/>
  <c r="G636" i="3"/>
  <c r="F636" i="3"/>
  <c r="J635" i="3"/>
  <c r="I635" i="3"/>
  <c r="H635" i="3"/>
  <c r="G635" i="3"/>
  <c r="F635" i="3"/>
  <c r="J634" i="3"/>
  <c r="I634" i="3"/>
  <c r="H634" i="3"/>
  <c r="G634" i="3"/>
  <c r="F634" i="3"/>
  <c r="J633" i="3"/>
  <c r="I633" i="3"/>
  <c r="H633" i="3"/>
  <c r="G633" i="3"/>
  <c r="F633" i="3"/>
  <c r="J632" i="3"/>
  <c r="I632" i="3"/>
  <c r="H632" i="3"/>
  <c r="G632" i="3"/>
  <c r="F632" i="3"/>
  <c r="J631" i="3"/>
  <c r="I631" i="3"/>
  <c r="H631" i="3"/>
  <c r="G631" i="3"/>
  <c r="F631" i="3"/>
  <c r="J630" i="3"/>
  <c r="I630" i="3"/>
  <c r="H630" i="3"/>
  <c r="G630" i="3"/>
  <c r="F630" i="3"/>
  <c r="J629" i="3"/>
  <c r="I629" i="3"/>
  <c r="H629" i="3"/>
  <c r="G629" i="3"/>
  <c r="F629" i="3"/>
  <c r="J628" i="3"/>
  <c r="I628" i="3"/>
  <c r="H628" i="3"/>
  <c r="G628" i="3"/>
  <c r="F628" i="3"/>
  <c r="J627" i="3"/>
  <c r="I627" i="3"/>
  <c r="H627" i="3"/>
  <c r="G627" i="3"/>
  <c r="F627" i="3"/>
  <c r="J626" i="3"/>
  <c r="I626" i="3"/>
  <c r="H626" i="3"/>
  <c r="G626" i="3"/>
  <c r="F626" i="3"/>
  <c r="J625" i="3"/>
  <c r="I625" i="3"/>
  <c r="H625" i="3"/>
  <c r="G625" i="3"/>
  <c r="F625" i="3"/>
  <c r="J624" i="3"/>
  <c r="I624" i="3"/>
  <c r="H624" i="3"/>
  <c r="G624" i="3"/>
  <c r="F624" i="3"/>
  <c r="J623" i="3"/>
  <c r="I623" i="3"/>
  <c r="H623" i="3"/>
  <c r="G623" i="3"/>
  <c r="F623" i="3"/>
  <c r="J622" i="3"/>
  <c r="I622" i="3"/>
  <c r="H622" i="3"/>
  <c r="G622" i="3"/>
  <c r="F622" i="3"/>
  <c r="J621" i="3"/>
  <c r="I621" i="3"/>
  <c r="H621" i="3"/>
  <c r="G621" i="3"/>
  <c r="F621" i="3"/>
  <c r="J620" i="3"/>
  <c r="I620" i="3"/>
  <c r="H620" i="3"/>
  <c r="G620" i="3"/>
  <c r="F620" i="3"/>
  <c r="J619" i="3"/>
  <c r="I619" i="3"/>
  <c r="H619" i="3"/>
  <c r="G619" i="3"/>
  <c r="F619" i="3"/>
  <c r="J618" i="3"/>
  <c r="I618" i="3"/>
  <c r="H618" i="3"/>
  <c r="G618" i="3"/>
  <c r="F618" i="3"/>
  <c r="J617" i="3"/>
  <c r="I617" i="3"/>
  <c r="H617" i="3"/>
  <c r="G617" i="3"/>
  <c r="F617" i="3"/>
  <c r="J616" i="3"/>
  <c r="I616" i="3"/>
  <c r="H616" i="3"/>
  <c r="G616" i="3"/>
  <c r="F616" i="3"/>
  <c r="J615" i="3"/>
  <c r="I615" i="3"/>
  <c r="H615" i="3"/>
  <c r="G615" i="3"/>
  <c r="F615" i="3"/>
  <c r="J614" i="3"/>
  <c r="I614" i="3"/>
  <c r="H614" i="3"/>
  <c r="G614" i="3"/>
  <c r="F614" i="3"/>
  <c r="J613" i="3"/>
  <c r="I613" i="3"/>
  <c r="H613" i="3"/>
  <c r="G613" i="3"/>
  <c r="F613" i="3"/>
  <c r="J612" i="3"/>
  <c r="I612" i="3"/>
  <c r="H612" i="3"/>
  <c r="G612" i="3"/>
  <c r="F612" i="3"/>
  <c r="J611" i="3"/>
  <c r="I611" i="3"/>
  <c r="H611" i="3"/>
  <c r="G611" i="3"/>
  <c r="F611" i="3"/>
  <c r="J610" i="3"/>
  <c r="I610" i="3"/>
  <c r="H610" i="3"/>
  <c r="G610" i="3"/>
  <c r="F610" i="3"/>
  <c r="J609" i="3"/>
  <c r="I609" i="3"/>
  <c r="H609" i="3"/>
  <c r="G609" i="3"/>
  <c r="F609" i="3"/>
  <c r="J608" i="3"/>
  <c r="I608" i="3"/>
  <c r="H608" i="3"/>
  <c r="G608" i="3"/>
  <c r="F608" i="3"/>
  <c r="J607" i="3"/>
  <c r="I607" i="3"/>
  <c r="H607" i="3"/>
  <c r="G607" i="3"/>
  <c r="F607" i="3"/>
  <c r="J606" i="3"/>
  <c r="I606" i="3"/>
  <c r="H606" i="3"/>
  <c r="G606" i="3"/>
  <c r="F606" i="3"/>
  <c r="J605" i="3"/>
  <c r="I605" i="3"/>
  <c r="H605" i="3"/>
  <c r="G605" i="3"/>
  <c r="F605" i="3"/>
  <c r="J604" i="3"/>
  <c r="I604" i="3"/>
  <c r="H604" i="3"/>
  <c r="G604" i="3"/>
  <c r="F604" i="3"/>
  <c r="J603" i="3"/>
  <c r="I603" i="3"/>
  <c r="H603" i="3"/>
  <c r="G603" i="3"/>
  <c r="F603" i="3"/>
  <c r="J602" i="3"/>
  <c r="I602" i="3"/>
  <c r="H602" i="3"/>
  <c r="G602" i="3"/>
  <c r="F602" i="3"/>
  <c r="J601" i="3"/>
  <c r="I601" i="3"/>
  <c r="H601" i="3"/>
  <c r="G601" i="3"/>
  <c r="F601" i="3"/>
  <c r="J600" i="3"/>
  <c r="I600" i="3"/>
  <c r="H600" i="3"/>
  <c r="G600" i="3"/>
  <c r="F600" i="3"/>
  <c r="J599" i="3"/>
  <c r="I599" i="3"/>
  <c r="H599" i="3"/>
  <c r="G599" i="3"/>
  <c r="F599" i="3"/>
  <c r="J598" i="3"/>
  <c r="I598" i="3"/>
  <c r="H598" i="3"/>
  <c r="G598" i="3"/>
  <c r="F598" i="3"/>
  <c r="J597" i="3"/>
  <c r="I597" i="3"/>
  <c r="H597" i="3"/>
  <c r="G597" i="3"/>
  <c r="F597" i="3"/>
  <c r="J596" i="3"/>
  <c r="I596" i="3"/>
  <c r="H596" i="3"/>
  <c r="G596" i="3"/>
  <c r="F596" i="3"/>
  <c r="J595" i="3"/>
  <c r="I595" i="3"/>
  <c r="H595" i="3"/>
  <c r="G595" i="3"/>
  <c r="F595" i="3"/>
  <c r="J594" i="3"/>
  <c r="I594" i="3"/>
  <c r="H594" i="3"/>
  <c r="G594" i="3"/>
  <c r="F594" i="3"/>
  <c r="J593" i="3"/>
  <c r="I593" i="3"/>
  <c r="H593" i="3"/>
  <c r="G593" i="3"/>
  <c r="F593" i="3"/>
  <c r="J592" i="3"/>
  <c r="I592" i="3"/>
  <c r="H592" i="3"/>
  <c r="G592" i="3"/>
  <c r="F592" i="3"/>
  <c r="J591" i="3"/>
  <c r="I591" i="3"/>
  <c r="H591" i="3"/>
  <c r="G591" i="3"/>
  <c r="F591" i="3"/>
  <c r="J590" i="3"/>
  <c r="I590" i="3"/>
  <c r="H590" i="3"/>
  <c r="G590" i="3"/>
  <c r="F590" i="3"/>
  <c r="J589" i="3"/>
  <c r="I589" i="3"/>
  <c r="H589" i="3"/>
  <c r="G589" i="3"/>
  <c r="F589" i="3"/>
  <c r="J588" i="3"/>
  <c r="I588" i="3"/>
  <c r="H588" i="3"/>
  <c r="G588" i="3"/>
  <c r="F588" i="3"/>
  <c r="J587" i="3"/>
  <c r="I587" i="3"/>
  <c r="H587" i="3"/>
  <c r="G587" i="3"/>
  <c r="F587" i="3"/>
  <c r="J586" i="3"/>
  <c r="I586" i="3"/>
  <c r="H586" i="3"/>
  <c r="G586" i="3"/>
  <c r="F586" i="3"/>
  <c r="J585" i="3"/>
  <c r="I585" i="3"/>
  <c r="H585" i="3"/>
  <c r="G585" i="3"/>
  <c r="F585" i="3"/>
  <c r="J584" i="3"/>
  <c r="I584" i="3"/>
  <c r="H584" i="3"/>
  <c r="G584" i="3"/>
  <c r="F584" i="3"/>
  <c r="J583" i="3"/>
  <c r="I583" i="3"/>
  <c r="H583" i="3"/>
  <c r="G583" i="3"/>
  <c r="F583" i="3"/>
  <c r="J582" i="3"/>
  <c r="I582" i="3"/>
  <c r="H582" i="3"/>
  <c r="G582" i="3"/>
  <c r="F582" i="3"/>
  <c r="J581" i="3"/>
  <c r="I581" i="3"/>
  <c r="H581" i="3"/>
  <c r="G581" i="3"/>
  <c r="F581" i="3"/>
  <c r="J580" i="3"/>
  <c r="I580" i="3"/>
  <c r="H580" i="3"/>
  <c r="G580" i="3"/>
  <c r="F580" i="3"/>
  <c r="J579" i="3"/>
  <c r="I579" i="3"/>
  <c r="H579" i="3"/>
  <c r="G579" i="3"/>
  <c r="F579" i="3"/>
  <c r="J578" i="3"/>
  <c r="I578" i="3"/>
  <c r="H578" i="3"/>
  <c r="G578" i="3"/>
  <c r="F578" i="3"/>
  <c r="J577" i="3"/>
  <c r="I577" i="3"/>
  <c r="H577" i="3"/>
  <c r="G577" i="3"/>
  <c r="F577" i="3"/>
  <c r="J576" i="3"/>
  <c r="I576" i="3"/>
  <c r="H576" i="3"/>
  <c r="G576" i="3"/>
  <c r="F576" i="3"/>
  <c r="J575" i="3"/>
  <c r="I575" i="3"/>
  <c r="H575" i="3"/>
  <c r="G575" i="3"/>
  <c r="F575" i="3"/>
  <c r="J574" i="3"/>
  <c r="I574" i="3"/>
  <c r="H574" i="3"/>
  <c r="G574" i="3"/>
  <c r="F574" i="3"/>
  <c r="J573" i="3"/>
  <c r="I573" i="3"/>
  <c r="H573" i="3"/>
  <c r="G573" i="3"/>
  <c r="F573" i="3"/>
  <c r="J572" i="3"/>
  <c r="I572" i="3"/>
  <c r="H572" i="3"/>
  <c r="G572" i="3"/>
  <c r="F572" i="3"/>
  <c r="J571" i="3"/>
  <c r="I571" i="3"/>
  <c r="H571" i="3"/>
  <c r="G571" i="3"/>
  <c r="F571" i="3"/>
  <c r="J570" i="3"/>
  <c r="I570" i="3"/>
  <c r="H570" i="3"/>
  <c r="G570" i="3"/>
  <c r="F570" i="3"/>
  <c r="J569" i="3"/>
  <c r="I569" i="3"/>
  <c r="H569" i="3"/>
  <c r="G569" i="3"/>
  <c r="F569" i="3"/>
  <c r="J568" i="3"/>
  <c r="I568" i="3"/>
  <c r="H568" i="3"/>
  <c r="G568" i="3"/>
  <c r="F568" i="3"/>
  <c r="J567" i="3"/>
  <c r="I567" i="3"/>
  <c r="H567" i="3"/>
  <c r="G567" i="3"/>
  <c r="F567" i="3"/>
  <c r="J566" i="3"/>
  <c r="I566" i="3"/>
  <c r="H566" i="3"/>
  <c r="G566" i="3"/>
  <c r="F566" i="3"/>
  <c r="J565" i="3"/>
  <c r="I565" i="3"/>
  <c r="H565" i="3"/>
  <c r="G565" i="3"/>
  <c r="F565" i="3"/>
  <c r="J564" i="3"/>
  <c r="I564" i="3"/>
  <c r="H564" i="3"/>
  <c r="G564" i="3"/>
  <c r="F564" i="3"/>
  <c r="J563" i="3"/>
  <c r="I563" i="3"/>
  <c r="H563" i="3"/>
  <c r="G563" i="3"/>
  <c r="F563" i="3"/>
  <c r="J562" i="3"/>
  <c r="I562" i="3"/>
  <c r="H562" i="3"/>
  <c r="G562" i="3"/>
  <c r="F562" i="3"/>
  <c r="J561" i="3"/>
  <c r="I561" i="3"/>
  <c r="H561" i="3"/>
  <c r="G561" i="3"/>
  <c r="F561" i="3"/>
  <c r="J560" i="3"/>
  <c r="I560" i="3"/>
  <c r="H560" i="3"/>
  <c r="G560" i="3"/>
  <c r="F560" i="3"/>
  <c r="J559" i="3"/>
  <c r="I559" i="3"/>
  <c r="H559" i="3"/>
  <c r="G559" i="3"/>
  <c r="F559" i="3"/>
  <c r="J558" i="3"/>
  <c r="I558" i="3"/>
  <c r="H558" i="3"/>
  <c r="G558" i="3"/>
  <c r="F558" i="3"/>
  <c r="J557" i="3"/>
  <c r="I557" i="3"/>
  <c r="H557" i="3"/>
  <c r="G557" i="3"/>
  <c r="F557" i="3"/>
  <c r="J556" i="3"/>
  <c r="I556" i="3"/>
  <c r="H556" i="3"/>
  <c r="G556" i="3"/>
  <c r="F556" i="3"/>
  <c r="J555" i="3"/>
  <c r="I555" i="3"/>
  <c r="H555" i="3"/>
  <c r="G555" i="3"/>
  <c r="F555" i="3"/>
  <c r="J554" i="3"/>
  <c r="I554" i="3"/>
  <c r="H554" i="3"/>
  <c r="G554" i="3"/>
  <c r="F554" i="3"/>
  <c r="J553" i="3"/>
  <c r="I553" i="3"/>
  <c r="H553" i="3"/>
  <c r="G553" i="3"/>
  <c r="F553" i="3"/>
  <c r="J552" i="3"/>
  <c r="I552" i="3"/>
  <c r="H552" i="3"/>
  <c r="G552" i="3"/>
  <c r="F552" i="3"/>
  <c r="J551" i="3"/>
  <c r="I551" i="3"/>
  <c r="H551" i="3"/>
  <c r="G551" i="3"/>
  <c r="F551" i="3"/>
  <c r="J550" i="3"/>
  <c r="I550" i="3"/>
  <c r="H550" i="3"/>
  <c r="G550" i="3"/>
  <c r="F550" i="3"/>
  <c r="J549" i="3"/>
  <c r="I549" i="3"/>
  <c r="H549" i="3"/>
  <c r="G549" i="3"/>
  <c r="F549" i="3"/>
  <c r="J548" i="3"/>
  <c r="I548" i="3"/>
  <c r="H548" i="3"/>
  <c r="G548" i="3"/>
  <c r="F548" i="3"/>
  <c r="J547" i="3"/>
  <c r="I547" i="3"/>
  <c r="H547" i="3"/>
  <c r="G547" i="3"/>
  <c r="F547" i="3"/>
  <c r="J546" i="3"/>
  <c r="I546" i="3"/>
  <c r="H546" i="3"/>
  <c r="G546" i="3"/>
  <c r="F546" i="3"/>
  <c r="J545" i="3"/>
  <c r="I545" i="3"/>
  <c r="H545" i="3"/>
  <c r="G545" i="3"/>
  <c r="F545" i="3"/>
  <c r="J544" i="3"/>
  <c r="I544" i="3"/>
  <c r="H544" i="3"/>
  <c r="G544" i="3"/>
  <c r="F544" i="3"/>
  <c r="J543" i="3"/>
  <c r="I543" i="3"/>
  <c r="H543" i="3"/>
  <c r="G543" i="3"/>
  <c r="F543" i="3"/>
  <c r="J542" i="3"/>
  <c r="I542" i="3"/>
  <c r="H542" i="3"/>
  <c r="G542" i="3"/>
  <c r="F542" i="3"/>
  <c r="J541" i="3"/>
  <c r="I541" i="3"/>
  <c r="H541" i="3"/>
  <c r="G541" i="3"/>
  <c r="F541" i="3"/>
  <c r="J540" i="3"/>
  <c r="I540" i="3"/>
  <c r="H540" i="3"/>
  <c r="G540" i="3"/>
  <c r="F540" i="3"/>
  <c r="J539" i="3"/>
  <c r="I539" i="3"/>
  <c r="H539" i="3"/>
  <c r="G539" i="3"/>
  <c r="F539" i="3"/>
  <c r="J538" i="3"/>
  <c r="I538" i="3"/>
  <c r="H538" i="3"/>
  <c r="G538" i="3"/>
  <c r="F538" i="3"/>
  <c r="J537" i="3"/>
  <c r="I537" i="3"/>
  <c r="H537" i="3"/>
  <c r="G537" i="3"/>
  <c r="F537" i="3"/>
  <c r="J536" i="3"/>
  <c r="I536" i="3"/>
  <c r="H536" i="3"/>
  <c r="G536" i="3"/>
  <c r="F536" i="3"/>
  <c r="J535" i="3"/>
  <c r="I535" i="3"/>
  <c r="H535" i="3"/>
  <c r="G535" i="3"/>
  <c r="F535" i="3"/>
  <c r="J534" i="3"/>
  <c r="I534" i="3"/>
  <c r="H534" i="3"/>
  <c r="G534" i="3"/>
  <c r="F534" i="3"/>
  <c r="J533" i="3"/>
  <c r="I533" i="3"/>
  <c r="H533" i="3"/>
  <c r="G533" i="3"/>
  <c r="F533" i="3"/>
  <c r="J532" i="3"/>
  <c r="I532" i="3"/>
  <c r="H532" i="3"/>
  <c r="G532" i="3"/>
  <c r="F532" i="3"/>
  <c r="J531" i="3"/>
  <c r="I531" i="3"/>
  <c r="H531" i="3"/>
  <c r="G531" i="3"/>
  <c r="F531" i="3"/>
  <c r="J530" i="3"/>
  <c r="I530" i="3"/>
  <c r="H530" i="3"/>
  <c r="G530" i="3"/>
  <c r="F530" i="3"/>
  <c r="J529" i="3"/>
  <c r="I529" i="3"/>
  <c r="H529" i="3"/>
  <c r="G529" i="3"/>
  <c r="F529" i="3"/>
  <c r="J528" i="3"/>
  <c r="I528" i="3"/>
  <c r="H528" i="3"/>
  <c r="G528" i="3"/>
  <c r="F528" i="3"/>
  <c r="J527" i="3"/>
  <c r="I527" i="3"/>
  <c r="H527" i="3"/>
  <c r="G527" i="3"/>
  <c r="F527" i="3"/>
  <c r="J526" i="3"/>
  <c r="I526" i="3"/>
  <c r="H526" i="3"/>
  <c r="G526" i="3"/>
  <c r="F526" i="3"/>
  <c r="J525" i="3"/>
  <c r="I525" i="3"/>
  <c r="H525" i="3"/>
  <c r="G525" i="3"/>
  <c r="F525" i="3"/>
  <c r="J524" i="3"/>
  <c r="I524" i="3"/>
  <c r="H524" i="3"/>
  <c r="G524" i="3"/>
  <c r="F524" i="3"/>
  <c r="J523" i="3"/>
  <c r="I523" i="3"/>
  <c r="H523" i="3"/>
  <c r="G523" i="3"/>
  <c r="F523" i="3"/>
  <c r="J522" i="3"/>
  <c r="I522" i="3"/>
  <c r="H522" i="3"/>
  <c r="G522" i="3"/>
  <c r="F522" i="3"/>
  <c r="J521" i="3"/>
  <c r="I521" i="3"/>
  <c r="H521" i="3"/>
  <c r="G521" i="3"/>
  <c r="F521" i="3"/>
  <c r="J520" i="3"/>
  <c r="I520" i="3"/>
  <c r="H520" i="3"/>
  <c r="G520" i="3"/>
  <c r="F520" i="3"/>
  <c r="J519" i="3"/>
  <c r="I519" i="3"/>
  <c r="H519" i="3"/>
  <c r="G519" i="3"/>
  <c r="F519" i="3"/>
  <c r="J518" i="3"/>
  <c r="I518" i="3"/>
  <c r="H518" i="3"/>
  <c r="G518" i="3"/>
  <c r="F518" i="3"/>
  <c r="J517" i="3"/>
  <c r="I517" i="3"/>
  <c r="H517" i="3"/>
  <c r="G517" i="3"/>
  <c r="F517" i="3"/>
  <c r="J516" i="3"/>
  <c r="I516" i="3"/>
  <c r="H516" i="3"/>
  <c r="G516" i="3"/>
  <c r="F516" i="3"/>
  <c r="J515" i="3"/>
  <c r="I515" i="3"/>
  <c r="H515" i="3"/>
  <c r="G515" i="3"/>
  <c r="F515" i="3"/>
  <c r="J514" i="3"/>
  <c r="I514" i="3"/>
  <c r="H514" i="3"/>
  <c r="G514" i="3"/>
  <c r="F514" i="3"/>
  <c r="J513" i="3"/>
  <c r="I513" i="3"/>
  <c r="H513" i="3"/>
  <c r="G513" i="3"/>
  <c r="F513" i="3"/>
  <c r="J512" i="3"/>
  <c r="I512" i="3"/>
  <c r="H512" i="3"/>
  <c r="G512" i="3"/>
  <c r="F512" i="3"/>
  <c r="J511" i="3"/>
  <c r="I511" i="3"/>
  <c r="H511" i="3"/>
  <c r="G511" i="3"/>
  <c r="F511" i="3"/>
  <c r="J510" i="3"/>
  <c r="I510" i="3"/>
  <c r="H510" i="3"/>
  <c r="G510" i="3"/>
  <c r="F510" i="3"/>
  <c r="J509" i="3"/>
  <c r="I509" i="3"/>
  <c r="H509" i="3"/>
  <c r="G509" i="3"/>
  <c r="F509" i="3"/>
  <c r="J508" i="3"/>
  <c r="I508" i="3"/>
  <c r="H508" i="3"/>
  <c r="G508" i="3"/>
  <c r="F508" i="3"/>
  <c r="J507" i="3"/>
  <c r="I507" i="3"/>
  <c r="H507" i="3"/>
  <c r="G507" i="3"/>
  <c r="F507" i="3"/>
  <c r="J506" i="3"/>
  <c r="I506" i="3"/>
  <c r="H506" i="3"/>
  <c r="G506" i="3"/>
  <c r="F506" i="3"/>
  <c r="J505" i="3"/>
  <c r="I505" i="3"/>
  <c r="H505" i="3"/>
  <c r="G505" i="3"/>
  <c r="F505" i="3"/>
  <c r="J504" i="3"/>
  <c r="I504" i="3"/>
  <c r="H504" i="3"/>
  <c r="G504" i="3"/>
  <c r="F504" i="3"/>
  <c r="J503" i="3"/>
  <c r="I503" i="3"/>
  <c r="H503" i="3"/>
  <c r="G503" i="3"/>
  <c r="F503" i="3"/>
  <c r="J502" i="3"/>
  <c r="I502" i="3"/>
  <c r="H502" i="3"/>
  <c r="G502" i="3"/>
  <c r="F502" i="3"/>
  <c r="J501" i="3"/>
  <c r="I501" i="3"/>
  <c r="H501" i="3"/>
  <c r="G501" i="3"/>
  <c r="F501" i="3"/>
  <c r="J500" i="3"/>
  <c r="I500" i="3"/>
  <c r="H500" i="3"/>
  <c r="G500" i="3"/>
  <c r="F500" i="3"/>
  <c r="J499" i="3"/>
  <c r="I499" i="3"/>
  <c r="H499" i="3"/>
  <c r="G499" i="3"/>
  <c r="F499" i="3"/>
  <c r="J498" i="3"/>
  <c r="I498" i="3"/>
  <c r="H498" i="3"/>
  <c r="G498" i="3"/>
  <c r="F498" i="3"/>
  <c r="J497" i="3"/>
  <c r="I497" i="3"/>
  <c r="H497" i="3"/>
  <c r="G497" i="3"/>
  <c r="F497" i="3"/>
  <c r="J496" i="3"/>
  <c r="I496" i="3"/>
  <c r="H496" i="3"/>
  <c r="G496" i="3"/>
  <c r="F496" i="3"/>
  <c r="J495" i="3"/>
  <c r="I495" i="3"/>
  <c r="H495" i="3"/>
  <c r="G495" i="3"/>
  <c r="F495" i="3"/>
  <c r="J494" i="3"/>
  <c r="I494" i="3"/>
  <c r="H494" i="3"/>
  <c r="G494" i="3"/>
  <c r="F494" i="3"/>
  <c r="J493" i="3"/>
  <c r="I493" i="3"/>
  <c r="H493" i="3"/>
  <c r="G493" i="3"/>
  <c r="F493" i="3"/>
  <c r="J492" i="3"/>
  <c r="I492" i="3"/>
  <c r="H492" i="3"/>
  <c r="G492" i="3"/>
  <c r="F492" i="3"/>
  <c r="J491" i="3"/>
  <c r="I491" i="3"/>
  <c r="H491" i="3"/>
  <c r="G491" i="3"/>
  <c r="F491" i="3"/>
  <c r="J490" i="3"/>
  <c r="I490" i="3"/>
  <c r="H490" i="3"/>
  <c r="G490" i="3"/>
  <c r="F490" i="3"/>
  <c r="J489" i="3"/>
  <c r="I489" i="3"/>
  <c r="H489" i="3"/>
  <c r="G489" i="3"/>
  <c r="F489" i="3"/>
  <c r="J488" i="3"/>
  <c r="I488" i="3"/>
  <c r="H488" i="3"/>
  <c r="G488" i="3"/>
  <c r="F488" i="3"/>
  <c r="J487" i="3"/>
  <c r="I487" i="3"/>
  <c r="H487" i="3"/>
  <c r="G487" i="3"/>
  <c r="F487" i="3"/>
  <c r="J486" i="3"/>
  <c r="I486" i="3"/>
  <c r="H486" i="3"/>
  <c r="G486" i="3"/>
  <c r="F486" i="3"/>
  <c r="J485" i="3"/>
  <c r="I485" i="3"/>
  <c r="H485" i="3"/>
  <c r="G485" i="3"/>
  <c r="F485" i="3"/>
  <c r="J484" i="3"/>
  <c r="I484" i="3"/>
  <c r="H484" i="3"/>
  <c r="G484" i="3"/>
  <c r="F484" i="3"/>
  <c r="J483" i="3"/>
  <c r="I483" i="3"/>
  <c r="H483" i="3"/>
  <c r="G483" i="3"/>
  <c r="F483" i="3"/>
  <c r="J482" i="3"/>
  <c r="I482" i="3"/>
  <c r="H482" i="3"/>
  <c r="G482" i="3"/>
  <c r="F482" i="3"/>
  <c r="J481" i="3"/>
  <c r="I481" i="3"/>
  <c r="H481" i="3"/>
  <c r="G481" i="3"/>
  <c r="F481" i="3"/>
  <c r="J480" i="3"/>
  <c r="I480" i="3"/>
  <c r="H480" i="3"/>
  <c r="G480" i="3"/>
  <c r="F480" i="3"/>
  <c r="J479" i="3"/>
  <c r="I479" i="3"/>
  <c r="H479" i="3"/>
  <c r="G479" i="3"/>
  <c r="F479" i="3"/>
  <c r="J478" i="3"/>
  <c r="I478" i="3"/>
  <c r="H478" i="3"/>
  <c r="G478" i="3"/>
  <c r="F478" i="3"/>
  <c r="J477" i="3"/>
  <c r="I477" i="3"/>
  <c r="H477" i="3"/>
  <c r="G477" i="3"/>
  <c r="F477" i="3"/>
  <c r="J476" i="3"/>
  <c r="I476" i="3"/>
  <c r="H476" i="3"/>
  <c r="G476" i="3"/>
  <c r="F476" i="3"/>
  <c r="J475" i="3"/>
  <c r="I475" i="3"/>
  <c r="H475" i="3"/>
  <c r="G475" i="3"/>
  <c r="F475" i="3"/>
  <c r="J474" i="3"/>
  <c r="I474" i="3"/>
  <c r="H474" i="3"/>
  <c r="G474" i="3"/>
  <c r="F474" i="3"/>
  <c r="J473" i="3"/>
  <c r="I473" i="3"/>
  <c r="H473" i="3"/>
  <c r="G473" i="3"/>
  <c r="F473" i="3"/>
  <c r="J472" i="3"/>
  <c r="I472" i="3"/>
  <c r="H472" i="3"/>
  <c r="G472" i="3"/>
  <c r="F472" i="3"/>
  <c r="J471" i="3"/>
  <c r="I471" i="3"/>
  <c r="H471" i="3"/>
  <c r="G471" i="3"/>
  <c r="F471" i="3"/>
  <c r="J470" i="3"/>
  <c r="I470" i="3"/>
  <c r="H470" i="3"/>
  <c r="G470" i="3"/>
  <c r="F470" i="3"/>
  <c r="J469" i="3"/>
  <c r="I469" i="3"/>
  <c r="H469" i="3"/>
  <c r="G469" i="3"/>
  <c r="F469" i="3"/>
  <c r="J468" i="3"/>
  <c r="I468" i="3"/>
  <c r="H468" i="3"/>
  <c r="G468" i="3"/>
  <c r="F468" i="3"/>
  <c r="J467" i="3"/>
  <c r="I467" i="3"/>
  <c r="H467" i="3"/>
  <c r="G467" i="3"/>
  <c r="F467" i="3"/>
  <c r="J466" i="3"/>
  <c r="I466" i="3"/>
  <c r="H466" i="3"/>
  <c r="G466" i="3"/>
  <c r="F466" i="3"/>
  <c r="J465" i="3"/>
  <c r="I465" i="3"/>
  <c r="H465" i="3"/>
  <c r="G465" i="3"/>
  <c r="F465" i="3"/>
  <c r="J464" i="3"/>
  <c r="I464" i="3"/>
  <c r="H464" i="3"/>
  <c r="G464" i="3"/>
  <c r="F464" i="3"/>
  <c r="J463" i="3"/>
  <c r="I463" i="3"/>
  <c r="H463" i="3"/>
  <c r="G463" i="3"/>
  <c r="F463" i="3"/>
  <c r="J462" i="3"/>
  <c r="I462" i="3"/>
  <c r="H462" i="3"/>
  <c r="G462" i="3"/>
  <c r="F462" i="3"/>
  <c r="J461" i="3"/>
  <c r="I461" i="3"/>
  <c r="H461" i="3"/>
  <c r="G461" i="3"/>
  <c r="F461" i="3"/>
  <c r="J460" i="3"/>
  <c r="I460" i="3"/>
  <c r="H460" i="3"/>
  <c r="G460" i="3"/>
  <c r="F460" i="3"/>
  <c r="J459" i="3"/>
  <c r="I459" i="3"/>
  <c r="H459" i="3"/>
  <c r="G459" i="3"/>
  <c r="F459" i="3"/>
  <c r="J458" i="3"/>
  <c r="I458" i="3"/>
  <c r="H458" i="3"/>
  <c r="G458" i="3"/>
  <c r="F458" i="3"/>
  <c r="J457" i="3"/>
  <c r="I457" i="3"/>
  <c r="H457" i="3"/>
  <c r="G457" i="3"/>
  <c r="F457" i="3"/>
  <c r="J456" i="3"/>
  <c r="I456" i="3"/>
  <c r="H456" i="3"/>
  <c r="G456" i="3"/>
  <c r="F456" i="3"/>
  <c r="J455" i="3"/>
  <c r="I455" i="3"/>
  <c r="H455" i="3"/>
  <c r="G455" i="3"/>
  <c r="F455" i="3"/>
  <c r="J454" i="3"/>
  <c r="I454" i="3"/>
  <c r="H454" i="3"/>
  <c r="G454" i="3"/>
  <c r="F454" i="3"/>
  <c r="J453" i="3"/>
  <c r="I453" i="3"/>
  <c r="H453" i="3"/>
  <c r="G453" i="3"/>
  <c r="F453" i="3"/>
  <c r="J452" i="3"/>
  <c r="I452" i="3"/>
  <c r="H452" i="3"/>
  <c r="G452" i="3"/>
  <c r="F452" i="3"/>
  <c r="J451" i="3"/>
  <c r="I451" i="3"/>
  <c r="H451" i="3"/>
  <c r="G451" i="3"/>
  <c r="F451" i="3"/>
  <c r="J450" i="3"/>
  <c r="I450" i="3"/>
  <c r="H450" i="3"/>
  <c r="G450" i="3"/>
  <c r="F450" i="3"/>
  <c r="J449" i="3"/>
  <c r="I449" i="3"/>
  <c r="H449" i="3"/>
  <c r="G449" i="3"/>
  <c r="F449" i="3"/>
  <c r="J448" i="3"/>
  <c r="I448" i="3"/>
  <c r="H448" i="3"/>
  <c r="G448" i="3"/>
  <c r="F448" i="3"/>
  <c r="J447" i="3"/>
  <c r="I447" i="3"/>
  <c r="H447" i="3"/>
  <c r="G447" i="3"/>
  <c r="F447" i="3"/>
  <c r="J446" i="3"/>
  <c r="I446" i="3"/>
  <c r="H446" i="3"/>
  <c r="G446" i="3"/>
  <c r="F446" i="3"/>
  <c r="J445" i="3"/>
  <c r="I445" i="3"/>
  <c r="H445" i="3"/>
  <c r="G445" i="3"/>
  <c r="F445" i="3"/>
  <c r="J444" i="3"/>
  <c r="I444" i="3"/>
  <c r="H444" i="3"/>
  <c r="G444" i="3"/>
  <c r="F444" i="3"/>
  <c r="J443" i="3"/>
  <c r="I443" i="3"/>
  <c r="H443" i="3"/>
  <c r="G443" i="3"/>
  <c r="F443" i="3"/>
  <c r="J442" i="3"/>
  <c r="I442" i="3"/>
  <c r="H442" i="3"/>
  <c r="G442" i="3"/>
  <c r="F442" i="3"/>
  <c r="J441" i="3"/>
  <c r="I441" i="3"/>
  <c r="H441" i="3"/>
  <c r="G441" i="3"/>
  <c r="F441" i="3"/>
  <c r="J440" i="3"/>
  <c r="I440" i="3"/>
  <c r="H440" i="3"/>
  <c r="G440" i="3"/>
  <c r="F440" i="3"/>
  <c r="J439" i="3"/>
  <c r="I439" i="3"/>
  <c r="H439" i="3"/>
  <c r="G439" i="3"/>
  <c r="F439" i="3"/>
  <c r="J438" i="3"/>
  <c r="I438" i="3"/>
  <c r="H438" i="3"/>
  <c r="G438" i="3"/>
  <c r="F438" i="3"/>
  <c r="J437" i="3"/>
  <c r="I437" i="3"/>
  <c r="H437" i="3"/>
  <c r="G437" i="3"/>
  <c r="F437" i="3"/>
  <c r="J436" i="3"/>
  <c r="I436" i="3"/>
  <c r="H436" i="3"/>
  <c r="G436" i="3"/>
  <c r="F436" i="3"/>
  <c r="J435" i="3"/>
  <c r="I435" i="3"/>
  <c r="H435" i="3"/>
  <c r="G435" i="3"/>
  <c r="F435" i="3"/>
  <c r="J434" i="3"/>
  <c r="I434" i="3"/>
  <c r="H434" i="3"/>
  <c r="G434" i="3"/>
  <c r="F434" i="3"/>
  <c r="J433" i="3"/>
  <c r="I433" i="3"/>
  <c r="H433" i="3"/>
  <c r="G433" i="3"/>
  <c r="F433" i="3"/>
  <c r="J432" i="3"/>
  <c r="I432" i="3"/>
  <c r="H432" i="3"/>
  <c r="G432" i="3"/>
  <c r="F432" i="3"/>
  <c r="J431" i="3"/>
  <c r="I431" i="3"/>
  <c r="H431" i="3"/>
  <c r="G431" i="3"/>
  <c r="F431" i="3"/>
  <c r="J430" i="3"/>
  <c r="I430" i="3"/>
  <c r="H430" i="3"/>
  <c r="G430" i="3"/>
  <c r="F430" i="3"/>
  <c r="J429" i="3"/>
  <c r="I429" i="3"/>
  <c r="H429" i="3"/>
  <c r="G429" i="3"/>
  <c r="F429" i="3"/>
  <c r="J428" i="3"/>
  <c r="I428" i="3"/>
  <c r="H428" i="3"/>
  <c r="G428" i="3"/>
  <c r="F428" i="3"/>
  <c r="J427" i="3"/>
  <c r="I427" i="3"/>
  <c r="H427" i="3"/>
  <c r="G427" i="3"/>
  <c r="F427" i="3"/>
  <c r="J426" i="3"/>
  <c r="I426" i="3"/>
  <c r="H426" i="3"/>
  <c r="G426" i="3"/>
  <c r="F426" i="3"/>
  <c r="J425" i="3"/>
  <c r="I425" i="3"/>
  <c r="H425" i="3"/>
  <c r="G425" i="3"/>
  <c r="F425" i="3"/>
  <c r="J424" i="3"/>
  <c r="I424" i="3"/>
  <c r="H424" i="3"/>
  <c r="G424" i="3"/>
  <c r="F424" i="3"/>
  <c r="J423" i="3"/>
  <c r="I423" i="3"/>
  <c r="H423" i="3"/>
  <c r="G423" i="3"/>
  <c r="F423" i="3"/>
  <c r="J422" i="3"/>
  <c r="I422" i="3"/>
  <c r="H422" i="3"/>
  <c r="G422" i="3"/>
  <c r="F422" i="3"/>
  <c r="J421" i="3"/>
  <c r="I421" i="3"/>
  <c r="H421" i="3"/>
  <c r="G421" i="3"/>
  <c r="F421" i="3"/>
  <c r="J420" i="3"/>
  <c r="I420" i="3"/>
  <c r="H420" i="3"/>
  <c r="G420" i="3"/>
  <c r="F420" i="3"/>
  <c r="J419" i="3"/>
  <c r="I419" i="3"/>
  <c r="H419" i="3"/>
  <c r="G419" i="3"/>
  <c r="F419" i="3"/>
  <c r="J418" i="3"/>
  <c r="I418" i="3"/>
  <c r="H418" i="3"/>
  <c r="G418" i="3"/>
  <c r="F418" i="3"/>
  <c r="J417" i="3"/>
  <c r="I417" i="3"/>
  <c r="H417" i="3"/>
  <c r="G417" i="3"/>
  <c r="F417" i="3"/>
  <c r="J416" i="3"/>
  <c r="I416" i="3"/>
  <c r="H416" i="3"/>
  <c r="G416" i="3"/>
  <c r="F416" i="3"/>
  <c r="J415" i="3"/>
  <c r="I415" i="3"/>
  <c r="H415" i="3"/>
  <c r="G415" i="3"/>
  <c r="F415" i="3"/>
  <c r="J414" i="3"/>
  <c r="I414" i="3"/>
  <c r="H414" i="3"/>
  <c r="G414" i="3"/>
  <c r="F414" i="3"/>
  <c r="J413" i="3"/>
  <c r="I413" i="3"/>
  <c r="H413" i="3"/>
  <c r="G413" i="3"/>
  <c r="F413" i="3"/>
  <c r="J412" i="3"/>
  <c r="I412" i="3"/>
  <c r="H412" i="3"/>
  <c r="G412" i="3"/>
  <c r="F412" i="3"/>
  <c r="J411" i="3"/>
  <c r="I411" i="3"/>
  <c r="H411" i="3"/>
  <c r="G411" i="3"/>
  <c r="F411" i="3"/>
  <c r="J410" i="3"/>
  <c r="I410" i="3"/>
  <c r="H410" i="3"/>
  <c r="G410" i="3"/>
  <c r="F410" i="3"/>
  <c r="J409" i="3"/>
  <c r="I409" i="3"/>
  <c r="H409" i="3"/>
  <c r="G409" i="3"/>
  <c r="F409" i="3"/>
  <c r="J408" i="3"/>
  <c r="I408" i="3"/>
  <c r="H408" i="3"/>
  <c r="G408" i="3"/>
  <c r="F408" i="3"/>
  <c r="J407" i="3"/>
  <c r="I407" i="3"/>
  <c r="H407" i="3"/>
  <c r="G407" i="3"/>
  <c r="F407" i="3"/>
  <c r="J406" i="3"/>
  <c r="I406" i="3"/>
  <c r="H406" i="3"/>
  <c r="G406" i="3"/>
  <c r="F406" i="3"/>
  <c r="J405" i="3"/>
  <c r="I405" i="3"/>
  <c r="H405" i="3"/>
  <c r="G405" i="3"/>
  <c r="F405" i="3"/>
  <c r="J404" i="3"/>
  <c r="I404" i="3"/>
  <c r="H404" i="3"/>
  <c r="G404" i="3"/>
  <c r="F404" i="3"/>
  <c r="J403" i="3"/>
  <c r="I403" i="3"/>
  <c r="H403" i="3"/>
  <c r="G403" i="3"/>
  <c r="F403" i="3"/>
  <c r="J402" i="3"/>
  <c r="I402" i="3"/>
  <c r="H402" i="3"/>
  <c r="G402" i="3"/>
  <c r="F402" i="3"/>
  <c r="J401" i="3"/>
  <c r="I401" i="3"/>
  <c r="H401" i="3"/>
  <c r="G401" i="3"/>
  <c r="F401" i="3"/>
  <c r="J400" i="3"/>
  <c r="I400" i="3"/>
  <c r="H400" i="3"/>
  <c r="G400" i="3"/>
  <c r="F400" i="3"/>
  <c r="J399" i="3"/>
  <c r="I399" i="3"/>
  <c r="H399" i="3"/>
  <c r="G399" i="3"/>
  <c r="F399" i="3"/>
  <c r="J398" i="3"/>
  <c r="I398" i="3"/>
  <c r="H398" i="3"/>
  <c r="G398" i="3"/>
  <c r="F398" i="3"/>
  <c r="J397" i="3"/>
  <c r="I397" i="3"/>
  <c r="H397" i="3"/>
  <c r="G397" i="3"/>
  <c r="F397" i="3"/>
  <c r="J396" i="3"/>
  <c r="I396" i="3"/>
  <c r="H396" i="3"/>
  <c r="G396" i="3"/>
  <c r="F396" i="3"/>
  <c r="J395" i="3"/>
  <c r="I395" i="3"/>
  <c r="H395" i="3"/>
  <c r="G395" i="3"/>
  <c r="F395" i="3"/>
  <c r="J394" i="3"/>
  <c r="I394" i="3"/>
  <c r="H394" i="3"/>
  <c r="G394" i="3"/>
  <c r="F394" i="3"/>
  <c r="J393" i="3"/>
  <c r="I393" i="3"/>
  <c r="H393" i="3"/>
  <c r="G393" i="3"/>
  <c r="F393" i="3"/>
  <c r="J392" i="3"/>
  <c r="I392" i="3"/>
  <c r="H392" i="3"/>
  <c r="G392" i="3"/>
  <c r="F392" i="3"/>
  <c r="J391" i="3"/>
  <c r="I391" i="3"/>
  <c r="H391" i="3"/>
  <c r="G391" i="3"/>
  <c r="F391" i="3"/>
  <c r="J390" i="3"/>
  <c r="I390" i="3"/>
  <c r="H390" i="3"/>
  <c r="G390" i="3"/>
  <c r="F390" i="3"/>
  <c r="J389" i="3"/>
  <c r="I389" i="3"/>
  <c r="H389" i="3"/>
  <c r="G389" i="3"/>
  <c r="F389" i="3"/>
  <c r="J388" i="3"/>
  <c r="I388" i="3"/>
  <c r="H388" i="3"/>
  <c r="G388" i="3"/>
  <c r="F388" i="3"/>
  <c r="J387" i="3"/>
  <c r="I387" i="3"/>
  <c r="H387" i="3"/>
  <c r="G387" i="3"/>
  <c r="F387" i="3"/>
  <c r="J386" i="3"/>
  <c r="I386" i="3"/>
  <c r="H386" i="3"/>
  <c r="G386" i="3"/>
  <c r="F386" i="3"/>
  <c r="J385" i="3"/>
  <c r="I385" i="3"/>
  <c r="H385" i="3"/>
  <c r="G385" i="3"/>
  <c r="F385" i="3"/>
  <c r="J384" i="3"/>
  <c r="I384" i="3"/>
  <c r="H384" i="3"/>
  <c r="G384" i="3"/>
  <c r="F384" i="3"/>
  <c r="J383" i="3"/>
  <c r="I383" i="3"/>
  <c r="H383" i="3"/>
  <c r="G383" i="3"/>
  <c r="F383" i="3"/>
  <c r="J382" i="3"/>
  <c r="I382" i="3"/>
  <c r="H382" i="3"/>
  <c r="G382" i="3"/>
  <c r="F382" i="3"/>
  <c r="J381" i="3"/>
  <c r="I381" i="3"/>
  <c r="H381" i="3"/>
  <c r="G381" i="3"/>
  <c r="F381" i="3"/>
  <c r="J380" i="3"/>
  <c r="I380" i="3"/>
  <c r="H380" i="3"/>
  <c r="G380" i="3"/>
  <c r="F380" i="3"/>
  <c r="J379" i="3"/>
  <c r="I379" i="3"/>
  <c r="H379" i="3"/>
  <c r="G379" i="3"/>
  <c r="F379" i="3"/>
  <c r="J378" i="3"/>
  <c r="I378" i="3"/>
  <c r="H378" i="3"/>
  <c r="G378" i="3"/>
  <c r="F378" i="3"/>
  <c r="J377" i="3"/>
  <c r="I377" i="3"/>
  <c r="H377" i="3"/>
  <c r="G377" i="3"/>
  <c r="F377" i="3"/>
  <c r="J376" i="3"/>
  <c r="I376" i="3"/>
  <c r="H376" i="3"/>
  <c r="G376" i="3"/>
  <c r="F376" i="3"/>
  <c r="J375" i="3"/>
  <c r="I375" i="3"/>
  <c r="H375" i="3"/>
  <c r="G375" i="3"/>
  <c r="F375" i="3"/>
  <c r="J374" i="3"/>
  <c r="I374" i="3"/>
  <c r="H374" i="3"/>
  <c r="G374" i="3"/>
  <c r="F374" i="3"/>
  <c r="J373" i="3"/>
  <c r="I373" i="3"/>
  <c r="H373" i="3"/>
  <c r="G373" i="3"/>
  <c r="F373" i="3"/>
  <c r="J372" i="3"/>
  <c r="I372" i="3"/>
  <c r="H372" i="3"/>
  <c r="G372" i="3"/>
  <c r="F372" i="3"/>
  <c r="J371" i="3"/>
  <c r="I371" i="3"/>
  <c r="H371" i="3"/>
  <c r="G371" i="3"/>
  <c r="F371" i="3"/>
  <c r="J370" i="3"/>
  <c r="I370" i="3"/>
  <c r="H370" i="3"/>
  <c r="G370" i="3"/>
  <c r="F370" i="3"/>
  <c r="J369" i="3"/>
  <c r="I369" i="3"/>
  <c r="H369" i="3"/>
  <c r="G369" i="3"/>
  <c r="F369" i="3"/>
  <c r="J368" i="3"/>
  <c r="I368" i="3"/>
  <c r="H368" i="3"/>
  <c r="G368" i="3"/>
  <c r="F368" i="3"/>
  <c r="J367" i="3"/>
  <c r="I367" i="3"/>
  <c r="H367" i="3"/>
  <c r="G367" i="3"/>
  <c r="F367" i="3"/>
  <c r="J366" i="3"/>
  <c r="I366" i="3"/>
  <c r="H366" i="3"/>
  <c r="G366" i="3"/>
  <c r="F366" i="3"/>
  <c r="J365" i="3"/>
  <c r="I365" i="3"/>
  <c r="H365" i="3"/>
  <c r="G365" i="3"/>
  <c r="F365" i="3"/>
  <c r="J364" i="3"/>
  <c r="I364" i="3"/>
  <c r="H364" i="3"/>
  <c r="G364" i="3"/>
  <c r="F364" i="3"/>
  <c r="J363" i="3"/>
  <c r="I363" i="3"/>
  <c r="H363" i="3"/>
  <c r="G363" i="3"/>
  <c r="F363" i="3"/>
  <c r="J362" i="3"/>
  <c r="I362" i="3"/>
  <c r="H362" i="3"/>
  <c r="G362" i="3"/>
  <c r="F362" i="3"/>
  <c r="J361" i="3"/>
  <c r="I361" i="3"/>
  <c r="H361" i="3"/>
  <c r="G361" i="3"/>
  <c r="F361" i="3"/>
  <c r="J360" i="3"/>
  <c r="I360" i="3"/>
  <c r="H360" i="3"/>
  <c r="G360" i="3"/>
  <c r="F360" i="3"/>
  <c r="J359" i="3"/>
  <c r="I359" i="3"/>
  <c r="H359" i="3"/>
  <c r="G359" i="3"/>
  <c r="F359" i="3"/>
  <c r="J358" i="3"/>
  <c r="I358" i="3"/>
  <c r="H358" i="3"/>
  <c r="G358" i="3"/>
  <c r="F358" i="3"/>
  <c r="J357" i="3"/>
  <c r="I357" i="3"/>
  <c r="H357" i="3"/>
  <c r="G357" i="3"/>
  <c r="F357" i="3"/>
  <c r="J356" i="3"/>
  <c r="I356" i="3"/>
  <c r="H356" i="3"/>
  <c r="G356" i="3"/>
  <c r="F356" i="3"/>
  <c r="J355" i="3"/>
  <c r="I355" i="3"/>
  <c r="H355" i="3"/>
  <c r="G355" i="3"/>
  <c r="F355" i="3"/>
  <c r="J354" i="3"/>
  <c r="I354" i="3"/>
  <c r="H354" i="3"/>
  <c r="G354" i="3"/>
  <c r="F354" i="3"/>
  <c r="J353" i="3"/>
  <c r="I353" i="3"/>
  <c r="H353" i="3"/>
  <c r="G353" i="3"/>
  <c r="F353" i="3"/>
  <c r="J352" i="3"/>
  <c r="I352" i="3"/>
  <c r="H352" i="3"/>
  <c r="G352" i="3"/>
  <c r="F352" i="3"/>
  <c r="J351" i="3"/>
  <c r="I351" i="3"/>
  <c r="H351" i="3"/>
  <c r="G351" i="3"/>
  <c r="F351" i="3"/>
  <c r="J350" i="3"/>
  <c r="I350" i="3"/>
  <c r="H350" i="3"/>
  <c r="G350" i="3"/>
  <c r="F350" i="3"/>
  <c r="J349" i="3"/>
  <c r="I349" i="3"/>
  <c r="H349" i="3"/>
  <c r="G349" i="3"/>
  <c r="F349" i="3"/>
  <c r="J348" i="3"/>
  <c r="I348" i="3"/>
  <c r="H348" i="3"/>
  <c r="G348" i="3"/>
  <c r="F348" i="3"/>
  <c r="J347" i="3"/>
  <c r="I347" i="3"/>
  <c r="H347" i="3"/>
  <c r="G347" i="3"/>
  <c r="F347" i="3"/>
  <c r="J346" i="3"/>
  <c r="I346" i="3"/>
  <c r="H346" i="3"/>
  <c r="G346" i="3"/>
  <c r="F346" i="3"/>
  <c r="J345" i="3"/>
  <c r="I345" i="3"/>
  <c r="H345" i="3"/>
  <c r="G345" i="3"/>
  <c r="F345" i="3"/>
  <c r="J344" i="3"/>
  <c r="I344" i="3"/>
  <c r="H344" i="3"/>
  <c r="G344" i="3"/>
  <c r="F344" i="3"/>
  <c r="J343" i="3"/>
  <c r="I343" i="3"/>
  <c r="H343" i="3"/>
  <c r="G343" i="3"/>
  <c r="F343" i="3"/>
  <c r="J342" i="3"/>
  <c r="I342" i="3"/>
  <c r="H342" i="3"/>
  <c r="G342" i="3"/>
  <c r="F342" i="3"/>
  <c r="J341" i="3"/>
  <c r="I341" i="3"/>
  <c r="H341" i="3"/>
  <c r="G341" i="3"/>
  <c r="F341" i="3"/>
  <c r="J340" i="3"/>
  <c r="I340" i="3"/>
  <c r="H340" i="3"/>
  <c r="G340" i="3"/>
  <c r="F340" i="3"/>
  <c r="J339" i="3"/>
  <c r="I339" i="3"/>
  <c r="H339" i="3"/>
  <c r="G339" i="3"/>
  <c r="F339" i="3"/>
  <c r="J338" i="3"/>
  <c r="I338" i="3"/>
  <c r="H338" i="3"/>
  <c r="G338" i="3"/>
  <c r="F338" i="3"/>
  <c r="J337" i="3"/>
  <c r="I337" i="3"/>
  <c r="H337" i="3"/>
  <c r="G337" i="3"/>
  <c r="F337" i="3"/>
  <c r="J336" i="3"/>
  <c r="I336" i="3"/>
  <c r="H336" i="3"/>
  <c r="G336" i="3"/>
  <c r="F336" i="3"/>
  <c r="J335" i="3"/>
  <c r="I335" i="3"/>
  <c r="H335" i="3"/>
  <c r="G335" i="3"/>
  <c r="F335" i="3"/>
  <c r="J334" i="3"/>
  <c r="I334" i="3"/>
  <c r="H334" i="3"/>
  <c r="G334" i="3"/>
  <c r="F334" i="3"/>
  <c r="J333" i="3"/>
  <c r="I333" i="3"/>
  <c r="H333" i="3"/>
  <c r="G333" i="3"/>
  <c r="F333" i="3"/>
  <c r="J332" i="3"/>
  <c r="I332" i="3"/>
  <c r="H332" i="3"/>
  <c r="G332" i="3"/>
  <c r="F332" i="3"/>
  <c r="J331" i="3"/>
  <c r="I331" i="3"/>
  <c r="H331" i="3"/>
  <c r="G331" i="3"/>
  <c r="F331" i="3"/>
  <c r="J330" i="3"/>
  <c r="I330" i="3"/>
  <c r="H330" i="3"/>
  <c r="G330" i="3"/>
  <c r="F330" i="3"/>
  <c r="J329" i="3"/>
  <c r="I329" i="3"/>
  <c r="H329" i="3"/>
  <c r="G329" i="3"/>
  <c r="F329" i="3"/>
  <c r="J328" i="3"/>
  <c r="I328" i="3"/>
  <c r="H328" i="3"/>
  <c r="G328" i="3"/>
  <c r="F328" i="3"/>
  <c r="J327" i="3"/>
  <c r="I327" i="3"/>
  <c r="H327" i="3"/>
  <c r="G327" i="3"/>
  <c r="F327" i="3"/>
  <c r="J326" i="3"/>
  <c r="I326" i="3"/>
  <c r="H326" i="3"/>
  <c r="G326" i="3"/>
  <c r="F326" i="3"/>
  <c r="J325" i="3"/>
  <c r="I325" i="3"/>
  <c r="H325" i="3"/>
  <c r="G325" i="3"/>
  <c r="F325" i="3"/>
  <c r="J324" i="3"/>
  <c r="I324" i="3"/>
  <c r="H324" i="3"/>
  <c r="G324" i="3"/>
  <c r="F324" i="3"/>
  <c r="J323" i="3"/>
  <c r="I323" i="3"/>
  <c r="H323" i="3"/>
  <c r="G323" i="3"/>
  <c r="F323" i="3"/>
  <c r="J322" i="3"/>
  <c r="I322" i="3"/>
  <c r="H322" i="3"/>
  <c r="G322" i="3"/>
  <c r="F322" i="3"/>
  <c r="J321" i="3"/>
  <c r="I321" i="3"/>
  <c r="H321" i="3"/>
  <c r="G321" i="3"/>
  <c r="F321" i="3"/>
  <c r="J320" i="3"/>
  <c r="I320" i="3"/>
  <c r="H320" i="3"/>
  <c r="G320" i="3"/>
  <c r="F320" i="3"/>
  <c r="J319" i="3"/>
  <c r="I319" i="3"/>
  <c r="H319" i="3"/>
  <c r="G319" i="3"/>
  <c r="F319" i="3"/>
  <c r="J318" i="3"/>
  <c r="I318" i="3"/>
  <c r="H318" i="3"/>
  <c r="G318" i="3"/>
  <c r="F318" i="3"/>
  <c r="J317" i="3"/>
  <c r="I317" i="3"/>
  <c r="H317" i="3"/>
  <c r="G317" i="3"/>
  <c r="F317" i="3"/>
  <c r="J316" i="3"/>
  <c r="I316" i="3"/>
  <c r="H316" i="3"/>
  <c r="G316" i="3"/>
  <c r="F316" i="3"/>
  <c r="J315" i="3"/>
  <c r="I315" i="3"/>
  <c r="H315" i="3"/>
  <c r="G315" i="3"/>
  <c r="F315" i="3"/>
  <c r="J314" i="3"/>
  <c r="I314" i="3"/>
  <c r="H314" i="3"/>
  <c r="G314" i="3"/>
  <c r="F314" i="3"/>
  <c r="J313" i="3"/>
  <c r="I313" i="3"/>
  <c r="H313" i="3"/>
  <c r="G313" i="3"/>
  <c r="F313" i="3"/>
  <c r="J312" i="3"/>
  <c r="I312" i="3"/>
  <c r="H312" i="3"/>
  <c r="G312" i="3"/>
  <c r="F312" i="3"/>
  <c r="J311" i="3"/>
  <c r="I311" i="3"/>
  <c r="H311" i="3"/>
  <c r="G311" i="3"/>
  <c r="F311" i="3"/>
  <c r="J310" i="3"/>
  <c r="I310" i="3"/>
  <c r="H310" i="3"/>
  <c r="G310" i="3"/>
  <c r="F310" i="3"/>
  <c r="J309" i="3"/>
  <c r="I309" i="3"/>
  <c r="H309" i="3"/>
  <c r="G309" i="3"/>
  <c r="F309" i="3"/>
  <c r="J308" i="3"/>
  <c r="I308" i="3"/>
  <c r="H308" i="3"/>
  <c r="G308" i="3"/>
  <c r="F308" i="3"/>
  <c r="J307" i="3"/>
  <c r="I307" i="3"/>
  <c r="H307" i="3"/>
  <c r="G307" i="3"/>
  <c r="F307" i="3"/>
  <c r="J306" i="3"/>
  <c r="I306" i="3"/>
  <c r="H306" i="3"/>
  <c r="G306" i="3"/>
  <c r="F306" i="3"/>
  <c r="J305" i="3"/>
  <c r="I305" i="3"/>
  <c r="H305" i="3"/>
  <c r="G305" i="3"/>
  <c r="F305" i="3"/>
  <c r="J304" i="3"/>
  <c r="I304" i="3"/>
  <c r="H304" i="3"/>
  <c r="G304" i="3"/>
  <c r="F304" i="3"/>
  <c r="J303" i="3"/>
  <c r="I303" i="3"/>
  <c r="H303" i="3"/>
  <c r="G303" i="3"/>
  <c r="F303" i="3"/>
  <c r="J302" i="3"/>
  <c r="I302" i="3"/>
  <c r="H302" i="3"/>
  <c r="G302" i="3"/>
  <c r="F302" i="3"/>
  <c r="J301" i="3"/>
  <c r="I301" i="3"/>
  <c r="H301" i="3"/>
  <c r="G301" i="3"/>
  <c r="F301" i="3"/>
  <c r="J300" i="3"/>
  <c r="I300" i="3"/>
  <c r="H300" i="3"/>
  <c r="G300" i="3"/>
  <c r="F300" i="3"/>
  <c r="J299" i="3"/>
  <c r="I299" i="3"/>
  <c r="H299" i="3"/>
  <c r="G299" i="3"/>
  <c r="F299" i="3"/>
  <c r="J298" i="3"/>
  <c r="I298" i="3"/>
  <c r="H298" i="3"/>
  <c r="G298" i="3"/>
  <c r="F298" i="3"/>
  <c r="J297" i="3"/>
  <c r="I297" i="3"/>
  <c r="H297" i="3"/>
  <c r="G297" i="3"/>
  <c r="F297" i="3"/>
  <c r="J296" i="3"/>
  <c r="I296" i="3"/>
  <c r="H296" i="3"/>
  <c r="G296" i="3"/>
  <c r="F296" i="3"/>
  <c r="J295" i="3"/>
  <c r="I295" i="3"/>
  <c r="H295" i="3"/>
  <c r="G295" i="3"/>
  <c r="F295" i="3"/>
  <c r="J294" i="3"/>
  <c r="I294" i="3"/>
  <c r="H294" i="3"/>
  <c r="G294" i="3"/>
  <c r="F294" i="3"/>
  <c r="J293" i="3"/>
  <c r="I293" i="3"/>
  <c r="H293" i="3"/>
  <c r="G293" i="3"/>
  <c r="F293" i="3"/>
  <c r="J292" i="3"/>
  <c r="I292" i="3"/>
  <c r="H292" i="3"/>
  <c r="G292" i="3"/>
  <c r="F292" i="3"/>
  <c r="J291" i="3"/>
  <c r="I291" i="3"/>
  <c r="H291" i="3"/>
  <c r="G291" i="3"/>
  <c r="F291" i="3"/>
  <c r="J290" i="3"/>
  <c r="I290" i="3"/>
  <c r="H290" i="3"/>
  <c r="G290" i="3"/>
  <c r="F290" i="3"/>
  <c r="J289" i="3"/>
  <c r="I289" i="3"/>
  <c r="H289" i="3"/>
  <c r="G289" i="3"/>
  <c r="F289" i="3"/>
  <c r="J288" i="3"/>
  <c r="I288" i="3"/>
  <c r="H288" i="3"/>
  <c r="G288" i="3"/>
  <c r="F288" i="3"/>
  <c r="J287" i="3"/>
  <c r="I287" i="3"/>
  <c r="H287" i="3"/>
  <c r="G287" i="3"/>
  <c r="F287" i="3"/>
  <c r="J286" i="3"/>
  <c r="I286" i="3"/>
  <c r="H286" i="3"/>
  <c r="G286" i="3"/>
  <c r="F286" i="3"/>
  <c r="J285" i="3"/>
  <c r="I285" i="3"/>
  <c r="H285" i="3"/>
  <c r="G285" i="3"/>
  <c r="F285" i="3"/>
  <c r="J284" i="3"/>
  <c r="I284" i="3"/>
  <c r="H284" i="3"/>
  <c r="G284" i="3"/>
  <c r="F284" i="3"/>
  <c r="J283" i="3"/>
  <c r="I283" i="3"/>
  <c r="H283" i="3"/>
  <c r="G283" i="3"/>
  <c r="F283" i="3"/>
  <c r="J282" i="3"/>
  <c r="I282" i="3"/>
  <c r="H282" i="3"/>
  <c r="G282" i="3"/>
  <c r="F282" i="3"/>
  <c r="J281" i="3"/>
  <c r="I281" i="3"/>
  <c r="H281" i="3"/>
  <c r="G281" i="3"/>
  <c r="F281" i="3"/>
  <c r="J280" i="3"/>
  <c r="I280" i="3"/>
  <c r="H280" i="3"/>
  <c r="G280" i="3"/>
  <c r="F280" i="3"/>
  <c r="J279" i="3"/>
  <c r="I279" i="3"/>
  <c r="H279" i="3"/>
  <c r="G279" i="3"/>
  <c r="F279" i="3"/>
  <c r="J278" i="3"/>
  <c r="I278" i="3"/>
  <c r="H278" i="3"/>
  <c r="G278" i="3"/>
  <c r="F278" i="3"/>
  <c r="J277" i="3"/>
  <c r="I277" i="3"/>
  <c r="H277" i="3"/>
  <c r="G277" i="3"/>
  <c r="F277" i="3"/>
  <c r="J276" i="3"/>
  <c r="I276" i="3"/>
  <c r="H276" i="3"/>
  <c r="G276" i="3"/>
  <c r="F276" i="3"/>
  <c r="J275" i="3"/>
  <c r="I275" i="3"/>
  <c r="H275" i="3"/>
  <c r="G275" i="3"/>
  <c r="F275" i="3"/>
  <c r="J274" i="3"/>
  <c r="I274" i="3"/>
  <c r="H274" i="3"/>
  <c r="G274" i="3"/>
  <c r="F274" i="3"/>
  <c r="J273" i="3"/>
  <c r="I273" i="3"/>
  <c r="H273" i="3"/>
  <c r="G273" i="3"/>
  <c r="F273" i="3"/>
  <c r="J272" i="3"/>
  <c r="I272" i="3"/>
  <c r="H272" i="3"/>
  <c r="G272" i="3"/>
  <c r="F272" i="3"/>
  <c r="J271" i="3"/>
  <c r="I271" i="3"/>
  <c r="H271" i="3"/>
  <c r="G271" i="3"/>
  <c r="F271" i="3"/>
  <c r="J270" i="3"/>
  <c r="I270" i="3"/>
  <c r="H270" i="3"/>
  <c r="G270" i="3"/>
  <c r="F270" i="3"/>
  <c r="J269" i="3"/>
  <c r="I269" i="3"/>
  <c r="H269" i="3"/>
  <c r="G269" i="3"/>
  <c r="F269" i="3"/>
  <c r="J268" i="3"/>
  <c r="I268" i="3"/>
  <c r="H268" i="3"/>
  <c r="G268" i="3"/>
  <c r="F268" i="3"/>
  <c r="J267" i="3"/>
  <c r="I267" i="3"/>
  <c r="H267" i="3"/>
  <c r="G267" i="3"/>
  <c r="F267" i="3"/>
  <c r="J266" i="3"/>
  <c r="I266" i="3"/>
  <c r="H266" i="3"/>
  <c r="G266" i="3"/>
  <c r="F266" i="3"/>
  <c r="J265" i="3"/>
  <c r="I265" i="3"/>
  <c r="H265" i="3"/>
  <c r="G265" i="3"/>
  <c r="F265" i="3"/>
  <c r="J264" i="3"/>
  <c r="I264" i="3"/>
  <c r="H264" i="3"/>
  <c r="G264" i="3"/>
  <c r="F264" i="3"/>
  <c r="J263" i="3"/>
  <c r="I263" i="3"/>
  <c r="H263" i="3"/>
  <c r="G263" i="3"/>
  <c r="F263" i="3"/>
  <c r="J262" i="3"/>
  <c r="I262" i="3"/>
  <c r="H262" i="3"/>
  <c r="G262" i="3"/>
  <c r="F262" i="3"/>
  <c r="J261" i="3"/>
  <c r="I261" i="3"/>
  <c r="H261" i="3"/>
  <c r="G261" i="3"/>
  <c r="F261" i="3"/>
  <c r="J260" i="3"/>
  <c r="I260" i="3"/>
  <c r="H260" i="3"/>
  <c r="G260" i="3"/>
  <c r="F260" i="3"/>
  <c r="J259" i="3"/>
  <c r="I259" i="3"/>
  <c r="H259" i="3"/>
  <c r="G259" i="3"/>
  <c r="F259" i="3"/>
  <c r="J258" i="3"/>
  <c r="I258" i="3"/>
  <c r="H258" i="3"/>
  <c r="G258" i="3"/>
  <c r="F258" i="3"/>
  <c r="J257" i="3"/>
  <c r="I257" i="3"/>
  <c r="H257" i="3"/>
  <c r="G257" i="3"/>
  <c r="F257" i="3"/>
  <c r="J256" i="3"/>
  <c r="I256" i="3"/>
  <c r="H256" i="3"/>
  <c r="G256" i="3"/>
  <c r="F256" i="3"/>
  <c r="J255" i="3"/>
  <c r="I255" i="3"/>
  <c r="H255" i="3"/>
  <c r="G255" i="3"/>
  <c r="F255" i="3"/>
  <c r="J254" i="3"/>
  <c r="I254" i="3"/>
  <c r="H254" i="3"/>
  <c r="G254" i="3"/>
  <c r="F254" i="3"/>
  <c r="J253" i="3"/>
  <c r="I253" i="3"/>
  <c r="H253" i="3"/>
  <c r="G253" i="3"/>
  <c r="F253" i="3"/>
  <c r="J252" i="3"/>
  <c r="I252" i="3"/>
  <c r="H252" i="3"/>
  <c r="G252" i="3"/>
  <c r="F252" i="3"/>
  <c r="J251" i="3"/>
  <c r="I251" i="3"/>
  <c r="H251" i="3"/>
  <c r="G251" i="3"/>
  <c r="F251" i="3"/>
  <c r="J250" i="3"/>
  <c r="I250" i="3"/>
  <c r="H250" i="3"/>
  <c r="G250" i="3"/>
  <c r="F250" i="3"/>
  <c r="J249" i="3"/>
  <c r="I249" i="3"/>
  <c r="H249" i="3"/>
  <c r="G249" i="3"/>
  <c r="F249" i="3"/>
  <c r="J248" i="3"/>
  <c r="I248" i="3"/>
  <c r="H248" i="3"/>
  <c r="G248" i="3"/>
  <c r="F248" i="3"/>
  <c r="J247" i="3"/>
  <c r="I247" i="3"/>
  <c r="H247" i="3"/>
  <c r="G247" i="3"/>
  <c r="F247" i="3"/>
  <c r="J246" i="3"/>
  <c r="I246" i="3"/>
  <c r="H246" i="3"/>
  <c r="G246" i="3"/>
  <c r="F246" i="3"/>
  <c r="J245" i="3"/>
  <c r="I245" i="3"/>
  <c r="H245" i="3"/>
  <c r="G245" i="3"/>
  <c r="F245" i="3"/>
  <c r="J244" i="3"/>
  <c r="I244" i="3"/>
  <c r="H244" i="3"/>
  <c r="G244" i="3"/>
  <c r="F244" i="3"/>
  <c r="J243" i="3"/>
  <c r="I243" i="3"/>
  <c r="H243" i="3"/>
  <c r="G243" i="3"/>
  <c r="F243" i="3"/>
  <c r="J242" i="3"/>
  <c r="I242" i="3"/>
  <c r="H242" i="3"/>
  <c r="G242" i="3"/>
  <c r="F242" i="3"/>
  <c r="J241" i="3"/>
  <c r="I241" i="3"/>
  <c r="H241" i="3"/>
  <c r="G241" i="3"/>
  <c r="F241" i="3"/>
  <c r="J240" i="3"/>
  <c r="I240" i="3"/>
  <c r="H240" i="3"/>
  <c r="G240" i="3"/>
  <c r="F240" i="3"/>
  <c r="J239" i="3"/>
  <c r="I239" i="3"/>
  <c r="H239" i="3"/>
  <c r="G239" i="3"/>
  <c r="F239" i="3"/>
  <c r="J238" i="3"/>
  <c r="I238" i="3"/>
  <c r="H238" i="3"/>
  <c r="G238" i="3"/>
  <c r="F238" i="3"/>
  <c r="J237" i="3"/>
  <c r="I237" i="3"/>
  <c r="H237" i="3"/>
  <c r="G237" i="3"/>
  <c r="F237" i="3"/>
  <c r="J236" i="3"/>
  <c r="I236" i="3"/>
  <c r="H236" i="3"/>
  <c r="G236" i="3"/>
  <c r="F236" i="3"/>
  <c r="J235" i="3"/>
  <c r="I235" i="3"/>
  <c r="H235" i="3"/>
  <c r="G235" i="3"/>
  <c r="F235" i="3"/>
  <c r="J234" i="3"/>
  <c r="I234" i="3"/>
  <c r="H234" i="3"/>
  <c r="G234" i="3"/>
  <c r="F234" i="3"/>
  <c r="J233" i="3"/>
  <c r="I233" i="3"/>
  <c r="H233" i="3"/>
  <c r="G233" i="3"/>
  <c r="F233" i="3"/>
  <c r="J232" i="3"/>
  <c r="I232" i="3"/>
  <c r="H232" i="3"/>
  <c r="G232" i="3"/>
  <c r="F232" i="3"/>
  <c r="J231" i="3"/>
  <c r="I231" i="3"/>
  <c r="H231" i="3"/>
  <c r="G231" i="3"/>
  <c r="F231" i="3"/>
  <c r="J230" i="3"/>
  <c r="I230" i="3"/>
  <c r="H230" i="3"/>
  <c r="G230" i="3"/>
  <c r="F230" i="3"/>
  <c r="J229" i="3"/>
  <c r="I229" i="3"/>
  <c r="H229" i="3"/>
  <c r="G229" i="3"/>
  <c r="F229" i="3"/>
  <c r="J228" i="3"/>
  <c r="I228" i="3"/>
  <c r="H228" i="3"/>
  <c r="G228" i="3"/>
  <c r="F228" i="3"/>
  <c r="J227" i="3"/>
  <c r="I227" i="3"/>
  <c r="H227" i="3"/>
  <c r="G227" i="3"/>
  <c r="F227" i="3"/>
  <c r="J226" i="3"/>
  <c r="I226" i="3"/>
  <c r="H226" i="3"/>
  <c r="G226" i="3"/>
  <c r="F226" i="3"/>
  <c r="J225" i="3"/>
  <c r="I225" i="3"/>
  <c r="H225" i="3"/>
  <c r="G225" i="3"/>
  <c r="F225" i="3"/>
  <c r="J224" i="3"/>
  <c r="I224" i="3"/>
  <c r="H224" i="3"/>
  <c r="G224" i="3"/>
  <c r="F224" i="3"/>
  <c r="J223" i="3"/>
  <c r="I223" i="3"/>
  <c r="H223" i="3"/>
  <c r="G223" i="3"/>
  <c r="F223" i="3"/>
  <c r="J222" i="3"/>
  <c r="I222" i="3"/>
  <c r="H222" i="3"/>
  <c r="G222" i="3"/>
  <c r="F222" i="3"/>
  <c r="J221" i="3"/>
  <c r="I221" i="3"/>
  <c r="H221" i="3"/>
  <c r="G221" i="3"/>
  <c r="F221" i="3"/>
  <c r="J220" i="3"/>
  <c r="I220" i="3"/>
  <c r="H220" i="3"/>
  <c r="G220" i="3"/>
  <c r="F220" i="3"/>
  <c r="J219" i="3"/>
  <c r="I219" i="3"/>
  <c r="H219" i="3"/>
  <c r="G219" i="3"/>
  <c r="F219" i="3"/>
  <c r="J218" i="3"/>
  <c r="I218" i="3"/>
  <c r="H218" i="3"/>
  <c r="G218" i="3"/>
  <c r="F218" i="3"/>
  <c r="J217" i="3"/>
  <c r="I217" i="3"/>
  <c r="H217" i="3"/>
  <c r="G217" i="3"/>
  <c r="F217" i="3"/>
  <c r="J216" i="3"/>
  <c r="I216" i="3"/>
  <c r="H216" i="3"/>
  <c r="G216" i="3"/>
  <c r="F216" i="3"/>
  <c r="J215" i="3"/>
  <c r="I215" i="3"/>
  <c r="H215" i="3"/>
  <c r="G215" i="3"/>
  <c r="F215" i="3"/>
  <c r="J214" i="3"/>
  <c r="I214" i="3"/>
  <c r="H214" i="3"/>
  <c r="G214" i="3"/>
  <c r="F214" i="3"/>
  <c r="J213" i="3"/>
  <c r="I213" i="3"/>
  <c r="H213" i="3"/>
  <c r="G213" i="3"/>
  <c r="F213" i="3"/>
  <c r="J212" i="3"/>
  <c r="I212" i="3"/>
  <c r="H212" i="3"/>
  <c r="G212" i="3"/>
  <c r="F212" i="3"/>
  <c r="J211" i="3"/>
  <c r="I211" i="3"/>
  <c r="H211" i="3"/>
  <c r="G211" i="3"/>
  <c r="F211" i="3"/>
  <c r="J210" i="3"/>
  <c r="I210" i="3"/>
  <c r="H210" i="3"/>
  <c r="G210" i="3"/>
  <c r="F210" i="3"/>
  <c r="J209" i="3"/>
  <c r="I209" i="3"/>
  <c r="H209" i="3"/>
  <c r="G209" i="3"/>
  <c r="F209" i="3"/>
  <c r="J208" i="3"/>
  <c r="I208" i="3"/>
  <c r="H208" i="3"/>
  <c r="G208" i="3"/>
  <c r="F208" i="3"/>
  <c r="J207" i="3"/>
  <c r="I207" i="3"/>
  <c r="H207" i="3"/>
  <c r="G207" i="3"/>
  <c r="F207" i="3"/>
  <c r="J206" i="3"/>
  <c r="I206" i="3"/>
  <c r="H206" i="3"/>
  <c r="G206" i="3"/>
  <c r="F206" i="3"/>
  <c r="J205" i="3"/>
  <c r="I205" i="3"/>
  <c r="H205" i="3"/>
  <c r="G205" i="3"/>
  <c r="F205" i="3"/>
  <c r="J204" i="3"/>
  <c r="I204" i="3"/>
  <c r="H204" i="3"/>
  <c r="G204" i="3"/>
  <c r="F204" i="3"/>
  <c r="J203" i="3"/>
  <c r="I203" i="3"/>
  <c r="H203" i="3"/>
  <c r="G203" i="3"/>
  <c r="F203" i="3"/>
  <c r="J202" i="3"/>
  <c r="I202" i="3"/>
  <c r="H202" i="3"/>
  <c r="G202" i="3"/>
  <c r="F202" i="3"/>
  <c r="J201" i="3"/>
  <c r="I201" i="3"/>
  <c r="H201" i="3"/>
  <c r="G201" i="3"/>
  <c r="F201" i="3"/>
  <c r="J200" i="3"/>
  <c r="I200" i="3"/>
  <c r="H200" i="3"/>
  <c r="G200" i="3"/>
  <c r="F200" i="3"/>
  <c r="J199" i="3"/>
  <c r="I199" i="3"/>
  <c r="H199" i="3"/>
  <c r="G199" i="3"/>
  <c r="F199" i="3"/>
  <c r="J198" i="3"/>
  <c r="I198" i="3"/>
  <c r="H198" i="3"/>
  <c r="G198" i="3"/>
  <c r="F198" i="3"/>
  <c r="J197" i="3"/>
  <c r="I197" i="3"/>
  <c r="H197" i="3"/>
  <c r="G197" i="3"/>
  <c r="F197" i="3"/>
  <c r="J196" i="3"/>
  <c r="I196" i="3"/>
  <c r="H196" i="3"/>
  <c r="G196" i="3"/>
  <c r="F196" i="3"/>
  <c r="J195" i="3"/>
  <c r="I195" i="3"/>
  <c r="H195" i="3"/>
  <c r="G195" i="3"/>
  <c r="F195" i="3"/>
  <c r="J194" i="3"/>
  <c r="I194" i="3"/>
  <c r="H194" i="3"/>
  <c r="G194" i="3"/>
  <c r="F194" i="3"/>
  <c r="J193" i="3"/>
  <c r="I193" i="3"/>
  <c r="H193" i="3"/>
  <c r="G193" i="3"/>
  <c r="F193" i="3"/>
  <c r="J192" i="3"/>
  <c r="I192" i="3"/>
  <c r="H192" i="3"/>
  <c r="G192" i="3"/>
  <c r="F192" i="3"/>
  <c r="J191" i="3"/>
  <c r="I191" i="3"/>
  <c r="H191" i="3"/>
  <c r="G191" i="3"/>
  <c r="F191" i="3"/>
  <c r="J190" i="3"/>
  <c r="I190" i="3"/>
  <c r="H190" i="3"/>
  <c r="G190" i="3"/>
  <c r="F190" i="3"/>
  <c r="J189" i="3"/>
  <c r="I189" i="3"/>
  <c r="H189" i="3"/>
  <c r="G189" i="3"/>
  <c r="F189" i="3"/>
  <c r="J188" i="3"/>
  <c r="I188" i="3"/>
  <c r="H188" i="3"/>
  <c r="G188" i="3"/>
  <c r="F188" i="3"/>
  <c r="J187" i="3"/>
  <c r="I187" i="3"/>
  <c r="H187" i="3"/>
  <c r="G187" i="3"/>
  <c r="F187" i="3"/>
  <c r="J186" i="3"/>
  <c r="I186" i="3"/>
  <c r="H186" i="3"/>
  <c r="G186" i="3"/>
  <c r="F186" i="3"/>
  <c r="J185" i="3"/>
  <c r="I185" i="3"/>
  <c r="H185" i="3"/>
  <c r="G185" i="3"/>
  <c r="F185" i="3"/>
  <c r="J184" i="3"/>
  <c r="I184" i="3"/>
  <c r="H184" i="3"/>
  <c r="G184" i="3"/>
  <c r="F184" i="3"/>
  <c r="J183" i="3"/>
  <c r="I183" i="3"/>
  <c r="H183" i="3"/>
  <c r="G183" i="3"/>
  <c r="F183" i="3"/>
  <c r="J182" i="3"/>
  <c r="I182" i="3"/>
  <c r="H182" i="3"/>
  <c r="G182" i="3"/>
  <c r="F182" i="3"/>
  <c r="J181" i="3"/>
  <c r="I181" i="3"/>
  <c r="H181" i="3"/>
  <c r="G181" i="3"/>
  <c r="F181" i="3"/>
  <c r="J180" i="3"/>
  <c r="I180" i="3"/>
  <c r="H180" i="3"/>
  <c r="G180" i="3"/>
  <c r="F180" i="3"/>
  <c r="J179" i="3"/>
  <c r="I179" i="3"/>
  <c r="H179" i="3"/>
  <c r="G179" i="3"/>
  <c r="F179" i="3"/>
  <c r="J178" i="3"/>
  <c r="I178" i="3"/>
  <c r="H178" i="3"/>
  <c r="G178" i="3"/>
  <c r="F178" i="3"/>
  <c r="J177" i="3"/>
  <c r="I177" i="3"/>
  <c r="H177" i="3"/>
  <c r="G177" i="3"/>
  <c r="F177" i="3"/>
  <c r="J176" i="3"/>
  <c r="I176" i="3"/>
  <c r="H176" i="3"/>
  <c r="G176" i="3"/>
  <c r="F176" i="3"/>
  <c r="J175" i="3"/>
  <c r="I175" i="3"/>
  <c r="H175" i="3"/>
  <c r="G175" i="3"/>
  <c r="F175" i="3"/>
  <c r="J174" i="3"/>
  <c r="I174" i="3"/>
  <c r="H174" i="3"/>
  <c r="G174" i="3"/>
  <c r="F174" i="3"/>
  <c r="J173" i="3"/>
  <c r="I173" i="3"/>
  <c r="H173" i="3"/>
  <c r="G173" i="3"/>
  <c r="F173" i="3"/>
  <c r="J172" i="3"/>
  <c r="I172" i="3"/>
  <c r="H172" i="3"/>
  <c r="G172" i="3"/>
  <c r="F172" i="3"/>
  <c r="J171" i="3"/>
  <c r="I171" i="3"/>
  <c r="H171" i="3"/>
  <c r="G171" i="3"/>
  <c r="F171" i="3"/>
  <c r="J170" i="3"/>
  <c r="I170" i="3"/>
  <c r="H170" i="3"/>
  <c r="G170" i="3"/>
  <c r="F170" i="3"/>
  <c r="J169" i="3"/>
  <c r="I169" i="3"/>
  <c r="H169" i="3"/>
  <c r="G169" i="3"/>
  <c r="F169" i="3"/>
  <c r="J168" i="3"/>
  <c r="I168" i="3"/>
  <c r="H168" i="3"/>
  <c r="G168" i="3"/>
  <c r="F168" i="3"/>
  <c r="J167" i="3"/>
  <c r="I167" i="3"/>
  <c r="H167" i="3"/>
  <c r="G167" i="3"/>
  <c r="F167" i="3"/>
  <c r="J166" i="3"/>
  <c r="I166" i="3"/>
  <c r="H166" i="3"/>
  <c r="G166" i="3"/>
  <c r="F166" i="3"/>
  <c r="J165" i="3"/>
  <c r="I165" i="3"/>
  <c r="H165" i="3"/>
  <c r="G165" i="3"/>
  <c r="F165" i="3"/>
  <c r="J164" i="3"/>
  <c r="I164" i="3"/>
  <c r="H164" i="3"/>
  <c r="G164" i="3"/>
  <c r="F164" i="3"/>
  <c r="J163" i="3"/>
  <c r="I163" i="3"/>
  <c r="H163" i="3"/>
  <c r="G163" i="3"/>
  <c r="F163" i="3"/>
  <c r="J162" i="3"/>
  <c r="I162" i="3"/>
  <c r="H162" i="3"/>
  <c r="G162" i="3"/>
  <c r="F162" i="3"/>
  <c r="J161" i="3"/>
  <c r="I161" i="3"/>
  <c r="H161" i="3"/>
  <c r="G161" i="3"/>
  <c r="F161" i="3"/>
  <c r="J160" i="3"/>
  <c r="I160" i="3"/>
  <c r="H160" i="3"/>
  <c r="G160" i="3"/>
  <c r="F160" i="3"/>
  <c r="J159" i="3"/>
  <c r="I159" i="3"/>
  <c r="H159" i="3"/>
  <c r="G159" i="3"/>
  <c r="F159" i="3"/>
  <c r="J158" i="3"/>
  <c r="I158" i="3"/>
  <c r="H158" i="3"/>
  <c r="G158" i="3"/>
  <c r="F158" i="3"/>
  <c r="J157" i="3"/>
  <c r="I157" i="3"/>
  <c r="H157" i="3"/>
  <c r="G157" i="3"/>
  <c r="F157" i="3"/>
  <c r="J156" i="3"/>
  <c r="I156" i="3"/>
  <c r="H156" i="3"/>
  <c r="G156" i="3"/>
  <c r="F156" i="3"/>
  <c r="J155" i="3"/>
  <c r="I155" i="3"/>
  <c r="H155" i="3"/>
  <c r="G155" i="3"/>
  <c r="F155" i="3"/>
  <c r="J154" i="3"/>
  <c r="I154" i="3"/>
  <c r="H154" i="3"/>
  <c r="G154" i="3"/>
  <c r="F154" i="3"/>
  <c r="J153" i="3"/>
  <c r="I153" i="3"/>
  <c r="H153" i="3"/>
  <c r="G153" i="3"/>
  <c r="F153" i="3"/>
  <c r="J152" i="3"/>
  <c r="I152" i="3"/>
  <c r="H152" i="3"/>
  <c r="G152" i="3"/>
  <c r="F152" i="3"/>
  <c r="J151" i="3"/>
  <c r="I151" i="3"/>
  <c r="H151" i="3"/>
  <c r="G151" i="3"/>
  <c r="F151" i="3"/>
  <c r="J150" i="3"/>
  <c r="I150" i="3"/>
  <c r="H150" i="3"/>
  <c r="G150" i="3"/>
  <c r="F150" i="3"/>
  <c r="J149" i="3"/>
  <c r="I149" i="3"/>
  <c r="H149" i="3"/>
  <c r="G149" i="3"/>
  <c r="F149" i="3"/>
  <c r="J148" i="3"/>
  <c r="I148" i="3"/>
  <c r="H148" i="3"/>
  <c r="G148" i="3"/>
  <c r="F148" i="3"/>
  <c r="J147" i="3"/>
  <c r="I147" i="3"/>
  <c r="H147" i="3"/>
  <c r="G147" i="3"/>
  <c r="F147" i="3"/>
  <c r="J146" i="3"/>
  <c r="I146" i="3"/>
  <c r="H146" i="3"/>
  <c r="G146" i="3"/>
  <c r="F146" i="3"/>
  <c r="J145" i="3"/>
  <c r="I145" i="3"/>
  <c r="H145" i="3"/>
  <c r="G145" i="3"/>
  <c r="F145" i="3"/>
  <c r="J144" i="3"/>
  <c r="I144" i="3"/>
  <c r="H144" i="3"/>
  <c r="G144" i="3"/>
  <c r="F144" i="3"/>
  <c r="J143" i="3"/>
  <c r="I143" i="3"/>
  <c r="H143" i="3"/>
  <c r="G143" i="3"/>
  <c r="F143" i="3"/>
  <c r="J142" i="3"/>
  <c r="I142" i="3"/>
  <c r="H142" i="3"/>
  <c r="G142" i="3"/>
  <c r="F142" i="3"/>
  <c r="J141" i="3"/>
  <c r="I141" i="3"/>
  <c r="H141" i="3"/>
  <c r="G141" i="3"/>
  <c r="F141" i="3"/>
  <c r="J140" i="3"/>
  <c r="I140" i="3"/>
  <c r="H140" i="3"/>
  <c r="G140" i="3"/>
  <c r="F140" i="3"/>
  <c r="J139" i="3"/>
  <c r="I139" i="3"/>
  <c r="H139" i="3"/>
  <c r="G139" i="3"/>
  <c r="F139" i="3"/>
  <c r="J138" i="3"/>
  <c r="I138" i="3"/>
  <c r="H138" i="3"/>
  <c r="G138" i="3"/>
  <c r="F138" i="3"/>
  <c r="J137" i="3"/>
  <c r="I137" i="3"/>
  <c r="H137" i="3"/>
  <c r="G137" i="3"/>
  <c r="F137" i="3"/>
  <c r="J136" i="3"/>
  <c r="I136" i="3"/>
  <c r="H136" i="3"/>
  <c r="G136" i="3"/>
  <c r="F136" i="3"/>
  <c r="J135" i="3"/>
  <c r="I135" i="3"/>
  <c r="H135" i="3"/>
  <c r="G135" i="3"/>
  <c r="F135" i="3"/>
  <c r="J134" i="3"/>
  <c r="I134" i="3"/>
  <c r="H134" i="3"/>
  <c r="G134" i="3"/>
  <c r="F134" i="3"/>
  <c r="J133" i="3"/>
  <c r="I133" i="3"/>
  <c r="H133" i="3"/>
  <c r="G133" i="3"/>
  <c r="F133" i="3"/>
  <c r="J132" i="3"/>
  <c r="I132" i="3"/>
  <c r="H132" i="3"/>
  <c r="G132" i="3"/>
  <c r="F132" i="3"/>
  <c r="J131" i="3"/>
  <c r="I131" i="3"/>
  <c r="H131" i="3"/>
  <c r="G131" i="3"/>
  <c r="F131" i="3"/>
  <c r="J130" i="3"/>
  <c r="I130" i="3"/>
  <c r="H130" i="3"/>
  <c r="G130" i="3"/>
  <c r="F130" i="3"/>
  <c r="J129" i="3"/>
  <c r="I129" i="3"/>
  <c r="H129" i="3"/>
  <c r="G129" i="3"/>
  <c r="F129" i="3"/>
  <c r="J128" i="3"/>
  <c r="I128" i="3"/>
  <c r="H128" i="3"/>
  <c r="G128" i="3"/>
  <c r="F128" i="3"/>
  <c r="J127" i="3"/>
  <c r="I127" i="3"/>
  <c r="H127" i="3"/>
  <c r="G127" i="3"/>
  <c r="F127" i="3"/>
  <c r="J126" i="3"/>
  <c r="I126" i="3"/>
  <c r="H126" i="3"/>
  <c r="G126" i="3"/>
  <c r="F126" i="3"/>
  <c r="J125" i="3"/>
  <c r="I125" i="3"/>
  <c r="H125" i="3"/>
  <c r="G125" i="3"/>
  <c r="F125" i="3"/>
  <c r="J124" i="3"/>
  <c r="I124" i="3"/>
  <c r="H124" i="3"/>
  <c r="G124" i="3"/>
  <c r="F124" i="3"/>
  <c r="J123" i="3"/>
  <c r="I123" i="3"/>
  <c r="H123" i="3"/>
  <c r="G123" i="3"/>
  <c r="F123" i="3"/>
  <c r="J122" i="3"/>
  <c r="I122" i="3"/>
  <c r="H122" i="3"/>
  <c r="G122" i="3"/>
  <c r="F122" i="3"/>
  <c r="J121" i="3"/>
  <c r="I121" i="3"/>
  <c r="H121" i="3"/>
  <c r="G121" i="3"/>
  <c r="F121" i="3"/>
  <c r="J120" i="3"/>
  <c r="I120" i="3"/>
  <c r="H120" i="3"/>
  <c r="G120" i="3"/>
  <c r="F120" i="3"/>
  <c r="J119" i="3"/>
  <c r="I119" i="3"/>
  <c r="H119" i="3"/>
  <c r="G119" i="3"/>
  <c r="F119" i="3"/>
  <c r="J118" i="3"/>
  <c r="I118" i="3"/>
  <c r="H118" i="3"/>
  <c r="G118" i="3"/>
  <c r="F118" i="3"/>
  <c r="J117" i="3"/>
  <c r="I117" i="3"/>
  <c r="H117" i="3"/>
  <c r="G117" i="3"/>
  <c r="F117" i="3"/>
  <c r="J116" i="3"/>
  <c r="I116" i="3"/>
  <c r="H116" i="3"/>
  <c r="G116" i="3"/>
  <c r="F116" i="3"/>
  <c r="J115" i="3"/>
  <c r="I115" i="3"/>
  <c r="H115" i="3"/>
  <c r="G115" i="3"/>
  <c r="F115" i="3"/>
  <c r="J114" i="3"/>
  <c r="I114" i="3"/>
  <c r="H114" i="3"/>
  <c r="G114" i="3"/>
  <c r="F114" i="3"/>
  <c r="J113" i="3"/>
  <c r="I113" i="3"/>
  <c r="H113" i="3"/>
  <c r="G113" i="3"/>
  <c r="F113" i="3"/>
  <c r="J112" i="3"/>
  <c r="I112" i="3"/>
  <c r="H112" i="3"/>
  <c r="G112" i="3"/>
  <c r="F112" i="3"/>
  <c r="J111" i="3"/>
  <c r="I111" i="3"/>
  <c r="H111" i="3"/>
  <c r="G111" i="3"/>
  <c r="F111" i="3"/>
  <c r="J110" i="3"/>
  <c r="I110" i="3"/>
  <c r="H110" i="3"/>
  <c r="G110" i="3"/>
  <c r="F110" i="3"/>
  <c r="J109" i="3"/>
  <c r="I109" i="3"/>
  <c r="H109" i="3"/>
  <c r="G109" i="3"/>
  <c r="F109" i="3"/>
  <c r="J108" i="3"/>
  <c r="I108" i="3"/>
  <c r="H108" i="3"/>
  <c r="G108" i="3"/>
  <c r="F108" i="3"/>
  <c r="J107" i="3"/>
  <c r="I107" i="3"/>
  <c r="H107" i="3"/>
  <c r="G107" i="3"/>
  <c r="F107" i="3"/>
  <c r="J106" i="3"/>
  <c r="I106" i="3"/>
  <c r="H106" i="3"/>
  <c r="G106" i="3"/>
  <c r="F106" i="3"/>
  <c r="J105" i="3"/>
  <c r="I105" i="3"/>
  <c r="H105" i="3"/>
  <c r="G105" i="3"/>
  <c r="F105" i="3"/>
  <c r="J104" i="3"/>
  <c r="I104" i="3"/>
  <c r="H104" i="3"/>
  <c r="G104" i="3"/>
  <c r="F104" i="3"/>
  <c r="J103" i="3"/>
  <c r="I103" i="3"/>
  <c r="H103" i="3"/>
  <c r="G103" i="3"/>
  <c r="F103" i="3"/>
  <c r="J102" i="3"/>
  <c r="I102" i="3"/>
  <c r="H102" i="3"/>
  <c r="G102" i="3"/>
  <c r="F102" i="3"/>
  <c r="J101" i="3"/>
  <c r="I101" i="3"/>
  <c r="H101" i="3"/>
  <c r="G101" i="3"/>
  <c r="F101" i="3"/>
  <c r="J100" i="3"/>
  <c r="I100" i="3"/>
  <c r="H100" i="3"/>
  <c r="G100" i="3"/>
  <c r="F100" i="3"/>
  <c r="J99" i="3"/>
  <c r="I99" i="3"/>
  <c r="H99" i="3"/>
  <c r="G99" i="3"/>
  <c r="F99" i="3"/>
  <c r="J98" i="3"/>
  <c r="I98" i="3"/>
  <c r="H98" i="3"/>
  <c r="G98" i="3"/>
  <c r="F98" i="3"/>
  <c r="J97" i="3"/>
  <c r="I97" i="3"/>
  <c r="H97" i="3"/>
  <c r="G97" i="3"/>
  <c r="F97" i="3"/>
  <c r="J96" i="3"/>
  <c r="I96" i="3"/>
  <c r="H96" i="3"/>
  <c r="G96" i="3"/>
  <c r="F96" i="3"/>
  <c r="J95" i="3"/>
  <c r="I95" i="3"/>
  <c r="H95" i="3"/>
  <c r="G95" i="3"/>
  <c r="F95" i="3"/>
  <c r="J94" i="3"/>
  <c r="I94" i="3"/>
  <c r="H94" i="3"/>
  <c r="G94" i="3"/>
  <c r="F94" i="3"/>
  <c r="J93" i="3"/>
  <c r="I93" i="3"/>
  <c r="H93" i="3"/>
  <c r="G93" i="3"/>
  <c r="F93" i="3"/>
  <c r="J92" i="3"/>
  <c r="I92" i="3"/>
  <c r="H92" i="3"/>
  <c r="G92" i="3"/>
  <c r="F92" i="3"/>
  <c r="J91" i="3"/>
  <c r="I91" i="3"/>
  <c r="H91" i="3"/>
  <c r="G91" i="3"/>
  <c r="F91" i="3"/>
  <c r="J90" i="3"/>
  <c r="I90" i="3"/>
  <c r="H90" i="3"/>
  <c r="G90" i="3"/>
  <c r="F90" i="3"/>
  <c r="J89" i="3"/>
  <c r="I89" i="3"/>
  <c r="H89" i="3"/>
  <c r="G89" i="3"/>
  <c r="F89" i="3"/>
  <c r="J88" i="3"/>
  <c r="I88" i="3"/>
  <c r="H88" i="3"/>
  <c r="G88" i="3"/>
  <c r="F88" i="3"/>
  <c r="J87" i="3"/>
  <c r="I87" i="3"/>
  <c r="H87" i="3"/>
  <c r="G87" i="3"/>
  <c r="F87" i="3"/>
  <c r="J86" i="3"/>
  <c r="I86" i="3"/>
  <c r="H86" i="3"/>
  <c r="G86" i="3"/>
  <c r="F86" i="3"/>
  <c r="J85" i="3"/>
  <c r="I85" i="3"/>
  <c r="H85" i="3"/>
  <c r="G85" i="3"/>
  <c r="F85" i="3"/>
  <c r="J84" i="3"/>
  <c r="I84" i="3"/>
  <c r="H84" i="3"/>
  <c r="G84" i="3"/>
  <c r="F84" i="3"/>
  <c r="J83" i="3"/>
  <c r="I83" i="3"/>
  <c r="H83" i="3"/>
  <c r="G83" i="3"/>
  <c r="F83" i="3"/>
  <c r="J82" i="3"/>
  <c r="I82" i="3"/>
  <c r="H82" i="3"/>
  <c r="G82" i="3"/>
  <c r="F82" i="3"/>
  <c r="J81" i="3"/>
  <c r="I81" i="3"/>
  <c r="H81" i="3"/>
  <c r="G81" i="3"/>
  <c r="F81" i="3"/>
  <c r="J80" i="3"/>
  <c r="I80" i="3"/>
  <c r="H80" i="3"/>
  <c r="G80" i="3"/>
  <c r="F80" i="3"/>
  <c r="J79" i="3"/>
  <c r="I79" i="3"/>
  <c r="H79" i="3"/>
  <c r="G79" i="3"/>
  <c r="F79" i="3"/>
  <c r="J78" i="3"/>
  <c r="I78" i="3"/>
  <c r="H78" i="3"/>
  <c r="G78" i="3"/>
  <c r="F78" i="3"/>
  <c r="J77" i="3"/>
  <c r="I77" i="3"/>
  <c r="H77" i="3"/>
  <c r="G77" i="3"/>
  <c r="F77" i="3"/>
  <c r="J76" i="3"/>
  <c r="I76" i="3"/>
  <c r="H76" i="3"/>
  <c r="G76" i="3"/>
  <c r="F76" i="3"/>
  <c r="J75" i="3"/>
  <c r="I75" i="3"/>
  <c r="H75" i="3"/>
  <c r="G75" i="3"/>
  <c r="F75" i="3"/>
  <c r="J74" i="3"/>
  <c r="I74" i="3"/>
  <c r="H74" i="3"/>
  <c r="G74" i="3"/>
  <c r="F74" i="3"/>
  <c r="J73" i="3"/>
  <c r="I73" i="3"/>
  <c r="H73" i="3"/>
  <c r="G73" i="3"/>
  <c r="F73" i="3"/>
  <c r="J72" i="3"/>
  <c r="I72" i="3"/>
  <c r="H72" i="3"/>
  <c r="G72" i="3"/>
  <c r="F72" i="3"/>
  <c r="J71" i="3"/>
  <c r="I71" i="3"/>
  <c r="H71" i="3"/>
  <c r="G71" i="3"/>
  <c r="F71" i="3"/>
  <c r="J70" i="3"/>
  <c r="I70" i="3"/>
  <c r="H70" i="3"/>
  <c r="G70" i="3"/>
  <c r="F70" i="3"/>
  <c r="J69" i="3"/>
  <c r="I69" i="3"/>
  <c r="H69" i="3"/>
  <c r="G69" i="3"/>
  <c r="F69" i="3"/>
  <c r="J68" i="3"/>
  <c r="I68" i="3"/>
  <c r="H68" i="3"/>
  <c r="G68" i="3"/>
  <c r="F68" i="3"/>
  <c r="J67" i="3"/>
  <c r="I67" i="3"/>
  <c r="H67" i="3"/>
  <c r="G67" i="3"/>
  <c r="F67" i="3"/>
  <c r="J66" i="3"/>
  <c r="I66" i="3"/>
  <c r="H66" i="3"/>
  <c r="G66" i="3"/>
  <c r="F66" i="3"/>
  <c r="J65" i="3"/>
  <c r="I65" i="3"/>
  <c r="H65" i="3"/>
  <c r="G65" i="3"/>
  <c r="F65" i="3"/>
  <c r="J64" i="3"/>
  <c r="I64" i="3"/>
  <c r="H64" i="3"/>
  <c r="G64" i="3"/>
  <c r="F64" i="3"/>
  <c r="J63" i="3"/>
  <c r="I63" i="3"/>
  <c r="H63" i="3"/>
  <c r="G63" i="3"/>
  <c r="F63" i="3"/>
  <c r="J62" i="3"/>
  <c r="I62" i="3"/>
  <c r="H62" i="3"/>
  <c r="G62" i="3"/>
  <c r="F62" i="3"/>
  <c r="J61" i="3"/>
  <c r="I61" i="3"/>
  <c r="H61" i="3"/>
  <c r="G61" i="3"/>
  <c r="F61" i="3"/>
  <c r="J60" i="3"/>
  <c r="I60" i="3"/>
  <c r="H60" i="3"/>
  <c r="G60" i="3"/>
  <c r="F60" i="3"/>
  <c r="J59" i="3"/>
  <c r="I59" i="3"/>
  <c r="H59" i="3"/>
  <c r="G59" i="3"/>
  <c r="F59" i="3"/>
  <c r="J58" i="3"/>
  <c r="I58" i="3"/>
  <c r="H58" i="3"/>
  <c r="G58" i="3"/>
  <c r="F58" i="3"/>
  <c r="J57" i="3"/>
  <c r="I57" i="3"/>
  <c r="H57" i="3"/>
  <c r="G57" i="3"/>
  <c r="F57" i="3"/>
  <c r="J56" i="3"/>
  <c r="I56" i="3"/>
  <c r="H56" i="3"/>
  <c r="G56" i="3"/>
  <c r="F56" i="3"/>
  <c r="J55" i="3"/>
  <c r="I55" i="3"/>
  <c r="H55" i="3"/>
  <c r="G55" i="3"/>
  <c r="F55" i="3"/>
  <c r="J54" i="3"/>
  <c r="I54" i="3"/>
  <c r="H54" i="3"/>
  <c r="G54" i="3"/>
  <c r="F54" i="3"/>
  <c r="J53" i="3"/>
  <c r="I53" i="3"/>
  <c r="H53" i="3"/>
  <c r="G53" i="3"/>
  <c r="F53" i="3"/>
  <c r="J52" i="3"/>
  <c r="I52" i="3"/>
  <c r="H52" i="3"/>
  <c r="G52" i="3"/>
  <c r="F52" i="3"/>
  <c r="J51" i="3"/>
  <c r="I51" i="3"/>
  <c r="H51" i="3"/>
  <c r="G51" i="3"/>
  <c r="F51" i="3"/>
  <c r="J50" i="3"/>
  <c r="I50" i="3"/>
  <c r="H50" i="3"/>
  <c r="G50" i="3"/>
  <c r="F50" i="3"/>
  <c r="J49" i="3"/>
  <c r="I49" i="3"/>
  <c r="H49" i="3"/>
  <c r="G49" i="3"/>
  <c r="F49" i="3"/>
  <c r="J48" i="3"/>
  <c r="I48" i="3"/>
  <c r="H48" i="3"/>
  <c r="G48" i="3"/>
  <c r="F48" i="3"/>
  <c r="J47" i="3"/>
  <c r="I47" i="3"/>
  <c r="H47" i="3"/>
  <c r="G47" i="3"/>
  <c r="F47" i="3"/>
  <c r="J46" i="3"/>
  <c r="I46" i="3"/>
  <c r="H46" i="3"/>
  <c r="G46" i="3"/>
  <c r="F46" i="3"/>
  <c r="J45" i="3"/>
  <c r="I45" i="3"/>
  <c r="H45" i="3"/>
  <c r="G45" i="3"/>
  <c r="F45" i="3"/>
  <c r="J44" i="3"/>
  <c r="I44" i="3"/>
  <c r="H44" i="3"/>
  <c r="G44" i="3"/>
  <c r="F44" i="3"/>
  <c r="J43" i="3"/>
  <c r="I43" i="3"/>
  <c r="H43" i="3"/>
  <c r="G43" i="3"/>
  <c r="F43" i="3"/>
  <c r="J42" i="3"/>
  <c r="I42" i="3"/>
  <c r="H42" i="3"/>
  <c r="G42" i="3"/>
  <c r="F42" i="3"/>
  <c r="J41" i="3"/>
  <c r="I41" i="3"/>
  <c r="H41" i="3"/>
  <c r="G41" i="3"/>
  <c r="F41" i="3"/>
  <c r="J40" i="3"/>
  <c r="I40" i="3"/>
  <c r="H40" i="3"/>
  <c r="G40" i="3"/>
  <c r="F40" i="3"/>
  <c r="J39" i="3"/>
  <c r="I39" i="3"/>
  <c r="H39" i="3"/>
  <c r="G39" i="3"/>
  <c r="F39" i="3"/>
  <c r="J38" i="3"/>
  <c r="I38" i="3"/>
  <c r="H38" i="3"/>
  <c r="G38" i="3"/>
  <c r="F38" i="3"/>
  <c r="J37" i="3"/>
  <c r="I37" i="3"/>
  <c r="H37" i="3"/>
  <c r="G37" i="3"/>
  <c r="F37" i="3"/>
  <c r="J36" i="3"/>
  <c r="I36" i="3"/>
  <c r="H36" i="3"/>
  <c r="G36" i="3"/>
  <c r="F36" i="3"/>
  <c r="J35" i="3"/>
  <c r="I35" i="3"/>
  <c r="H35" i="3"/>
  <c r="G35" i="3"/>
  <c r="F35" i="3"/>
  <c r="J34" i="3"/>
  <c r="I34" i="3"/>
  <c r="H34" i="3"/>
  <c r="G34" i="3"/>
  <c r="F34" i="3"/>
  <c r="J33" i="3"/>
  <c r="I33" i="3"/>
  <c r="H33" i="3"/>
  <c r="G33" i="3"/>
  <c r="F33" i="3"/>
  <c r="J32" i="3"/>
  <c r="I32" i="3"/>
  <c r="H32" i="3"/>
  <c r="G32" i="3"/>
  <c r="F32" i="3"/>
  <c r="J31" i="3"/>
  <c r="I31" i="3"/>
  <c r="H31" i="3"/>
  <c r="G31" i="3"/>
  <c r="F31" i="3"/>
  <c r="J30" i="3"/>
  <c r="I30" i="3"/>
  <c r="H30" i="3"/>
  <c r="G30" i="3"/>
  <c r="F30" i="3"/>
  <c r="J29" i="3"/>
  <c r="I29" i="3"/>
  <c r="H29" i="3"/>
  <c r="G29" i="3"/>
  <c r="F29" i="3"/>
  <c r="J28" i="3"/>
  <c r="I28" i="3"/>
  <c r="H28" i="3"/>
  <c r="G28" i="3"/>
  <c r="F28" i="3"/>
  <c r="J27" i="3"/>
  <c r="I27" i="3"/>
  <c r="H27" i="3"/>
  <c r="G27" i="3"/>
  <c r="F27" i="3"/>
  <c r="J26" i="3"/>
  <c r="I26" i="3"/>
  <c r="H26" i="3"/>
  <c r="G26" i="3"/>
  <c r="F26" i="3"/>
  <c r="J25" i="3"/>
  <c r="I25" i="3"/>
  <c r="H25" i="3"/>
  <c r="G25" i="3"/>
  <c r="F25" i="3"/>
  <c r="J24" i="3"/>
  <c r="I24" i="3"/>
  <c r="H24" i="3"/>
  <c r="G24" i="3"/>
  <c r="F24" i="3"/>
  <c r="J23" i="3"/>
  <c r="I23" i="3"/>
  <c r="H23" i="3"/>
  <c r="G23" i="3"/>
  <c r="F23" i="3"/>
  <c r="J22" i="3"/>
  <c r="I22" i="3"/>
  <c r="H22" i="3"/>
  <c r="G22" i="3"/>
  <c r="F22" i="3"/>
  <c r="J21" i="3"/>
  <c r="I21" i="3"/>
  <c r="H21" i="3"/>
  <c r="G21" i="3"/>
  <c r="F21" i="3"/>
  <c r="J20" i="3"/>
  <c r="I20" i="3"/>
  <c r="H20" i="3"/>
  <c r="G20" i="3"/>
  <c r="F20" i="3"/>
  <c r="J19" i="3"/>
  <c r="I19" i="3"/>
  <c r="H19" i="3"/>
  <c r="G19" i="3"/>
  <c r="F19" i="3"/>
  <c r="J18" i="3"/>
  <c r="I18" i="3"/>
  <c r="H18" i="3"/>
  <c r="G18" i="3"/>
  <c r="F18" i="3"/>
  <c r="J17" i="3"/>
  <c r="I17" i="3"/>
  <c r="H17" i="3"/>
  <c r="G17" i="3"/>
  <c r="F17" i="3"/>
  <c r="J16" i="3"/>
  <c r="I16" i="3"/>
  <c r="H16" i="3"/>
  <c r="G16" i="3"/>
  <c r="F16" i="3"/>
  <c r="J15" i="3"/>
  <c r="I15" i="3"/>
  <c r="H15" i="3"/>
  <c r="G15" i="3"/>
  <c r="F15" i="3"/>
  <c r="J14" i="3"/>
  <c r="I14" i="3"/>
  <c r="H14" i="3"/>
  <c r="G14" i="3"/>
  <c r="F14" i="3"/>
  <c r="J13" i="3"/>
  <c r="I13" i="3"/>
  <c r="H13" i="3"/>
  <c r="G13" i="3"/>
  <c r="F13" i="3"/>
  <c r="J12" i="3"/>
  <c r="I12" i="3"/>
  <c r="H12" i="3"/>
  <c r="G12" i="3"/>
  <c r="F12" i="3"/>
  <c r="J11" i="3"/>
  <c r="I11" i="3"/>
  <c r="H11" i="3"/>
  <c r="G11" i="3"/>
  <c r="F11" i="3"/>
  <c r="J10" i="3"/>
  <c r="I10" i="3"/>
  <c r="H10" i="3"/>
  <c r="G10" i="3"/>
  <c r="F10" i="3"/>
  <c r="J9" i="3"/>
  <c r="I9" i="3"/>
  <c r="H9" i="3"/>
  <c r="G9" i="3"/>
  <c r="F9" i="3"/>
  <c r="J8" i="3"/>
  <c r="I8" i="3"/>
  <c r="H8" i="3"/>
  <c r="G8" i="3"/>
  <c r="F8" i="3"/>
  <c r="J7" i="3"/>
  <c r="I7" i="3"/>
  <c r="H7" i="3"/>
  <c r="G7" i="3"/>
  <c r="F7" i="3"/>
  <c r="J6" i="3"/>
  <c r="I6" i="3"/>
  <c r="H6" i="3"/>
  <c r="G6" i="3"/>
  <c r="F6" i="3"/>
  <c r="J5" i="3"/>
  <c r="I5" i="3"/>
  <c r="H5" i="3"/>
  <c r="G5" i="3"/>
  <c r="F5" i="3"/>
  <c r="J4" i="3"/>
  <c r="I4" i="3"/>
  <c r="H4" i="3"/>
  <c r="G4" i="3"/>
  <c r="F4" i="3"/>
  <c r="J3" i="3"/>
  <c r="I3" i="3"/>
  <c r="H3" i="3"/>
  <c r="G3" i="3"/>
  <c r="F3" i="3"/>
  <c r="J2" i="3"/>
  <c r="I2" i="3"/>
  <c r="H2" i="3"/>
  <c r="G2" i="3"/>
  <c r="F2" i="3"/>
  <c r="M6" i="2"/>
  <c r="M5" i="2"/>
  <c r="M4" i="2"/>
  <c r="M3" i="2"/>
  <c r="M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2" i="2"/>
  <c r="L5" i="1"/>
  <c r="L4" i="1"/>
  <c r="L3" i="1"/>
  <c r="L2" i="1"/>
  <c r="L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</calcChain>
</file>

<file path=xl/connections.xml><?xml version="1.0" encoding="utf-8"?>
<connections xmlns="http://schemas.openxmlformats.org/spreadsheetml/2006/main">
  <connection id="1" name="wynajem" type="6" refreshedVersion="4" background="1" saveData="1">
    <textPr codePage="852" sourceFile="C:\Users\filip\Downloads\wynajem.txt" decimal="," thousands=" ">
      <textFields count="5">
        <textField/>
        <textField/>
        <textField/>
        <textField/>
        <textField/>
      </textFields>
    </textPr>
  </connection>
  <connection id="2" name="wynajem1" type="6" refreshedVersion="4" background="1" saveData="1">
    <textPr codePage="852" sourceFile="C:\Users\filip\Downloads\wynajem.txt" decimal="," thousands=" ">
      <textFields count="5">
        <textField/>
        <textField/>
        <textField/>
        <textField/>
        <textField/>
      </textFields>
    </textPr>
  </connection>
  <connection id="3" name="wynajem11" type="6" refreshedVersion="4" background="1" saveData="1">
    <textPr codePage="852" sourceFile="C:\Users\filip\Downloads\wynajem.txt" decimal="," thousands=" ">
      <textFields count="5">
        <textField/>
        <textField/>
        <textField/>
        <textField/>
        <textField/>
      </textFields>
    </textPr>
  </connection>
  <connection id="4" name="wynajem111" type="6" refreshedVersion="4" background="1" saveData="1">
    <textPr codePage="852" sourceFile="C:\Users\filip\Downloads\wynajem.txt" decimal="," thousands=" 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<sst xmlns="http://schemas.openxmlformats.org/spreadsheetml/2006/main" count="60" uniqueCount="19">
  <si>
    <t>data_przyjazdu</t>
  </si>
  <si>
    <t>data_wyjazdu</t>
  </si>
  <si>
    <t>energia</t>
  </si>
  <si>
    <t>woda</t>
  </si>
  <si>
    <t>typ</t>
  </si>
  <si>
    <t>typ 2</t>
  </si>
  <si>
    <t>typ 3</t>
  </si>
  <si>
    <t>typ 4</t>
  </si>
  <si>
    <t>typ 5</t>
  </si>
  <si>
    <t>typ 6</t>
  </si>
  <si>
    <t>doby 2</t>
  </si>
  <si>
    <t>doby 3</t>
  </si>
  <si>
    <t>doby 4</t>
  </si>
  <si>
    <t>doby 5</t>
  </si>
  <si>
    <t>doby 6</t>
  </si>
  <si>
    <t>czynsz</t>
  </si>
  <si>
    <t>media</t>
  </si>
  <si>
    <t>łącznie</t>
  </si>
  <si>
    <t>miesiac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</si>
</sst>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1" xfId="0" applyFill="1" applyBorder="1"/>
    <xf numFmtId="0" fontId="0" fillId="4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Łączny koszt mediów</a:t>
            </a:r>
            <a:r>
              <a:rPr lang="pl-PL" baseline="0"/>
              <a:t> [pln] w zależności od miesiąca</a:t>
            </a:r>
            <a:endParaRPr lang="pl-PL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Arkusz4!$V$2:$V$13</c:f>
              <c:numCache>
                <c:formatCode>General</c:formatCode>
                <c:ptCount val="12"/>
                <c:pt idx="0">
                  <c:v>1079.3200000000002</c:v>
                </c:pt>
                <c:pt idx="1">
                  <c:v>613.15000000000009</c:v>
                </c:pt>
                <c:pt idx="2">
                  <c:v>568.22000000000014</c:v>
                </c:pt>
                <c:pt idx="3">
                  <c:v>326.96000000000004</c:v>
                </c:pt>
                <c:pt idx="4">
                  <c:v>304.65999999999997</c:v>
                </c:pt>
                <c:pt idx="5">
                  <c:v>574.59</c:v>
                </c:pt>
                <c:pt idx="6">
                  <c:v>635.59999999999968</c:v>
                </c:pt>
                <c:pt idx="7">
                  <c:v>539.33000000000015</c:v>
                </c:pt>
                <c:pt idx="8">
                  <c:v>1054.1200000000001</c:v>
                </c:pt>
                <c:pt idx="9">
                  <c:v>823.25</c:v>
                </c:pt>
                <c:pt idx="10">
                  <c:v>1118.8</c:v>
                </c:pt>
                <c:pt idx="11">
                  <c:v>905.16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551744"/>
        <c:axId val="196893440"/>
      </c:barChart>
      <c:catAx>
        <c:axId val="155551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Miesiąc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96893440"/>
        <c:crosses val="autoZero"/>
        <c:auto val="1"/>
        <c:lblAlgn val="ctr"/>
        <c:lblOffset val="100"/>
        <c:noMultiLvlLbl val="0"/>
      </c:catAx>
      <c:valAx>
        <c:axId val="19689344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pl-PL"/>
                  <a:t>Łączny</a:t>
                </a:r>
                <a:r>
                  <a:rPr lang="pl-PL" baseline="0"/>
                  <a:t> koszt mediów [pln]</a:t>
                </a:r>
                <a:endParaRPr lang="pl-PL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55517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304800</xdr:colOff>
      <xdr:row>13</xdr:row>
      <xdr:rowOff>121920</xdr:rowOff>
    </xdr:from>
    <xdr:to>
      <xdr:col>30</xdr:col>
      <xdr:colOff>320040</xdr:colOff>
      <xdr:row>36</xdr:row>
      <xdr:rowOff>95250</xdr:rowOff>
    </xdr:to>
    <xdr:graphicFrame macro="">
      <xdr:nvGraphicFramePr>
        <xdr:cNvPr id="3" name="Wykres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wynajem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wynajem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wynajem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wynajem" connectionId="4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topLeftCell="B1" workbookViewId="0">
      <selection activeCell="L7" sqref="L7"/>
    </sheetView>
  </sheetViews>
  <sheetFormatPr defaultRowHeight="14.4" x14ac:dyDescent="0.3"/>
  <cols>
    <col min="1" max="1" width="13.33203125" bestFit="1" customWidth="1"/>
    <col min="2" max="2" width="12.21875" bestFit="1" customWidth="1"/>
    <col min="3" max="3" width="7" bestFit="1" customWidth="1"/>
    <col min="4" max="4" width="5.5546875" bestFit="1" customWidth="1"/>
    <col min="5" max="5" width="3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5</v>
      </c>
      <c r="L1" s="2">
        <f>SUM(F:F)</f>
        <v>204</v>
      </c>
    </row>
    <row r="2" spans="1:12" x14ac:dyDescent="0.3">
      <c r="A2" s="1">
        <v>41641</v>
      </c>
      <c r="B2" s="1">
        <v>41650</v>
      </c>
      <c r="C2">
        <v>39.35</v>
      </c>
      <c r="D2">
        <v>1.04</v>
      </c>
      <c r="E2">
        <v>5</v>
      </c>
      <c r="F2">
        <f>IF(EXACT(E2,2),1,0)</f>
        <v>0</v>
      </c>
      <c r="G2">
        <f>IF(EXACT(E2,3),1,0)</f>
        <v>0</v>
      </c>
      <c r="H2">
        <f>IF(EXACT(E2,4),1,0)</f>
        <v>0</v>
      </c>
      <c r="I2">
        <f>IF(EXACT(E2,5),1,0)</f>
        <v>1</v>
      </c>
      <c r="J2">
        <f>IF(EXACT(E2,6),1,0)</f>
        <v>0</v>
      </c>
      <c r="K2" s="3" t="s">
        <v>6</v>
      </c>
      <c r="L2" s="3">
        <f>SUM(G:G)</f>
        <v>197</v>
      </c>
    </row>
    <row r="3" spans="1:12" x14ac:dyDescent="0.3">
      <c r="A3" s="1">
        <v>41641</v>
      </c>
      <c r="B3" s="1">
        <v>41662</v>
      </c>
      <c r="C3">
        <v>3.79</v>
      </c>
      <c r="D3">
        <v>0.1</v>
      </c>
      <c r="E3">
        <v>6</v>
      </c>
      <c r="F3">
        <f t="shared" ref="F3:F66" si="0">IF(EXACT(E3,2),1,0)</f>
        <v>0</v>
      </c>
      <c r="G3">
        <f t="shared" ref="G3:G66" si="1">IF(EXACT(E3,3),1,0)</f>
        <v>0</v>
      </c>
      <c r="H3">
        <f t="shared" ref="H3:H66" si="2">IF(EXACT(E3,4),1,0)</f>
        <v>0</v>
      </c>
      <c r="I3">
        <f t="shared" ref="I3:I66" si="3">IF(EXACT(E3,5),1,0)</f>
        <v>0</v>
      </c>
      <c r="J3">
        <f t="shared" ref="J3:J66" si="4">IF(EXACT(E3,6),1,0)</f>
        <v>1</v>
      </c>
      <c r="K3" s="3" t="s">
        <v>7</v>
      </c>
      <c r="L3" s="3">
        <f>SUM(H:H)</f>
        <v>200</v>
      </c>
    </row>
    <row r="4" spans="1:12" x14ac:dyDescent="0.3">
      <c r="A4" s="1">
        <v>41641</v>
      </c>
      <c r="B4" s="1">
        <v>41653</v>
      </c>
      <c r="C4">
        <v>3.88</v>
      </c>
      <c r="D4">
        <v>0.1</v>
      </c>
      <c r="E4">
        <v>6</v>
      </c>
      <c r="F4">
        <f t="shared" si="0"/>
        <v>0</v>
      </c>
      <c r="G4">
        <f t="shared" si="1"/>
        <v>0</v>
      </c>
      <c r="H4">
        <f t="shared" si="2"/>
        <v>0</v>
      </c>
      <c r="I4">
        <f t="shared" si="3"/>
        <v>0</v>
      </c>
      <c r="J4">
        <f t="shared" si="4"/>
        <v>1</v>
      </c>
      <c r="K4" s="3" t="s">
        <v>8</v>
      </c>
      <c r="L4" s="3">
        <f>SUM(I:I)</f>
        <v>197</v>
      </c>
    </row>
    <row r="5" spans="1:12" x14ac:dyDescent="0.3">
      <c r="A5" s="1">
        <v>41641</v>
      </c>
      <c r="B5" s="1">
        <v>41661</v>
      </c>
      <c r="C5">
        <v>6.43</v>
      </c>
      <c r="D5">
        <v>0.17</v>
      </c>
      <c r="E5">
        <v>5</v>
      </c>
      <c r="F5">
        <f t="shared" si="0"/>
        <v>0</v>
      </c>
      <c r="G5">
        <f t="shared" si="1"/>
        <v>0</v>
      </c>
      <c r="H5">
        <f t="shared" si="2"/>
        <v>0</v>
      </c>
      <c r="I5">
        <f t="shared" si="3"/>
        <v>1</v>
      </c>
      <c r="J5">
        <f t="shared" si="4"/>
        <v>0</v>
      </c>
      <c r="K5" s="3" t="s">
        <v>9</v>
      </c>
      <c r="L5" s="3">
        <f>SUM(J:J)</f>
        <v>202</v>
      </c>
    </row>
    <row r="6" spans="1:12" x14ac:dyDescent="0.3">
      <c r="A6" s="1">
        <v>41641</v>
      </c>
      <c r="B6" s="1">
        <v>41666</v>
      </c>
      <c r="C6">
        <v>8.39</v>
      </c>
      <c r="D6">
        <v>0.22</v>
      </c>
      <c r="E6">
        <v>2</v>
      </c>
      <c r="F6">
        <f t="shared" si="0"/>
        <v>1</v>
      </c>
      <c r="G6">
        <f t="shared" si="1"/>
        <v>0</v>
      </c>
      <c r="H6">
        <f t="shared" si="2"/>
        <v>0</v>
      </c>
      <c r="I6">
        <f t="shared" si="3"/>
        <v>0</v>
      </c>
      <c r="J6">
        <f t="shared" si="4"/>
        <v>0</v>
      </c>
    </row>
    <row r="7" spans="1:12" x14ac:dyDescent="0.3">
      <c r="A7" s="1">
        <v>41641</v>
      </c>
      <c r="B7" s="1">
        <v>41669</v>
      </c>
      <c r="C7">
        <v>11.42</v>
      </c>
      <c r="D7">
        <v>0.3</v>
      </c>
      <c r="E7">
        <v>2</v>
      </c>
      <c r="F7">
        <f t="shared" si="0"/>
        <v>1</v>
      </c>
      <c r="G7">
        <f t="shared" si="1"/>
        <v>0</v>
      </c>
      <c r="H7">
        <f t="shared" si="2"/>
        <v>0</v>
      </c>
      <c r="I7">
        <f t="shared" si="3"/>
        <v>0</v>
      </c>
      <c r="J7">
        <f t="shared" si="4"/>
        <v>0</v>
      </c>
    </row>
    <row r="8" spans="1:12" x14ac:dyDescent="0.3">
      <c r="A8" s="1">
        <v>41642</v>
      </c>
      <c r="B8" s="1">
        <v>41670</v>
      </c>
      <c r="C8">
        <v>5.64</v>
      </c>
      <c r="D8">
        <v>0.15</v>
      </c>
      <c r="E8">
        <v>5</v>
      </c>
      <c r="F8">
        <f t="shared" si="0"/>
        <v>0</v>
      </c>
      <c r="G8">
        <f t="shared" si="1"/>
        <v>0</v>
      </c>
      <c r="H8">
        <f t="shared" si="2"/>
        <v>0</v>
      </c>
      <c r="I8">
        <f t="shared" si="3"/>
        <v>1</v>
      </c>
      <c r="J8">
        <f t="shared" si="4"/>
        <v>0</v>
      </c>
    </row>
    <row r="9" spans="1:12" x14ac:dyDescent="0.3">
      <c r="A9" s="1">
        <v>41642</v>
      </c>
      <c r="B9" s="1">
        <v>41645</v>
      </c>
      <c r="C9">
        <v>10.59</v>
      </c>
      <c r="D9">
        <v>0.28000000000000003</v>
      </c>
      <c r="E9">
        <v>5</v>
      </c>
      <c r="F9">
        <f t="shared" si="0"/>
        <v>0</v>
      </c>
      <c r="G9">
        <f t="shared" si="1"/>
        <v>0</v>
      </c>
      <c r="H9">
        <f t="shared" si="2"/>
        <v>0</v>
      </c>
      <c r="I9">
        <f t="shared" si="3"/>
        <v>1</v>
      </c>
      <c r="J9">
        <f t="shared" si="4"/>
        <v>0</v>
      </c>
    </row>
    <row r="10" spans="1:12" x14ac:dyDescent="0.3">
      <c r="A10" s="1">
        <v>41642</v>
      </c>
      <c r="B10" s="1">
        <v>41669</v>
      </c>
      <c r="C10">
        <v>4.25</v>
      </c>
      <c r="D10">
        <v>0.11</v>
      </c>
      <c r="E10">
        <v>2</v>
      </c>
      <c r="F10">
        <f t="shared" si="0"/>
        <v>1</v>
      </c>
      <c r="G10">
        <f t="shared" si="1"/>
        <v>0</v>
      </c>
      <c r="H10">
        <f t="shared" si="2"/>
        <v>0</v>
      </c>
      <c r="I10">
        <f t="shared" si="3"/>
        <v>0</v>
      </c>
      <c r="J10">
        <f t="shared" si="4"/>
        <v>0</v>
      </c>
    </row>
    <row r="11" spans="1:12" x14ac:dyDescent="0.3">
      <c r="A11" s="1">
        <v>41642</v>
      </c>
      <c r="B11" s="1">
        <v>41660</v>
      </c>
      <c r="C11">
        <v>5.64</v>
      </c>
      <c r="D11">
        <v>0.15</v>
      </c>
      <c r="E11">
        <v>4</v>
      </c>
      <c r="F11">
        <f t="shared" si="0"/>
        <v>0</v>
      </c>
      <c r="G11">
        <f t="shared" si="1"/>
        <v>0</v>
      </c>
      <c r="H11">
        <f t="shared" si="2"/>
        <v>1</v>
      </c>
      <c r="I11">
        <f t="shared" si="3"/>
        <v>0</v>
      </c>
      <c r="J11">
        <f t="shared" si="4"/>
        <v>0</v>
      </c>
    </row>
    <row r="12" spans="1:12" x14ac:dyDescent="0.3">
      <c r="A12" s="1">
        <v>41642</v>
      </c>
      <c r="B12" s="1">
        <v>41669</v>
      </c>
      <c r="C12">
        <v>5.78</v>
      </c>
      <c r="D12">
        <v>0.15</v>
      </c>
      <c r="E12">
        <v>5</v>
      </c>
      <c r="F12">
        <f t="shared" si="0"/>
        <v>0</v>
      </c>
      <c r="G12">
        <f t="shared" si="1"/>
        <v>0</v>
      </c>
      <c r="H12">
        <f t="shared" si="2"/>
        <v>0</v>
      </c>
      <c r="I12">
        <f t="shared" si="3"/>
        <v>1</v>
      </c>
      <c r="J12">
        <f t="shared" si="4"/>
        <v>0</v>
      </c>
    </row>
    <row r="13" spans="1:12" x14ac:dyDescent="0.3">
      <c r="A13" s="1">
        <v>41642</v>
      </c>
      <c r="B13" s="1">
        <v>41669</v>
      </c>
      <c r="C13">
        <v>2.29</v>
      </c>
      <c r="D13">
        <v>0.06</v>
      </c>
      <c r="E13">
        <v>4</v>
      </c>
      <c r="F13">
        <f t="shared" si="0"/>
        <v>0</v>
      </c>
      <c r="G13">
        <f t="shared" si="1"/>
        <v>0</v>
      </c>
      <c r="H13">
        <f t="shared" si="2"/>
        <v>1</v>
      </c>
      <c r="I13">
        <f t="shared" si="3"/>
        <v>0</v>
      </c>
      <c r="J13">
        <f t="shared" si="4"/>
        <v>0</v>
      </c>
    </row>
    <row r="14" spans="1:12" x14ac:dyDescent="0.3">
      <c r="A14" s="1">
        <v>41642</v>
      </c>
      <c r="B14" s="1">
        <v>41665</v>
      </c>
      <c r="C14">
        <v>5.23</v>
      </c>
      <c r="D14">
        <v>0.14000000000000001</v>
      </c>
      <c r="E14">
        <v>2</v>
      </c>
      <c r="F14">
        <f t="shared" si="0"/>
        <v>1</v>
      </c>
      <c r="G14">
        <f t="shared" si="1"/>
        <v>0</v>
      </c>
      <c r="H14">
        <f t="shared" si="2"/>
        <v>0</v>
      </c>
      <c r="I14">
        <f t="shared" si="3"/>
        <v>0</v>
      </c>
      <c r="J14">
        <f t="shared" si="4"/>
        <v>0</v>
      </c>
    </row>
    <row r="15" spans="1:12" x14ac:dyDescent="0.3">
      <c r="A15" s="1">
        <v>41642</v>
      </c>
      <c r="B15" s="1">
        <v>41649</v>
      </c>
      <c r="C15">
        <v>5.67</v>
      </c>
      <c r="D15">
        <v>0.15</v>
      </c>
      <c r="E15">
        <v>2</v>
      </c>
      <c r="F15">
        <f t="shared" si="0"/>
        <v>1</v>
      </c>
      <c r="G15">
        <f t="shared" si="1"/>
        <v>0</v>
      </c>
      <c r="H15">
        <f t="shared" si="2"/>
        <v>0</v>
      </c>
      <c r="I15">
        <f t="shared" si="3"/>
        <v>0</v>
      </c>
      <c r="J15">
        <f t="shared" si="4"/>
        <v>0</v>
      </c>
    </row>
    <row r="16" spans="1:12" x14ac:dyDescent="0.3">
      <c r="A16" s="1">
        <v>41643</v>
      </c>
      <c r="B16" s="1">
        <v>41649</v>
      </c>
      <c r="C16">
        <v>5.64</v>
      </c>
      <c r="D16">
        <v>0.15</v>
      </c>
      <c r="E16">
        <v>2</v>
      </c>
      <c r="F16">
        <f t="shared" si="0"/>
        <v>1</v>
      </c>
      <c r="G16">
        <f t="shared" si="1"/>
        <v>0</v>
      </c>
      <c r="H16">
        <f t="shared" si="2"/>
        <v>0</v>
      </c>
      <c r="I16">
        <f t="shared" si="3"/>
        <v>0</v>
      </c>
      <c r="J16">
        <f t="shared" si="4"/>
        <v>0</v>
      </c>
    </row>
    <row r="17" spans="1:10" x14ac:dyDescent="0.3">
      <c r="A17" s="1">
        <v>41643</v>
      </c>
      <c r="B17" s="1">
        <v>41650</v>
      </c>
      <c r="C17">
        <v>4.25</v>
      </c>
      <c r="D17">
        <v>0.11</v>
      </c>
      <c r="E17">
        <v>4</v>
      </c>
      <c r="F17">
        <f t="shared" si="0"/>
        <v>0</v>
      </c>
      <c r="G17">
        <f t="shared" si="1"/>
        <v>0</v>
      </c>
      <c r="H17">
        <f t="shared" si="2"/>
        <v>1</v>
      </c>
      <c r="I17">
        <f t="shared" si="3"/>
        <v>0</v>
      </c>
      <c r="J17">
        <f t="shared" si="4"/>
        <v>0</v>
      </c>
    </row>
    <row r="18" spans="1:10" x14ac:dyDescent="0.3">
      <c r="A18" s="1">
        <v>41643</v>
      </c>
      <c r="B18" s="1">
        <v>41660</v>
      </c>
      <c r="C18">
        <v>6.58</v>
      </c>
      <c r="D18">
        <v>0.17</v>
      </c>
      <c r="E18">
        <v>6</v>
      </c>
      <c r="F18">
        <f t="shared" si="0"/>
        <v>0</v>
      </c>
      <c r="G18">
        <f t="shared" si="1"/>
        <v>0</v>
      </c>
      <c r="H18">
        <f t="shared" si="2"/>
        <v>0</v>
      </c>
      <c r="I18">
        <f t="shared" si="3"/>
        <v>0</v>
      </c>
      <c r="J18">
        <f t="shared" si="4"/>
        <v>1</v>
      </c>
    </row>
    <row r="19" spans="1:10" x14ac:dyDescent="0.3">
      <c r="A19" s="1">
        <v>41644</v>
      </c>
      <c r="B19" s="1">
        <v>41661</v>
      </c>
      <c r="C19">
        <v>6.43</v>
      </c>
      <c r="D19">
        <v>0.17</v>
      </c>
      <c r="E19">
        <v>3</v>
      </c>
      <c r="F19">
        <f t="shared" si="0"/>
        <v>0</v>
      </c>
      <c r="G19">
        <f t="shared" si="1"/>
        <v>1</v>
      </c>
      <c r="H19">
        <f t="shared" si="2"/>
        <v>0</v>
      </c>
      <c r="I19">
        <f t="shared" si="3"/>
        <v>0</v>
      </c>
      <c r="J19">
        <f t="shared" si="4"/>
        <v>0</v>
      </c>
    </row>
    <row r="20" spans="1:10" x14ac:dyDescent="0.3">
      <c r="A20" s="1">
        <v>41644</v>
      </c>
      <c r="B20" s="1">
        <v>41662</v>
      </c>
      <c r="C20">
        <v>5.67</v>
      </c>
      <c r="D20">
        <v>0.15</v>
      </c>
      <c r="E20">
        <v>5</v>
      </c>
      <c r="F20">
        <f t="shared" si="0"/>
        <v>0</v>
      </c>
      <c r="G20">
        <f t="shared" si="1"/>
        <v>0</v>
      </c>
      <c r="H20">
        <f t="shared" si="2"/>
        <v>0</v>
      </c>
      <c r="I20">
        <f t="shared" si="3"/>
        <v>1</v>
      </c>
      <c r="J20">
        <f t="shared" si="4"/>
        <v>0</v>
      </c>
    </row>
    <row r="21" spans="1:10" x14ac:dyDescent="0.3">
      <c r="A21" s="1">
        <v>41645</v>
      </c>
      <c r="B21" s="1">
        <v>41654</v>
      </c>
      <c r="C21">
        <v>4.66</v>
      </c>
      <c r="D21">
        <v>0.12</v>
      </c>
      <c r="E21">
        <v>2</v>
      </c>
      <c r="F21">
        <f t="shared" si="0"/>
        <v>1</v>
      </c>
      <c r="G21">
        <f t="shared" si="1"/>
        <v>0</v>
      </c>
      <c r="H21">
        <f t="shared" si="2"/>
        <v>0</v>
      </c>
      <c r="I21">
        <f t="shared" si="3"/>
        <v>0</v>
      </c>
      <c r="J21">
        <f t="shared" si="4"/>
        <v>0</v>
      </c>
    </row>
    <row r="22" spans="1:10" x14ac:dyDescent="0.3">
      <c r="A22" s="1">
        <v>41646</v>
      </c>
      <c r="B22" s="1">
        <v>41663</v>
      </c>
      <c r="C22">
        <v>2.0099999999999998</v>
      </c>
      <c r="D22">
        <v>0.05</v>
      </c>
      <c r="E22">
        <v>4</v>
      </c>
      <c r="F22">
        <f t="shared" si="0"/>
        <v>0</v>
      </c>
      <c r="G22">
        <f t="shared" si="1"/>
        <v>0</v>
      </c>
      <c r="H22">
        <f t="shared" si="2"/>
        <v>1</v>
      </c>
      <c r="I22">
        <f t="shared" si="3"/>
        <v>0</v>
      </c>
      <c r="J22">
        <f t="shared" si="4"/>
        <v>0</v>
      </c>
    </row>
    <row r="23" spans="1:10" x14ac:dyDescent="0.3">
      <c r="A23" s="1">
        <v>41646</v>
      </c>
      <c r="B23" s="1">
        <v>41670</v>
      </c>
      <c r="C23">
        <v>3.57</v>
      </c>
      <c r="D23">
        <v>0.09</v>
      </c>
      <c r="E23">
        <v>3</v>
      </c>
      <c r="F23">
        <f t="shared" si="0"/>
        <v>0</v>
      </c>
      <c r="G23">
        <f t="shared" si="1"/>
        <v>1</v>
      </c>
      <c r="H23">
        <f t="shared" si="2"/>
        <v>0</v>
      </c>
      <c r="I23">
        <f t="shared" si="3"/>
        <v>0</v>
      </c>
      <c r="J23">
        <f t="shared" si="4"/>
        <v>0</v>
      </c>
    </row>
    <row r="24" spans="1:10" x14ac:dyDescent="0.3">
      <c r="A24" s="1">
        <v>41646</v>
      </c>
      <c r="B24" s="1">
        <v>41649</v>
      </c>
      <c r="C24">
        <v>2.29</v>
      </c>
      <c r="D24">
        <v>0.06</v>
      </c>
      <c r="E24">
        <v>5</v>
      </c>
      <c r="F24">
        <f t="shared" si="0"/>
        <v>0</v>
      </c>
      <c r="G24">
        <f t="shared" si="1"/>
        <v>0</v>
      </c>
      <c r="H24">
        <f t="shared" si="2"/>
        <v>0</v>
      </c>
      <c r="I24">
        <f t="shared" si="3"/>
        <v>1</v>
      </c>
      <c r="J24">
        <f t="shared" si="4"/>
        <v>0</v>
      </c>
    </row>
    <row r="25" spans="1:10" x14ac:dyDescent="0.3">
      <c r="A25" s="1">
        <v>41646</v>
      </c>
      <c r="B25" s="1">
        <v>41649</v>
      </c>
      <c r="C25">
        <v>2.72</v>
      </c>
      <c r="D25">
        <v>7.0000000000000007E-2</v>
      </c>
      <c r="E25">
        <v>4</v>
      </c>
      <c r="F25">
        <f t="shared" si="0"/>
        <v>0</v>
      </c>
      <c r="G25">
        <f t="shared" si="1"/>
        <v>0</v>
      </c>
      <c r="H25">
        <f t="shared" si="2"/>
        <v>1</v>
      </c>
      <c r="I25">
        <f t="shared" si="3"/>
        <v>0</v>
      </c>
      <c r="J25">
        <f t="shared" si="4"/>
        <v>0</v>
      </c>
    </row>
    <row r="26" spans="1:10" x14ac:dyDescent="0.3">
      <c r="A26" s="1">
        <v>41646</v>
      </c>
      <c r="B26" s="1">
        <v>41651</v>
      </c>
      <c r="C26">
        <v>3.73</v>
      </c>
      <c r="D26">
        <v>0.1</v>
      </c>
      <c r="E26">
        <v>3</v>
      </c>
      <c r="F26">
        <f t="shared" si="0"/>
        <v>0</v>
      </c>
      <c r="G26">
        <f t="shared" si="1"/>
        <v>1</v>
      </c>
      <c r="H26">
        <f t="shared" si="2"/>
        <v>0</v>
      </c>
      <c r="I26">
        <f t="shared" si="3"/>
        <v>0</v>
      </c>
      <c r="J26">
        <f t="shared" si="4"/>
        <v>0</v>
      </c>
    </row>
    <row r="27" spans="1:10" x14ac:dyDescent="0.3">
      <c r="A27" s="1">
        <v>41647</v>
      </c>
      <c r="B27" s="1">
        <v>41665</v>
      </c>
      <c r="C27">
        <v>6.58</v>
      </c>
      <c r="D27">
        <v>0.17</v>
      </c>
      <c r="E27">
        <v>3</v>
      </c>
      <c r="F27">
        <f t="shared" si="0"/>
        <v>0</v>
      </c>
      <c r="G27">
        <f t="shared" si="1"/>
        <v>1</v>
      </c>
      <c r="H27">
        <f t="shared" si="2"/>
        <v>0</v>
      </c>
      <c r="I27">
        <f t="shared" si="3"/>
        <v>0</v>
      </c>
      <c r="J27">
        <f t="shared" si="4"/>
        <v>0</v>
      </c>
    </row>
    <row r="28" spans="1:10" x14ac:dyDescent="0.3">
      <c r="A28" s="1">
        <v>41647</v>
      </c>
      <c r="B28" s="1">
        <v>41664</v>
      </c>
      <c r="C28">
        <v>6.58</v>
      </c>
      <c r="D28">
        <v>0.17</v>
      </c>
      <c r="E28">
        <v>2</v>
      </c>
      <c r="F28">
        <f t="shared" si="0"/>
        <v>1</v>
      </c>
      <c r="G28">
        <f t="shared" si="1"/>
        <v>0</v>
      </c>
      <c r="H28">
        <f t="shared" si="2"/>
        <v>0</v>
      </c>
      <c r="I28">
        <f t="shared" si="3"/>
        <v>0</v>
      </c>
      <c r="J28">
        <f t="shared" si="4"/>
        <v>0</v>
      </c>
    </row>
    <row r="29" spans="1:10" x14ac:dyDescent="0.3">
      <c r="A29" s="1">
        <v>41647</v>
      </c>
      <c r="B29" s="1">
        <v>41658</v>
      </c>
      <c r="C29">
        <v>5.67</v>
      </c>
      <c r="D29">
        <v>0.15</v>
      </c>
      <c r="E29">
        <v>5</v>
      </c>
      <c r="F29">
        <f t="shared" si="0"/>
        <v>0</v>
      </c>
      <c r="G29">
        <f t="shared" si="1"/>
        <v>0</v>
      </c>
      <c r="H29">
        <f t="shared" si="2"/>
        <v>0</v>
      </c>
      <c r="I29">
        <f t="shared" si="3"/>
        <v>1</v>
      </c>
      <c r="J29">
        <f t="shared" si="4"/>
        <v>0</v>
      </c>
    </row>
    <row r="30" spans="1:10" x14ac:dyDescent="0.3">
      <c r="A30" s="1">
        <v>41648</v>
      </c>
      <c r="B30" s="1">
        <v>41674</v>
      </c>
      <c r="C30">
        <v>9.1300000000000008</v>
      </c>
      <c r="D30">
        <v>0.24</v>
      </c>
      <c r="E30">
        <v>2</v>
      </c>
      <c r="F30">
        <f t="shared" si="0"/>
        <v>1</v>
      </c>
      <c r="G30">
        <f t="shared" si="1"/>
        <v>0</v>
      </c>
      <c r="H30">
        <f t="shared" si="2"/>
        <v>0</v>
      </c>
      <c r="I30">
        <f t="shared" si="3"/>
        <v>0</v>
      </c>
      <c r="J30">
        <f t="shared" si="4"/>
        <v>0</v>
      </c>
    </row>
    <row r="31" spans="1:10" x14ac:dyDescent="0.3">
      <c r="A31" s="1">
        <v>41648</v>
      </c>
      <c r="B31" s="1">
        <v>41658</v>
      </c>
      <c r="C31">
        <v>14.31</v>
      </c>
      <c r="D31">
        <v>0.38</v>
      </c>
      <c r="E31">
        <v>6</v>
      </c>
      <c r="F31">
        <f t="shared" si="0"/>
        <v>0</v>
      </c>
      <c r="G31">
        <f t="shared" si="1"/>
        <v>0</v>
      </c>
      <c r="H31">
        <f t="shared" si="2"/>
        <v>0</v>
      </c>
      <c r="I31">
        <f t="shared" si="3"/>
        <v>0</v>
      </c>
      <c r="J31">
        <f t="shared" si="4"/>
        <v>1</v>
      </c>
    </row>
    <row r="32" spans="1:10" x14ac:dyDescent="0.3">
      <c r="A32" s="1">
        <v>41648</v>
      </c>
      <c r="B32" s="1">
        <v>41675</v>
      </c>
      <c r="C32">
        <v>3.79</v>
      </c>
      <c r="D32">
        <v>0.1</v>
      </c>
      <c r="E32">
        <v>5</v>
      </c>
      <c r="F32">
        <f t="shared" si="0"/>
        <v>0</v>
      </c>
      <c r="G32">
        <f t="shared" si="1"/>
        <v>0</v>
      </c>
      <c r="H32">
        <f t="shared" si="2"/>
        <v>0</v>
      </c>
      <c r="I32">
        <f t="shared" si="3"/>
        <v>1</v>
      </c>
      <c r="J32">
        <f t="shared" si="4"/>
        <v>0</v>
      </c>
    </row>
    <row r="33" spans="1:10" x14ac:dyDescent="0.3">
      <c r="A33" s="1">
        <v>41648</v>
      </c>
      <c r="B33" s="1">
        <v>41666</v>
      </c>
      <c r="C33">
        <v>6.23</v>
      </c>
      <c r="D33">
        <v>0.16</v>
      </c>
      <c r="E33">
        <v>5</v>
      </c>
      <c r="F33">
        <f t="shared" si="0"/>
        <v>0</v>
      </c>
      <c r="G33">
        <f t="shared" si="1"/>
        <v>0</v>
      </c>
      <c r="H33">
        <f t="shared" si="2"/>
        <v>0</v>
      </c>
      <c r="I33">
        <f t="shared" si="3"/>
        <v>1</v>
      </c>
      <c r="J33">
        <f t="shared" si="4"/>
        <v>0</v>
      </c>
    </row>
    <row r="34" spans="1:10" x14ac:dyDescent="0.3">
      <c r="A34" s="1">
        <v>41649</v>
      </c>
      <c r="B34" s="1">
        <v>41659</v>
      </c>
      <c r="C34">
        <v>3.57</v>
      </c>
      <c r="D34">
        <v>0.09</v>
      </c>
      <c r="E34">
        <v>6</v>
      </c>
      <c r="F34">
        <f t="shared" si="0"/>
        <v>0</v>
      </c>
      <c r="G34">
        <f t="shared" si="1"/>
        <v>0</v>
      </c>
      <c r="H34">
        <f t="shared" si="2"/>
        <v>0</v>
      </c>
      <c r="I34">
        <f t="shared" si="3"/>
        <v>0</v>
      </c>
      <c r="J34">
        <f t="shared" si="4"/>
        <v>1</v>
      </c>
    </row>
    <row r="35" spans="1:10" x14ac:dyDescent="0.3">
      <c r="A35" s="1">
        <v>41649</v>
      </c>
      <c r="B35" s="1">
        <v>41652</v>
      </c>
      <c r="C35">
        <v>5.67</v>
      </c>
      <c r="D35">
        <v>0.15</v>
      </c>
      <c r="E35">
        <v>6</v>
      </c>
      <c r="F35">
        <f t="shared" si="0"/>
        <v>0</v>
      </c>
      <c r="G35">
        <f t="shared" si="1"/>
        <v>0</v>
      </c>
      <c r="H35">
        <f t="shared" si="2"/>
        <v>0</v>
      </c>
      <c r="I35">
        <f t="shared" si="3"/>
        <v>0</v>
      </c>
      <c r="J35">
        <f t="shared" si="4"/>
        <v>1</v>
      </c>
    </row>
    <row r="36" spans="1:10" x14ac:dyDescent="0.3">
      <c r="A36" s="1">
        <v>41649</v>
      </c>
      <c r="B36" s="1">
        <v>41667</v>
      </c>
      <c r="C36">
        <v>8.7200000000000006</v>
      </c>
      <c r="D36">
        <v>0.23</v>
      </c>
      <c r="E36">
        <v>5</v>
      </c>
      <c r="F36">
        <f t="shared" si="0"/>
        <v>0</v>
      </c>
      <c r="G36">
        <f t="shared" si="1"/>
        <v>0</v>
      </c>
      <c r="H36">
        <f t="shared" si="2"/>
        <v>0</v>
      </c>
      <c r="I36">
        <f t="shared" si="3"/>
        <v>1</v>
      </c>
      <c r="J36">
        <f t="shared" si="4"/>
        <v>0</v>
      </c>
    </row>
    <row r="37" spans="1:10" x14ac:dyDescent="0.3">
      <c r="A37" s="1">
        <v>41649</v>
      </c>
      <c r="B37" s="1">
        <v>41654</v>
      </c>
      <c r="C37">
        <v>4.66</v>
      </c>
      <c r="D37">
        <v>0.12</v>
      </c>
      <c r="E37">
        <v>3</v>
      </c>
      <c r="F37">
        <f t="shared" si="0"/>
        <v>0</v>
      </c>
      <c r="G37">
        <f t="shared" si="1"/>
        <v>1</v>
      </c>
      <c r="H37">
        <f t="shared" si="2"/>
        <v>0</v>
      </c>
      <c r="I37">
        <f t="shared" si="3"/>
        <v>0</v>
      </c>
      <c r="J37">
        <f t="shared" si="4"/>
        <v>0</v>
      </c>
    </row>
    <row r="38" spans="1:10" x14ac:dyDescent="0.3">
      <c r="A38" s="1">
        <v>41651</v>
      </c>
      <c r="B38" s="1">
        <v>41659</v>
      </c>
      <c r="C38">
        <v>5.67</v>
      </c>
      <c r="D38">
        <v>0.15</v>
      </c>
      <c r="E38">
        <v>3</v>
      </c>
      <c r="F38">
        <f t="shared" si="0"/>
        <v>0</v>
      </c>
      <c r="G38">
        <f t="shared" si="1"/>
        <v>1</v>
      </c>
      <c r="H38">
        <f t="shared" si="2"/>
        <v>0</v>
      </c>
      <c r="I38">
        <f t="shared" si="3"/>
        <v>0</v>
      </c>
      <c r="J38">
        <f t="shared" si="4"/>
        <v>0</v>
      </c>
    </row>
    <row r="39" spans="1:10" x14ac:dyDescent="0.3">
      <c r="A39" s="1">
        <v>41652</v>
      </c>
      <c r="B39" s="1">
        <v>41654</v>
      </c>
      <c r="C39">
        <v>7.06</v>
      </c>
      <c r="D39">
        <v>0.19</v>
      </c>
      <c r="E39">
        <v>2</v>
      </c>
      <c r="F39">
        <f t="shared" si="0"/>
        <v>1</v>
      </c>
      <c r="G39">
        <f t="shared" si="1"/>
        <v>0</v>
      </c>
      <c r="H39">
        <f t="shared" si="2"/>
        <v>0</v>
      </c>
      <c r="I39">
        <f t="shared" si="3"/>
        <v>0</v>
      </c>
      <c r="J39">
        <f t="shared" si="4"/>
        <v>0</v>
      </c>
    </row>
    <row r="40" spans="1:10" x14ac:dyDescent="0.3">
      <c r="A40" s="1">
        <v>41652</v>
      </c>
      <c r="B40" s="1">
        <v>41661</v>
      </c>
      <c r="C40">
        <v>5.67</v>
      </c>
      <c r="D40">
        <v>0.15</v>
      </c>
      <c r="E40">
        <v>5</v>
      </c>
      <c r="F40">
        <f t="shared" si="0"/>
        <v>0</v>
      </c>
      <c r="G40">
        <f t="shared" si="1"/>
        <v>0</v>
      </c>
      <c r="H40">
        <f t="shared" si="2"/>
        <v>0</v>
      </c>
      <c r="I40">
        <f t="shared" si="3"/>
        <v>1</v>
      </c>
      <c r="J40">
        <f t="shared" si="4"/>
        <v>0</v>
      </c>
    </row>
    <row r="41" spans="1:10" x14ac:dyDescent="0.3">
      <c r="A41" s="1">
        <v>41652</v>
      </c>
      <c r="B41" s="1">
        <v>41671</v>
      </c>
      <c r="C41">
        <v>6.34</v>
      </c>
      <c r="D41">
        <v>0.17</v>
      </c>
      <c r="E41">
        <v>3</v>
      </c>
      <c r="F41">
        <f t="shared" si="0"/>
        <v>0</v>
      </c>
      <c r="G41">
        <f t="shared" si="1"/>
        <v>1</v>
      </c>
      <c r="H41">
        <f t="shared" si="2"/>
        <v>0</v>
      </c>
      <c r="I41">
        <f t="shared" si="3"/>
        <v>0</v>
      </c>
      <c r="J41">
        <f t="shared" si="4"/>
        <v>0</v>
      </c>
    </row>
    <row r="42" spans="1:10" x14ac:dyDescent="0.3">
      <c r="A42" s="1">
        <v>41652</v>
      </c>
      <c r="B42" s="1">
        <v>41656</v>
      </c>
      <c r="C42">
        <v>7.31</v>
      </c>
      <c r="D42">
        <v>0.19</v>
      </c>
      <c r="E42">
        <v>3</v>
      </c>
      <c r="F42">
        <f t="shared" si="0"/>
        <v>0</v>
      </c>
      <c r="G42">
        <f t="shared" si="1"/>
        <v>1</v>
      </c>
      <c r="H42">
        <f t="shared" si="2"/>
        <v>0</v>
      </c>
      <c r="I42">
        <f t="shared" si="3"/>
        <v>0</v>
      </c>
      <c r="J42">
        <f t="shared" si="4"/>
        <v>0</v>
      </c>
    </row>
    <row r="43" spans="1:10" x14ac:dyDescent="0.3">
      <c r="A43" s="1">
        <v>41652</v>
      </c>
      <c r="B43" s="1">
        <v>41668</v>
      </c>
      <c r="C43">
        <v>6.75</v>
      </c>
      <c r="D43">
        <v>0.18</v>
      </c>
      <c r="E43">
        <v>3</v>
      </c>
      <c r="F43">
        <f t="shared" si="0"/>
        <v>0</v>
      </c>
      <c r="G43">
        <f t="shared" si="1"/>
        <v>1</v>
      </c>
      <c r="H43">
        <f t="shared" si="2"/>
        <v>0</v>
      </c>
      <c r="I43">
        <f t="shared" si="3"/>
        <v>0</v>
      </c>
      <c r="J43">
        <f t="shared" si="4"/>
        <v>0</v>
      </c>
    </row>
    <row r="44" spans="1:10" x14ac:dyDescent="0.3">
      <c r="A44" s="1">
        <v>41652</v>
      </c>
      <c r="B44" s="1">
        <v>41680</v>
      </c>
      <c r="C44">
        <v>3.57</v>
      </c>
      <c r="D44">
        <v>0.09</v>
      </c>
      <c r="E44">
        <v>2</v>
      </c>
      <c r="F44">
        <f t="shared" si="0"/>
        <v>1</v>
      </c>
      <c r="G44">
        <f t="shared" si="1"/>
        <v>0</v>
      </c>
      <c r="H44">
        <f t="shared" si="2"/>
        <v>0</v>
      </c>
      <c r="I44">
        <f t="shared" si="3"/>
        <v>0</v>
      </c>
      <c r="J44">
        <f t="shared" si="4"/>
        <v>0</v>
      </c>
    </row>
    <row r="45" spans="1:10" x14ac:dyDescent="0.3">
      <c r="A45" s="1">
        <v>41653</v>
      </c>
      <c r="B45" s="1">
        <v>41664</v>
      </c>
      <c r="C45">
        <v>8.5399999999999991</v>
      </c>
      <c r="D45">
        <v>0.22</v>
      </c>
      <c r="E45">
        <v>2</v>
      </c>
      <c r="F45">
        <f t="shared" si="0"/>
        <v>1</v>
      </c>
      <c r="G45">
        <f t="shared" si="1"/>
        <v>0</v>
      </c>
      <c r="H45">
        <f t="shared" si="2"/>
        <v>0</v>
      </c>
      <c r="I45">
        <f t="shared" si="3"/>
        <v>0</v>
      </c>
      <c r="J45">
        <f t="shared" si="4"/>
        <v>0</v>
      </c>
    </row>
    <row r="46" spans="1:10" x14ac:dyDescent="0.3">
      <c r="A46" s="1">
        <v>41653</v>
      </c>
      <c r="B46" s="1">
        <v>41655</v>
      </c>
      <c r="C46">
        <v>8.9499999999999993</v>
      </c>
      <c r="D46">
        <v>0.24</v>
      </c>
      <c r="E46">
        <v>4</v>
      </c>
      <c r="F46">
        <f t="shared" si="0"/>
        <v>0</v>
      </c>
      <c r="G46">
        <f t="shared" si="1"/>
        <v>0</v>
      </c>
      <c r="H46">
        <f t="shared" si="2"/>
        <v>1</v>
      </c>
      <c r="I46">
        <f t="shared" si="3"/>
        <v>0</v>
      </c>
      <c r="J46">
        <f t="shared" si="4"/>
        <v>0</v>
      </c>
    </row>
    <row r="47" spans="1:10" x14ac:dyDescent="0.3">
      <c r="A47" s="1">
        <v>41653</v>
      </c>
      <c r="B47" s="1">
        <v>41677</v>
      </c>
      <c r="C47">
        <v>6.34</v>
      </c>
      <c r="D47">
        <v>0.17</v>
      </c>
      <c r="E47">
        <v>6</v>
      </c>
      <c r="F47">
        <f t="shared" si="0"/>
        <v>0</v>
      </c>
      <c r="G47">
        <f t="shared" si="1"/>
        <v>0</v>
      </c>
      <c r="H47">
        <f t="shared" si="2"/>
        <v>0</v>
      </c>
      <c r="I47">
        <f t="shared" si="3"/>
        <v>0</v>
      </c>
      <c r="J47">
        <f t="shared" si="4"/>
        <v>1</v>
      </c>
    </row>
    <row r="48" spans="1:10" x14ac:dyDescent="0.3">
      <c r="A48" s="1">
        <v>41653</v>
      </c>
      <c r="B48" s="1">
        <v>41672</v>
      </c>
      <c r="C48">
        <v>12.23</v>
      </c>
      <c r="D48">
        <v>0.32</v>
      </c>
      <c r="E48">
        <v>3</v>
      </c>
      <c r="F48">
        <f t="shared" si="0"/>
        <v>0</v>
      </c>
      <c r="G48">
        <f t="shared" si="1"/>
        <v>1</v>
      </c>
      <c r="H48">
        <f t="shared" si="2"/>
        <v>0</v>
      </c>
      <c r="I48">
        <f t="shared" si="3"/>
        <v>0</v>
      </c>
      <c r="J48">
        <f t="shared" si="4"/>
        <v>0</v>
      </c>
    </row>
    <row r="49" spans="1:10" x14ac:dyDescent="0.3">
      <c r="A49" s="1">
        <v>41653</v>
      </c>
      <c r="B49" s="1">
        <v>41668</v>
      </c>
      <c r="C49">
        <v>8.7200000000000006</v>
      </c>
      <c r="D49">
        <v>0.23</v>
      </c>
      <c r="E49">
        <v>5</v>
      </c>
      <c r="F49">
        <f t="shared" si="0"/>
        <v>0</v>
      </c>
      <c r="G49">
        <f t="shared" si="1"/>
        <v>0</v>
      </c>
      <c r="H49">
        <f t="shared" si="2"/>
        <v>0</v>
      </c>
      <c r="I49">
        <f t="shared" si="3"/>
        <v>1</v>
      </c>
      <c r="J49">
        <f t="shared" si="4"/>
        <v>0</v>
      </c>
    </row>
    <row r="50" spans="1:10" x14ac:dyDescent="0.3">
      <c r="A50" s="1">
        <v>41653</v>
      </c>
      <c r="B50" s="1">
        <v>41671</v>
      </c>
      <c r="C50">
        <v>16.55</v>
      </c>
      <c r="D50">
        <v>0.44</v>
      </c>
      <c r="E50">
        <v>6</v>
      </c>
      <c r="F50">
        <f t="shared" si="0"/>
        <v>0</v>
      </c>
      <c r="G50">
        <f t="shared" si="1"/>
        <v>0</v>
      </c>
      <c r="H50">
        <f t="shared" si="2"/>
        <v>0</v>
      </c>
      <c r="I50">
        <f t="shared" si="3"/>
        <v>0</v>
      </c>
      <c r="J50">
        <f t="shared" si="4"/>
        <v>1</v>
      </c>
    </row>
    <row r="51" spans="1:10" x14ac:dyDescent="0.3">
      <c r="A51" s="1">
        <v>41653</v>
      </c>
      <c r="B51" s="1">
        <v>41656</v>
      </c>
      <c r="C51">
        <v>7.55</v>
      </c>
      <c r="D51">
        <v>0.2</v>
      </c>
      <c r="E51">
        <v>2</v>
      </c>
      <c r="F51">
        <f t="shared" si="0"/>
        <v>1</v>
      </c>
      <c r="G51">
        <f t="shared" si="1"/>
        <v>0</v>
      </c>
      <c r="H51">
        <f t="shared" si="2"/>
        <v>0</v>
      </c>
      <c r="I51">
        <f t="shared" si="3"/>
        <v>0</v>
      </c>
      <c r="J51">
        <f t="shared" si="4"/>
        <v>0</v>
      </c>
    </row>
    <row r="52" spans="1:10" x14ac:dyDescent="0.3">
      <c r="A52" s="1">
        <v>41653</v>
      </c>
      <c r="B52" s="1">
        <v>41668</v>
      </c>
      <c r="C52">
        <v>5.78</v>
      </c>
      <c r="D52">
        <v>0.15</v>
      </c>
      <c r="E52">
        <v>2</v>
      </c>
      <c r="F52">
        <f t="shared" si="0"/>
        <v>1</v>
      </c>
      <c r="G52">
        <f t="shared" si="1"/>
        <v>0</v>
      </c>
      <c r="H52">
        <f t="shared" si="2"/>
        <v>0</v>
      </c>
      <c r="I52">
        <f t="shared" si="3"/>
        <v>0</v>
      </c>
      <c r="J52">
        <f t="shared" si="4"/>
        <v>0</v>
      </c>
    </row>
    <row r="53" spans="1:10" x14ac:dyDescent="0.3">
      <c r="A53" s="1">
        <v>41653</v>
      </c>
      <c r="B53" s="1">
        <v>41658</v>
      </c>
      <c r="C53">
        <v>8.83</v>
      </c>
      <c r="D53">
        <v>0.23</v>
      </c>
      <c r="E53">
        <v>3</v>
      </c>
      <c r="F53">
        <f t="shared" si="0"/>
        <v>0</v>
      </c>
      <c r="G53">
        <f t="shared" si="1"/>
        <v>1</v>
      </c>
      <c r="H53">
        <f t="shared" si="2"/>
        <v>0</v>
      </c>
      <c r="I53">
        <f t="shared" si="3"/>
        <v>0</v>
      </c>
      <c r="J53">
        <f t="shared" si="4"/>
        <v>0</v>
      </c>
    </row>
    <row r="54" spans="1:10" x14ac:dyDescent="0.3">
      <c r="A54" s="1">
        <v>41653</v>
      </c>
      <c r="B54" s="1">
        <v>41655</v>
      </c>
      <c r="C54">
        <v>8.89</v>
      </c>
      <c r="D54">
        <v>0.23</v>
      </c>
      <c r="E54">
        <v>4</v>
      </c>
      <c r="F54">
        <f t="shared" si="0"/>
        <v>0</v>
      </c>
      <c r="G54">
        <f t="shared" si="1"/>
        <v>0</v>
      </c>
      <c r="H54">
        <f t="shared" si="2"/>
        <v>1</v>
      </c>
      <c r="I54">
        <f t="shared" si="3"/>
        <v>0</v>
      </c>
      <c r="J54">
        <f t="shared" si="4"/>
        <v>0</v>
      </c>
    </row>
    <row r="55" spans="1:10" x14ac:dyDescent="0.3">
      <c r="A55" s="1">
        <v>41653</v>
      </c>
      <c r="B55" s="1">
        <v>41657</v>
      </c>
      <c r="C55">
        <v>2.72</v>
      </c>
      <c r="D55">
        <v>7.0000000000000007E-2</v>
      </c>
      <c r="E55">
        <v>6</v>
      </c>
      <c r="F55">
        <f t="shared" si="0"/>
        <v>0</v>
      </c>
      <c r="G55">
        <f t="shared" si="1"/>
        <v>0</v>
      </c>
      <c r="H55">
        <f t="shared" si="2"/>
        <v>0</v>
      </c>
      <c r="I55">
        <f t="shared" si="3"/>
        <v>0</v>
      </c>
      <c r="J55">
        <f t="shared" si="4"/>
        <v>1</v>
      </c>
    </row>
    <row r="56" spans="1:10" x14ac:dyDescent="0.3">
      <c r="A56" s="1">
        <v>41653</v>
      </c>
      <c r="B56" s="1">
        <v>41675</v>
      </c>
      <c r="C56">
        <v>11.42</v>
      </c>
      <c r="D56">
        <v>0.3</v>
      </c>
      <c r="E56">
        <v>2</v>
      </c>
      <c r="F56">
        <f t="shared" si="0"/>
        <v>1</v>
      </c>
      <c r="G56">
        <f t="shared" si="1"/>
        <v>0</v>
      </c>
      <c r="H56">
        <f t="shared" si="2"/>
        <v>0</v>
      </c>
      <c r="I56">
        <f t="shared" si="3"/>
        <v>0</v>
      </c>
      <c r="J56">
        <f t="shared" si="4"/>
        <v>0</v>
      </c>
    </row>
    <row r="57" spans="1:10" x14ac:dyDescent="0.3">
      <c r="A57" s="1">
        <v>41653</v>
      </c>
      <c r="B57" s="1">
        <v>41675</v>
      </c>
      <c r="C57">
        <v>5.23</v>
      </c>
      <c r="D57">
        <v>0.14000000000000001</v>
      </c>
      <c r="E57">
        <v>2</v>
      </c>
      <c r="F57">
        <f t="shared" si="0"/>
        <v>1</v>
      </c>
      <c r="G57">
        <f t="shared" si="1"/>
        <v>0</v>
      </c>
      <c r="H57">
        <f t="shared" si="2"/>
        <v>0</v>
      </c>
      <c r="I57">
        <f t="shared" si="3"/>
        <v>0</v>
      </c>
      <c r="J57">
        <f t="shared" si="4"/>
        <v>0</v>
      </c>
    </row>
    <row r="58" spans="1:10" x14ac:dyDescent="0.3">
      <c r="A58" s="1">
        <v>41653</v>
      </c>
      <c r="B58" s="1">
        <v>41657</v>
      </c>
      <c r="C58">
        <v>6.58</v>
      </c>
      <c r="D58">
        <v>0.17</v>
      </c>
      <c r="E58">
        <v>4</v>
      </c>
      <c r="F58">
        <f t="shared" si="0"/>
        <v>0</v>
      </c>
      <c r="G58">
        <f t="shared" si="1"/>
        <v>0</v>
      </c>
      <c r="H58">
        <f t="shared" si="2"/>
        <v>1</v>
      </c>
      <c r="I58">
        <f t="shared" si="3"/>
        <v>0</v>
      </c>
      <c r="J58">
        <f t="shared" si="4"/>
        <v>0</v>
      </c>
    </row>
    <row r="59" spans="1:10" x14ac:dyDescent="0.3">
      <c r="A59" s="1">
        <v>41653</v>
      </c>
      <c r="B59" s="1">
        <v>41679</v>
      </c>
      <c r="C59">
        <v>9.74</v>
      </c>
      <c r="D59">
        <v>0.26</v>
      </c>
      <c r="E59">
        <v>4</v>
      </c>
      <c r="F59">
        <f t="shared" si="0"/>
        <v>0</v>
      </c>
      <c r="G59">
        <f t="shared" si="1"/>
        <v>0</v>
      </c>
      <c r="H59">
        <f t="shared" si="2"/>
        <v>1</v>
      </c>
      <c r="I59">
        <f t="shared" si="3"/>
        <v>0</v>
      </c>
      <c r="J59">
        <f t="shared" si="4"/>
        <v>0</v>
      </c>
    </row>
    <row r="60" spans="1:10" x14ac:dyDescent="0.3">
      <c r="A60" s="1">
        <v>41653</v>
      </c>
      <c r="B60" s="1">
        <v>41659</v>
      </c>
      <c r="C60">
        <v>6.75</v>
      </c>
      <c r="D60">
        <v>0.18</v>
      </c>
      <c r="E60">
        <v>6</v>
      </c>
      <c r="F60">
        <f t="shared" si="0"/>
        <v>0</v>
      </c>
      <c r="G60">
        <f t="shared" si="1"/>
        <v>0</v>
      </c>
      <c r="H60">
        <f t="shared" si="2"/>
        <v>0</v>
      </c>
      <c r="I60">
        <f t="shared" si="3"/>
        <v>0</v>
      </c>
      <c r="J60">
        <f t="shared" si="4"/>
        <v>1</v>
      </c>
    </row>
    <row r="61" spans="1:10" x14ac:dyDescent="0.3">
      <c r="A61" s="1">
        <v>41653</v>
      </c>
      <c r="B61" s="1">
        <v>41671</v>
      </c>
      <c r="C61">
        <v>16.829999999999998</v>
      </c>
      <c r="D61">
        <v>0.44</v>
      </c>
      <c r="E61">
        <v>4</v>
      </c>
      <c r="F61">
        <f t="shared" si="0"/>
        <v>0</v>
      </c>
      <c r="G61">
        <f t="shared" si="1"/>
        <v>0</v>
      </c>
      <c r="H61">
        <f t="shared" si="2"/>
        <v>1</v>
      </c>
      <c r="I61">
        <f t="shared" si="3"/>
        <v>0</v>
      </c>
      <c r="J61">
        <f t="shared" si="4"/>
        <v>0</v>
      </c>
    </row>
    <row r="62" spans="1:10" x14ac:dyDescent="0.3">
      <c r="A62" s="1">
        <v>41653</v>
      </c>
      <c r="B62" s="1">
        <v>41676</v>
      </c>
      <c r="C62">
        <v>10.79</v>
      </c>
      <c r="D62">
        <v>0.28000000000000003</v>
      </c>
      <c r="E62">
        <v>3</v>
      </c>
      <c r="F62">
        <f t="shared" si="0"/>
        <v>0</v>
      </c>
      <c r="G62">
        <f t="shared" si="1"/>
        <v>1</v>
      </c>
      <c r="H62">
        <f t="shared" si="2"/>
        <v>0</v>
      </c>
      <c r="I62">
        <f t="shared" si="3"/>
        <v>0</v>
      </c>
      <c r="J62">
        <f t="shared" si="4"/>
        <v>0</v>
      </c>
    </row>
    <row r="63" spans="1:10" x14ac:dyDescent="0.3">
      <c r="A63" s="1">
        <v>41653</v>
      </c>
      <c r="B63" s="1">
        <v>41669</v>
      </c>
      <c r="C63">
        <v>10.19</v>
      </c>
      <c r="D63">
        <v>0.27</v>
      </c>
      <c r="E63">
        <v>5</v>
      </c>
      <c r="F63">
        <f t="shared" si="0"/>
        <v>0</v>
      </c>
      <c r="G63">
        <f t="shared" si="1"/>
        <v>0</v>
      </c>
      <c r="H63">
        <f t="shared" si="2"/>
        <v>0</v>
      </c>
      <c r="I63">
        <f t="shared" si="3"/>
        <v>1</v>
      </c>
      <c r="J63">
        <f t="shared" si="4"/>
        <v>0</v>
      </c>
    </row>
    <row r="64" spans="1:10" x14ac:dyDescent="0.3">
      <c r="A64" s="1">
        <v>41653</v>
      </c>
      <c r="B64" s="1">
        <v>41678</v>
      </c>
      <c r="C64">
        <v>10.93</v>
      </c>
      <c r="D64">
        <v>0.28999999999999998</v>
      </c>
      <c r="E64">
        <v>6</v>
      </c>
      <c r="F64">
        <f t="shared" si="0"/>
        <v>0</v>
      </c>
      <c r="G64">
        <f t="shared" si="1"/>
        <v>0</v>
      </c>
      <c r="H64">
        <f t="shared" si="2"/>
        <v>0</v>
      </c>
      <c r="I64">
        <f t="shared" si="3"/>
        <v>0</v>
      </c>
      <c r="J64">
        <f t="shared" si="4"/>
        <v>1</v>
      </c>
    </row>
    <row r="65" spans="1:10" x14ac:dyDescent="0.3">
      <c r="A65" s="1">
        <v>41654</v>
      </c>
      <c r="B65" s="1">
        <v>41661</v>
      </c>
      <c r="C65">
        <v>9.74</v>
      </c>
      <c r="D65">
        <v>0.26</v>
      </c>
      <c r="E65">
        <v>5</v>
      </c>
      <c r="F65">
        <f t="shared" si="0"/>
        <v>0</v>
      </c>
      <c r="G65">
        <f t="shared" si="1"/>
        <v>0</v>
      </c>
      <c r="H65">
        <f t="shared" si="2"/>
        <v>0</v>
      </c>
      <c r="I65">
        <f t="shared" si="3"/>
        <v>1</v>
      </c>
      <c r="J65">
        <f t="shared" si="4"/>
        <v>0</v>
      </c>
    </row>
    <row r="66" spans="1:10" x14ac:dyDescent="0.3">
      <c r="A66" s="1">
        <v>41654</v>
      </c>
      <c r="B66" s="1">
        <v>41669</v>
      </c>
      <c r="C66">
        <v>14.31</v>
      </c>
      <c r="D66">
        <v>0.38</v>
      </c>
      <c r="E66">
        <v>6</v>
      </c>
      <c r="F66">
        <f t="shared" si="0"/>
        <v>0</v>
      </c>
      <c r="G66">
        <f t="shared" si="1"/>
        <v>0</v>
      </c>
      <c r="H66">
        <f t="shared" si="2"/>
        <v>0</v>
      </c>
      <c r="I66">
        <f t="shared" si="3"/>
        <v>0</v>
      </c>
      <c r="J66">
        <f t="shared" si="4"/>
        <v>1</v>
      </c>
    </row>
    <row r="67" spans="1:10" x14ac:dyDescent="0.3">
      <c r="A67" s="1">
        <v>41654</v>
      </c>
      <c r="B67" s="1">
        <v>41663</v>
      </c>
      <c r="C67">
        <v>7.35</v>
      </c>
      <c r="D67">
        <v>0.19</v>
      </c>
      <c r="E67">
        <v>4</v>
      </c>
      <c r="F67">
        <f t="shared" ref="F67:F130" si="5">IF(EXACT(E67,2),1,0)</f>
        <v>0</v>
      </c>
      <c r="G67">
        <f t="shared" ref="G67:G130" si="6">IF(EXACT(E67,3),1,0)</f>
        <v>0</v>
      </c>
      <c r="H67">
        <f t="shared" ref="H67:H130" si="7">IF(EXACT(E67,4),1,0)</f>
        <v>1</v>
      </c>
      <c r="I67">
        <f t="shared" ref="I67:I130" si="8">IF(EXACT(E67,5),1,0)</f>
        <v>0</v>
      </c>
      <c r="J67">
        <f t="shared" ref="J67:J130" si="9">IF(EXACT(E67,6),1,0)</f>
        <v>0</v>
      </c>
    </row>
    <row r="68" spans="1:10" x14ac:dyDescent="0.3">
      <c r="A68" s="1">
        <v>41654</v>
      </c>
      <c r="B68" s="1">
        <v>41670</v>
      </c>
      <c r="C68">
        <v>9.74</v>
      </c>
      <c r="D68">
        <v>0.26</v>
      </c>
      <c r="E68">
        <v>5</v>
      </c>
      <c r="F68">
        <f t="shared" si="5"/>
        <v>0</v>
      </c>
      <c r="G68">
        <f t="shared" si="6"/>
        <v>0</v>
      </c>
      <c r="H68">
        <f t="shared" si="7"/>
        <v>0</v>
      </c>
      <c r="I68">
        <f t="shared" si="8"/>
        <v>1</v>
      </c>
      <c r="J68">
        <f t="shared" si="9"/>
        <v>0</v>
      </c>
    </row>
    <row r="69" spans="1:10" x14ac:dyDescent="0.3">
      <c r="A69" s="1">
        <v>41654</v>
      </c>
      <c r="B69" s="1">
        <v>41666</v>
      </c>
      <c r="C69">
        <v>14.13</v>
      </c>
      <c r="D69">
        <v>0.37</v>
      </c>
      <c r="E69">
        <v>2</v>
      </c>
      <c r="F69">
        <f t="shared" si="5"/>
        <v>1</v>
      </c>
      <c r="G69">
        <f t="shared" si="6"/>
        <v>0</v>
      </c>
      <c r="H69">
        <f t="shared" si="7"/>
        <v>0</v>
      </c>
      <c r="I69">
        <f t="shared" si="8"/>
        <v>0</v>
      </c>
      <c r="J69">
        <f t="shared" si="9"/>
        <v>0</v>
      </c>
    </row>
    <row r="70" spans="1:10" x14ac:dyDescent="0.3">
      <c r="A70" s="1">
        <v>41654</v>
      </c>
      <c r="B70" s="1">
        <v>41658</v>
      </c>
      <c r="C70">
        <v>12.01</v>
      </c>
      <c r="D70">
        <v>0.32</v>
      </c>
      <c r="E70">
        <v>3</v>
      </c>
      <c r="F70">
        <f t="shared" si="5"/>
        <v>0</v>
      </c>
      <c r="G70">
        <f t="shared" si="6"/>
        <v>1</v>
      </c>
      <c r="H70">
        <f t="shared" si="7"/>
        <v>0</v>
      </c>
      <c r="I70">
        <f t="shared" si="8"/>
        <v>0</v>
      </c>
      <c r="J70">
        <f t="shared" si="9"/>
        <v>0</v>
      </c>
    </row>
    <row r="71" spans="1:10" x14ac:dyDescent="0.3">
      <c r="A71" s="1">
        <v>41654</v>
      </c>
      <c r="B71" s="1">
        <v>41669</v>
      </c>
      <c r="C71">
        <v>13.07</v>
      </c>
      <c r="D71">
        <v>0.34</v>
      </c>
      <c r="E71">
        <v>6</v>
      </c>
      <c r="F71">
        <f t="shared" si="5"/>
        <v>0</v>
      </c>
      <c r="G71">
        <f t="shared" si="6"/>
        <v>0</v>
      </c>
      <c r="H71">
        <f t="shared" si="7"/>
        <v>0</v>
      </c>
      <c r="I71">
        <f t="shared" si="8"/>
        <v>0</v>
      </c>
      <c r="J71">
        <f t="shared" si="9"/>
        <v>1</v>
      </c>
    </row>
    <row r="72" spans="1:10" x14ac:dyDescent="0.3">
      <c r="A72" s="1">
        <v>41654</v>
      </c>
      <c r="B72" s="1">
        <v>41659</v>
      </c>
      <c r="C72">
        <v>14</v>
      </c>
      <c r="D72">
        <v>0.37</v>
      </c>
      <c r="E72">
        <v>5</v>
      </c>
      <c r="F72">
        <f t="shared" si="5"/>
        <v>0</v>
      </c>
      <c r="G72">
        <f t="shared" si="6"/>
        <v>0</v>
      </c>
      <c r="H72">
        <f t="shared" si="7"/>
        <v>0</v>
      </c>
      <c r="I72">
        <f t="shared" si="8"/>
        <v>1</v>
      </c>
      <c r="J72">
        <f t="shared" si="9"/>
        <v>0</v>
      </c>
    </row>
    <row r="73" spans="1:10" x14ac:dyDescent="0.3">
      <c r="A73" s="1">
        <v>41654</v>
      </c>
      <c r="B73" s="1">
        <v>41671</v>
      </c>
      <c r="C73">
        <v>13.02</v>
      </c>
      <c r="D73">
        <v>0.34</v>
      </c>
      <c r="E73">
        <v>2</v>
      </c>
      <c r="F73">
        <f t="shared" si="5"/>
        <v>1</v>
      </c>
      <c r="G73">
        <f t="shared" si="6"/>
        <v>0</v>
      </c>
      <c r="H73">
        <f t="shared" si="7"/>
        <v>0</v>
      </c>
      <c r="I73">
        <f t="shared" si="8"/>
        <v>0</v>
      </c>
      <c r="J73">
        <f t="shared" si="9"/>
        <v>0</v>
      </c>
    </row>
    <row r="74" spans="1:10" x14ac:dyDescent="0.3">
      <c r="A74" s="1">
        <v>41654</v>
      </c>
      <c r="B74" s="1">
        <v>41658</v>
      </c>
      <c r="C74">
        <v>6.75</v>
      </c>
      <c r="D74">
        <v>0.18</v>
      </c>
      <c r="E74">
        <v>5</v>
      </c>
      <c r="F74">
        <f t="shared" si="5"/>
        <v>0</v>
      </c>
      <c r="G74">
        <f t="shared" si="6"/>
        <v>0</v>
      </c>
      <c r="H74">
        <f t="shared" si="7"/>
        <v>0</v>
      </c>
      <c r="I74">
        <f t="shared" si="8"/>
        <v>1</v>
      </c>
      <c r="J74">
        <f t="shared" si="9"/>
        <v>0</v>
      </c>
    </row>
    <row r="75" spans="1:10" x14ac:dyDescent="0.3">
      <c r="A75" s="1">
        <v>41654</v>
      </c>
      <c r="B75" s="1">
        <v>41670</v>
      </c>
      <c r="C75">
        <v>3.88</v>
      </c>
      <c r="D75">
        <v>0.1</v>
      </c>
      <c r="E75">
        <v>2</v>
      </c>
      <c r="F75">
        <f t="shared" si="5"/>
        <v>1</v>
      </c>
      <c r="G75">
        <f t="shared" si="6"/>
        <v>0</v>
      </c>
      <c r="H75">
        <f t="shared" si="7"/>
        <v>0</v>
      </c>
      <c r="I75">
        <f t="shared" si="8"/>
        <v>0</v>
      </c>
      <c r="J75">
        <f t="shared" si="9"/>
        <v>0</v>
      </c>
    </row>
    <row r="76" spans="1:10" x14ac:dyDescent="0.3">
      <c r="A76" s="1">
        <v>41654</v>
      </c>
      <c r="B76" s="1">
        <v>41657</v>
      </c>
      <c r="C76">
        <v>4.66</v>
      </c>
      <c r="D76">
        <v>0.12</v>
      </c>
      <c r="E76">
        <v>6</v>
      </c>
      <c r="F76">
        <f t="shared" si="5"/>
        <v>0</v>
      </c>
      <c r="G76">
        <f t="shared" si="6"/>
        <v>0</v>
      </c>
      <c r="H76">
        <f t="shared" si="7"/>
        <v>0</v>
      </c>
      <c r="I76">
        <f t="shared" si="8"/>
        <v>0</v>
      </c>
      <c r="J76">
        <f t="shared" si="9"/>
        <v>1</v>
      </c>
    </row>
    <row r="77" spans="1:10" x14ac:dyDescent="0.3">
      <c r="A77" s="1">
        <v>41654</v>
      </c>
      <c r="B77" s="1">
        <v>41661</v>
      </c>
      <c r="C77">
        <v>2.29</v>
      </c>
      <c r="D77">
        <v>0.06</v>
      </c>
      <c r="E77">
        <v>4</v>
      </c>
      <c r="F77">
        <f t="shared" si="5"/>
        <v>0</v>
      </c>
      <c r="G77">
        <f t="shared" si="6"/>
        <v>0</v>
      </c>
      <c r="H77">
        <f t="shared" si="7"/>
        <v>1</v>
      </c>
      <c r="I77">
        <f t="shared" si="8"/>
        <v>0</v>
      </c>
      <c r="J77">
        <f t="shared" si="9"/>
        <v>0</v>
      </c>
    </row>
    <row r="78" spans="1:10" x14ac:dyDescent="0.3">
      <c r="A78" s="1">
        <v>41654</v>
      </c>
      <c r="B78" s="1">
        <v>41665</v>
      </c>
      <c r="C78">
        <v>7.31</v>
      </c>
      <c r="D78">
        <v>0.19</v>
      </c>
      <c r="E78">
        <v>6</v>
      </c>
      <c r="F78">
        <f t="shared" si="5"/>
        <v>0</v>
      </c>
      <c r="G78">
        <f t="shared" si="6"/>
        <v>0</v>
      </c>
      <c r="H78">
        <f t="shared" si="7"/>
        <v>0</v>
      </c>
      <c r="I78">
        <f t="shared" si="8"/>
        <v>0</v>
      </c>
      <c r="J78">
        <f t="shared" si="9"/>
        <v>1</v>
      </c>
    </row>
    <row r="79" spans="1:10" x14ac:dyDescent="0.3">
      <c r="A79" s="1">
        <v>41654</v>
      </c>
      <c r="B79" s="1">
        <v>41682</v>
      </c>
      <c r="C79">
        <v>6.23</v>
      </c>
      <c r="D79">
        <v>0.16</v>
      </c>
      <c r="E79">
        <v>6</v>
      </c>
      <c r="F79">
        <f t="shared" si="5"/>
        <v>0</v>
      </c>
      <c r="G79">
        <f t="shared" si="6"/>
        <v>0</v>
      </c>
      <c r="H79">
        <f t="shared" si="7"/>
        <v>0</v>
      </c>
      <c r="I79">
        <f t="shared" si="8"/>
        <v>0</v>
      </c>
      <c r="J79">
        <f t="shared" si="9"/>
        <v>1</v>
      </c>
    </row>
    <row r="80" spans="1:10" x14ac:dyDescent="0.3">
      <c r="A80" s="1">
        <v>41654</v>
      </c>
      <c r="B80" s="1">
        <v>41663</v>
      </c>
      <c r="C80">
        <v>3.88</v>
      </c>
      <c r="D80">
        <v>0.1</v>
      </c>
      <c r="E80">
        <v>2</v>
      </c>
      <c r="F80">
        <f t="shared" si="5"/>
        <v>1</v>
      </c>
      <c r="G80">
        <f t="shared" si="6"/>
        <v>0</v>
      </c>
      <c r="H80">
        <f t="shared" si="7"/>
        <v>0</v>
      </c>
      <c r="I80">
        <f t="shared" si="8"/>
        <v>0</v>
      </c>
      <c r="J80">
        <f t="shared" si="9"/>
        <v>0</v>
      </c>
    </row>
    <row r="81" spans="1:10" x14ac:dyDescent="0.3">
      <c r="A81" s="1">
        <v>41654</v>
      </c>
      <c r="B81" s="1">
        <v>41662</v>
      </c>
      <c r="C81">
        <v>8.51</v>
      </c>
      <c r="D81">
        <v>0.22</v>
      </c>
      <c r="E81">
        <v>2</v>
      </c>
      <c r="F81">
        <f t="shared" si="5"/>
        <v>1</v>
      </c>
      <c r="G81">
        <f t="shared" si="6"/>
        <v>0</v>
      </c>
      <c r="H81">
        <f t="shared" si="7"/>
        <v>0</v>
      </c>
      <c r="I81">
        <f t="shared" si="8"/>
        <v>0</v>
      </c>
      <c r="J81">
        <f t="shared" si="9"/>
        <v>0</v>
      </c>
    </row>
    <row r="82" spans="1:10" x14ac:dyDescent="0.3">
      <c r="A82" s="1">
        <v>41654</v>
      </c>
      <c r="B82" s="1">
        <v>41657</v>
      </c>
      <c r="C82">
        <v>8.51</v>
      </c>
      <c r="D82">
        <v>0.22</v>
      </c>
      <c r="E82">
        <v>4</v>
      </c>
      <c r="F82">
        <f t="shared" si="5"/>
        <v>0</v>
      </c>
      <c r="G82">
        <f t="shared" si="6"/>
        <v>0</v>
      </c>
      <c r="H82">
        <f t="shared" si="7"/>
        <v>1</v>
      </c>
      <c r="I82">
        <f t="shared" si="8"/>
        <v>0</v>
      </c>
      <c r="J82">
        <f t="shared" si="9"/>
        <v>0</v>
      </c>
    </row>
    <row r="83" spans="1:10" x14ac:dyDescent="0.3">
      <c r="A83" s="1">
        <v>41654</v>
      </c>
      <c r="B83" s="1">
        <v>41676</v>
      </c>
      <c r="C83">
        <v>9.1300000000000008</v>
      </c>
      <c r="D83">
        <v>0.24</v>
      </c>
      <c r="E83">
        <v>2</v>
      </c>
      <c r="F83">
        <f t="shared" si="5"/>
        <v>1</v>
      </c>
      <c r="G83">
        <f t="shared" si="6"/>
        <v>0</v>
      </c>
      <c r="H83">
        <f t="shared" si="7"/>
        <v>0</v>
      </c>
      <c r="I83">
        <f t="shared" si="8"/>
        <v>0</v>
      </c>
      <c r="J83">
        <f t="shared" si="9"/>
        <v>0</v>
      </c>
    </row>
    <row r="84" spans="1:10" x14ac:dyDescent="0.3">
      <c r="A84" s="1">
        <v>41654</v>
      </c>
      <c r="B84" s="1">
        <v>41658</v>
      </c>
      <c r="C84">
        <v>3.88</v>
      </c>
      <c r="D84">
        <v>0.1</v>
      </c>
      <c r="E84">
        <v>2</v>
      </c>
      <c r="F84">
        <f t="shared" si="5"/>
        <v>1</v>
      </c>
      <c r="G84">
        <f t="shared" si="6"/>
        <v>0</v>
      </c>
      <c r="H84">
        <f t="shared" si="7"/>
        <v>0</v>
      </c>
      <c r="I84">
        <f t="shared" si="8"/>
        <v>0</v>
      </c>
      <c r="J84">
        <f t="shared" si="9"/>
        <v>0</v>
      </c>
    </row>
    <row r="85" spans="1:10" x14ac:dyDescent="0.3">
      <c r="A85" s="1">
        <v>41654</v>
      </c>
      <c r="B85" s="1">
        <v>41675</v>
      </c>
      <c r="C85">
        <v>11.42</v>
      </c>
      <c r="D85">
        <v>0.3</v>
      </c>
      <c r="E85">
        <v>2</v>
      </c>
      <c r="F85">
        <f t="shared" si="5"/>
        <v>1</v>
      </c>
      <c r="G85">
        <f t="shared" si="6"/>
        <v>0</v>
      </c>
      <c r="H85">
        <f t="shared" si="7"/>
        <v>0</v>
      </c>
      <c r="I85">
        <f t="shared" si="8"/>
        <v>0</v>
      </c>
      <c r="J85">
        <f t="shared" si="9"/>
        <v>0</v>
      </c>
    </row>
    <row r="86" spans="1:10" x14ac:dyDescent="0.3">
      <c r="A86" s="1">
        <v>41654</v>
      </c>
      <c r="B86" s="1">
        <v>41661</v>
      </c>
      <c r="C86">
        <v>16.829999999999998</v>
      </c>
      <c r="D86">
        <v>0.44</v>
      </c>
      <c r="E86">
        <v>4</v>
      </c>
      <c r="F86">
        <f t="shared" si="5"/>
        <v>0</v>
      </c>
      <c r="G86">
        <f t="shared" si="6"/>
        <v>0</v>
      </c>
      <c r="H86">
        <f t="shared" si="7"/>
        <v>1</v>
      </c>
      <c r="I86">
        <f t="shared" si="8"/>
        <v>0</v>
      </c>
      <c r="J86">
        <f t="shared" si="9"/>
        <v>0</v>
      </c>
    </row>
    <row r="87" spans="1:10" x14ac:dyDescent="0.3">
      <c r="A87" s="1">
        <v>41656</v>
      </c>
      <c r="B87" s="1">
        <v>41674</v>
      </c>
      <c r="C87">
        <v>5.67</v>
      </c>
      <c r="D87">
        <v>0.15</v>
      </c>
      <c r="E87">
        <v>2</v>
      </c>
      <c r="F87">
        <f t="shared" si="5"/>
        <v>1</v>
      </c>
      <c r="G87">
        <f t="shared" si="6"/>
        <v>0</v>
      </c>
      <c r="H87">
        <f t="shared" si="7"/>
        <v>0</v>
      </c>
      <c r="I87">
        <f t="shared" si="8"/>
        <v>0</v>
      </c>
      <c r="J87">
        <f t="shared" si="9"/>
        <v>0</v>
      </c>
    </row>
    <row r="88" spans="1:10" x14ac:dyDescent="0.3">
      <c r="A88" s="1">
        <v>41656</v>
      </c>
      <c r="B88" s="1">
        <v>41667</v>
      </c>
      <c r="C88">
        <v>5.67</v>
      </c>
      <c r="D88">
        <v>0.15</v>
      </c>
      <c r="E88">
        <v>3</v>
      </c>
      <c r="F88">
        <f t="shared" si="5"/>
        <v>0</v>
      </c>
      <c r="G88">
        <f t="shared" si="6"/>
        <v>1</v>
      </c>
      <c r="H88">
        <f t="shared" si="7"/>
        <v>0</v>
      </c>
      <c r="I88">
        <f t="shared" si="8"/>
        <v>0</v>
      </c>
      <c r="J88">
        <f t="shared" si="9"/>
        <v>0</v>
      </c>
    </row>
    <row r="89" spans="1:10" x14ac:dyDescent="0.3">
      <c r="A89" s="1">
        <v>41656</v>
      </c>
      <c r="B89" s="1">
        <v>41666</v>
      </c>
      <c r="C89">
        <v>2.0099999999999998</v>
      </c>
      <c r="D89">
        <v>0.05</v>
      </c>
      <c r="E89">
        <v>5</v>
      </c>
      <c r="F89">
        <f t="shared" si="5"/>
        <v>0</v>
      </c>
      <c r="G89">
        <f t="shared" si="6"/>
        <v>0</v>
      </c>
      <c r="H89">
        <f t="shared" si="7"/>
        <v>0</v>
      </c>
      <c r="I89">
        <f t="shared" si="8"/>
        <v>1</v>
      </c>
      <c r="J89">
        <f t="shared" si="9"/>
        <v>0</v>
      </c>
    </row>
    <row r="90" spans="1:10" x14ac:dyDescent="0.3">
      <c r="A90" s="1">
        <v>41656</v>
      </c>
      <c r="B90" s="1">
        <v>41678</v>
      </c>
      <c r="C90">
        <v>2.0099999999999998</v>
      </c>
      <c r="D90">
        <v>0.05</v>
      </c>
      <c r="E90">
        <v>5</v>
      </c>
      <c r="F90">
        <f t="shared" si="5"/>
        <v>0</v>
      </c>
      <c r="G90">
        <f t="shared" si="6"/>
        <v>0</v>
      </c>
      <c r="H90">
        <f t="shared" si="7"/>
        <v>0</v>
      </c>
      <c r="I90">
        <f t="shared" si="8"/>
        <v>1</v>
      </c>
      <c r="J90">
        <f t="shared" si="9"/>
        <v>0</v>
      </c>
    </row>
    <row r="91" spans="1:10" x14ac:dyDescent="0.3">
      <c r="A91" s="1">
        <v>41657</v>
      </c>
      <c r="B91" s="1">
        <v>41669</v>
      </c>
      <c r="C91">
        <v>6.43</v>
      </c>
      <c r="D91">
        <v>0.17</v>
      </c>
      <c r="E91">
        <v>5</v>
      </c>
      <c r="F91">
        <f t="shared" si="5"/>
        <v>0</v>
      </c>
      <c r="G91">
        <f t="shared" si="6"/>
        <v>0</v>
      </c>
      <c r="H91">
        <f t="shared" si="7"/>
        <v>0</v>
      </c>
      <c r="I91">
        <f t="shared" si="8"/>
        <v>1</v>
      </c>
      <c r="J91">
        <f t="shared" si="9"/>
        <v>0</v>
      </c>
    </row>
    <row r="92" spans="1:10" x14ac:dyDescent="0.3">
      <c r="A92" s="1">
        <v>41657</v>
      </c>
      <c r="B92" s="1">
        <v>41666</v>
      </c>
      <c r="C92">
        <v>3.88</v>
      </c>
      <c r="D92">
        <v>0.1</v>
      </c>
      <c r="E92">
        <v>5</v>
      </c>
      <c r="F92">
        <f t="shared" si="5"/>
        <v>0</v>
      </c>
      <c r="G92">
        <f t="shared" si="6"/>
        <v>0</v>
      </c>
      <c r="H92">
        <f t="shared" si="7"/>
        <v>0</v>
      </c>
      <c r="I92">
        <f t="shared" si="8"/>
        <v>1</v>
      </c>
      <c r="J92">
        <f t="shared" si="9"/>
        <v>0</v>
      </c>
    </row>
    <row r="93" spans="1:10" x14ac:dyDescent="0.3">
      <c r="A93" s="1">
        <v>41657</v>
      </c>
      <c r="B93" s="1">
        <v>41661</v>
      </c>
      <c r="C93">
        <v>8.7200000000000006</v>
      </c>
      <c r="D93">
        <v>0.23</v>
      </c>
      <c r="E93">
        <v>4</v>
      </c>
      <c r="F93">
        <f t="shared" si="5"/>
        <v>0</v>
      </c>
      <c r="G93">
        <f t="shared" si="6"/>
        <v>0</v>
      </c>
      <c r="H93">
        <f t="shared" si="7"/>
        <v>1</v>
      </c>
      <c r="I93">
        <f t="shared" si="8"/>
        <v>0</v>
      </c>
      <c r="J93">
        <f t="shared" si="9"/>
        <v>0</v>
      </c>
    </row>
    <row r="94" spans="1:10" x14ac:dyDescent="0.3">
      <c r="A94" s="1">
        <v>41658</v>
      </c>
      <c r="B94" s="1">
        <v>41685</v>
      </c>
      <c r="C94">
        <v>6.58</v>
      </c>
      <c r="D94">
        <v>0.17</v>
      </c>
      <c r="E94">
        <v>5</v>
      </c>
      <c r="F94">
        <f t="shared" si="5"/>
        <v>0</v>
      </c>
      <c r="G94">
        <f t="shared" si="6"/>
        <v>0</v>
      </c>
      <c r="H94">
        <f t="shared" si="7"/>
        <v>0</v>
      </c>
      <c r="I94">
        <f t="shared" si="8"/>
        <v>1</v>
      </c>
      <c r="J94">
        <f t="shared" si="9"/>
        <v>0</v>
      </c>
    </row>
    <row r="95" spans="1:10" x14ac:dyDescent="0.3">
      <c r="A95" s="1">
        <v>41658</v>
      </c>
      <c r="B95" s="1">
        <v>41685</v>
      </c>
      <c r="C95">
        <v>6.43</v>
      </c>
      <c r="D95">
        <v>0.17</v>
      </c>
      <c r="E95">
        <v>2</v>
      </c>
      <c r="F95">
        <f t="shared" si="5"/>
        <v>1</v>
      </c>
      <c r="G95">
        <f t="shared" si="6"/>
        <v>0</v>
      </c>
      <c r="H95">
        <f t="shared" si="7"/>
        <v>0</v>
      </c>
      <c r="I95">
        <f t="shared" si="8"/>
        <v>0</v>
      </c>
      <c r="J95">
        <f t="shared" si="9"/>
        <v>0</v>
      </c>
    </row>
    <row r="96" spans="1:10" x14ac:dyDescent="0.3">
      <c r="A96" s="1">
        <v>41660</v>
      </c>
      <c r="B96" s="1">
        <v>41676</v>
      </c>
      <c r="C96">
        <v>11.44</v>
      </c>
      <c r="D96">
        <v>0.3</v>
      </c>
      <c r="E96">
        <v>3</v>
      </c>
      <c r="F96">
        <f t="shared" si="5"/>
        <v>0</v>
      </c>
      <c r="G96">
        <f t="shared" si="6"/>
        <v>1</v>
      </c>
      <c r="H96">
        <f t="shared" si="7"/>
        <v>0</v>
      </c>
      <c r="I96">
        <f t="shared" si="8"/>
        <v>0</v>
      </c>
      <c r="J96">
        <f t="shared" si="9"/>
        <v>0</v>
      </c>
    </row>
    <row r="97" spans="1:10" x14ac:dyDescent="0.3">
      <c r="A97" s="1">
        <v>41660</v>
      </c>
      <c r="B97" s="1">
        <v>41667</v>
      </c>
      <c r="C97">
        <v>10.59</v>
      </c>
      <c r="D97">
        <v>0.28000000000000003</v>
      </c>
      <c r="E97">
        <v>4</v>
      </c>
      <c r="F97">
        <f t="shared" si="5"/>
        <v>0</v>
      </c>
      <c r="G97">
        <f t="shared" si="6"/>
        <v>0</v>
      </c>
      <c r="H97">
        <f t="shared" si="7"/>
        <v>1</v>
      </c>
      <c r="I97">
        <f t="shared" si="8"/>
        <v>0</v>
      </c>
      <c r="J97">
        <f t="shared" si="9"/>
        <v>0</v>
      </c>
    </row>
    <row r="98" spans="1:10" x14ac:dyDescent="0.3">
      <c r="A98" s="1">
        <v>41660</v>
      </c>
      <c r="B98" s="1">
        <v>41687</v>
      </c>
      <c r="C98">
        <v>11.44</v>
      </c>
      <c r="D98">
        <v>0.3</v>
      </c>
      <c r="E98">
        <v>6</v>
      </c>
      <c r="F98">
        <f t="shared" si="5"/>
        <v>0</v>
      </c>
      <c r="G98">
        <f t="shared" si="6"/>
        <v>0</v>
      </c>
      <c r="H98">
        <f t="shared" si="7"/>
        <v>0</v>
      </c>
      <c r="I98">
        <f t="shared" si="8"/>
        <v>0</v>
      </c>
      <c r="J98">
        <f t="shared" si="9"/>
        <v>1</v>
      </c>
    </row>
    <row r="99" spans="1:10" x14ac:dyDescent="0.3">
      <c r="A99" s="1">
        <v>41660</v>
      </c>
      <c r="B99" s="1">
        <v>41686</v>
      </c>
      <c r="C99">
        <v>10.199999999999999</v>
      </c>
      <c r="D99">
        <v>0.27</v>
      </c>
      <c r="E99">
        <v>6</v>
      </c>
      <c r="F99">
        <f t="shared" si="5"/>
        <v>0</v>
      </c>
      <c r="G99">
        <f t="shared" si="6"/>
        <v>0</v>
      </c>
      <c r="H99">
        <f t="shared" si="7"/>
        <v>0</v>
      </c>
      <c r="I99">
        <f t="shared" si="8"/>
        <v>0</v>
      </c>
      <c r="J99">
        <f t="shared" si="9"/>
        <v>1</v>
      </c>
    </row>
    <row r="100" spans="1:10" x14ac:dyDescent="0.3">
      <c r="A100" s="1">
        <v>41660</v>
      </c>
      <c r="B100" s="1">
        <v>41684</v>
      </c>
      <c r="C100">
        <v>19.54</v>
      </c>
      <c r="D100">
        <v>0.51</v>
      </c>
      <c r="E100">
        <v>5</v>
      </c>
      <c r="F100">
        <f t="shared" si="5"/>
        <v>0</v>
      </c>
      <c r="G100">
        <f t="shared" si="6"/>
        <v>0</v>
      </c>
      <c r="H100">
        <f t="shared" si="7"/>
        <v>0</v>
      </c>
      <c r="I100">
        <f t="shared" si="8"/>
        <v>1</v>
      </c>
      <c r="J100">
        <f t="shared" si="9"/>
        <v>0</v>
      </c>
    </row>
    <row r="101" spans="1:10" x14ac:dyDescent="0.3">
      <c r="A101" s="1">
        <v>41660</v>
      </c>
      <c r="B101" s="1">
        <v>41674</v>
      </c>
      <c r="C101">
        <v>10.93</v>
      </c>
      <c r="D101">
        <v>0.28999999999999998</v>
      </c>
      <c r="E101">
        <v>4</v>
      </c>
      <c r="F101">
        <f t="shared" si="5"/>
        <v>0</v>
      </c>
      <c r="G101">
        <f t="shared" si="6"/>
        <v>0</v>
      </c>
      <c r="H101">
        <f t="shared" si="7"/>
        <v>1</v>
      </c>
      <c r="I101">
        <f t="shared" si="8"/>
        <v>0</v>
      </c>
      <c r="J101">
        <f t="shared" si="9"/>
        <v>0</v>
      </c>
    </row>
    <row r="102" spans="1:10" x14ac:dyDescent="0.3">
      <c r="A102" s="1">
        <v>41661</v>
      </c>
      <c r="B102" s="1">
        <v>41668</v>
      </c>
      <c r="C102">
        <v>6.43</v>
      </c>
      <c r="D102">
        <v>0.17</v>
      </c>
      <c r="E102">
        <v>5</v>
      </c>
      <c r="F102">
        <f t="shared" si="5"/>
        <v>0</v>
      </c>
      <c r="G102">
        <f t="shared" si="6"/>
        <v>0</v>
      </c>
      <c r="H102">
        <f t="shared" si="7"/>
        <v>0</v>
      </c>
      <c r="I102">
        <f t="shared" si="8"/>
        <v>1</v>
      </c>
      <c r="J102">
        <f t="shared" si="9"/>
        <v>0</v>
      </c>
    </row>
    <row r="103" spans="1:10" x14ac:dyDescent="0.3">
      <c r="A103" s="1">
        <v>41661</v>
      </c>
      <c r="B103" s="1">
        <v>41681</v>
      </c>
      <c r="C103">
        <v>5.67</v>
      </c>
      <c r="D103">
        <v>0.15</v>
      </c>
      <c r="E103">
        <v>4</v>
      </c>
      <c r="F103">
        <f t="shared" si="5"/>
        <v>0</v>
      </c>
      <c r="G103">
        <f t="shared" si="6"/>
        <v>0</v>
      </c>
      <c r="H103">
        <f t="shared" si="7"/>
        <v>1</v>
      </c>
      <c r="I103">
        <f t="shared" si="8"/>
        <v>0</v>
      </c>
      <c r="J103">
        <f t="shared" si="9"/>
        <v>0</v>
      </c>
    </row>
    <row r="104" spans="1:10" x14ac:dyDescent="0.3">
      <c r="A104" s="1">
        <v>41661</v>
      </c>
      <c r="B104" s="1">
        <v>41682</v>
      </c>
      <c r="C104">
        <v>14.13</v>
      </c>
      <c r="D104">
        <v>0.37</v>
      </c>
      <c r="E104">
        <v>5</v>
      </c>
      <c r="F104">
        <f t="shared" si="5"/>
        <v>0</v>
      </c>
      <c r="G104">
        <f t="shared" si="6"/>
        <v>0</v>
      </c>
      <c r="H104">
        <f t="shared" si="7"/>
        <v>0</v>
      </c>
      <c r="I104">
        <f t="shared" si="8"/>
        <v>1</v>
      </c>
      <c r="J104">
        <f t="shared" si="9"/>
        <v>0</v>
      </c>
    </row>
    <row r="105" spans="1:10" x14ac:dyDescent="0.3">
      <c r="A105" s="1">
        <v>41661</v>
      </c>
      <c r="B105" s="1">
        <v>41689</v>
      </c>
      <c r="C105">
        <v>5.47</v>
      </c>
      <c r="D105">
        <v>0.14000000000000001</v>
      </c>
      <c r="E105">
        <v>3</v>
      </c>
      <c r="F105">
        <f t="shared" si="5"/>
        <v>0</v>
      </c>
      <c r="G105">
        <f t="shared" si="6"/>
        <v>1</v>
      </c>
      <c r="H105">
        <f t="shared" si="7"/>
        <v>0</v>
      </c>
      <c r="I105">
        <f t="shared" si="8"/>
        <v>0</v>
      </c>
      <c r="J105">
        <f t="shared" si="9"/>
        <v>0</v>
      </c>
    </row>
    <row r="106" spans="1:10" x14ac:dyDescent="0.3">
      <c r="A106" s="1">
        <v>41662</v>
      </c>
      <c r="B106" s="1">
        <v>41686</v>
      </c>
      <c r="C106">
        <v>8.39</v>
      </c>
      <c r="D106">
        <v>0.22</v>
      </c>
      <c r="E106">
        <v>2</v>
      </c>
      <c r="F106">
        <f t="shared" si="5"/>
        <v>1</v>
      </c>
      <c r="G106">
        <f t="shared" si="6"/>
        <v>0</v>
      </c>
      <c r="H106">
        <f t="shared" si="7"/>
        <v>0</v>
      </c>
      <c r="I106">
        <f t="shared" si="8"/>
        <v>0</v>
      </c>
      <c r="J106">
        <f t="shared" si="9"/>
        <v>0</v>
      </c>
    </row>
    <row r="107" spans="1:10" x14ac:dyDescent="0.3">
      <c r="A107" s="1">
        <v>41662</v>
      </c>
      <c r="B107" s="1">
        <v>41688</v>
      </c>
      <c r="C107">
        <v>3.79</v>
      </c>
      <c r="D107">
        <v>0.1</v>
      </c>
      <c r="E107">
        <v>3</v>
      </c>
      <c r="F107">
        <f t="shared" si="5"/>
        <v>0</v>
      </c>
      <c r="G107">
        <f t="shared" si="6"/>
        <v>1</v>
      </c>
      <c r="H107">
        <f t="shared" si="7"/>
        <v>0</v>
      </c>
      <c r="I107">
        <f t="shared" si="8"/>
        <v>0</v>
      </c>
      <c r="J107">
        <f t="shared" si="9"/>
        <v>0</v>
      </c>
    </row>
    <row r="108" spans="1:10" x14ac:dyDescent="0.3">
      <c r="A108" s="1">
        <v>41662</v>
      </c>
      <c r="B108" s="1">
        <v>41664</v>
      </c>
      <c r="C108">
        <v>6.23</v>
      </c>
      <c r="D108">
        <v>0.16</v>
      </c>
      <c r="E108">
        <v>6</v>
      </c>
      <c r="F108">
        <f t="shared" si="5"/>
        <v>0</v>
      </c>
      <c r="G108">
        <f t="shared" si="6"/>
        <v>0</v>
      </c>
      <c r="H108">
        <f t="shared" si="7"/>
        <v>0</v>
      </c>
      <c r="I108">
        <f t="shared" si="8"/>
        <v>0</v>
      </c>
      <c r="J108">
        <f t="shared" si="9"/>
        <v>1</v>
      </c>
    </row>
    <row r="109" spans="1:10" x14ac:dyDescent="0.3">
      <c r="A109" s="1">
        <v>41663</v>
      </c>
      <c r="B109" s="1">
        <v>41675</v>
      </c>
      <c r="C109">
        <v>6.34</v>
      </c>
      <c r="D109">
        <v>0.17</v>
      </c>
      <c r="E109">
        <v>6</v>
      </c>
      <c r="F109">
        <f t="shared" si="5"/>
        <v>0</v>
      </c>
      <c r="G109">
        <f t="shared" si="6"/>
        <v>0</v>
      </c>
      <c r="H109">
        <f t="shared" si="7"/>
        <v>0</v>
      </c>
      <c r="I109">
        <f t="shared" si="8"/>
        <v>0</v>
      </c>
      <c r="J109">
        <f t="shared" si="9"/>
        <v>1</v>
      </c>
    </row>
    <row r="110" spans="1:10" x14ac:dyDescent="0.3">
      <c r="A110" s="1">
        <v>41663</v>
      </c>
      <c r="B110" s="1">
        <v>41684</v>
      </c>
      <c r="C110">
        <v>3.57</v>
      </c>
      <c r="D110">
        <v>0.09</v>
      </c>
      <c r="E110">
        <v>6</v>
      </c>
      <c r="F110">
        <f t="shared" si="5"/>
        <v>0</v>
      </c>
      <c r="G110">
        <f t="shared" si="6"/>
        <v>0</v>
      </c>
      <c r="H110">
        <f t="shared" si="7"/>
        <v>0</v>
      </c>
      <c r="I110">
        <f t="shared" si="8"/>
        <v>0</v>
      </c>
      <c r="J110">
        <f t="shared" si="9"/>
        <v>1</v>
      </c>
    </row>
    <row r="111" spans="1:10" x14ac:dyDescent="0.3">
      <c r="A111" s="1">
        <v>41664</v>
      </c>
      <c r="B111" s="1">
        <v>41681</v>
      </c>
      <c r="C111">
        <v>4.66</v>
      </c>
      <c r="D111">
        <v>0.12</v>
      </c>
      <c r="E111">
        <v>4</v>
      </c>
      <c r="F111">
        <f t="shared" si="5"/>
        <v>0</v>
      </c>
      <c r="G111">
        <f t="shared" si="6"/>
        <v>0</v>
      </c>
      <c r="H111">
        <f t="shared" si="7"/>
        <v>1</v>
      </c>
      <c r="I111">
        <f t="shared" si="8"/>
        <v>0</v>
      </c>
      <c r="J111">
        <f t="shared" si="9"/>
        <v>0</v>
      </c>
    </row>
    <row r="112" spans="1:10" x14ac:dyDescent="0.3">
      <c r="A112" s="1">
        <v>41665</v>
      </c>
      <c r="B112" s="1">
        <v>41692</v>
      </c>
      <c r="C112">
        <v>13.07</v>
      </c>
      <c r="D112">
        <v>0.34</v>
      </c>
      <c r="E112">
        <v>3</v>
      </c>
      <c r="F112">
        <f t="shared" si="5"/>
        <v>0</v>
      </c>
      <c r="G112">
        <f t="shared" si="6"/>
        <v>1</v>
      </c>
      <c r="H112">
        <f t="shared" si="7"/>
        <v>0</v>
      </c>
      <c r="I112">
        <f t="shared" si="8"/>
        <v>0</v>
      </c>
      <c r="J112">
        <f t="shared" si="9"/>
        <v>0</v>
      </c>
    </row>
    <row r="113" spans="1:10" x14ac:dyDescent="0.3">
      <c r="A113" s="1">
        <v>41665</v>
      </c>
      <c r="B113" s="1">
        <v>41691</v>
      </c>
      <c r="C113">
        <v>13.81</v>
      </c>
      <c r="D113">
        <v>0.36</v>
      </c>
      <c r="E113">
        <v>5</v>
      </c>
      <c r="F113">
        <f t="shared" si="5"/>
        <v>0</v>
      </c>
      <c r="G113">
        <f t="shared" si="6"/>
        <v>0</v>
      </c>
      <c r="H113">
        <f t="shared" si="7"/>
        <v>0</v>
      </c>
      <c r="I113">
        <f t="shared" si="8"/>
        <v>1</v>
      </c>
      <c r="J113">
        <f t="shared" si="9"/>
        <v>0</v>
      </c>
    </row>
    <row r="114" spans="1:10" x14ac:dyDescent="0.3">
      <c r="A114" s="1">
        <v>41665</v>
      </c>
      <c r="B114" s="1">
        <v>41673</v>
      </c>
      <c r="C114">
        <v>11.69</v>
      </c>
      <c r="D114">
        <v>0.31</v>
      </c>
      <c r="E114">
        <v>2</v>
      </c>
      <c r="F114">
        <f t="shared" si="5"/>
        <v>1</v>
      </c>
      <c r="G114">
        <f t="shared" si="6"/>
        <v>0</v>
      </c>
      <c r="H114">
        <f t="shared" si="7"/>
        <v>0</v>
      </c>
      <c r="I114">
        <f t="shared" si="8"/>
        <v>0</v>
      </c>
      <c r="J114">
        <f t="shared" si="9"/>
        <v>0</v>
      </c>
    </row>
    <row r="115" spans="1:10" x14ac:dyDescent="0.3">
      <c r="A115" s="1">
        <v>41665</v>
      </c>
      <c r="B115" s="1">
        <v>41683</v>
      </c>
      <c r="C115">
        <v>8.84</v>
      </c>
      <c r="D115">
        <v>0.23</v>
      </c>
      <c r="E115">
        <v>4</v>
      </c>
      <c r="F115">
        <f t="shared" si="5"/>
        <v>0</v>
      </c>
      <c r="G115">
        <f t="shared" si="6"/>
        <v>0</v>
      </c>
      <c r="H115">
        <f t="shared" si="7"/>
        <v>1</v>
      </c>
      <c r="I115">
        <f t="shared" si="8"/>
        <v>0</v>
      </c>
      <c r="J115">
        <f t="shared" si="9"/>
        <v>0</v>
      </c>
    </row>
    <row r="116" spans="1:10" x14ac:dyDescent="0.3">
      <c r="A116" s="1">
        <v>41665</v>
      </c>
      <c r="B116" s="1">
        <v>41690</v>
      </c>
      <c r="C116">
        <v>16.940000000000001</v>
      </c>
      <c r="D116">
        <v>0.45</v>
      </c>
      <c r="E116">
        <v>5</v>
      </c>
      <c r="F116">
        <f t="shared" si="5"/>
        <v>0</v>
      </c>
      <c r="G116">
        <f t="shared" si="6"/>
        <v>0</v>
      </c>
      <c r="H116">
        <f t="shared" si="7"/>
        <v>0</v>
      </c>
      <c r="I116">
        <f t="shared" si="8"/>
        <v>1</v>
      </c>
      <c r="J116">
        <f t="shared" si="9"/>
        <v>0</v>
      </c>
    </row>
    <row r="117" spans="1:10" x14ac:dyDescent="0.3">
      <c r="A117" s="1">
        <v>41665</v>
      </c>
      <c r="B117" s="1">
        <v>41669</v>
      </c>
      <c r="C117">
        <v>13.82</v>
      </c>
      <c r="D117">
        <v>0.36</v>
      </c>
      <c r="E117">
        <v>4</v>
      </c>
      <c r="F117">
        <f t="shared" si="5"/>
        <v>0</v>
      </c>
      <c r="G117">
        <f t="shared" si="6"/>
        <v>0</v>
      </c>
      <c r="H117">
        <f t="shared" si="7"/>
        <v>1</v>
      </c>
      <c r="I117">
        <f t="shared" si="8"/>
        <v>0</v>
      </c>
      <c r="J117">
        <f t="shared" si="9"/>
        <v>0</v>
      </c>
    </row>
    <row r="118" spans="1:10" x14ac:dyDescent="0.3">
      <c r="A118" s="1">
        <v>41665</v>
      </c>
      <c r="B118" s="1">
        <v>41689</v>
      </c>
      <c r="C118">
        <v>9.4600000000000009</v>
      </c>
      <c r="D118">
        <v>0.25</v>
      </c>
      <c r="E118">
        <v>6</v>
      </c>
      <c r="F118">
        <f t="shared" si="5"/>
        <v>0</v>
      </c>
      <c r="G118">
        <f t="shared" si="6"/>
        <v>0</v>
      </c>
      <c r="H118">
        <f t="shared" si="7"/>
        <v>0</v>
      </c>
      <c r="I118">
        <f t="shared" si="8"/>
        <v>0</v>
      </c>
      <c r="J118">
        <f t="shared" si="9"/>
        <v>1</v>
      </c>
    </row>
    <row r="119" spans="1:10" x14ac:dyDescent="0.3">
      <c r="A119" s="1">
        <v>41665</v>
      </c>
      <c r="B119" s="1">
        <v>41684</v>
      </c>
      <c r="C119">
        <v>8.89</v>
      </c>
      <c r="D119">
        <v>0.23</v>
      </c>
      <c r="E119">
        <v>6</v>
      </c>
      <c r="F119">
        <f t="shared" si="5"/>
        <v>0</v>
      </c>
      <c r="G119">
        <f t="shared" si="6"/>
        <v>0</v>
      </c>
      <c r="H119">
        <f t="shared" si="7"/>
        <v>0</v>
      </c>
      <c r="I119">
        <f t="shared" si="8"/>
        <v>0</v>
      </c>
      <c r="J119">
        <f t="shared" si="9"/>
        <v>1</v>
      </c>
    </row>
    <row r="120" spans="1:10" x14ac:dyDescent="0.3">
      <c r="A120" s="1">
        <v>41665</v>
      </c>
      <c r="B120" s="1">
        <v>41673</v>
      </c>
      <c r="C120">
        <v>5.57</v>
      </c>
      <c r="D120">
        <v>0.15</v>
      </c>
      <c r="E120">
        <v>4</v>
      </c>
      <c r="F120">
        <f t="shared" si="5"/>
        <v>0</v>
      </c>
      <c r="G120">
        <f t="shared" si="6"/>
        <v>0</v>
      </c>
      <c r="H120">
        <f t="shared" si="7"/>
        <v>1</v>
      </c>
      <c r="I120">
        <f t="shared" si="8"/>
        <v>0</v>
      </c>
      <c r="J120">
        <f t="shared" si="9"/>
        <v>0</v>
      </c>
    </row>
    <row r="121" spans="1:10" x14ac:dyDescent="0.3">
      <c r="A121" s="1">
        <v>41665</v>
      </c>
      <c r="B121" s="1">
        <v>41669</v>
      </c>
      <c r="C121">
        <v>7.35</v>
      </c>
      <c r="D121">
        <v>0.19</v>
      </c>
      <c r="E121">
        <v>2</v>
      </c>
      <c r="F121">
        <f t="shared" si="5"/>
        <v>1</v>
      </c>
      <c r="G121">
        <f t="shared" si="6"/>
        <v>0</v>
      </c>
      <c r="H121">
        <f t="shared" si="7"/>
        <v>0</v>
      </c>
      <c r="I121">
        <f t="shared" si="8"/>
        <v>0</v>
      </c>
      <c r="J121">
        <f t="shared" si="9"/>
        <v>0</v>
      </c>
    </row>
    <row r="122" spans="1:10" x14ac:dyDescent="0.3">
      <c r="A122" s="1">
        <v>41665</v>
      </c>
      <c r="B122" s="1">
        <v>41681</v>
      </c>
      <c r="C122">
        <v>12.23</v>
      </c>
      <c r="D122">
        <v>0.32</v>
      </c>
      <c r="E122">
        <v>4</v>
      </c>
      <c r="F122">
        <f t="shared" si="5"/>
        <v>0</v>
      </c>
      <c r="G122">
        <f t="shared" si="6"/>
        <v>0</v>
      </c>
      <c r="H122">
        <f t="shared" si="7"/>
        <v>1</v>
      </c>
      <c r="I122">
        <f t="shared" si="8"/>
        <v>0</v>
      </c>
      <c r="J122">
        <f t="shared" si="9"/>
        <v>0</v>
      </c>
    </row>
    <row r="123" spans="1:10" x14ac:dyDescent="0.3">
      <c r="A123" s="1">
        <v>41665</v>
      </c>
      <c r="B123" s="1">
        <v>41690</v>
      </c>
      <c r="C123">
        <v>5.23</v>
      </c>
      <c r="D123">
        <v>0.14000000000000001</v>
      </c>
      <c r="E123">
        <v>6</v>
      </c>
      <c r="F123">
        <f t="shared" si="5"/>
        <v>0</v>
      </c>
      <c r="G123">
        <f t="shared" si="6"/>
        <v>0</v>
      </c>
      <c r="H123">
        <f t="shared" si="7"/>
        <v>0</v>
      </c>
      <c r="I123">
        <f t="shared" si="8"/>
        <v>0</v>
      </c>
      <c r="J123">
        <f t="shared" si="9"/>
        <v>1</v>
      </c>
    </row>
    <row r="124" spans="1:10" x14ac:dyDescent="0.3">
      <c r="A124" s="1">
        <v>41666</v>
      </c>
      <c r="B124" s="1">
        <v>41682</v>
      </c>
      <c r="C124">
        <v>6.43</v>
      </c>
      <c r="D124">
        <v>0.17</v>
      </c>
      <c r="E124">
        <v>4</v>
      </c>
      <c r="F124">
        <f t="shared" si="5"/>
        <v>0</v>
      </c>
      <c r="G124">
        <f t="shared" si="6"/>
        <v>0</v>
      </c>
      <c r="H124">
        <f t="shared" si="7"/>
        <v>1</v>
      </c>
      <c r="I124">
        <f t="shared" si="8"/>
        <v>0</v>
      </c>
      <c r="J124">
        <f t="shared" si="9"/>
        <v>0</v>
      </c>
    </row>
    <row r="125" spans="1:10" x14ac:dyDescent="0.3">
      <c r="A125" s="1">
        <v>41666</v>
      </c>
      <c r="B125" s="1">
        <v>41668</v>
      </c>
      <c r="C125">
        <v>11.44</v>
      </c>
      <c r="D125">
        <v>0.3</v>
      </c>
      <c r="E125">
        <v>5</v>
      </c>
      <c r="F125">
        <f t="shared" si="5"/>
        <v>0</v>
      </c>
      <c r="G125">
        <f t="shared" si="6"/>
        <v>0</v>
      </c>
      <c r="H125">
        <f t="shared" si="7"/>
        <v>0</v>
      </c>
      <c r="I125">
        <f t="shared" si="8"/>
        <v>1</v>
      </c>
      <c r="J125">
        <f t="shared" si="9"/>
        <v>0</v>
      </c>
    </row>
    <row r="126" spans="1:10" x14ac:dyDescent="0.3">
      <c r="A126" s="1">
        <v>41666</v>
      </c>
      <c r="B126" s="1">
        <v>41673</v>
      </c>
      <c r="C126">
        <v>8.7200000000000006</v>
      </c>
      <c r="D126">
        <v>0.23</v>
      </c>
      <c r="E126">
        <v>5</v>
      </c>
      <c r="F126">
        <f t="shared" si="5"/>
        <v>0</v>
      </c>
      <c r="G126">
        <f t="shared" si="6"/>
        <v>0</v>
      </c>
      <c r="H126">
        <f t="shared" si="7"/>
        <v>0</v>
      </c>
      <c r="I126">
        <f t="shared" si="8"/>
        <v>1</v>
      </c>
      <c r="J126">
        <f t="shared" si="9"/>
        <v>0</v>
      </c>
    </row>
    <row r="127" spans="1:10" x14ac:dyDescent="0.3">
      <c r="A127" s="1">
        <v>41666</v>
      </c>
      <c r="B127" s="1">
        <v>41685</v>
      </c>
      <c r="C127">
        <v>10.199999999999999</v>
      </c>
      <c r="D127">
        <v>0.27</v>
      </c>
      <c r="E127">
        <v>4</v>
      </c>
      <c r="F127">
        <f t="shared" si="5"/>
        <v>0</v>
      </c>
      <c r="G127">
        <f t="shared" si="6"/>
        <v>0</v>
      </c>
      <c r="H127">
        <f t="shared" si="7"/>
        <v>1</v>
      </c>
      <c r="I127">
        <f t="shared" si="8"/>
        <v>0</v>
      </c>
      <c r="J127">
        <f t="shared" si="9"/>
        <v>0</v>
      </c>
    </row>
    <row r="128" spans="1:10" x14ac:dyDescent="0.3">
      <c r="A128" s="1">
        <v>41666</v>
      </c>
      <c r="B128" s="1">
        <v>41668</v>
      </c>
      <c r="C128">
        <v>10.199999999999999</v>
      </c>
      <c r="D128">
        <v>0.27</v>
      </c>
      <c r="E128">
        <v>2</v>
      </c>
      <c r="F128">
        <f t="shared" si="5"/>
        <v>1</v>
      </c>
      <c r="G128">
        <f t="shared" si="6"/>
        <v>0</v>
      </c>
      <c r="H128">
        <f t="shared" si="7"/>
        <v>0</v>
      </c>
      <c r="I128">
        <f t="shared" si="8"/>
        <v>0</v>
      </c>
      <c r="J128">
        <f t="shared" si="9"/>
        <v>0</v>
      </c>
    </row>
    <row r="129" spans="1:10" x14ac:dyDescent="0.3">
      <c r="A129" s="1">
        <v>41667</v>
      </c>
      <c r="B129" s="1">
        <v>41693</v>
      </c>
      <c r="C129">
        <v>4.66</v>
      </c>
      <c r="D129">
        <v>0.12</v>
      </c>
      <c r="E129">
        <v>3</v>
      </c>
      <c r="F129">
        <f t="shared" si="5"/>
        <v>0</v>
      </c>
      <c r="G129">
        <f t="shared" si="6"/>
        <v>1</v>
      </c>
      <c r="H129">
        <f t="shared" si="7"/>
        <v>0</v>
      </c>
      <c r="I129">
        <f t="shared" si="8"/>
        <v>0</v>
      </c>
      <c r="J129">
        <f t="shared" si="9"/>
        <v>0</v>
      </c>
    </row>
    <row r="130" spans="1:10" x14ac:dyDescent="0.3">
      <c r="A130" s="1">
        <v>41667</v>
      </c>
      <c r="B130" s="1">
        <v>41675</v>
      </c>
      <c r="C130">
        <v>11.69</v>
      </c>
      <c r="D130">
        <v>0.31</v>
      </c>
      <c r="E130">
        <v>6</v>
      </c>
      <c r="F130">
        <f t="shared" si="5"/>
        <v>0</v>
      </c>
      <c r="G130">
        <f t="shared" si="6"/>
        <v>0</v>
      </c>
      <c r="H130">
        <f t="shared" si="7"/>
        <v>0</v>
      </c>
      <c r="I130">
        <f t="shared" si="8"/>
        <v>0</v>
      </c>
      <c r="J130">
        <f t="shared" si="9"/>
        <v>1</v>
      </c>
    </row>
    <row r="131" spans="1:10" x14ac:dyDescent="0.3">
      <c r="A131" s="1">
        <v>41667</v>
      </c>
      <c r="B131" s="1">
        <v>41673</v>
      </c>
      <c r="C131">
        <v>6.88</v>
      </c>
      <c r="D131">
        <v>0.18</v>
      </c>
      <c r="E131">
        <v>3</v>
      </c>
      <c r="F131">
        <f t="shared" ref="F131:F194" si="10">IF(EXACT(E131,2),1,0)</f>
        <v>0</v>
      </c>
      <c r="G131">
        <f t="shared" ref="G131:G194" si="11">IF(EXACT(E131,3),1,0)</f>
        <v>1</v>
      </c>
      <c r="H131">
        <f t="shared" ref="H131:H194" si="12">IF(EXACT(E131,4),1,0)</f>
        <v>0</v>
      </c>
      <c r="I131">
        <f t="shared" ref="I131:I194" si="13">IF(EXACT(E131,5),1,0)</f>
        <v>0</v>
      </c>
      <c r="J131">
        <f t="shared" ref="J131:J194" si="14">IF(EXACT(E131,6),1,0)</f>
        <v>0</v>
      </c>
    </row>
    <row r="132" spans="1:10" x14ac:dyDescent="0.3">
      <c r="A132" s="1">
        <v>41672</v>
      </c>
      <c r="B132" s="1">
        <v>41683</v>
      </c>
      <c r="C132">
        <v>9.74</v>
      </c>
      <c r="D132">
        <v>0.26</v>
      </c>
      <c r="E132">
        <v>2</v>
      </c>
      <c r="F132">
        <f t="shared" si="10"/>
        <v>1</v>
      </c>
      <c r="G132">
        <f t="shared" si="11"/>
        <v>0</v>
      </c>
      <c r="H132">
        <f t="shared" si="12"/>
        <v>0</v>
      </c>
      <c r="I132">
        <f t="shared" si="13"/>
        <v>0</v>
      </c>
      <c r="J132">
        <f t="shared" si="14"/>
        <v>0</v>
      </c>
    </row>
    <row r="133" spans="1:10" x14ac:dyDescent="0.3">
      <c r="A133" s="1">
        <v>41672</v>
      </c>
      <c r="B133" s="1">
        <v>41681</v>
      </c>
      <c r="C133">
        <v>9.06</v>
      </c>
      <c r="D133">
        <v>0.24</v>
      </c>
      <c r="E133">
        <v>2</v>
      </c>
      <c r="F133">
        <f t="shared" si="10"/>
        <v>1</v>
      </c>
      <c r="G133">
        <f t="shared" si="11"/>
        <v>0</v>
      </c>
      <c r="H133">
        <f t="shared" si="12"/>
        <v>0</v>
      </c>
      <c r="I133">
        <f t="shared" si="13"/>
        <v>0</v>
      </c>
      <c r="J133">
        <f t="shared" si="14"/>
        <v>0</v>
      </c>
    </row>
    <row r="134" spans="1:10" x14ac:dyDescent="0.3">
      <c r="A134" s="1">
        <v>41672</v>
      </c>
      <c r="B134" s="1">
        <v>41694</v>
      </c>
      <c r="C134">
        <v>14</v>
      </c>
      <c r="D134">
        <v>0.37</v>
      </c>
      <c r="E134">
        <v>2</v>
      </c>
      <c r="F134">
        <f t="shared" si="10"/>
        <v>1</v>
      </c>
      <c r="G134">
        <f t="shared" si="11"/>
        <v>0</v>
      </c>
      <c r="H134">
        <f t="shared" si="12"/>
        <v>0</v>
      </c>
      <c r="I134">
        <f t="shared" si="13"/>
        <v>0</v>
      </c>
      <c r="J134">
        <f t="shared" si="14"/>
        <v>0</v>
      </c>
    </row>
    <row r="135" spans="1:10" x14ac:dyDescent="0.3">
      <c r="A135" s="1">
        <v>41673</v>
      </c>
      <c r="B135" s="1">
        <v>41697</v>
      </c>
      <c r="C135">
        <v>10.59</v>
      </c>
      <c r="D135">
        <v>0.28000000000000003</v>
      </c>
      <c r="E135">
        <v>3</v>
      </c>
      <c r="F135">
        <f t="shared" si="10"/>
        <v>0</v>
      </c>
      <c r="G135">
        <f t="shared" si="11"/>
        <v>1</v>
      </c>
      <c r="H135">
        <f t="shared" si="12"/>
        <v>0</v>
      </c>
      <c r="I135">
        <f t="shared" si="13"/>
        <v>0</v>
      </c>
      <c r="J135">
        <f t="shared" si="14"/>
        <v>0</v>
      </c>
    </row>
    <row r="136" spans="1:10" x14ac:dyDescent="0.3">
      <c r="A136" s="1">
        <v>41673</v>
      </c>
      <c r="B136" s="1">
        <v>41676</v>
      </c>
      <c r="C136">
        <v>3.94</v>
      </c>
      <c r="D136">
        <v>0.1</v>
      </c>
      <c r="E136">
        <v>6</v>
      </c>
      <c r="F136">
        <f t="shared" si="10"/>
        <v>0</v>
      </c>
      <c r="G136">
        <f t="shared" si="11"/>
        <v>0</v>
      </c>
      <c r="H136">
        <f t="shared" si="12"/>
        <v>0</v>
      </c>
      <c r="I136">
        <f t="shared" si="13"/>
        <v>0</v>
      </c>
      <c r="J136">
        <f t="shared" si="14"/>
        <v>1</v>
      </c>
    </row>
    <row r="137" spans="1:10" x14ac:dyDescent="0.3">
      <c r="A137" s="1">
        <v>41673</v>
      </c>
      <c r="B137" s="1">
        <v>41690</v>
      </c>
      <c r="C137">
        <v>4.66</v>
      </c>
      <c r="D137">
        <v>0.12</v>
      </c>
      <c r="E137">
        <v>3</v>
      </c>
      <c r="F137">
        <f t="shared" si="10"/>
        <v>0</v>
      </c>
      <c r="G137">
        <f t="shared" si="11"/>
        <v>1</v>
      </c>
      <c r="H137">
        <f t="shared" si="12"/>
        <v>0</v>
      </c>
      <c r="I137">
        <f t="shared" si="13"/>
        <v>0</v>
      </c>
      <c r="J137">
        <f t="shared" si="14"/>
        <v>0</v>
      </c>
    </row>
    <row r="138" spans="1:10" x14ac:dyDescent="0.3">
      <c r="A138" s="1">
        <v>41673</v>
      </c>
      <c r="B138" s="1">
        <v>41701</v>
      </c>
      <c r="C138">
        <v>10.199999999999999</v>
      </c>
      <c r="D138">
        <v>0.27</v>
      </c>
      <c r="E138">
        <v>6</v>
      </c>
      <c r="F138">
        <f t="shared" si="10"/>
        <v>0</v>
      </c>
      <c r="G138">
        <f t="shared" si="11"/>
        <v>0</v>
      </c>
      <c r="H138">
        <f t="shared" si="12"/>
        <v>0</v>
      </c>
      <c r="I138">
        <f t="shared" si="13"/>
        <v>0</v>
      </c>
      <c r="J138">
        <f t="shared" si="14"/>
        <v>1</v>
      </c>
    </row>
    <row r="139" spans="1:10" x14ac:dyDescent="0.3">
      <c r="A139" s="1">
        <v>41677</v>
      </c>
      <c r="B139" s="1">
        <v>41682</v>
      </c>
      <c r="C139">
        <v>12.23</v>
      </c>
      <c r="D139">
        <v>0.32</v>
      </c>
      <c r="E139">
        <v>5</v>
      </c>
      <c r="F139">
        <f t="shared" si="10"/>
        <v>0</v>
      </c>
      <c r="G139">
        <f t="shared" si="11"/>
        <v>0</v>
      </c>
      <c r="H139">
        <f t="shared" si="12"/>
        <v>0</v>
      </c>
      <c r="I139">
        <f t="shared" si="13"/>
        <v>1</v>
      </c>
      <c r="J139">
        <f t="shared" si="14"/>
        <v>0</v>
      </c>
    </row>
    <row r="140" spans="1:10" x14ac:dyDescent="0.3">
      <c r="A140" s="1">
        <v>41677</v>
      </c>
      <c r="B140" s="1">
        <v>41698</v>
      </c>
      <c r="C140">
        <v>10.19</v>
      </c>
      <c r="D140">
        <v>0.27</v>
      </c>
      <c r="E140">
        <v>3</v>
      </c>
      <c r="F140">
        <f t="shared" si="10"/>
        <v>0</v>
      </c>
      <c r="G140">
        <f t="shared" si="11"/>
        <v>1</v>
      </c>
      <c r="H140">
        <f t="shared" si="12"/>
        <v>0</v>
      </c>
      <c r="I140">
        <f t="shared" si="13"/>
        <v>0</v>
      </c>
      <c r="J140">
        <f t="shared" si="14"/>
        <v>0</v>
      </c>
    </row>
    <row r="141" spans="1:10" x14ac:dyDescent="0.3">
      <c r="A141" s="1">
        <v>41677</v>
      </c>
      <c r="B141" s="1">
        <v>41701</v>
      </c>
      <c r="C141">
        <v>12.01</v>
      </c>
      <c r="D141">
        <v>0.32</v>
      </c>
      <c r="E141">
        <v>6</v>
      </c>
      <c r="F141">
        <f t="shared" si="10"/>
        <v>0</v>
      </c>
      <c r="G141">
        <f t="shared" si="11"/>
        <v>0</v>
      </c>
      <c r="H141">
        <f t="shared" si="12"/>
        <v>0</v>
      </c>
      <c r="I141">
        <f t="shared" si="13"/>
        <v>0</v>
      </c>
      <c r="J141">
        <f t="shared" si="14"/>
        <v>1</v>
      </c>
    </row>
    <row r="142" spans="1:10" x14ac:dyDescent="0.3">
      <c r="A142" s="1">
        <v>41677</v>
      </c>
      <c r="B142" s="1">
        <v>41681</v>
      </c>
      <c r="C142">
        <v>11.44</v>
      </c>
      <c r="D142">
        <v>0.3</v>
      </c>
      <c r="E142">
        <v>3</v>
      </c>
      <c r="F142">
        <f t="shared" si="10"/>
        <v>0</v>
      </c>
      <c r="G142">
        <f t="shared" si="11"/>
        <v>1</v>
      </c>
      <c r="H142">
        <f t="shared" si="12"/>
        <v>0</v>
      </c>
      <c r="I142">
        <f t="shared" si="13"/>
        <v>0</v>
      </c>
      <c r="J142">
        <f t="shared" si="14"/>
        <v>0</v>
      </c>
    </row>
    <row r="143" spans="1:10" x14ac:dyDescent="0.3">
      <c r="A143" s="1">
        <v>41677</v>
      </c>
      <c r="B143" s="1">
        <v>41700</v>
      </c>
      <c r="C143">
        <v>6.23</v>
      </c>
      <c r="D143">
        <v>0.16</v>
      </c>
      <c r="E143">
        <v>3</v>
      </c>
      <c r="F143">
        <f t="shared" si="10"/>
        <v>0</v>
      </c>
      <c r="G143">
        <f t="shared" si="11"/>
        <v>1</v>
      </c>
      <c r="H143">
        <f t="shared" si="12"/>
        <v>0</v>
      </c>
      <c r="I143">
        <f t="shared" si="13"/>
        <v>0</v>
      </c>
      <c r="J143">
        <f t="shared" si="14"/>
        <v>0</v>
      </c>
    </row>
    <row r="144" spans="1:10" x14ac:dyDescent="0.3">
      <c r="A144" s="1">
        <v>41677</v>
      </c>
      <c r="B144" s="1">
        <v>41686</v>
      </c>
      <c r="C144">
        <v>12.01</v>
      </c>
      <c r="D144">
        <v>0.32</v>
      </c>
      <c r="E144">
        <v>5</v>
      </c>
      <c r="F144">
        <f t="shared" si="10"/>
        <v>0</v>
      </c>
      <c r="G144">
        <f t="shared" si="11"/>
        <v>0</v>
      </c>
      <c r="H144">
        <f t="shared" si="12"/>
        <v>0</v>
      </c>
      <c r="I144">
        <f t="shared" si="13"/>
        <v>1</v>
      </c>
      <c r="J144">
        <f t="shared" si="14"/>
        <v>0</v>
      </c>
    </row>
    <row r="145" spans="1:10" x14ac:dyDescent="0.3">
      <c r="A145" s="1">
        <v>41677</v>
      </c>
      <c r="B145" s="1">
        <v>41681</v>
      </c>
      <c r="C145">
        <v>12.23</v>
      </c>
      <c r="D145">
        <v>0.32</v>
      </c>
      <c r="E145">
        <v>5</v>
      </c>
      <c r="F145">
        <f t="shared" si="10"/>
        <v>0</v>
      </c>
      <c r="G145">
        <f t="shared" si="11"/>
        <v>0</v>
      </c>
      <c r="H145">
        <f t="shared" si="12"/>
        <v>0</v>
      </c>
      <c r="I145">
        <f t="shared" si="13"/>
        <v>1</v>
      </c>
      <c r="J145">
        <f t="shared" si="14"/>
        <v>0</v>
      </c>
    </row>
    <row r="146" spans="1:10" x14ac:dyDescent="0.3">
      <c r="A146" s="1">
        <v>41677</v>
      </c>
      <c r="B146" s="1">
        <v>41695</v>
      </c>
      <c r="C146">
        <v>12.01</v>
      </c>
      <c r="D146">
        <v>0.32</v>
      </c>
      <c r="E146">
        <v>5</v>
      </c>
      <c r="F146">
        <f t="shared" si="10"/>
        <v>0</v>
      </c>
      <c r="G146">
        <f t="shared" si="11"/>
        <v>0</v>
      </c>
      <c r="H146">
        <f t="shared" si="12"/>
        <v>0</v>
      </c>
      <c r="I146">
        <f t="shared" si="13"/>
        <v>1</v>
      </c>
      <c r="J146">
        <f t="shared" si="14"/>
        <v>0</v>
      </c>
    </row>
    <row r="147" spans="1:10" x14ac:dyDescent="0.3">
      <c r="A147" s="1">
        <v>41677</v>
      </c>
      <c r="B147" s="1">
        <v>41692</v>
      </c>
      <c r="C147">
        <v>5.67</v>
      </c>
      <c r="D147">
        <v>0.15</v>
      </c>
      <c r="E147">
        <v>4</v>
      </c>
      <c r="F147">
        <f t="shared" si="10"/>
        <v>0</v>
      </c>
      <c r="G147">
        <f t="shared" si="11"/>
        <v>0</v>
      </c>
      <c r="H147">
        <f t="shared" si="12"/>
        <v>1</v>
      </c>
      <c r="I147">
        <f t="shared" si="13"/>
        <v>0</v>
      </c>
      <c r="J147">
        <f t="shared" si="14"/>
        <v>0</v>
      </c>
    </row>
    <row r="148" spans="1:10" x14ac:dyDescent="0.3">
      <c r="A148" s="1">
        <v>41677</v>
      </c>
      <c r="B148" s="1">
        <v>41702</v>
      </c>
      <c r="C148">
        <v>6.88</v>
      </c>
      <c r="D148">
        <v>0.18</v>
      </c>
      <c r="E148">
        <v>5</v>
      </c>
      <c r="F148">
        <f t="shared" si="10"/>
        <v>0</v>
      </c>
      <c r="G148">
        <f t="shared" si="11"/>
        <v>0</v>
      </c>
      <c r="H148">
        <f t="shared" si="12"/>
        <v>0</v>
      </c>
      <c r="I148">
        <f t="shared" si="13"/>
        <v>1</v>
      </c>
      <c r="J148">
        <f t="shared" si="14"/>
        <v>0</v>
      </c>
    </row>
    <row r="149" spans="1:10" x14ac:dyDescent="0.3">
      <c r="A149" s="1">
        <v>41677</v>
      </c>
      <c r="B149" s="1">
        <v>41705</v>
      </c>
      <c r="C149">
        <v>2.72</v>
      </c>
      <c r="D149">
        <v>7.0000000000000007E-2</v>
      </c>
      <c r="E149">
        <v>6</v>
      </c>
      <c r="F149">
        <f t="shared" si="10"/>
        <v>0</v>
      </c>
      <c r="G149">
        <f t="shared" si="11"/>
        <v>0</v>
      </c>
      <c r="H149">
        <f t="shared" si="12"/>
        <v>0</v>
      </c>
      <c r="I149">
        <f t="shared" si="13"/>
        <v>0</v>
      </c>
      <c r="J149">
        <f t="shared" si="14"/>
        <v>1</v>
      </c>
    </row>
    <row r="150" spans="1:10" x14ac:dyDescent="0.3">
      <c r="A150" s="1">
        <v>41677</v>
      </c>
      <c r="B150" s="1">
        <v>41686</v>
      </c>
      <c r="C150">
        <v>9.74</v>
      </c>
      <c r="D150">
        <v>0.26</v>
      </c>
      <c r="E150">
        <v>6</v>
      </c>
      <c r="F150">
        <f t="shared" si="10"/>
        <v>0</v>
      </c>
      <c r="G150">
        <f t="shared" si="11"/>
        <v>0</v>
      </c>
      <c r="H150">
        <f t="shared" si="12"/>
        <v>0</v>
      </c>
      <c r="I150">
        <f t="shared" si="13"/>
        <v>0</v>
      </c>
      <c r="J150">
        <f t="shared" si="14"/>
        <v>1</v>
      </c>
    </row>
    <row r="151" spans="1:10" x14ac:dyDescent="0.3">
      <c r="A151" s="1">
        <v>41677</v>
      </c>
      <c r="B151" s="1">
        <v>41691</v>
      </c>
      <c r="C151">
        <v>7.31</v>
      </c>
      <c r="D151">
        <v>0.19</v>
      </c>
      <c r="E151">
        <v>3</v>
      </c>
      <c r="F151">
        <f t="shared" si="10"/>
        <v>0</v>
      </c>
      <c r="G151">
        <f t="shared" si="11"/>
        <v>1</v>
      </c>
      <c r="H151">
        <f t="shared" si="12"/>
        <v>0</v>
      </c>
      <c r="I151">
        <f t="shared" si="13"/>
        <v>0</v>
      </c>
      <c r="J151">
        <f t="shared" si="14"/>
        <v>0</v>
      </c>
    </row>
    <row r="152" spans="1:10" x14ac:dyDescent="0.3">
      <c r="A152" s="1">
        <v>41677</v>
      </c>
      <c r="B152" s="1">
        <v>41704</v>
      </c>
      <c r="C152">
        <v>8.84</v>
      </c>
      <c r="D152">
        <v>0.23</v>
      </c>
      <c r="E152">
        <v>6</v>
      </c>
      <c r="F152">
        <f t="shared" si="10"/>
        <v>0</v>
      </c>
      <c r="G152">
        <f t="shared" si="11"/>
        <v>0</v>
      </c>
      <c r="H152">
        <f t="shared" si="12"/>
        <v>0</v>
      </c>
      <c r="I152">
        <f t="shared" si="13"/>
        <v>0</v>
      </c>
      <c r="J152">
        <f t="shared" si="14"/>
        <v>1</v>
      </c>
    </row>
    <row r="153" spans="1:10" x14ac:dyDescent="0.3">
      <c r="A153" s="1">
        <v>41677</v>
      </c>
      <c r="B153" s="1">
        <v>41690</v>
      </c>
      <c r="C153">
        <v>13.07</v>
      </c>
      <c r="D153">
        <v>0.34</v>
      </c>
      <c r="E153">
        <v>2</v>
      </c>
      <c r="F153">
        <f t="shared" si="10"/>
        <v>1</v>
      </c>
      <c r="G153">
        <f t="shared" si="11"/>
        <v>0</v>
      </c>
      <c r="H153">
        <f t="shared" si="12"/>
        <v>0</v>
      </c>
      <c r="I153">
        <f t="shared" si="13"/>
        <v>0</v>
      </c>
      <c r="J153">
        <f t="shared" si="14"/>
        <v>0</v>
      </c>
    </row>
    <row r="154" spans="1:10" x14ac:dyDescent="0.3">
      <c r="A154" s="1">
        <v>41677</v>
      </c>
      <c r="B154" s="1">
        <v>41690</v>
      </c>
      <c r="C154">
        <v>11.42</v>
      </c>
      <c r="D154">
        <v>0.3</v>
      </c>
      <c r="E154">
        <v>6</v>
      </c>
      <c r="F154">
        <f t="shared" si="10"/>
        <v>0</v>
      </c>
      <c r="G154">
        <f t="shared" si="11"/>
        <v>0</v>
      </c>
      <c r="H154">
        <f t="shared" si="12"/>
        <v>0</v>
      </c>
      <c r="I154">
        <f t="shared" si="13"/>
        <v>0</v>
      </c>
      <c r="J154">
        <f t="shared" si="14"/>
        <v>1</v>
      </c>
    </row>
    <row r="155" spans="1:10" x14ac:dyDescent="0.3">
      <c r="A155" s="1">
        <v>41677</v>
      </c>
      <c r="B155" s="1">
        <v>41704</v>
      </c>
      <c r="C155">
        <v>3.79</v>
      </c>
      <c r="D155">
        <v>0.1</v>
      </c>
      <c r="E155">
        <v>3</v>
      </c>
      <c r="F155">
        <f t="shared" si="10"/>
        <v>0</v>
      </c>
      <c r="G155">
        <f t="shared" si="11"/>
        <v>1</v>
      </c>
      <c r="H155">
        <f t="shared" si="12"/>
        <v>0</v>
      </c>
      <c r="I155">
        <f t="shared" si="13"/>
        <v>0</v>
      </c>
      <c r="J155">
        <f t="shared" si="14"/>
        <v>0</v>
      </c>
    </row>
    <row r="156" spans="1:10" x14ac:dyDescent="0.3">
      <c r="A156" s="1">
        <v>41677</v>
      </c>
      <c r="B156" s="1">
        <v>41682</v>
      </c>
      <c r="C156">
        <v>11.42</v>
      </c>
      <c r="D156">
        <v>0.3</v>
      </c>
      <c r="E156">
        <v>6</v>
      </c>
      <c r="F156">
        <f t="shared" si="10"/>
        <v>0</v>
      </c>
      <c r="G156">
        <f t="shared" si="11"/>
        <v>0</v>
      </c>
      <c r="H156">
        <f t="shared" si="12"/>
        <v>0</v>
      </c>
      <c r="I156">
        <f t="shared" si="13"/>
        <v>0</v>
      </c>
      <c r="J156">
        <f t="shared" si="14"/>
        <v>1</v>
      </c>
    </row>
    <row r="157" spans="1:10" x14ac:dyDescent="0.3">
      <c r="A157" s="1">
        <v>41677</v>
      </c>
      <c r="B157" s="1">
        <v>41680</v>
      </c>
      <c r="C157">
        <v>8.83</v>
      </c>
      <c r="D157">
        <v>0.23</v>
      </c>
      <c r="E157">
        <v>4</v>
      </c>
      <c r="F157">
        <f t="shared" si="10"/>
        <v>0</v>
      </c>
      <c r="G157">
        <f t="shared" si="11"/>
        <v>0</v>
      </c>
      <c r="H157">
        <f t="shared" si="12"/>
        <v>1</v>
      </c>
      <c r="I157">
        <f t="shared" si="13"/>
        <v>0</v>
      </c>
      <c r="J157">
        <f t="shared" si="14"/>
        <v>0</v>
      </c>
    </row>
    <row r="158" spans="1:10" x14ac:dyDescent="0.3">
      <c r="A158" s="1">
        <v>41677</v>
      </c>
      <c r="B158" s="1">
        <v>41690</v>
      </c>
      <c r="C158">
        <v>8.51</v>
      </c>
      <c r="D158">
        <v>0.22</v>
      </c>
      <c r="E158">
        <v>5</v>
      </c>
      <c r="F158">
        <f t="shared" si="10"/>
        <v>0</v>
      </c>
      <c r="G158">
        <f t="shared" si="11"/>
        <v>0</v>
      </c>
      <c r="H158">
        <f t="shared" si="12"/>
        <v>0</v>
      </c>
      <c r="I158">
        <f t="shared" si="13"/>
        <v>1</v>
      </c>
      <c r="J158">
        <f t="shared" si="14"/>
        <v>0</v>
      </c>
    </row>
    <row r="159" spans="1:10" x14ac:dyDescent="0.3">
      <c r="A159" s="1">
        <v>41677</v>
      </c>
      <c r="B159" s="1">
        <v>41694</v>
      </c>
      <c r="C159">
        <v>7.3</v>
      </c>
      <c r="D159">
        <v>0.19</v>
      </c>
      <c r="E159">
        <v>5</v>
      </c>
      <c r="F159">
        <f t="shared" si="10"/>
        <v>0</v>
      </c>
      <c r="G159">
        <f t="shared" si="11"/>
        <v>0</v>
      </c>
      <c r="H159">
        <f t="shared" si="12"/>
        <v>0</v>
      </c>
      <c r="I159">
        <f t="shared" si="13"/>
        <v>1</v>
      </c>
      <c r="J159">
        <f t="shared" si="14"/>
        <v>0</v>
      </c>
    </row>
    <row r="160" spans="1:10" x14ac:dyDescent="0.3">
      <c r="A160" s="1">
        <v>41680</v>
      </c>
      <c r="B160" s="1">
        <v>41692</v>
      </c>
      <c r="C160">
        <v>5.67</v>
      </c>
      <c r="D160">
        <v>0.15</v>
      </c>
      <c r="E160">
        <v>4</v>
      </c>
      <c r="F160">
        <f t="shared" si="10"/>
        <v>0</v>
      </c>
      <c r="G160">
        <f t="shared" si="11"/>
        <v>0</v>
      </c>
      <c r="H160">
        <f t="shared" si="12"/>
        <v>1</v>
      </c>
      <c r="I160">
        <f t="shared" si="13"/>
        <v>0</v>
      </c>
      <c r="J160">
        <f t="shared" si="14"/>
        <v>0</v>
      </c>
    </row>
    <row r="161" spans="1:10" x14ac:dyDescent="0.3">
      <c r="A161" s="1">
        <v>41680</v>
      </c>
      <c r="B161" s="1">
        <v>41690</v>
      </c>
      <c r="C161">
        <v>6.58</v>
      </c>
      <c r="D161">
        <v>0.17</v>
      </c>
      <c r="E161">
        <v>3</v>
      </c>
      <c r="F161">
        <f t="shared" si="10"/>
        <v>0</v>
      </c>
      <c r="G161">
        <f t="shared" si="11"/>
        <v>1</v>
      </c>
      <c r="H161">
        <f t="shared" si="12"/>
        <v>0</v>
      </c>
      <c r="I161">
        <f t="shared" si="13"/>
        <v>0</v>
      </c>
      <c r="J161">
        <f t="shared" si="14"/>
        <v>0</v>
      </c>
    </row>
    <row r="162" spans="1:10" x14ac:dyDescent="0.3">
      <c r="A162" s="1">
        <v>41680</v>
      </c>
      <c r="B162" s="1">
        <v>41699</v>
      </c>
      <c r="C162">
        <v>4.25</v>
      </c>
      <c r="D162">
        <v>0.11</v>
      </c>
      <c r="E162">
        <v>3</v>
      </c>
      <c r="F162">
        <f t="shared" si="10"/>
        <v>0</v>
      </c>
      <c r="G162">
        <f t="shared" si="11"/>
        <v>1</v>
      </c>
      <c r="H162">
        <f t="shared" si="12"/>
        <v>0</v>
      </c>
      <c r="I162">
        <f t="shared" si="13"/>
        <v>0</v>
      </c>
      <c r="J162">
        <f t="shared" si="14"/>
        <v>0</v>
      </c>
    </row>
    <row r="163" spans="1:10" x14ac:dyDescent="0.3">
      <c r="A163" s="1">
        <v>41682</v>
      </c>
      <c r="B163" s="1">
        <v>41694</v>
      </c>
      <c r="C163">
        <v>6.58</v>
      </c>
      <c r="D163">
        <v>0.17</v>
      </c>
      <c r="E163">
        <v>6</v>
      </c>
      <c r="F163">
        <f t="shared" si="10"/>
        <v>0</v>
      </c>
      <c r="G163">
        <f t="shared" si="11"/>
        <v>0</v>
      </c>
      <c r="H163">
        <f t="shared" si="12"/>
        <v>0</v>
      </c>
      <c r="I163">
        <f t="shared" si="13"/>
        <v>0</v>
      </c>
      <c r="J163">
        <f t="shared" si="14"/>
        <v>1</v>
      </c>
    </row>
    <row r="164" spans="1:10" x14ac:dyDescent="0.3">
      <c r="A164" s="1">
        <v>41684</v>
      </c>
      <c r="B164" s="1">
        <v>41704</v>
      </c>
      <c r="C164">
        <v>5.78</v>
      </c>
      <c r="D164">
        <v>0.15</v>
      </c>
      <c r="E164">
        <v>2</v>
      </c>
      <c r="F164">
        <f t="shared" si="10"/>
        <v>1</v>
      </c>
      <c r="G164">
        <f t="shared" si="11"/>
        <v>0</v>
      </c>
      <c r="H164">
        <f t="shared" si="12"/>
        <v>0</v>
      </c>
      <c r="I164">
        <f t="shared" si="13"/>
        <v>0</v>
      </c>
      <c r="J164">
        <f t="shared" si="14"/>
        <v>0</v>
      </c>
    </row>
    <row r="165" spans="1:10" x14ac:dyDescent="0.3">
      <c r="A165" s="1">
        <v>41684</v>
      </c>
      <c r="B165" s="1">
        <v>41693</v>
      </c>
      <c r="C165">
        <v>10.199999999999999</v>
      </c>
      <c r="D165">
        <v>0.27</v>
      </c>
      <c r="E165">
        <v>5</v>
      </c>
      <c r="F165">
        <f t="shared" si="10"/>
        <v>0</v>
      </c>
      <c r="G165">
        <f t="shared" si="11"/>
        <v>0</v>
      </c>
      <c r="H165">
        <f t="shared" si="12"/>
        <v>0</v>
      </c>
      <c r="I165">
        <f t="shared" si="13"/>
        <v>1</v>
      </c>
      <c r="J165">
        <f t="shared" si="14"/>
        <v>0</v>
      </c>
    </row>
    <row r="166" spans="1:10" x14ac:dyDescent="0.3">
      <c r="A166" s="1">
        <v>41684</v>
      </c>
      <c r="B166" s="1">
        <v>41692</v>
      </c>
      <c r="C166">
        <v>2.72</v>
      </c>
      <c r="D166">
        <v>7.0000000000000007E-2</v>
      </c>
      <c r="E166">
        <v>6</v>
      </c>
      <c r="F166">
        <f t="shared" si="10"/>
        <v>0</v>
      </c>
      <c r="G166">
        <f t="shared" si="11"/>
        <v>0</v>
      </c>
      <c r="H166">
        <f t="shared" si="12"/>
        <v>0</v>
      </c>
      <c r="I166">
        <f t="shared" si="13"/>
        <v>0</v>
      </c>
      <c r="J166">
        <f t="shared" si="14"/>
        <v>1</v>
      </c>
    </row>
    <row r="167" spans="1:10" x14ac:dyDescent="0.3">
      <c r="A167" s="1">
        <v>41684</v>
      </c>
      <c r="B167" s="1">
        <v>41707</v>
      </c>
      <c r="C167">
        <v>11.44</v>
      </c>
      <c r="D167">
        <v>0.3</v>
      </c>
      <c r="E167">
        <v>6</v>
      </c>
      <c r="F167">
        <f t="shared" si="10"/>
        <v>0</v>
      </c>
      <c r="G167">
        <f t="shared" si="11"/>
        <v>0</v>
      </c>
      <c r="H167">
        <f t="shared" si="12"/>
        <v>0</v>
      </c>
      <c r="I167">
        <f t="shared" si="13"/>
        <v>0</v>
      </c>
      <c r="J167">
        <f t="shared" si="14"/>
        <v>1</v>
      </c>
    </row>
    <row r="168" spans="1:10" x14ac:dyDescent="0.3">
      <c r="A168" s="1">
        <v>41684</v>
      </c>
      <c r="B168" s="1">
        <v>41712</v>
      </c>
      <c r="C168">
        <v>13.07</v>
      </c>
      <c r="D168">
        <v>0.34</v>
      </c>
      <c r="E168">
        <v>6</v>
      </c>
      <c r="F168">
        <f t="shared" si="10"/>
        <v>0</v>
      </c>
      <c r="G168">
        <f t="shared" si="11"/>
        <v>0</v>
      </c>
      <c r="H168">
        <f t="shared" si="12"/>
        <v>0</v>
      </c>
      <c r="I168">
        <f t="shared" si="13"/>
        <v>0</v>
      </c>
      <c r="J168">
        <f t="shared" si="14"/>
        <v>1</v>
      </c>
    </row>
    <row r="169" spans="1:10" x14ac:dyDescent="0.3">
      <c r="A169" s="1">
        <v>41684</v>
      </c>
      <c r="B169" s="1">
        <v>41712</v>
      </c>
      <c r="C169">
        <v>7.35</v>
      </c>
      <c r="D169">
        <v>0.19</v>
      </c>
      <c r="E169">
        <v>4</v>
      </c>
      <c r="F169">
        <f t="shared" si="10"/>
        <v>0</v>
      </c>
      <c r="G169">
        <f t="shared" si="11"/>
        <v>0</v>
      </c>
      <c r="H169">
        <f t="shared" si="12"/>
        <v>1</v>
      </c>
      <c r="I169">
        <f t="shared" si="13"/>
        <v>0</v>
      </c>
      <c r="J169">
        <f t="shared" si="14"/>
        <v>0</v>
      </c>
    </row>
    <row r="170" spans="1:10" x14ac:dyDescent="0.3">
      <c r="A170" s="1">
        <v>41685</v>
      </c>
      <c r="B170" s="1">
        <v>41712</v>
      </c>
      <c r="C170">
        <v>6.88</v>
      </c>
      <c r="D170">
        <v>0.18</v>
      </c>
      <c r="E170">
        <v>3</v>
      </c>
      <c r="F170">
        <f t="shared" si="10"/>
        <v>0</v>
      </c>
      <c r="G170">
        <f t="shared" si="11"/>
        <v>1</v>
      </c>
      <c r="H170">
        <f t="shared" si="12"/>
        <v>0</v>
      </c>
      <c r="I170">
        <f t="shared" si="13"/>
        <v>0</v>
      </c>
      <c r="J170">
        <f t="shared" si="14"/>
        <v>0</v>
      </c>
    </row>
    <row r="171" spans="1:10" x14ac:dyDescent="0.3">
      <c r="A171" s="1">
        <v>41685</v>
      </c>
      <c r="B171" s="1">
        <v>41708</v>
      </c>
      <c r="C171">
        <v>9.06</v>
      </c>
      <c r="D171">
        <v>0.24</v>
      </c>
      <c r="E171">
        <v>2</v>
      </c>
      <c r="F171">
        <f t="shared" si="10"/>
        <v>1</v>
      </c>
      <c r="G171">
        <f t="shared" si="11"/>
        <v>0</v>
      </c>
      <c r="H171">
        <f t="shared" si="12"/>
        <v>0</v>
      </c>
      <c r="I171">
        <f t="shared" si="13"/>
        <v>0</v>
      </c>
      <c r="J171">
        <f t="shared" si="14"/>
        <v>0</v>
      </c>
    </row>
    <row r="172" spans="1:10" x14ac:dyDescent="0.3">
      <c r="A172" s="1">
        <v>41689</v>
      </c>
      <c r="B172" s="1">
        <v>41708</v>
      </c>
      <c r="C172">
        <v>16.55</v>
      </c>
      <c r="D172">
        <v>0.44</v>
      </c>
      <c r="E172">
        <v>2</v>
      </c>
      <c r="F172">
        <f t="shared" si="10"/>
        <v>1</v>
      </c>
      <c r="G172">
        <f t="shared" si="11"/>
        <v>0</v>
      </c>
      <c r="H172">
        <f t="shared" si="12"/>
        <v>0</v>
      </c>
      <c r="I172">
        <f t="shared" si="13"/>
        <v>0</v>
      </c>
      <c r="J172">
        <f t="shared" si="14"/>
        <v>0</v>
      </c>
    </row>
    <row r="173" spans="1:10" x14ac:dyDescent="0.3">
      <c r="A173" s="1">
        <v>41689</v>
      </c>
      <c r="B173" s="1">
        <v>41708</v>
      </c>
      <c r="C173">
        <v>8.83</v>
      </c>
      <c r="D173">
        <v>0.23</v>
      </c>
      <c r="E173">
        <v>3</v>
      </c>
      <c r="F173">
        <f t="shared" si="10"/>
        <v>0</v>
      </c>
      <c r="G173">
        <f t="shared" si="11"/>
        <v>1</v>
      </c>
      <c r="H173">
        <f t="shared" si="12"/>
        <v>0</v>
      </c>
      <c r="I173">
        <f t="shared" si="13"/>
        <v>0</v>
      </c>
      <c r="J173">
        <f t="shared" si="14"/>
        <v>0</v>
      </c>
    </row>
    <row r="174" spans="1:10" x14ac:dyDescent="0.3">
      <c r="A174" s="1">
        <v>41689</v>
      </c>
      <c r="B174" s="1">
        <v>41696</v>
      </c>
      <c r="C174">
        <v>7.31</v>
      </c>
      <c r="D174">
        <v>0.19</v>
      </c>
      <c r="E174">
        <v>2</v>
      </c>
      <c r="F174">
        <f t="shared" si="10"/>
        <v>1</v>
      </c>
      <c r="G174">
        <f t="shared" si="11"/>
        <v>0</v>
      </c>
      <c r="H174">
        <f t="shared" si="12"/>
        <v>0</v>
      </c>
      <c r="I174">
        <f t="shared" si="13"/>
        <v>0</v>
      </c>
      <c r="J174">
        <f t="shared" si="14"/>
        <v>0</v>
      </c>
    </row>
    <row r="175" spans="1:10" x14ac:dyDescent="0.3">
      <c r="A175" s="1">
        <v>41689</v>
      </c>
      <c r="B175" s="1">
        <v>41715</v>
      </c>
      <c r="C175">
        <v>14.31</v>
      </c>
      <c r="D175">
        <v>0.38</v>
      </c>
      <c r="E175">
        <v>5</v>
      </c>
      <c r="F175">
        <f t="shared" si="10"/>
        <v>0</v>
      </c>
      <c r="G175">
        <f t="shared" si="11"/>
        <v>0</v>
      </c>
      <c r="H175">
        <f t="shared" si="12"/>
        <v>0</v>
      </c>
      <c r="I175">
        <f t="shared" si="13"/>
        <v>1</v>
      </c>
      <c r="J175">
        <f t="shared" si="14"/>
        <v>0</v>
      </c>
    </row>
    <row r="176" spans="1:10" x14ac:dyDescent="0.3">
      <c r="A176" s="1">
        <v>41689</v>
      </c>
      <c r="B176" s="1">
        <v>41691</v>
      </c>
      <c r="C176">
        <v>11.42</v>
      </c>
      <c r="D176">
        <v>0.3</v>
      </c>
      <c r="E176">
        <v>5</v>
      </c>
      <c r="F176">
        <f t="shared" si="10"/>
        <v>0</v>
      </c>
      <c r="G176">
        <f t="shared" si="11"/>
        <v>0</v>
      </c>
      <c r="H176">
        <f t="shared" si="12"/>
        <v>0</v>
      </c>
      <c r="I176">
        <f t="shared" si="13"/>
        <v>1</v>
      </c>
      <c r="J176">
        <f t="shared" si="14"/>
        <v>0</v>
      </c>
    </row>
    <row r="177" spans="1:10" x14ac:dyDescent="0.3">
      <c r="A177" s="1">
        <v>41689</v>
      </c>
      <c r="B177" s="1">
        <v>41700</v>
      </c>
      <c r="C177">
        <v>8.5399999999999991</v>
      </c>
      <c r="D177">
        <v>0.22</v>
      </c>
      <c r="E177">
        <v>3</v>
      </c>
      <c r="F177">
        <f t="shared" si="10"/>
        <v>0</v>
      </c>
      <c r="G177">
        <f t="shared" si="11"/>
        <v>1</v>
      </c>
      <c r="H177">
        <f t="shared" si="12"/>
        <v>0</v>
      </c>
      <c r="I177">
        <f t="shared" si="13"/>
        <v>0</v>
      </c>
      <c r="J177">
        <f t="shared" si="14"/>
        <v>0</v>
      </c>
    </row>
    <row r="178" spans="1:10" x14ac:dyDescent="0.3">
      <c r="A178" s="1">
        <v>41689</v>
      </c>
      <c r="B178" s="1">
        <v>41717</v>
      </c>
      <c r="C178">
        <v>5.57</v>
      </c>
      <c r="D178">
        <v>0.15</v>
      </c>
      <c r="E178">
        <v>4</v>
      </c>
      <c r="F178">
        <f t="shared" si="10"/>
        <v>0</v>
      </c>
      <c r="G178">
        <f t="shared" si="11"/>
        <v>0</v>
      </c>
      <c r="H178">
        <f t="shared" si="12"/>
        <v>1</v>
      </c>
      <c r="I178">
        <f t="shared" si="13"/>
        <v>0</v>
      </c>
      <c r="J178">
        <f t="shared" si="14"/>
        <v>0</v>
      </c>
    </row>
    <row r="179" spans="1:10" x14ac:dyDescent="0.3">
      <c r="A179" s="1">
        <v>41689</v>
      </c>
      <c r="B179" s="1">
        <v>41717</v>
      </c>
      <c r="C179">
        <v>7.55</v>
      </c>
      <c r="D179">
        <v>0.2</v>
      </c>
      <c r="E179">
        <v>4</v>
      </c>
      <c r="F179">
        <f t="shared" si="10"/>
        <v>0</v>
      </c>
      <c r="G179">
        <f t="shared" si="11"/>
        <v>0</v>
      </c>
      <c r="H179">
        <f t="shared" si="12"/>
        <v>1</v>
      </c>
      <c r="I179">
        <f t="shared" si="13"/>
        <v>0</v>
      </c>
      <c r="J179">
        <f t="shared" si="14"/>
        <v>0</v>
      </c>
    </row>
    <row r="180" spans="1:10" x14ac:dyDescent="0.3">
      <c r="A180" s="1">
        <v>41689</v>
      </c>
      <c r="B180" s="1">
        <v>41707</v>
      </c>
      <c r="C180">
        <v>10.79</v>
      </c>
      <c r="D180">
        <v>0.28000000000000003</v>
      </c>
      <c r="E180">
        <v>6</v>
      </c>
      <c r="F180">
        <f t="shared" si="10"/>
        <v>0</v>
      </c>
      <c r="G180">
        <f t="shared" si="11"/>
        <v>0</v>
      </c>
      <c r="H180">
        <f t="shared" si="12"/>
        <v>0</v>
      </c>
      <c r="I180">
        <f t="shared" si="13"/>
        <v>0</v>
      </c>
      <c r="J180">
        <f t="shared" si="14"/>
        <v>1</v>
      </c>
    </row>
    <row r="181" spans="1:10" x14ac:dyDescent="0.3">
      <c r="A181" s="1">
        <v>41689</v>
      </c>
      <c r="B181" s="1">
        <v>41706</v>
      </c>
      <c r="C181">
        <v>8.39</v>
      </c>
      <c r="D181">
        <v>0.22</v>
      </c>
      <c r="E181">
        <v>2</v>
      </c>
      <c r="F181">
        <f t="shared" si="10"/>
        <v>1</v>
      </c>
      <c r="G181">
        <f t="shared" si="11"/>
        <v>0</v>
      </c>
      <c r="H181">
        <f t="shared" si="12"/>
        <v>0</v>
      </c>
      <c r="I181">
        <f t="shared" si="13"/>
        <v>0</v>
      </c>
      <c r="J181">
        <f t="shared" si="14"/>
        <v>0</v>
      </c>
    </row>
    <row r="182" spans="1:10" x14ac:dyDescent="0.3">
      <c r="A182" s="1">
        <v>41689</v>
      </c>
      <c r="B182" s="1">
        <v>41711</v>
      </c>
      <c r="C182">
        <v>9.06</v>
      </c>
      <c r="D182">
        <v>0.24</v>
      </c>
      <c r="E182">
        <v>6</v>
      </c>
      <c r="F182">
        <f t="shared" si="10"/>
        <v>0</v>
      </c>
      <c r="G182">
        <f t="shared" si="11"/>
        <v>0</v>
      </c>
      <c r="H182">
        <f t="shared" si="12"/>
        <v>0</v>
      </c>
      <c r="I182">
        <f t="shared" si="13"/>
        <v>0</v>
      </c>
      <c r="J182">
        <f t="shared" si="14"/>
        <v>1</v>
      </c>
    </row>
    <row r="183" spans="1:10" x14ac:dyDescent="0.3">
      <c r="A183" s="1">
        <v>41689</v>
      </c>
      <c r="B183" s="1">
        <v>41700</v>
      </c>
      <c r="C183">
        <v>16.940000000000001</v>
      </c>
      <c r="D183">
        <v>0.45</v>
      </c>
      <c r="E183">
        <v>3</v>
      </c>
      <c r="F183">
        <f t="shared" si="10"/>
        <v>0</v>
      </c>
      <c r="G183">
        <f t="shared" si="11"/>
        <v>1</v>
      </c>
      <c r="H183">
        <f t="shared" si="12"/>
        <v>0</v>
      </c>
      <c r="I183">
        <f t="shared" si="13"/>
        <v>0</v>
      </c>
      <c r="J183">
        <f t="shared" si="14"/>
        <v>0</v>
      </c>
    </row>
    <row r="184" spans="1:10" x14ac:dyDescent="0.3">
      <c r="A184" s="1">
        <v>41689</v>
      </c>
      <c r="B184" s="1">
        <v>41708</v>
      </c>
      <c r="C184">
        <v>11.37</v>
      </c>
      <c r="D184">
        <v>0.3</v>
      </c>
      <c r="E184">
        <v>4</v>
      </c>
      <c r="F184">
        <f t="shared" si="10"/>
        <v>0</v>
      </c>
      <c r="G184">
        <f t="shared" si="11"/>
        <v>0</v>
      </c>
      <c r="H184">
        <f t="shared" si="12"/>
        <v>1</v>
      </c>
      <c r="I184">
        <f t="shared" si="13"/>
        <v>0</v>
      </c>
      <c r="J184">
        <f t="shared" si="14"/>
        <v>0</v>
      </c>
    </row>
    <row r="185" spans="1:10" x14ac:dyDescent="0.3">
      <c r="A185" s="1">
        <v>41689</v>
      </c>
      <c r="B185" s="1">
        <v>41699</v>
      </c>
      <c r="C185">
        <v>4.25</v>
      </c>
      <c r="D185">
        <v>0.11</v>
      </c>
      <c r="E185">
        <v>5</v>
      </c>
      <c r="F185">
        <f t="shared" si="10"/>
        <v>0</v>
      </c>
      <c r="G185">
        <f t="shared" si="11"/>
        <v>0</v>
      </c>
      <c r="H185">
        <f t="shared" si="12"/>
        <v>0</v>
      </c>
      <c r="I185">
        <f t="shared" si="13"/>
        <v>1</v>
      </c>
      <c r="J185">
        <f t="shared" si="14"/>
        <v>0</v>
      </c>
    </row>
    <row r="186" spans="1:10" x14ac:dyDescent="0.3">
      <c r="A186" s="1">
        <v>41689</v>
      </c>
      <c r="B186" s="1">
        <v>41710</v>
      </c>
      <c r="C186">
        <v>11.42</v>
      </c>
      <c r="D186">
        <v>0.3</v>
      </c>
      <c r="E186">
        <v>4</v>
      </c>
      <c r="F186">
        <f t="shared" si="10"/>
        <v>0</v>
      </c>
      <c r="G186">
        <f t="shared" si="11"/>
        <v>0</v>
      </c>
      <c r="H186">
        <f t="shared" si="12"/>
        <v>1</v>
      </c>
      <c r="I186">
        <f t="shared" si="13"/>
        <v>0</v>
      </c>
      <c r="J186">
        <f t="shared" si="14"/>
        <v>0</v>
      </c>
    </row>
    <row r="187" spans="1:10" x14ac:dyDescent="0.3">
      <c r="A187" s="1">
        <v>41689</v>
      </c>
      <c r="B187" s="1">
        <v>41711</v>
      </c>
      <c r="C187">
        <v>3.79</v>
      </c>
      <c r="D187">
        <v>0.1</v>
      </c>
      <c r="E187">
        <v>3</v>
      </c>
      <c r="F187">
        <f t="shared" si="10"/>
        <v>0</v>
      </c>
      <c r="G187">
        <f t="shared" si="11"/>
        <v>1</v>
      </c>
      <c r="H187">
        <f t="shared" si="12"/>
        <v>0</v>
      </c>
      <c r="I187">
        <f t="shared" si="13"/>
        <v>0</v>
      </c>
      <c r="J187">
        <f t="shared" si="14"/>
        <v>0</v>
      </c>
    </row>
    <row r="188" spans="1:10" x14ac:dyDescent="0.3">
      <c r="A188" s="1">
        <v>41689</v>
      </c>
      <c r="B188" s="1">
        <v>41712</v>
      </c>
      <c r="C188">
        <v>10.59</v>
      </c>
      <c r="D188">
        <v>0.28000000000000003</v>
      </c>
      <c r="E188">
        <v>4</v>
      </c>
      <c r="F188">
        <f t="shared" si="10"/>
        <v>0</v>
      </c>
      <c r="G188">
        <f t="shared" si="11"/>
        <v>0</v>
      </c>
      <c r="H188">
        <f t="shared" si="12"/>
        <v>1</v>
      </c>
      <c r="I188">
        <f t="shared" si="13"/>
        <v>0</v>
      </c>
      <c r="J188">
        <f t="shared" si="14"/>
        <v>0</v>
      </c>
    </row>
    <row r="189" spans="1:10" x14ac:dyDescent="0.3">
      <c r="A189" s="1">
        <v>41689</v>
      </c>
      <c r="B189" s="1">
        <v>41705</v>
      </c>
      <c r="C189">
        <v>8.9499999999999993</v>
      </c>
      <c r="D189">
        <v>0.24</v>
      </c>
      <c r="E189">
        <v>2</v>
      </c>
      <c r="F189">
        <f t="shared" si="10"/>
        <v>1</v>
      </c>
      <c r="G189">
        <f t="shared" si="11"/>
        <v>0</v>
      </c>
      <c r="H189">
        <f t="shared" si="12"/>
        <v>0</v>
      </c>
      <c r="I189">
        <f t="shared" si="13"/>
        <v>0</v>
      </c>
      <c r="J189">
        <f t="shared" si="14"/>
        <v>0</v>
      </c>
    </row>
    <row r="190" spans="1:10" x14ac:dyDescent="0.3">
      <c r="A190" s="1">
        <v>41689</v>
      </c>
      <c r="B190" s="1">
        <v>41693</v>
      </c>
      <c r="C190">
        <v>4.66</v>
      </c>
      <c r="D190">
        <v>0.12</v>
      </c>
      <c r="E190">
        <v>5</v>
      </c>
      <c r="F190">
        <f t="shared" si="10"/>
        <v>0</v>
      </c>
      <c r="G190">
        <f t="shared" si="11"/>
        <v>0</v>
      </c>
      <c r="H190">
        <f t="shared" si="12"/>
        <v>0</v>
      </c>
      <c r="I190">
        <f t="shared" si="13"/>
        <v>1</v>
      </c>
      <c r="J190">
        <f t="shared" si="14"/>
        <v>0</v>
      </c>
    </row>
    <row r="191" spans="1:10" x14ac:dyDescent="0.3">
      <c r="A191" s="1">
        <v>41689</v>
      </c>
      <c r="B191" s="1">
        <v>41707</v>
      </c>
      <c r="C191">
        <v>6.88</v>
      </c>
      <c r="D191">
        <v>0.18</v>
      </c>
      <c r="E191">
        <v>5</v>
      </c>
      <c r="F191">
        <f t="shared" si="10"/>
        <v>0</v>
      </c>
      <c r="G191">
        <f t="shared" si="11"/>
        <v>0</v>
      </c>
      <c r="H191">
        <f t="shared" si="12"/>
        <v>0</v>
      </c>
      <c r="I191">
        <f t="shared" si="13"/>
        <v>1</v>
      </c>
      <c r="J191">
        <f t="shared" si="14"/>
        <v>0</v>
      </c>
    </row>
    <row r="192" spans="1:10" x14ac:dyDescent="0.3">
      <c r="A192" s="1">
        <v>41692</v>
      </c>
      <c r="B192" s="1">
        <v>41706</v>
      </c>
      <c r="C192">
        <v>8.7200000000000006</v>
      </c>
      <c r="D192">
        <v>0.23</v>
      </c>
      <c r="E192">
        <v>4</v>
      </c>
      <c r="F192">
        <f t="shared" si="10"/>
        <v>0</v>
      </c>
      <c r="G192">
        <f t="shared" si="11"/>
        <v>0</v>
      </c>
      <c r="H192">
        <f t="shared" si="12"/>
        <v>1</v>
      </c>
      <c r="I192">
        <f t="shared" si="13"/>
        <v>0</v>
      </c>
      <c r="J192">
        <f t="shared" si="14"/>
        <v>0</v>
      </c>
    </row>
    <row r="193" spans="1:10" x14ac:dyDescent="0.3">
      <c r="A193" s="1">
        <v>41696</v>
      </c>
      <c r="B193" s="1">
        <v>41698</v>
      </c>
      <c r="C193">
        <v>12.23</v>
      </c>
      <c r="D193">
        <v>0.32</v>
      </c>
      <c r="E193">
        <v>2</v>
      </c>
      <c r="F193">
        <f t="shared" si="10"/>
        <v>1</v>
      </c>
      <c r="G193">
        <f t="shared" si="11"/>
        <v>0</v>
      </c>
      <c r="H193">
        <f t="shared" si="12"/>
        <v>0</v>
      </c>
      <c r="I193">
        <f t="shared" si="13"/>
        <v>0</v>
      </c>
      <c r="J193">
        <f t="shared" si="14"/>
        <v>0</v>
      </c>
    </row>
    <row r="194" spans="1:10" x14ac:dyDescent="0.3">
      <c r="A194" s="1">
        <v>41696</v>
      </c>
      <c r="B194" s="1">
        <v>41708</v>
      </c>
      <c r="C194">
        <v>10.199999999999999</v>
      </c>
      <c r="D194">
        <v>0.27</v>
      </c>
      <c r="E194">
        <v>4</v>
      </c>
      <c r="F194">
        <f t="shared" si="10"/>
        <v>0</v>
      </c>
      <c r="G194">
        <f t="shared" si="11"/>
        <v>0</v>
      </c>
      <c r="H194">
        <f t="shared" si="12"/>
        <v>1</v>
      </c>
      <c r="I194">
        <f t="shared" si="13"/>
        <v>0</v>
      </c>
      <c r="J194">
        <f t="shared" si="14"/>
        <v>0</v>
      </c>
    </row>
    <row r="195" spans="1:10" x14ac:dyDescent="0.3">
      <c r="A195" s="1">
        <v>41696</v>
      </c>
      <c r="B195" s="1">
        <v>41703</v>
      </c>
      <c r="C195">
        <v>7.06</v>
      </c>
      <c r="D195">
        <v>0.19</v>
      </c>
      <c r="E195">
        <v>5</v>
      </c>
      <c r="F195">
        <f t="shared" ref="F195:F258" si="15">IF(EXACT(E195,2),1,0)</f>
        <v>0</v>
      </c>
      <c r="G195">
        <f t="shared" ref="G195:G258" si="16">IF(EXACT(E195,3),1,0)</f>
        <v>0</v>
      </c>
      <c r="H195">
        <f t="shared" ref="H195:H258" si="17">IF(EXACT(E195,4),1,0)</f>
        <v>0</v>
      </c>
      <c r="I195">
        <f t="shared" ref="I195:I258" si="18">IF(EXACT(E195,5),1,0)</f>
        <v>1</v>
      </c>
      <c r="J195">
        <f t="shared" ref="J195:J258" si="19">IF(EXACT(E195,6),1,0)</f>
        <v>0</v>
      </c>
    </row>
    <row r="196" spans="1:10" x14ac:dyDescent="0.3">
      <c r="A196" s="1">
        <v>41696</v>
      </c>
      <c r="B196" s="1">
        <v>41716</v>
      </c>
      <c r="C196">
        <v>5.64</v>
      </c>
      <c r="D196">
        <v>0.15</v>
      </c>
      <c r="E196">
        <v>6</v>
      </c>
      <c r="F196">
        <f t="shared" si="15"/>
        <v>0</v>
      </c>
      <c r="G196">
        <f t="shared" si="16"/>
        <v>0</v>
      </c>
      <c r="H196">
        <f t="shared" si="17"/>
        <v>0</v>
      </c>
      <c r="I196">
        <f t="shared" si="18"/>
        <v>0</v>
      </c>
      <c r="J196">
        <f t="shared" si="19"/>
        <v>1</v>
      </c>
    </row>
    <row r="197" spans="1:10" x14ac:dyDescent="0.3">
      <c r="A197" s="1">
        <v>41696</v>
      </c>
      <c r="B197" s="1">
        <v>41721</v>
      </c>
      <c r="C197">
        <v>9.06</v>
      </c>
      <c r="D197">
        <v>0.24</v>
      </c>
      <c r="E197">
        <v>4</v>
      </c>
      <c r="F197">
        <f t="shared" si="15"/>
        <v>0</v>
      </c>
      <c r="G197">
        <f t="shared" si="16"/>
        <v>0</v>
      </c>
      <c r="H197">
        <f t="shared" si="17"/>
        <v>1</v>
      </c>
      <c r="I197">
        <f t="shared" si="18"/>
        <v>0</v>
      </c>
      <c r="J197">
        <f t="shared" si="19"/>
        <v>0</v>
      </c>
    </row>
    <row r="198" spans="1:10" x14ac:dyDescent="0.3">
      <c r="A198" s="1">
        <v>41696</v>
      </c>
      <c r="B198" s="1">
        <v>41717</v>
      </c>
      <c r="C198">
        <v>6.23</v>
      </c>
      <c r="D198">
        <v>0.16</v>
      </c>
      <c r="E198">
        <v>2</v>
      </c>
      <c r="F198">
        <f t="shared" si="15"/>
        <v>1</v>
      </c>
      <c r="G198">
        <f t="shared" si="16"/>
        <v>0</v>
      </c>
      <c r="H198">
        <f t="shared" si="17"/>
        <v>0</v>
      </c>
      <c r="I198">
        <f t="shared" si="18"/>
        <v>0</v>
      </c>
      <c r="J198">
        <f t="shared" si="19"/>
        <v>0</v>
      </c>
    </row>
    <row r="199" spans="1:10" x14ac:dyDescent="0.3">
      <c r="A199" s="1">
        <v>41698</v>
      </c>
      <c r="B199" s="1">
        <v>41721</v>
      </c>
      <c r="C199">
        <v>3.57</v>
      </c>
      <c r="D199">
        <v>0.09</v>
      </c>
      <c r="E199">
        <v>4</v>
      </c>
      <c r="F199">
        <f t="shared" si="15"/>
        <v>0</v>
      </c>
      <c r="G199">
        <f t="shared" si="16"/>
        <v>0</v>
      </c>
      <c r="H199">
        <f t="shared" si="17"/>
        <v>1</v>
      </c>
      <c r="I199">
        <f t="shared" si="18"/>
        <v>0</v>
      </c>
      <c r="J199">
        <f t="shared" si="19"/>
        <v>0</v>
      </c>
    </row>
    <row r="200" spans="1:10" x14ac:dyDescent="0.3">
      <c r="A200" s="1">
        <v>41701</v>
      </c>
      <c r="B200" s="1">
        <v>41714</v>
      </c>
      <c r="C200">
        <v>8.89</v>
      </c>
      <c r="D200">
        <v>0.23</v>
      </c>
      <c r="E200">
        <v>3</v>
      </c>
      <c r="F200">
        <f t="shared" si="15"/>
        <v>0</v>
      </c>
      <c r="G200">
        <f t="shared" si="16"/>
        <v>1</v>
      </c>
      <c r="H200">
        <f t="shared" si="17"/>
        <v>0</v>
      </c>
      <c r="I200">
        <f t="shared" si="18"/>
        <v>0</v>
      </c>
      <c r="J200">
        <f t="shared" si="19"/>
        <v>0</v>
      </c>
    </row>
    <row r="201" spans="1:10" x14ac:dyDescent="0.3">
      <c r="A201" s="1">
        <v>41701</v>
      </c>
      <c r="B201" s="1">
        <v>41726</v>
      </c>
      <c r="C201">
        <v>6.34</v>
      </c>
      <c r="D201">
        <v>0.17</v>
      </c>
      <c r="E201">
        <v>5</v>
      </c>
      <c r="F201">
        <f t="shared" si="15"/>
        <v>0</v>
      </c>
      <c r="G201">
        <f t="shared" si="16"/>
        <v>0</v>
      </c>
      <c r="H201">
        <f t="shared" si="17"/>
        <v>0</v>
      </c>
      <c r="I201">
        <f t="shared" si="18"/>
        <v>1</v>
      </c>
      <c r="J201">
        <f t="shared" si="19"/>
        <v>0</v>
      </c>
    </row>
    <row r="202" spans="1:10" x14ac:dyDescent="0.3">
      <c r="A202" s="1">
        <v>41701</v>
      </c>
      <c r="B202" s="1">
        <v>41717</v>
      </c>
      <c r="C202">
        <v>11.69</v>
      </c>
      <c r="D202">
        <v>0.31</v>
      </c>
      <c r="E202">
        <v>6</v>
      </c>
      <c r="F202">
        <f t="shared" si="15"/>
        <v>0</v>
      </c>
      <c r="G202">
        <f t="shared" si="16"/>
        <v>0</v>
      </c>
      <c r="H202">
        <f t="shared" si="17"/>
        <v>0</v>
      </c>
      <c r="I202">
        <f t="shared" si="18"/>
        <v>0</v>
      </c>
      <c r="J202">
        <f t="shared" si="19"/>
        <v>1</v>
      </c>
    </row>
    <row r="203" spans="1:10" x14ac:dyDescent="0.3">
      <c r="A203" s="1">
        <v>41701</v>
      </c>
      <c r="B203" s="1">
        <v>41712</v>
      </c>
      <c r="C203">
        <v>3.79</v>
      </c>
      <c r="D203">
        <v>0.1</v>
      </c>
      <c r="E203">
        <v>4</v>
      </c>
      <c r="F203">
        <f t="shared" si="15"/>
        <v>0</v>
      </c>
      <c r="G203">
        <f t="shared" si="16"/>
        <v>0</v>
      </c>
      <c r="H203">
        <f t="shared" si="17"/>
        <v>1</v>
      </c>
      <c r="I203">
        <f t="shared" si="18"/>
        <v>0</v>
      </c>
      <c r="J203">
        <f t="shared" si="19"/>
        <v>0</v>
      </c>
    </row>
    <row r="204" spans="1:10" x14ac:dyDescent="0.3">
      <c r="A204" s="1">
        <v>41701</v>
      </c>
      <c r="B204" s="1">
        <v>41726</v>
      </c>
      <c r="C204">
        <v>9.1300000000000008</v>
      </c>
      <c r="D204">
        <v>0.24</v>
      </c>
      <c r="E204">
        <v>2</v>
      </c>
      <c r="F204">
        <f t="shared" si="15"/>
        <v>1</v>
      </c>
      <c r="G204">
        <f t="shared" si="16"/>
        <v>0</v>
      </c>
      <c r="H204">
        <f t="shared" si="17"/>
        <v>0</v>
      </c>
      <c r="I204">
        <f t="shared" si="18"/>
        <v>0</v>
      </c>
      <c r="J204">
        <f t="shared" si="19"/>
        <v>0</v>
      </c>
    </row>
    <row r="205" spans="1:10" x14ac:dyDescent="0.3">
      <c r="A205" s="1">
        <v>41701</v>
      </c>
      <c r="B205" s="1">
        <v>41722</v>
      </c>
      <c r="C205">
        <v>5.78</v>
      </c>
      <c r="D205">
        <v>0.15</v>
      </c>
      <c r="E205">
        <v>6</v>
      </c>
      <c r="F205">
        <f t="shared" si="15"/>
        <v>0</v>
      </c>
      <c r="G205">
        <f t="shared" si="16"/>
        <v>0</v>
      </c>
      <c r="H205">
        <f t="shared" si="17"/>
        <v>0</v>
      </c>
      <c r="I205">
        <f t="shared" si="18"/>
        <v>0</v>
      </c>
      <c r="J205">
        <f t="shared" si="19"/>
        <v>1</v>
      </c>
    </row>
    <row r="206" spans="1:10" x14ac:dyDescent="0.3">
      <c r="A206" s="1">
        <v>41701</v>
      </c>
      <c r="B206" s="1">
        <v>41719</v>
      </c>
      <c r="C206">
        <v>7.06</v>
      </c>
      <c r="D206">
        <v>0.19</v>
      </c>
      <c r="E206">
        <v>6</v>
      </c>
      <c r="F206">
        <f t="shared" si="15"/>
        <v>0</v>
      </c>
      <c r="G206">
        <f t="shared" si="16"/>
        <v>0</v>
      </c>
      <c r="H206">
        <f t="shared" si="17"/>
        <v>0</v>
      </c>
      <c r="I206">
        <f t="shared" si="18"/>
        <v>0</v>
      </c>
      <c r="J206">
        <f t="shared" si="19"/>
        <v>1</v>
      </c>
    </row>
    <row r="207" spans="1:10" x14ac:dyDescent="0.3">
      <c r="A207" s="1">
        <v>41701</v>
      </c>
      <c r="B207" s="1">
        <v>41712</v>
      </c>
      <c r="C207">
        <v>7.31</v>
      </c>
      <c r="D207">
        <v>0.19</v>
      </c>
      <c r="E207">
        <v>4</v>
      </c>
      <c r="F207">
        <f t="shared" si="15"/>
        <v>0</v>
      </c>
      <c r="G207">
        <f t="shared" si="16"/>
        <v>0</v>
      </c>
      <c r="H207">
        <f t="shared" si="17"/>
        <v>1</v>
      </c>
      <c r="I207">
        <f t="shared" si="18"/>
        <v>0</v>
      </c>
      <c r="J207">
        <f t="shared" si="19"/>
        <v>0</v>
      </c>
    </row>
    <row r="208" spans="1:10" x14ac:dyDescent="0.3">
      <c r="A208" s="1">
        <v>41701</v>
      </c>
      <c r="B208" s="1">
        <v>41711</v>
      </c>
      <c r="C208">
        <v>8.9499999999999993</v>
      </c>
      <c r="D208">
        <v>0.24</v>
      </c>
      <c r="E208">
        <v>4</v>
      </c>
      <c r="F208">
        <f t="shared" si="15"/>
        <v>0</v>
      </c>
      <c r="G208">
        <f t="shared" si="16"/>
        <v>0</v>
      </c>
      <c r="H208">
        <f t="shared" si="17"/>
        <v>1</v>
      </c>
      <c r="I208">
        <f t="shared" si="18"/>
        <v>0</v>
      </c>
      <c r="J208">
        <f t="shared" si="19"/>
        <v>0</v>
      </c>
    </row>
    <row r="209" spans="1:10" x14ac:dyDescent="0.3">
      <c r="A209" s="1">
        <v>41701</v>
      </c>
      <c r="B209" s="1">
        <v>41719</v>
      </c>
      <c r="C209">
        <v>2.0099999999999998</v>
      </c>
      <c r="D209">
        <v>0.05</v>
      </c>
      <c r="E209">
        <v>5</v>
      </c>
      <c r="F209">
        <f t="shared" si="15"/>
        <v>0</v>
      </c>
      <c r="G209">
        <f t="shared" si="16"/>
        <v>0</v>
      </c>
      <c r="H209">
        <f t="shared" si="17"/>
        <v>0</v>
      </c>
      <c r="I209">
        <f t="shared" si="18"/>
        <v>1</v>
      </c>
      <c r="J209">
        <f t="shared" si="19"/>
        <v>0</v>
      </c>
    </row>
    <row r="210" spans="1:10" x14ac:dyDescent="0.3">
      <c r="A210" s="1">
        <v>41701</v>
      </c>
      <c r="B210" s="1">
        <v>41705</v>
      </c>
      <c r="C210">
        <v>19.54</v>
      </c>
      <c r="D210">
        <v>0.51</v>
      </c>
      <c r="E210">
        <v>3</v>
      </c>
      <c r="F210">
        <f t="shared" si="15"/>
        <v>0</v>
      </c>
      <c r="G210">
        <f t="shared" si="16"/>
        <v>1</v>
      </c>
      <c r="H210">
        <f t="shared" si="17"/>
        <v>0</v>
      </c>
      <c r="I210">
        <f t="shared" si="18"/>
        <v>0</v>
      </c>
      <c r="J210">
        <f t="shared" si="19"/>
        <v>0</v>
      </c>
    </row>
    <row r="211" spans="1:10" x14ac:dyDescent="0.3">
      <c r="A211" s="1">
        <v>41701</v>
      </c>
      <c r="B211" s="1">
        <v>41718</v>
      </c>
      <c r="C211">
        <v>13.02</v>
      </c>
      <c r="D211">
        <v>0.34</v>
      </c>
      <c r="E211">
        <v>5</v>
      </c>
      <c r="F211">
        <f t="shared" si="15"/>
        <v>0</v>
      </c>
      <c r="G211">
        <f t="shared" si="16"/>
        <v>0</v>
      </c>
      <c r="H211">
        <f t="shared" si="17"/>
        <v>0</v>
      </c>
      <c r="I211">
        <f t="shared" si="18"/>
        <v>1</v>
      </c>
      <c r="J211">
        <f t="shared" si="19"/>
        <v>0</v>
      </c>
    </row>
    <row r="212" spans="1:10" x14ac:dyDescent="0.3">
      <c r="A212" s="1">
        <v>41701</v>
      </c>
      <c r="B212" s="1">
        <v>41720</v>
      </c>
      <c r="C212">
        <v>11.69</v>
      </c>
      <c r="D212">
        <v>0.31</v>
      </c>
      <c r="E212">
        <v>6</v>
      </c>
      <c r="F212">
        <f t="shared" si="15"/>
        <v>0</v>
      </c>
      <c r="G212">
        <f t="shared" si="16"/>
        <v>0</v>
      </c>
      <c r="H212">
        <f t="shared" si="17"/>
        <v>0</v>
      </c>
      <c r="I212">
        <f t="shared" si="18"/>
        <v>0</v>
      </c>
      <c r="J212">
        <f t="shared" si="19"/>
        <v>1</v>
      </c>
    </row>
    <row r="213" spans="1:10" x14ac:dyDescent="0.3">
      <c r="A213" s="1">
        <v>41701</v>
      </c>
      <c r="B213" s="1">
        <v>41729</v>
      </c>
      <c r="C213">
        <v>13.02</v>
      </c>
      <c r="D213">
        <v>0.34</v>
      </c>
      <c r="E213">
        <v>2</v>
      </c>
      <c r="F213">
        <f t="shared" si="15"/>
        <v>1</v>
      </c>
      <c r="G213">
        <f t="shared" si="16"/>
        <v>0</v>
      </c>
      <c r="H213">
        <f t="shared" si="17"/>
        <v>0</v>
      </c>
      <c r="I213">
        <f t="shared" si="18"/>
        <v>0</v>
      </c>
      <c r="J213">
        <f t="shared" si="19"/>
        <v>0</v>
      </c>
    </row>
    <row r="214" spans="1:10" x14ac:dyDescent="0.3">
      <c r="A214" s="1">
        <v>41701</v>
      </c>
      <c r="B214" s="1">
        <v>41713</v>
      </c>
      <c r="C214">
        <v>3.57</v>
      </c>
      <c r="D214">
        <v>0.09</v>
      </c>
      <c r="E214">
        <v>3</v>
      </c>
      <c r="F214">
        <f t="shared" si="15"/>
        <v>0</v>
      </c>
      <c r="G214">
        <f t="shared" si="16"/>
        <v>1</v>
      </c>
      <c r="H214">
        <f t="shared" si="17"/>
        <v>0</v>
      </c>
      <c r="I214">
        <f t="shared" si="18"/>
        <v>0</v>
      </c>
      <c r="J214">
        <f t="shared" si="19"/>
        <v>0</v>
      </c>
    </row>
    <row r="215" spans="1:10" x14ac:dyDescent="0.3">
      <c r="A215" s="1">
        <v>41701</v>
      </c>
      <c r="B215" s="1">
        <v>41708</v>
      </c>
      <c r="C215">
        <v>7.06</v>
      </c>
      <c r="D215">
        <v>0.19</v>
      </c>
      <c r="E215">
        <v>3</v>
      </c>
      <c r="F215">
        <f t="shared" si="15"/>
        <v>0</v>
      </c>
      <c r="G215">
        <f t="shared" si="16"/>
        <v>1</v>
      </c>
      <c r="H215">
        <f t="shared" si="17"/>
        <v>0</v>
      </c>
      <c r="I215">
        <f t="shared" si="18"/>
        <v>0</v>
      </c>
      <c r="J215">
        <f t="shared" si="19"/>
        <v>0</v>
      </c>
    </row>
    <row r="216" spans="1:10" x14ac:dyDescent="0.3">
      <c r="A216" s="1">
        <v>41704</v>
      </c>
      <c r="B216" s="1">
        <v>41717</v>
      </c>
      <c r="C216">
        <v>6.34</v>
      </c>
      <c r="D216">
        <v>0.17</v>
      </c>
      <c r="E216">
        <v>3</v>
      </c>
      <c r="F216">
        <f t="shared" si="15"/>
        <v>0</v>
      </c>
      <c r="G216">
        <f t="shared" si="16"/>
        <v>1</v>
      </c>
      <c r="H216">
        <f t="shared" si="17"/>
        <v>0</v>
      </c>
      <c r="I216">
        <f t="shared" si="18"/>
        <v>0</v>
      </c>
      <c r="J216">
        <f t="shared" si="19"/>
        <v>0</v>
      </c>
    </row>
    <row r="217" spans="1:10" x14ac:dyDescent="0.3">
      <c r="A217" s="1">
        <v>41704</v>
      </c>
      <c r="B217" s="1">
        <v>41718</v>
      </c>
      <c r="C217">
        <v>2.72</v>
      </c>
      <c r="D217">
        <v>7.0000000000000007E-2</v>
      </c>
      <c r="E217">
        <v>2</v>
      </c>
      <c r="F217">
        <f t="shared" si="15"/>
        <v>1</v>
      </c>
      <c r="G217">
        <f t="shared" si="16"/>
        <v>0</v>
      </c>
      <c r="H217">
        <f t="shared" si="17"/>
        <v>0</v>
      </c>
      <c r="I217">
        <f t="shared" si="18"/>
        <v>0</v>
      </c>
      <c r="J217">
        <f t="shared" si="19"/>
        <v>0</v>
      </c>
    </row>
    <row r="218" spans="1:10" x14ac:dyDescent="0.3">
      <c r="A218" s="1">
        <v>41705</v>
      </c>
      <c r="B218" s="1">
        <v>41710</v>
      </c>
      <c r="C218">
        <v>3.73</v>
      </c>
      <c r="D218">
        <v>0.1</v>
      </c>
      <c r="E218">
        <v>5</v>
      </c>
      <c r="F218">
        <f t="shared" si="15"/>
        <v>0</v>
      </c>
      <c r="G218">
        <f t="shared" si="16"/>
        <v>0</v>
      </c>
      <c r="H218">
        <f t="shared" si="17"/>
        <v>0</v>
      </c>
      <c r="I218">
        <f t="shared" si="18"/>
        <v>1</v>
      </c>
      <c r="J218">
        <f t="shared" si="19"/>
        <v>0</v>
      </c>
    </row>
    <row r="219" spans="1:10" x14ac:dyDescent="0.3">
      <c r="A219" s="1">
        <v>41707</v>
      </c>
      <c r="B219" s="1">
        <v>41719</v>
      </c>
      <c r="C219">
        <v>10.59</v>
      </c>
      <c r="D219">
        <v>0.28000000000000003</v>
      </c>
      <c r="E219">
        <v>6</v>
      </c>
      <c r="F219">
        <f t="shared" si="15"/>
        <v>0</v>
      </c>
      <c r="G219">
        <f t="shared" si="16"/>
        <v>0</v>
      </c>
      <c r="H219">
        <f t="shared" si="17"/>
        <v>0</v>
      </c>
      <c r="I219">
        <f t="shared" si="18"/>
        <v>0</v>
      </c>
      <c r="J219">
        <f t="shared" si="19"/>
        <v>1</v>
      </c>
    </row>
    <row r="220" spans="1:10" x14ac:dyDescent="0.3">
      <c r="A220" s="1">
        <v>41708</v>
      </c>
      <c r="B220" s="1">
        <v>41733</v>
      </c>
      <c r="C220">
        <v>3.73</v>
      </c>
      <c r="D220">
        <v>0.1</v>
      </c>
      <c r="E220">
        <v>5</v>
      </c>
      <c r="F220">
        <f t="shared" si="15"/>
        <v>0</v>
      </c>
      <c r="G220">
        <f t="shared" si="16"/>
        <v>0</v>
      </c>
      <c r="H220">
        <f t="shared" si="17"/>
        <v>0</v>
      </c>
      <c r="I220">
        <f t="shared" si="18"/>
        <v>1</v>
      </c>
      <c r="J220">
        <f t="shared" si="19"/>
        <v>0</v>
      </c>
    </row>
    <row r="221" spans="1:10" x14ac:dyDescent="0.3">
      <c r="A221" s="1">
        <v>41708</v>
      </c>
      <c r="B221" s="1">
        <v>41720</v>
      </c>
      <c r="C221">
        <v>5.78</v>
      </c>
      <c r="D221">
        <v>0.15</v>
      </c>
      <c r="E221">
        <v>2</v>
      </c>
      <c r="F221">
        <f t="shared" si="15"/>
        <v>1</v>
      </c>
      <c r="G221">
        <f t="shared" si="16"/>
        <v>0</v>
      </c>
      <c r="H221">
        <f t="shared" si="17"/>
        <v>0</v>
      </c>
      <c r="I221">
        <f t="shared" si="18"/>
        <v>0</v>
      </c>
      <c r="J221">
        <f t="shared" si="19"/>
        <v>0</v>
      </c>
    </row>
    <row r="222" spans="1:10" x14ac:dyDescent="0.3">
      <c r="A222" s="1">
        <v>41708</v>
      </c>
      <c r="B222" s="1">
        <v>41720</v>
      </c>
      <c r="C222">
        <v>10.79</v>
      </c>
      <c r="D222">
        <v>0.28000000000000003</v>
      </c>
      <c r="E222">
        <v>2</v>
      </c>
      <c r="F222">
        <f t="shared" si="15"/>
        <v>1</v>
      </c>
      <c r="G222">
        <f t="shared" si="16"/>
        <v>0</v>
      </c>
      <c r="H222">
        <f t="shared" si="17"/>
        <v>0</v>
      </c>
      <c r="I222">
        <f t="shared" si="18"/>
        <v>0</v>
      </c>
      <c r="J222">
        <f t="shared" si="19"/>
        <v>0</v>
      </c>
    </row>
    <row r="223" spans="1:10" x14ac:dyDescent="0.3">
      <c r="A223" s="1">
        <v>41708</v>
      </c>
      <c r="B223" s="1">
        <v>41726</v>
      </c>
      <c r="C223">
        <v>5.47</v>
      </c>
      <c r="D223">
        <v>0.14000000000000001</v>
      </c>
      <c r="E223">
        <v>4</v>
      </c>
      <c r="F223">
        <f t="shared" si="15"/>
        <v>0</v>
      </c>
      <c r="G223">
        <f t="shared" si="16"/>
        <v>0</v>
      </c>
      <c r="H223">
        <f t="shared" si="17"/>
        <v>1</v>
      </c>
      <c r="I223">
        <f t="shared" si="18"/>
        <v>0</v>
      </c>
      <c r="J223">
        <f t="shared" si="19"/>
        <v>0</v>
      </c>
    </row>
    <row r="224" spans="1:10" x14ac:dyDescent="0.3">
      <c r="A224" s="1">
        <v>41708</v>
      </c>
      <c r="B224" s="1">
        <v>41720</v>
      </c>
      <c r="C224">
        <v>5.57</v>
      </c>
      <c r="D224">
        <v>0.15</v>
      </c>
      <c r="E224">
        <v>2</v>
      </c>
      <c r="F224">
        <f t="shared" si="15"/>
        <v>1</v>
      </c>
      <c r="G224">
        <f t="shared" si="16"/>
        <v>0</v>
      </c>
      <c r="H224">
        <f t="shared" si="17"/>
        <v>0</v>
      </c>
      <c r="I224">
        <f t="shared" si="18"/>
        <v>0</v>
      </c>
      <c r="J224">
        <f t="shared" si="19"/>
        <v>0</v>
      </c>
    </row>
    <row r="225" spans="1:10" x14ac:dyDescent="0.3">
      <c r="A225" s="1">
        <v>41709</v>
      </c>
      <c r="B225" s="1">
        <v>41736</v>
      </c>
      <c r="C225">
        <v>4.66</v>
      </c>
      <c r="D225">
        <v>0.12</v>
      </c>
      <c r="E225">
        <v>5</v>
      </c>
      <c r="F225">
        <f t="shared" si="15"/>
        <v>0</v>
      </c>
      <c r="G225">
        <f t="shared" si="16"/>
        <v>0</v>
      </c>
      <c r="H225">
        <f t="shared" si="17"/>
        <v>0</v>
      </c>
      <c r="I225">
        <f t="shared" si="18"/>
        <v>1</v>
      </c>
      <c r="J225">
        <f t="shared" si="19"/>
        <v>0</v>
      </c>
    </row>
    <row r="226" spans="1:10" x14ac:dyDescent="0.3">
      <c r="A226" s="1">
        <v>41709</v>
      </c>
      <c r="B226" s="1">
        <v>41731</v>
      </c>
      <c r="C226">
        <v>8.9499999999999993</v>
      </c>
      <c r="D226">
        <v>0.24</v>
      </c>
      <c r="E226">
        <v>4</v>
      </c>
      <c r="F226">
        <f t="shared" si="15"/>
        <v>0</v>
      </c>
      <c r="G226">
        <f t="shared" si="16"/>
        <v>0</v>
      </c>
      <c r="H226">
        <f t="shared" si="17"/>
        <v>1</v>
      </c>
      <c r="I226">
        <f t="shared" si="18"/>
        <v>0</v>
      </c>
      <c r="J226">
        <f t="shared" si="19"/>
        <v>0</v>
      </c>
    </row>
    <row r="227" spans="1:10" x14ac:dyDescent="0.3">
      <c r="A227" s="1">
        <v>41710</v>
      </c>
      <c r="B227" s="1">
        <v>41719</v>
      </c>
      <c r="C227">
        <v>3.94</v>
      </c>
      <c r="D227">
        <v>0.1</v>
      </c>
      <c r="E227">
        <v>3</v>
      </c>
      <c r="F227">
        <f t="shared" si="15"/>
        <v>0</v>
      </c>
      <c r="G227">
        <f t="shared" si="16"/>
        <v>1</v>
      </c>
      <c r="H227">
        <f t="shared" si="17"/>
        <v>0</v>
      </c>
      <c r="I227">
        <f t="shared" si="18"/>
        <v>0</v>
      </c>
      <c r="J227">
        <f t="shared" si="19"/>
        <v>0</v>
      </c>
    </row>
    <row r="228" spans="1:10" x14ac:dyDescent="0.3">
      <c r="A228" s="1">
        <v>41713</v>
      </c>
      <c r="B228" s="1">
        <v>41724</v>
      </c>
      <c r="C228">
        <v>5.78</v>
      </c>
      <c r="D228">
        <v>0.15</v>
      </c>
      <c r="E228">
        <v>6</v>
      </c>
      <c r="F228">
        <f t="shared" si="15"/>
        <v>0</v>
      </c>
      <c r="G228">
        <f t="shared" si="16"/>
        <v>0</v>
      </c>
      <c r="H228">
        <f t="shared" si="17"/>
        <v>0</v>
      </c>
      <c r="I228">
        <f t="shared" si="18"/>
        <v>0</v>
      </c>
      <c r="J228">
        <f t="shared" si="19"/>
        <v>1</v>
      </c>
    </row>
    <row r="229" spans="1:10" x14ac:dyDescent="0.3">
      <c r="A229" s="1">
        <v>41713</v>
      </c>
      <c r="B229" s="1">
        <v>41735</v>
      </c>
      <c r="C229">
        <v>13.81</v>
      </c>
      <c r="D229">
        <v>0.36</v>
      </c>
      <c r="E229">
        <v>2</v>
      </c>
      <c r="F229">
        <f t="shared" si="15"/>
        <v>1</v>
      </c>
      <c r="G229">
        <f t="shared" si="16"/>
        <v>0</v>
      </c>
      <c r="H229">
        <f t="shared" si="17"/>
        <v>0</v>
      </c>
      <c r="I229">
        <f t="shared" si="18"/>
        <v>0</v>
      </c>
      <c r="J229">
        <f t="shared" si="19"/>
        <v>0</v>
      </c>
    </row>
    <row r="230" spans="1:10" x14ac:dyDescent="0.3">
      <c r="A230" s="1">
        <v>41713</v>
      </c>
      <c r="B230" s="1">
        <v>41739</v>
      </c>
      <c r="C230">
        <v>5.23</v>
      </c>
      <c r="D230">
        <v>0.14000000000000001</v>
      </c>
      <c r="E230">
        <v>6</v>
      </c>
      <c r="F230">
        <f t="shared" si="15"/>
        <v>0</v>
      </c>
      <c r="G230">
        <f t="shared" si="16"/>
        <v>0</v>
      </c>
      <c r="H230">
        <f t="shared" si="17"/>
        <v>0</v>
      </c>
      <c r="I230">
        <f t="shared" si="18"/>
        <v>0</v>
      </c>
      <c r="J230">
        <f t="shared" si="19"/>
        <v>1</v>
      </c>
    </row>
    <row r="231" spans="1:10" x14ac:dyDescent="0.3">
      <c r="A231" s="1">
        <v>41713</v>
      </c>
      <c r="B231" s="1">
        <v>41728</v>
      </c>
      <c r="C231">
        <v>10.93</v>
      </c>
      <c r="D231">
        <v>0.28999999999999998</v>
      </c>
      <c r="E231">
        <v>6</v>
      </c>
      <c r="F231">
        <f t="shared" si="15"/>
        <v>0</v>
      </c>
      <c r="G231">
        <f t="shared" si="16"/>
        <v>0</v>
      </c>
      <c r="H231">
        <f t="shared" si="17"/>
        <v>0</v>
      </c>
      <c r="I231">
        <f t="shared" si="18"/>
        <v>0</v>
      </c>
      <c r="J231">
        <f t="shared" si="19"/>
        <v>1</v>
      </c>
    </row>
    <row r="232" spans="1:10" x14ac:dyDescent="0.3">
      <c r="A232" s="1">
        <v>41713</v>
      </c>
      <c r="B232" s="1">
        <v>41731</v>
      </c>
      <c r="C232">
        <v>8.9499999999999993</v>
      </c>
      <c r="D232">
        <v>0.24</v>
      </c>
      <c r="E232">
        <v>4</v>
      </c>
      <c r="F232">
        <f t="shared" si="15"/>
        <v>0</v>
      </c>
      <c r="G232">
        <f t="shared" si="16"/>
        <v>0</v>
      </c>
      <c r="H232">
        <f t="shared" si="17"/>
        <v>1</v>
      </c>
      <c r="I232">
        <f t="shared" si="18"/>
        <v>0</v>
      </c>
      <c r="J232">
        <f t="shared" si="19"/>
        <v>0</v>
      </c>
    </row>
    <row r="233" spans="1:10" x14ac:dyDescent="0.3">
      <c r="A233" s="1">
        <v>41713</v>
      </c>
      <c r="B233" s="1">
        <v>41731</v>
      </c>
      <c r="C233">
        <v>16.829999999999998</v>
      </c>
      <c r="D233">
        <v>0.44</v>
      </c>
      <c r="E233">
        <v>3</v>
      </c>
      <c r="F233">
        <f t="shared" si="15"/>
        <v>0</v>
      </c>
      <c r="G233">
        <f t="shared" si="16"/>
        <v>1</v>
      </c>
      <c r="H233">
        <f t="shared" si="17"/>
        <v>0</v>
      </c>
      <c r="I233">
        <f t="shared" si="18"/>
        <v>0</v>
      </c>
      <c r="J233">
        <f t="shared" si="19"/>
        <v>0</v>
      </c>
    </row>
    <row r="234" spans="1:10" x14ac:dyDescent="0.3">
      <c r="A234" s="1">
        <v>41713</v>
      </c>
      <c r="B234" s="1">
        <v>41718</v>
      </c>
      <c r="C234">
        <v>14</v>
      </c>
      <c r="D234">
        <v>0.37</v>
      </c>
      <c r="E234">
        <v>2</v>
      </c>
      <c r="F234">
        <f t="shared" si="15"/>
        <v>1</v>
      </c>
      <c r="G234">
        <f t="shared" si="16"/>
        <v>0</v>
      </c>
      <c r="H234">
        <f t="shared" si="17"/>
        <v>0</v>
      </c>
      <c r="I234">
        <f t="shared" si="18"/>
        <v>0</v>
      </c>
      <c r="J234">
        <f t="shared" si="19"/>
        <v>0</v>
      </c>
    </row>
    <row r="235" spans="1:10" x14ac:dyDescent="0.3">
      <c r="A235" s="1">
        <v>41713</v>
      </c>
      <c r="B235" s="1">
        <v>41735</v>
      </c>
      <c r="C235">
        <v>5.23</v>
      </c>
      <c r="D235">
        <v>0.14000000000000001</v>
      </c>
      <c r="E235">
        <v>6</v>
      </c>
      <c r="F235">
        <f t="shared" si="15"/>
        <v>0</v>
      </c>
      <c r="G235">
        <f t="shared" si="16"/>
        <v>0</v>
      </c>
      <c r="H235">
        <f t="shared" si="17"/>
        <v>0</v>
      </c>
      <c r="I235">
        <f t="shared" si="18"/>
        <v>0</v>
      </c>
      <c r="J235">
        <f t="shared" si="19"/>
        <v>1</v>
      </c>
    </row>
    <row r="236" spans="1:10" x14ac:dyDescent="0.3">
      <c r="A236" s="1">
        <v>41713</v>
      </c>
      <c r="B236" s="1">
        <v>41724</v>
      </c>
      <c r="C236">
        <v>16.55</v>
      </c>
      <c r="D236">
        <v>0.44</v>
      </c>
      <c r="E236">
        <v>6</v>
      </c>
      <c r="F236">
        <f t="shared" si="15"/>
        <v>0</v>
      </c>
      <c r="G236">
        <f t="shared" si="16"/>
        <v>0</v>
      </c>
      <c r="H236">
        <f t="shared" si="17"/>
        <v>0</v>
      </c>
      <c r="I236">
        <f t="shared" si="18"/>
        <v>0</v>
      </c>
      <c r="J236">
        <f t="shared" si="19"/>
        <v>1</v>
      </c>
    </row>
    <row r="237" spans="1:10" x14ac:dyDescent="0.3">
      <c r="A237" s="1">
        <v>41713</v>
      </c>
      <c r="B237" s="1">
        <v>41724</v>
      </c>
      <c r="C237">
        <v>12.23</v>
      </c>
      <c r="D237">
        <v>0.32</v>
      </c>
      <c r="E237">
        <v>3</v>
      </c>
      <c r="F237">
        <f t="shared" si="15"/>
        <v>0</v>
      </c>
      <c r="G237">
        <f t="shared" si="16"/>
        <v>1</v>
      </c>
      <c r="H237">
        <f t="shared" si="17"/>
        <v>0</v>
      </c>
      <c r="I237">
        <f t="shared" si="18"/>
        <v>0</v>
      </c>
      <c r="J237">
        <f t="shared" si="19"/>
        <v>0</v>
      </c>
    </row>
    <row r="238" spans="1:10" x14ac:dyDescent="0.3">
      <c r="A238" s="1">
        <v>41713</v>
      </c>
      <c r="B238" s="1">
        <v>41720</v>
      </c>
      <c r="C238">
        <v>8.39</v>
      </c>
      <c r="D238">
        <v>0.22</v>
      </c>
      <c r="E238">
        <v>2</v>
      </c>
      <c r="F238">
        <f t="shared" si="15"/>
        <v>1</v>
      </c>
      <c r="G238">
        <f t="shared" si="16"/>
        <v>0</v>
      </c>
      <c r="H238">
        <f t="shared" si="17"/>
        <v>0</v>
      </c>
      <c r="I238">
        <f t="shared" si="18"/>
        <v>0</v>
      </c>
      <c r="J238">
        <f t="shared" si="19"/>
        <v>0</v>
      </c>
    </row>
    <row r="239" spans="1:10" x14ac:dyDescent="0.3">
      <c r="A239" s="1">
        <v>41713</v>
      </c>
      <c r="B239" s="1">
        <v>41721</v>
      </c>
      <c r="C239">
        <v>5.67</v>
      </c>
      <c r="D239">
        <v>0.15</v>
      </c>
      <c r="E239">
        <v>5</v>
      </c>
      <c r="F239">
        <f t="shared" si="15"/>
        <v>0</v>
      </c>
      <c r="G239">
        <f t="shared" si="16"/>
        <v>0</v>
      </c>
      <c r="H239">
        <f t="shared" si="17"/>
        <v>0</v>
      </c>
      <c r="I239">
        <f t="shared" si="18"/>
        <v>1</v>
      </c>
      <c r="J239">
        <f t="shared" si="19"/>
        <v>0</v>
      </c>
    </row>
    <row r="240" spans="1:10" x14ac:dyDescent="0.3">
      <c r="A240" s="1">
        <v>41713</v>
      </c>
      <c r="B240" s="1">
        <v>41719</v>
      </c>
      <c r="C240">
        <v>14.13</v>
      </c>
      <c r="D240">
        <v>0.37</v>
      </c>
      <c r="E240">
        <v>4</v>
      </c>
      <c r="F240">
        <f t="shared" si="15"/>
        <v>0</v>
      </c>
      <c r="G240">
        <f t="shared" si="16"/>
        <v>0</v>
      </c>
      <c r="H240">
        <f t="shared" si="17"/>
        <v>1</v>
      </c>
      <c r="I240">
        <f t="shared" si="18"/>
        <v>0</v>
      </c>
      <c r="J240">
        <f t="shared" si="19"/>
        <v>0</v>
      </c>
    </row>
    <row r="241" spans="1:10" x14ac:dyDescent="0.3">
      <c r="A241" s="1">
        <v>41713</v>
      </c>
      <c r="B241" s="1">
        <v>41723</v>
      </c>
      <c r="C241">
        <v>11.69</v>
      </c>
      <c r="D241">
        <v>0.31</v>
      </c>
      <c r="E241">
        <v>4</v>
      </c>
      <c r="F241">
        <f t="shared" si="15"/>
        <v>0</v>
      </c>
      <c r="G241">
        <f t="shared" si="16"/>
        <v>0</v>
      </c>
      <c r="H241">
        <f t="shared" si="17"/>
        <v>1</v>
      </c>
      <c r="I241">
        <f t="shared" si="18"/>
        <v>0</v>
      </c>
      <c r="J241">
        <f t="shared" si="19"/>
        <v>0</v>
      </c>
    </row>
    <row r="242" spans="1:10" x14ac:dyDescent="0.3">
      <c r="A242" s="1">
        <v>41713</v>
      </c>
      <c r="B242" s="1">
        <v>41728</v>
      </c>
      <c r="C242">
        <v>16.940000000000001</v>
      </c>
      <c r="D242">
        <v>0.45</v>
      </c>
      <c r="E242">
        <v>2</v>
      </c>
      <c r="F242">
        <f t="shared" si="15"/>
        <v>1</v>
      </c>
      <c r="G242">
        <f t="shared" si="16"/>
        <v>0</v>
      </c>
      <c r="H242">
        <f t="shared" si="17"/>
        <v>0</v>
      </c>
      <c r="I242">
        <f t="shared" si="18"/>
        <v>0</v>
      </c>
      <c r="J242">
        <f t="shared" si="19"/>
        <v>0</v>
      </c>
    </row>
    <row r="243" spans="1:10" x14ac:dyDescent="0.3">
      <c r="A243" s="1">
        <v>41713</v>
      </c>
      <c r="B243" s="1">
        <v>41733</v>
      </c>
      <c r="C243">
        <v>14</v>
      </c>
      <c r="D243">
        <v>0.37</v>
      </c>
      <c r="E243">
        <v>4</v>
      </c>
      <c r="F243">
        <f t="shared" si="15"/>
        <v>0</v>
      </c>
      <c r="G243">
        <f t="shared" si="16"/>
        <v>0</v>
      </c>
      <c r="H243">
        <f t="shared" si="17"/>
        <v>1</v>
      </c>
      <c r="I243">
        <f t="shared" si="18"/>
        <v>0</v>
      </c>
      <c r="J243">
        <f t="shared" si="19"/>
        <v>0</v>
      </c>
    </row>
    <row r="244" spans="1:10" x14ac:dyDescent="0.3">
      <c r="A244" s="1">
        <v>41715</v>
      </c>
      <c r="B244" s="1">
        <v>41743</v>
      </c>
      <c r="C244">
        <v>8.84</v>
      </c>
      <c r="D244">
        <v>0.23</v>
      </c>
      <c r="E244">
        <v>2</v>
      </c>
      <c r="F244">
        <f t="shared" si="15"/>
        <v>1</v>
      </c>
      <c r="G244">
        <f t="shared" si="16"/>
        <v>0</v>
      </c>
      <c r="H244">
        <f t="shared" si="17"/>
        <v>0</v>
      </c>
      <c r="I244">
        <f t="shared" si="18"/>
        <v>0</v>
      </c>
      <c r="J244">
        <f t="shared" si="19"/>
        <v>0</v>
      </c>
    </row>
    <row r="245" spans="1:10" x14ac:dyDescent="0.3">
      <c r="A245" s="1">
        <v>41715</v>
      </c>
      <c r="B245" s="1">
        <v>41734</v>
      </c>
      <c r="C245">
        <v>6.75</v>
      </c>
      <c r="D245">
        <v>0.18</v>
      </c>
      <c r="E245">
        <v>4</v>
      </c>
      <c r="F245">
        <f t="shared" si="15"/>
        <v>0</v>
      </c>
      <c r="G245">
        <f t="shared" si="16"/>
        <v>0</v>
      </c>
      <c r="H245">
        <f t="shared" si="17"/>
        <v>1</v>
      </c>
      <c r="I245">
        <f t="shared" si="18"/>
        <v>0</v>
      </c>
      <c r="J245">
        <f t="shared" si="19"/>
        <v>0</v>
      </c>
    </row>
    <row r="246" spans="1:10" x14ac:dyDescent="0.3">
      <c r="A246" s="1">
        <v>41715</v>
      </c>
      <c r="B246" s="1">
        <v>41728</v>
      </c>
      <c r="C246">
        <v>6.23</v>
      </c>
      <c r="D246">
        <v>0.16</v>
      </c>
      <c r="E246">
        <v>5</v>
      </c>
      <c r="F246">
        <f t="shared" si="15"/>
        <v>0</v>
      </c>
      <c r="G246">
        <f t="shared" si="16"/>
        <v>0</v>
      </c>
      <c r="H246">
        <f t="shared" si="17"/>
        <v>0</v>
      </c>
      <c r="I246">
        <f t="shared" si="18"/>
        <v>1</v>
      </c>
      <c r="J246">
        <f t="shared" si="19"/>
        <v>0</v>
      </c>
    </row>
    <row r="247" spans="1:10" x14ac:dyDescent="0.3">
      <c r="A247" s="1">
        <v>41715</v>
      </c>
      <c r="B247" s="1">
        <v>41741</v>
      </c>
      <c r="C247">
        <v>8.7200000000000006</v>
      </c>
      <c r="D247">
        <v>0.23</v>
      </c>
      <c r="E247">
        <v>6</v>
      </c>
      <c r="F247">
        <f t="shared" si="15"/>
        <v>0</v>
      </c>
      <c r="G247">
        <f t="shared" si="16"/>
        <v>0</v>
      </c>
      <c r="H247">
        <f t="shared" si="17"/>
        <v>0</v>
      </c>
      <c r="I247">
        <f t="shared" si="18"/>
        <v>0</v>
      </c>
      <c r="J247">
        <f t="shared" si="19"/>
        <v>1</v>
      </c>
    </row>
    <row r="248" spans="1:10" x14ac:dyDescent="0.3">
      <c r="A248" s="1">
        <v>41716</v>
      </c>
      <c r="B248" s="1">
        <v>41719</v>
      </c>
      <c r="C248">
        <v>6.34</v>
      </c>
      <c r="D248">
        <v>0.17</v>
      </c>
      <c r="E248">
        <v>5</v>
      </c>
      <c r="F248">
        <f t="shared" si="15"/>
        <v>0</v>
      </c>
      <c r="G248">
        <f t="shared" si="16"/>
        <v>0</v>
      </c>
      <c r="H248">
        <f t="shared" si="17"/>
        <v>0</v>
      </c>
      <c r="I248">
        <f t="shared" si="18"/>
        <v>1</v>
      </c>
      <c r="J248">
        <f t="shared" si="19"/>
        <v>0</v>
      </c>
    </row>
    <row r="249" spans="1:10" x14ac:dyDescent="0.3">
      <c r="A249" s="1">
        <v>41716</v>
      </c>
      <c r="B249" s="1">
        <v>41734</v>
      </c>
      <c r="C249">
        <v>2.29</v>
      </c>
      <c r="D249">
        <v>0.06</v>
      </c>
      <c r="E249">
        <v>4</v>
      </c>
      <c r="F249">
        <f t="shared" si="15"/>
        <v>0</v>
      </c>
      <c r="G249">
        <f t="shared" si="16"/>
        <v>0</v>
      </c>
      <c r="H249">
        <f t="shared" si="17"/>
        <v>1</v>
      </c>
      <c r="I249">
        <f t="shared" si="18"/>
        <v>0</v>
      </c>
      <c r="J249">
        <f t="shared" si="19"/>
        <v>0</v>
      </c>
    </row>
    <row r="250" spans="1:10" x14ac:dyDescent="0.3">
      <c r="A250" s="1">
        <v>41716</v>
      </c>
      <c r="B250" s="1">
        <v>41734</v>
      </c>
      <c r="C250">
        <v>4.25</v>
      </c>
      <c r="D250">
        <v>0.11</v>
      </c>
      <c r="E250">
        <v>4</v>
      </c>
      <c r="F250">
        <f t="shared" si="15"/>
        <v>0</v>
      </c>
      <c r="G250">
        <f t="shared" si="16"/>
        <v>0</v>
      </c>
      <c r="H250">
        <f t="shared" si="17"/>
        <v>1</v>
      </c>
      <c r="I250">
        <f t="shared" si="18"/>
        <v>0</v>
      </c>
      <c r="J250">
        <f t="shared" si="19"/>
        <v>0</v>
      </c>
    </row>
    <row r="251" spans="1:10" x14ac:dyDescent="0.3">
      <c r="A251" s="1">
        <v>41719</v>
      </c>
      <c r="B251" s="1">
        <v>41742</v>
      </c>
      <c r="C251">
        <v>16.55</v>
      </c>
      <c r="D251">
        <v>0.44</v>
      </c>
      <c r="E251">
        <v>5</v>
      </c>
      <c r="F251">
        <f t="shared" si="15"/>
        <v>0</v>
      </c>
      <c r="G251">
        <f t="shared" si="16"/>
        <v>0</v>
      </c>
      <c r="H251">
        <f t="shared" si="17"/>
        <v>0</v>
      </c>
      <c r="I251">
        <f t="shared" si="18"/>
        <v>1</v>
      </c>
      <c r="J251">
        <f t="shared" si="19"/>
        <v>0</v>
      </c>
    </row>
    <row r="252" spans="1:10" x14ac:dyDescent="0.3">
      <c r="A252" s="1">
        <v>41719</v>
      </c>
      <c r="B252" s="1">
        <v>41745</v>
      </c>
      <c r="C252">
        <v>7.55</v>
      </c>
      <c r="D252">
        <v>0.2</v>
      </c>
      <c r="E252">
        <v>3</v>
      </c>
      <c r="F252">
        <f t="shared" si="15"/>
        <v>0</v>
      </c>
      <c r="G252">
        <f t="shared" si="16"/>
        <v>1</v>
      </c>
      <c r="H252">
        <f t="shared" si="17"/>
        <v>0</v>
      </c>
      <c r="I252">
        <f t="shared" si="18"/>
        <v>0</v>
      </c>
      <c r="J252">
        <f t="shared" si="19"/>
        <v>0</v>
      </c>
    </row>
    <row r="253" spans="1:10" x14ac:dyDescent="0.3">
      <c r="A253" s="1">
        <v>41719</v>
      </c>
      <c r="B253" s="1">
        <v>41731</v>
      </c>
      <c r="C253">
        <v>16.55</v>
      </c>
      <c r="D253">
        <v>0.44</v>
      </c>
      <c r="E253">
        <v>5</v>
      </c>
      <c r="F253">
        <f t="shared" si="15"/>
        <v>0</v>
      </c>
      <c r="G253">
        <f t="shared" si="16"/>
        <v>0</v>
      </c>
      <c r="H253">
        <f t="shared" si="17"/>
        <v>0</v>
      </c>
      <c r="I253">
        <f t="shared" si="18"/>
        <v>1</v>
      </c>
      <c r="J253">
        <f t="shared" si="19"/>
        <v>0</v>
      </c>
    </row>
    <row r="254" spans="1:10" x14ac:dyDescent="0.3">
      <c r="A254" s="1">
        <v>41719</v>
      </c>
      <c r="B254" s="1">
        <v>41739</v>
      </c>
      <c r="C254">
        <v>3.79</v>
      </c>
      <c r="D254">
        <v>0.1</v>
      </c>
      <c r="E254">
        <v>3</v>
      </c>
      <c r="F254">
        <f t="shared" si="15"/>
        <v>0</v>
      </c>
      <c r="G254">
        <f t="shared" si="16"/>
        <v>1</v>
      </c>
      <c r="H254">
        <f t="shared" si="17"/>
        <v>0</v>
      </c>
      <c r="I254">
        <f t="shared" si="18"/>
        <v>0</v>
      </c>
      <c r="J254">
        <f t="shared" si="19"/>
        <v>0</v>
      </c>
    </row>
    <row r="255" spans="1:10" x14ac:dyDescent="0.3">
      <c r="A255" s="1">
        <v>41719</v>
      </c>
      <c r="B255" s="1">
        <v>41725</v>
      </c>
      <c r="C255">
        <v>8.51</v>
      </c>
      <c r="D255">
        <v>0.22</v>
      </c>
      <c r="E255">
        <v>6</v>
      </c>
      <c r="F255">
        <f t="shared" si="15"/>
        <v>0</v>
      </c>
      <c r="G255">
        <f t="shared" si="16"/>
        <v>0</v>
      </c>
      <c r="H255">
        <f t="shared" si="17"/>
        <v>0</v>
      </c>
      <c r="I255">
        <f t="shared" si="18"/>
        <v>0</v>
      </c>
      <c r="J255">
        <f t="shared" si="19"/>
        <v>1</v>
      </c>
    </row>
    <row r="256" spans="1:10" x14ac:dyDescent="0.3">
      <c r="A256" s="1">
        <v>41719</v>
      </c>
      <c r="B256" s="1">
        <v>41724</v>
      </c>
      <c r="C256">
        <v>7.71</v>
      </c>
      <c r="D256">
        <v>0.2</v>
      </c>
      <c r="E256">
        <v>2</v>
      </c>
      <c r="F256">
        <f t="shared" si="15"/>
        <v>1</v>
      </c>
      <c r="G256">
        <f t="shared" si="16"/>
        <v>0</v>
      </c>
      <c r="H256">
        <f t="shared" si="17"/>
        <v>0</v>
      </c>
      <c r="I256">
        <f t="shared" si="18"/>
        <v>0</v>
      </c>
      <c r="J256">
        <f t="shared" si="19"/>
        <v>0</v>
      </c>
    </row>
    <row r="257" spans="1:10" x14ac:dyDescent="0.3">
      <c r="A257" s="1">
        <v>41725</v>
      </c>
      <c r="B257" s="1">
        <v>41742</v>
      </c>
      <c r="C257">
        <v>3.79</v>
      </c>
      <c r="D257">
        <v>0.1</v>
      </c>
      <c r="E257">
        <v>2</v>
      </c>
      <c r="F257">
        <f t="shared" si="15"/>
        <v>1</v>
      </c>
      <c r="G257">
        <f t="shared" si="16"/>
        <v>0</v>
      </c>
      <c r="H257">
        <f t="shared" si="17"/>
        <v>0</v>
      </c>
      <c r="I257">
        <f t="shared" si="18"/>
        <v>0</v>
      </c>
      <c r="J257">
        <f t="shared" si="19"/>
        <v>0</v>
      </c>
    </row>
    <row r="258" spans="1:10" x14ac:dyDescent="0.3">
      <c r="A258" s="1">
        <v>41725</v>
      </c>
      <c r="B258" s="1">
        <v>41747</v>
      </c>
      <c r="C258">
        <v>16.55</v>
      </c>
      <c r="D258">
        <v>0.44</v>
      </c>
      <c r="E258">
        <v>4</v>
      </c>
      <c r="F258">
        <f t="shared" si="15"/>
        <v>0</v>
      </c>
      <c r="G258">
        <f t="shared" si="16"/>
        <v>0</v>
      </c>
      <c r="H258">
        <f t="shared" si="17"/>
        <v>1</v>
      </c>
      <c r="I258">
        <f t="shared" si="18"/>
        <v>0</v>
      </c>
      <c r="J258">
        <f t="shared" si="19"/>
        <v>0</v>
      </c>
    </row>
    <row r="259" spans="1:10" x14ac:dyDescent="0.3">
      <c r="A259" s="1">
        <v>41725</v>
      </c>
      <c r="B259" s="1">
        <v>41728</v>
      </c>
      <c r="C259">
        <v>10.19</v>
      </c>
      <c r="D259">
        <v>0.27</v>
      </c>
      <c r="E259">
        <v>5</v>
      </c>
      <c r="F259">
        <f t="shared" ref="F259:F322" si="20">IF(EXACT(E259,2),1,0)</f>
        <v>0</v>
      </c>
      <c r="G259">
        <f t="shared" ref="G259:G322" si="21">IF(EXACT(E259,3),1,0)</f>
        <v>0</v>
      </c>
      <c r="H259">
        <f t="shared" ref="H259:H322" si="22">IF(EXACT(E259,4),1,0)</f>
        <v>0</v>
      </c>
      <c r="I259">
        <f t="shared" ref="I259:I322" si="23">IF(EXACT(E259,5),1,0)</f>
        <v>1</v>
      </c>
      <c r="J259">
        <f t="shared" ref="J259:J322" si="24">IF(EXACT(E259,6),1,0)</f>
        <v>0</v>
      </c>
    </row>
    <row r="260" spans="1:10" x14ac:dyDescent="0.3">
      <c r="A260" s="1">
        <v>41725</v>
      </c>
      <c r="B260" s="1">
        <v>41731</v>
      </c>
      <c r="C260">
        <v>8.39</v>
      </c>
      <c r="D260">
        <v>0.22</v>
      </c>
      <c r="E260">
        <v>5</v>
      </c>
      <c r="F260">
        <f t="shared" si="20"/>
        <v>0</v>
      </c>
      <c r="G260">
        <f t="shared" si="21"/>
        <v>0</v>
      </c>
      <c r="H260">
        <f t="shared" si="22"/>
        <v>0</v>
      </c>
      <c r="I260">
        <f t="shared" si="23"/>
        <v>1</v>
      </c>
      <c r="J260">
        <f t="shared" si="24"/>
        <v>0</v>
      </c>
    </row>
    <row r="261" spans="1:10" x14ac:dyDescent="0.3">
      <c r="A261" s="1">
        <v>41725</v>
      </c>
      <c r="B261" s="1">
        <v>41752</v>
      </c>
      <c r="C261">
        <v>8.89</v>
      </c>
      <c r="D261">
        <v>0.23</v>
      </c>
      <c r="E261">
        <v>2</v>
      </c>
      <c r="F261">
        <f t="shared" si="20"/>
        <v>1</v>
      </c>
      <c r="G261">
        <f t="shared" si="21"/>
        <v>0</v>
      </c>
      <c r="H261">
        <f t="shared" si="22"/>
        <v>0</v>
      </c>
      <c r="I261">
        <f t="shared" si="23"/>
        <v>0</v>
      </c>
      <c r="J261">
        <f t="shared" si="24"/>
        <v>0</v>
      </c>
    </row>
    <row r="262" spans="1:10" x14ac:dyDescent="0.3">
      <c r="A262" s="1">
        <v>41725</v>
      </c>
      <c r="B262" s="1">
        <v>41748</v>
      </c>
      <c r="C262">
        <v>7.35</v>
      </c>
      <c r="D262">
        <v>0.19</v>
      </c>
      <c r="E262">
        <v>2</v>
      </c>
      <c r="F262">
        <f t="shared" si="20"/>
        <v>1</v>
      </c>
      <c r="G262">
        <f t="shared" si="21"/>
        <v>0</v>
      </c>
      <c r="H262">
        <f t="shared" si="22"/>
        <v>0</v>
      </c>
      <c r="I262">
        <f t="shared" si="23"/>
        <v>0</v>
      </c>
      <c r="J262">
        <f t="shared" si="24"/>
        <v>0</v>
      </c>
    </row>
    <row r="263" spans="1:10" x14ac:dyDescent="0.3">
      <c r="A263" s="1">
        <v>41731</v>
      </c>
      <c r="B263" s="1">
        <v>41740</v>
      </c>
      <c r="C263">
        <v>6.88</v>
      </c>
      <c r="D263">
        <v>0.18</v>
      </c>
      <c r="E263">
        <v>4</v>
      </c>
      <c r="F263">
        <f t="shared" si="20"/>
        <v>0</v>
      </c>
      <c r="G263">
        <f t="shared" si="21"/>
        <v>0</v>
      </c>
      <c r="H263">
        <f t="shared" si="22"/>
        <v>1</v>
      </c>
      <c r="I263">
        <f t="shared" si="23"/>
        <v>0</v>
      </c>
      <c r="J263">
        <f t="shared" si="24"/>
        <v>0</v>
      </c>
    </row>
    <row r="264" spans="1:10" x14ac:dyDescent="0.3">
      <c r="A264" s="1">
        <v>41731</v>
      </c>
      <c r="B264" s="1">
        <v>41740</v>
      </c>
      <c r="C264">
        <v>13.02</v>
      </c>
      <c r="D264">
        <v>0.34</v>
      </c>
      <c r="E264">
        <v>3</v>
      </c>
      <c r="F264">
        <f t="shared" si="20"/>
        <v>0</v>
      </c>
      <c r="G264">
        <f t="shared" si="21"/>
        <v>1</v>
      </c>
      <c r="H264">
        <f t="shared" si="22"/>
        <v>0</v>
      </c>
      <c r="I264">
        <f t="shared" si="23"/>
        <v>0</v>
      </c>
      <c r="J264">
        <f t="shared" si="24"/>
        <v>0</v>
      </c>
    </row>
    <row r="265" spans="1:10" x14ac:dyDescent="0.3">
      <c r="A265" s="1">
        <v>41731</v>
      </c>
      <c r="B265" s="1">
        <v>41750</v>
      </c>
      <c r="C265">
        <v>10.59</v>
      </c>
      <c r="D265">
        <v>0.28000000000000003</v>
      </c>
      <c r="E265">
        <v>3</v>
      </c>
      <c r="F265">
        <f t="shared" si="20"/>
        <v>0</v>
      </c>
      <c r="G265">
        <f t="shared" si="21"/>
        <v>1</v>
      </c>
      <c r="H265">
        <f t="shared" si="22"/>
        <v>0</v>
      </c>
      <c r="I265">
        <f t="shared" si="23"/>
        <v>0</v>
      </c>
      <c r="J265">
        <f t="shared" si="24"/>
        <v>0</v>
      </c>
    </row>
    <row r="266" spans="1:10" x14ac:dyDescent="0.3">
      <c r="A266" s="1">
        <v>41731</v>
      </c>
      <c r="B266" s="1">
        <v>41751</v>
      </c>
      <c r="C266">
        <v>16.940000000000001</v>
      </c>
      <c r="D266">
        <v>0.45</v>
      </c>
      <c r="E266">
        <v>4</v>
      </c>
      <c r="F266">
        <f t="shared" si="20"/>
        <v>0</v>
      </c>
      <c r="G266">
        <f t="shared" si="21"/>
        <v>0</v>
      </c>
      <c r="H266">
        <f t="shared" si="22"/>
        <v>1</v>
      </c>
      <c r="I266">
        <f t="shared" si="23"/>
        <v>0</v>
      </c>
      <c r="J266">
        <f t="shared" si="24"/>
        <v>0</v>
      </c>
    </row>
    <row r="267" spans="1:10" x14ac:dyDescent="0.3">
      <c r="A267" s="1">
        <v>41731</v>
      </c>
      <c r="B267" s="1">
        <v>41748</v>
      </c>
      <c r="C267">
        <v>11.44</v>
      </c>
      <c r="D267">
        <v>0.3</v>
      </c>
      <c r="E267">
        <v>4</v>
      </c>
      <c r="F267">
        <f t="shared" si="20"/>
        <v>0</v>
      </c>
      <c r="G267">
        <f t="shared" si="21"/>
        <v>0</v>
      </c>
      <c r="H267">
        <f t="shared" si="22"/>
        <v>1</v>
      </c>
      <c r="I267">
        <f t="shared" si="23"/>
        <v>0</v>
      </c>
      <c r="J267">
        <f t="shared" si="24"/>
        <v>0</v>
      </c>
    </row>
    <row r="268" spans="1:10" x14ac:dyDescent="0.3">
      <c r="A268" s="1">
        <v>41731</v>
      </c>
      <c r="B268" s="1">
        <v>41733</v>
      </c>
      <c r="C268">
        <v>3.79</v>
      </c>
      <c r="D268">
        <v>0.1</v>
      </c>
      <c r="E268">
        <v>4</v>
      </c>
      <c r="F268">
        <f t="shared" si="20"/>
        <v>0</v>
      </c>
      <c r="G268">
        <f t="shared" si="21"/>
        <v>0</v>
      </c>
      <c r="H268">
        <f t="shared" si="22"/>
        <v>1</v>
      </c>
      <c r="I268">
        <f t="shared" si="23"/>
        <v>0</v>
      </c>
      <c r="J268">
        <f t="shared" si="24"/>
        <v>0</v>
      </c>
    </row>
    <row r="269" spans="1:10" x14ac:dyDescent="0.3">
      <c r="A269" s="1">
        <v>41732</v>
      </c>
      <c r="B269" s="1">
        <v>41758</v>
      </c>
      <c r="C269">
        <v>10.19</v>
      </c>
      <c r="D269">
        <v>0.27</v>
      </c>
      <c r="E269">
        <v>2</v>
      </c>
      <c r="F269">
        <f t="shared" si="20"/>
        <v>1</v>
      </c>
      <c r="G269">
        <f t="shared" si="21"/>
        <v>0</v>
      </c>
      <c r="H269">
        <f t="shared" si="22"/>
        <v>0</v>
      </c>
      <c r="I269">
        <f t="shared" si="23"/>
        <v>0</v>
      </c>
      <c r="J269">
        <f t="shared" si="24"/>
        <v>0</v>
      </c>
    </row>
    <row r="270" spans="1:10" x14ac:dyDescent="0.3">
      <c r="A270" s="1">
        <v>41737</v>
      </c>
      <c r="B270" s="1">
        <v>41747</v>
      </c>
      <c r="C270">
        <v>7.35</v>
      </c>
      <c r="D270">
        <v>0.19</v>
      </c>
      <c r="E270">
        <v>5</v>
      </c>
      <c r="F270">
        <f t="shared" si="20"/>
        <v>0</v>
      </c>
      <c r="G270">
        <f t="shared" si="21"/>
        <v>0</v>
      </c>
      <c r="H270">
        <f t="shared" si="22"/>
        <v>0</v>
      </c>
      <c r="I270">
        <f t="shared" si="23"/>
        <v>1</v>
      </c>
      <c r="J270">
        <f t="shared" si="24"/>
        <v>0</v>
      </c>
    </row>
    <row r="271" spans="1:10" x14ac:dyDescent="0.3">
      <c r="A271" s="1">
        <v>41737</v>
      </c>
      <c r="B271" s="1">
        <v>41752</v>
      </c>
      <c r="C271">
        <v>9.74</v>
      </c>
      <c r="D271">
        <v>0.26</v>
      </c>
      <c r="E271">
        <v>6</v>
      </c>
      <c r="F271">
        <f t="shared" si="20"/>
        <v>0</v>
      </c>
      <c r="G271">
        <f t="shared" si="21"/>
        <v>0</v>
      </c>
      <c r="H271">
        <f t="shared" si="22"/>
        <v>0</v>
      </c>
      <c r="I271">
        <f t="shared" si="23"/>
        <v>0</v>
      </c>
      <c r="J271">
        <f t="shared" si="24"/>
        <v>1</v>
      </c>
    </row>
    <row r="272" spans="1:10" x14ac:dyDescent="0.3">
      <c r="A272" s="1">
        <v>41737</v>
      </c>
      <c r="B272" s="1">
        <v>41758</v>
      </c>
      <c r="C272">
        <v>8.65</v>
      </c>
      <c r="D272">
        <v>0.23</v>
      </c>
      <c r="E272">
        <v>3</v>
      </c>
      <c r="F272">
        <f t="shared" si="20"/>
        <v>0</v>
      </c>
      <c r="G272">
        <f t="shared" si="21"/>
        <v>1</v>
      </c>
      <c r="H272">
        <f t="shared" si="22"/>
        <v>0</v>
      </c>
      <c r="I272">
        <f t="shared" si="23"/>
        <v>0</v>
      </c>
      <c r="J272">
        <f t="shared" si="24"/>
        <v>0</v>
      </c>
    </row>
    <row r="273" spans="1:10" x14ac:dyDescent="0.3">
      <c r="A273" s="1">
        <v>41737</v>
      </c>
      <c r="B273" s="1">
        <v>41759</v>
      </c>
      <c r="C273">
        <v>7.06</v>
      </c>
      <c r="D273">
        <v>0.19</v>
      </c>
      <c r="E273">
        <v>2</v>
      </c>
      <c r="F273">
        <f t="shared" si="20"/>
        <v>1</v>
      </c>
      <c r="G273">
        <f t="shared" si="21"/>
        <v>0</v>
      </c>
      <c r="H273">
        <f t="shared" si="22"/>
        <v>0</v>
      </c>
      <c r="I273">
        <f t="shared" si="23"/>
        <v>0</v>
      </c>
      <c r="J273">
        <f t="shared" si="24"/>
        <v>0</v>
      </c>
    </row>
    <row r="274" spans="1:10" x14ac:dyDescent="0.3">
      <c r="A274" s="1">
        <v>41737</v>
      </c>
      <c r="B274" s="1">
        <v>41762</v>
      </c>
      <c r="C274">
        <v>14</v>
      </c>
      <c r="D274">
        <v>0.37</v>
      </c>
      <c r="E274">
        <v>2</v>
      </c>
      <c r="F274">
        <f t="shared" si="20"/>
        <v>1</v>
      </c>
      <c r="G274">
        <f t="shared" si="21"/>
        <v>0</v>
      </c>
      <c r="H274">
        <f t="shared" si="22"/>
        <v>0</v>
      </c>
      <c r="I274">
        <f t="shared" si="23"/>
        <v>0</v>
      </c>
      <c r="J274">
        <f t="shared" si="24"/>
        <v>0</v>
      </c>
    </row>
    <row r="275" spans="1:10" x14ac:dyDescent="0.3">
      <c r="A275" s="1">
        <v>41737</v>
      </c>
      <c r="B275" s="1">
        <v>41764</v>
      </c>
      <c r="C275">
        <v>16.940000000000001</v>
      </c>
      <c r="D275">
        <v>0.45</v>
      </c>
      <c r="E275">
        <v>4</v>
      </c>
      <c r="F275">
        <f t="shared" si="20"/>
        <v>0</v>
      </c>
      <c r="G275">
        <f t="shared" si="21"/>
        <v>0</v>
      </c>
      <c r="H275">
        <f t="shared" si="22"/>
        <v>1</v>
      </c>
      <c r="I275">
        <f t="shared" si="23"/>
        <v>0</v>
      </c>
      <c r="J275">
        <f t="shared" si="24"/>
        <v>0</v>
      </c>
    </row>
    <row r="276" spans="1:10" x14ac:dyDescent="0.3">
      <c r="A276" s="1">
        <v>41743</v>
      </c>
      <c r="B276" s="1">
        <v>41759</v>
      </c>
      <c r="C276">
        <v>16.55</v>
      </c>
      <c r="D276">
        <v>0.44</v>
      </c>
      <c r="E276">
        <v>4</v>
      </c>
      <c r="F276">
        <f t="shared" si="20"/>
        <v>0</v>
      </c>
      <c r="G276">
        <f t="shared" si="21"/>
        <v>0</v>
      </c>
      <c r="H276">
        <f t="shared" si="22"/>
        <v>1</v>
      </c>
      <c r="I276">
        <f t="shared" si="23"/>
        <v>0</v>
      </c>
      <c r="J276">
        <f t="shared" si="24"/>
        <v>0</v>
      </c>
    </row>
    <row r="277" spans="1:10" x14ac:dyDescent="0.3">
      <c r="A277" s="1">
        <v>41743</v>
      </c>
      <c r="B277" s="1">
        <v>41766</v>
      </c>
      <c r="C277">
        <v>14.13</v>
      </c>
      <c r="D277">
        <v>0.37</v>
      </c>
      <c r="E277">
        <v>6</v>
      </c>
      <c r="F277">
        <f t="shared" si="20"/>
        <v>0</v>
      </c>
      <c r="G277">
        <f t="shared" si="21"/>
        <v>0</v>
      </c>
      <c r="H277">
        <f t="shared" si="22"/>
        <v>0</v>
      </c>
      <c r="I277">
        <f t="shared" si="23"/>
        <v>0</v>
      </c>
      <c r="J277">
        <f t="shared" si="24"/>
        <v>1</v>
      </c>
    </row>
    <row r="278" spans="1:10" x14ac:dyDescent="0.3">
      <c r="A278" s="1">
        <v>41743</v>
      </c>
      <c r="B278" s="1">
        <v>41761</v>
      </c>
      <c r="C278">
        <v>11.42</v>
      </c>
      <c r="D278">
        <v>0.3</v>
      </c>
      <c r="E278">
        <v>5</v>
      </c>
      <c r="F278">
        <f t="shared" si="20"/>
        <v>0</v>
      </c>
      <c r="G278">
        <f t="shared" si="21"/>
        <v>0</v>
      </c>
      <c r="H278">
        <f t="shared" si="22"/>
        <v>0</v>
      </c>
      <c r="I278">
        <f t="shared" si="23"/>
        <v>1</v>
      </c>
      <c r="J278">
        <f t="shared" si="24"/>
        <v>0</v>
      </c>
    </row>
    <row r="279" spans="1:10" x14ac:dyDescent="0.3">
      <c r="A279" s="1">
        <v>41743</v>
      </c>
      <c r="B279" s="1">
        <v>41762</v>
      </c>
      <c r="C279">
        <v>16.829999999999998</v>
      </c>
      <c r="D279">
        <v>0.44</v>
      </c>
      <c r="E279">
        <v>5</v>
      </c>
      <c r="F279">
        <f t="shared" si="20"/>
        <v>0</v>
      </c>
      <c r="G279">
        <f t="shared" si="21"/>
        <v>0</v>
      </c>
      <c r="H279">
        <f t="shared" si="22"/>
        <v>0</v>
      </c>
      <c r="I279">
        <f t="shared" si="23"/>
        <v>1</v>
      </c>
      <c r="J279">
        <f t="shared" si="24"/>
        <v>0</v>
      </c>
    </row>
    <row r="280" spans="1:10" x14ac:dyDescent="0.3">
      <c r="A280" s="1">
        <v>41743</v>
      </c>
      <c r="B280" s="1">
        <v>41768</v>
      </c>
      <c r="C280">
        <v>9.06</v>
      </c>
      <c r="D280">
        <v>0.24</v>
      </c>
      <c r="E280">
        <v>4</v>
      </c>
      <c r="F280">
        <f t="shared" si="20"/>
        <v>0</v>
      </c>
      <c r="G280">
        <f t="shared" si="21"/>
        <v>0</v>
      </c>
      <c r="H280">
        <f t="shared" si="22"/>
        <v>1</v>
      </c>
      <c r="I280">
        <f t="shared" si="23"/>
        <v>0</v>
      </c>
      <c r="J280">
        <f t="shared" si="24"/>
        <v>0</v>
      </c>
    </row>
    <row r="281" spans="1:10" x14ac:dyDescent="0.3">
      <c r="A281" s="1">
        <v>41743</v>
      </c>
      <c r="B281" s="1">
        <v>41755</v>
      </c>
      <c r="C281">
        <v>11.69</v>
      </c>
      <c r="D281">
        <v>0.31</v>
      </c>
      <c r="E281">
        <v>5</v>
      </c>
      <c r="F281">
        <f t="shared" si="20"/>
        <v>0</v>
      </c>
      <c r="G281">
        <f t="shared" si="21"/>
        <v>0</v>
      </c>
      <c r="H281">
        <f t="shared" si="22"/>
        <v>0</v>
      </c>
      <c r="I281">
        <f t="shared" si="23"/>
        <v>1</v>
      </c>
      <c r="J281">
        <f t="shared" si="24"/>
        <v>0</v>
      </c>
    </row>
    <row r="282" spans="1:10" x14ac:dyDescent="0.3">
      <c r="A282" s="1">
        <v>41747</v>
      </c>
      <c r="B282" s="1">
        <v>41772</v>
      </c>
      <c r="C282">
        <v>6.58</v>
      </c>
      <c r="D282">
        <v>0.17</v>
      </c>
      <c r="E282">
        <v>3</v>
      </c>
      <c r="F282">
        <f t="shared" si="20"/>
        <v>0</v>
      </c>
      <c r="G282">
        <f t="shared" si="21"/>
        <v>1</v>
      </c>
      <c r="H282">
        <f t="shared" si="22"/>
        <v>0</v>
      </c>
      <c r="I282">
        <f t="shared" si="23"/>
        <v>0</v>
      </c>
      <c r="J282">
        <f t="shared" si="24"/>
        <v>0</v>
      </c>
    </row>
    <row r="283" spans="1:10" x14ac:dyDescent="0.3">
      <c r="A283" s="1">
        <v>41749</v>
      </c>
      <c r="B283" s="1">
        <v>41755</v>
      </c>
      <c r="C283">
        <v>11.44</v>
      </c>
      <c r="D283">
        <v>0.3</v>
      </c>
      <c r="E283">
        <v>6</v>
      </c>
      <c r="F283">
        <f t="shared" si="20"/>
        <v>0</v>
      </c>
      <c r="G283">
        <f t="shared" si="21"/>
        <v>0</v>
      </c>
      <c r="H283">
        <f t="shared" si="22"/>
        <v>0</v>
      </c>
      <c r="I283">
        <f t="shared" si="23"/>
        <v>0</v>
      </c>
      <c r="J283">
        <f t="shared" si="24"/>
        <v>1</v>
      </c>
    </row>
    <row r="284" spans="1:10" x14ac:dyDescent="0.3">
      <c r="A284" s="1">
        <v>41749</v>
      </c>
      <c r="B284" s="1">
        <v>41763</v>
      </c>
      <c r="C284">
        <v>6.75</v>
      </c>
      <c r="D284">
        <v>0.18</v>
      </c>
      <c r="E284">
        <v>6</v>
      </c>
      <c r="F284">
        <f t="shared" si="20"/>
        <v>0</v>
      </c>
      <c r="G284">
        <f t="shared" si="21"/>
        <v>0</v>
      </c>
      <c r="H284">
        <f t="shared" si="22"/>
        <v>0</v>
      </c>
      <c r="I284">
        <f t="shared" si="23"/>
        <v>0</v>
      </c>
      <c r="J284">
        <f t="shared" si="24"/>
        <v>1</v>
      </c>
    </row>
    <row r="285" spans="1:10" x14ac:dyDescent="0.3">
      <c r="A285" s="1">
        <v>41752</v>
      </c>
      <c r="B285" s="1">
        <v>41771</v>
      </c>
      <c r="C285">
        <v>7.71</v>
      </c>
      <c r="D285">
        <v>0.2</v>
      </c>
      <c r="E285">
        <v>5</v>
      </c>
      <c r="F285">
        <f t="shared" si="20"/>
        <v>0</v>
      </c>
      <c r="G285">
        <f t="shared" si="21"/>
        <v>0</v>
      </c>
      <c r="H285">
        <f t="shared" si="22"/>
        <v>0</v>
      </c>
      <c r="I285">
        <f t="shared" si="23"/>
        <v>1</v>
      </c>
      <c r="J285">
        <f t="shared" si="24"/>
        <v>0</v>
      </c>
    </row>
    <row r="286" spans="1:10" x14ac:dyDescent="0.3">
      <c r="A286" s="1">
        <v>41752</v>
      </c>
      <c r="B286" s="1">
        <v>41754</v>
      </c>
      <c r="C286">
        <v>6.75</v>
      </c>
      <c r="D286">
        <v>0.18</v>
      </c>
      <c r="E286">
        <v>4</v>
      </c>
      <c r="F286">
        <f t="shared" si="20"/>
        <v>0</v>
      </c>
      <c r="G286">
        <f t="shared" si="21"/>
        <v>0</v>
      </c>
      <c r="H286">
        <f t="shared" si="22"/>
        <v>1</v>
      </c>
      <c r="I286">
        <f t="shared" si="23"/>
        <v>0</v>
      </c>
      <c r="J286">
        <f t="shared" si="24"/>
        <v>0</v>
      </c>
    </row>
    <row r="287" spans="1:10" x14ac:dyDescent="0.3">
      <c r="A287" s="1">
        <v>41753</v>
      </c>
      <c r="B287" s="1">
        <v>41758</v>
      </c>
      <c r="C287">
        <v>3.57</v>
      </c>
      <c r="D287">
        <v>0.09</v>
      </c>
      <c r="E287">
        <v>2</v>
      </c>
      <c r="F287">
        <f t="shared" si="20"/>
        <v>1</v>
      </c>
      <c r="G287">
        <f t="shared" si="21"/>
        <v>0</v>
      </c>
      <c r="H287">
        <f t="shared" si="22"/>
        <v>0</v>
      </c>
      <c r="I287">
        <f t="shared" si="23"/>
        <v>0</v>
      </c>
      <c r="J287">
        <f t="shared" si="24"/>
        <v>0</v>
      </c>
    </row>
    <row r="288" spans="1:10" x14ac:dyDescent="0.3">
      <c r="A288" s="1">
        <v>41755</v>
      </c>
      <c r="B288" s="1">
        <v>41782</v>
      </c>
      <c r="C288">
        <v>10.19</v>
      </c>
      <c r="D288">
        <v>0.27</v>
      </c>
      <c r="E288">
        <v>3</v>
      </c>
      <c r="F288">
        <f t="shared" si="20"/>
        <v>0</v>
      </c>
      <c r="G288">
        <f t="shared" si="21"/>
        <v>1</v>
      </c>
      <c r="H288">
        <f t="shared" si="22"/>
        <v>0</v>
      </c>
      <c r="I288">
        <f t="shared" si="23"/>
        <v>0</v>
      </c>
      <c r="J288">
        <f t="shared" si="24"/>
        <v>0</v>
      </c>
    </row>
    <row r="289" spans="1:10" x14ac:dyDescent="0.3">
      <c r="A289" s="1">
        <v>41755</v>
      </c>
      <c r="B289" s="1">
        <v>41779</v>
      </c>
      <c r="C289">
        <v>11.78</v>
      </c>
      <c r="D289">
        <v>0.31</v>
      </c>
      <c r="E289">
        <v>3</v>
      </c>
      <c r="F289">
        <f t="shared" si="20"/>
        <v>0</v>
      </c>
      <c r="G289">
        <f t="shared" si="21"/>
        <v>1</v>
      </c>
      <c r="H289">
        <f t="shared" si="22"/>
        <v>0</v>
      </c>
      <c r="I289">
        <f t="shared" si="23"/>
        <v>0</v>
      </c>
      <c r="J289">
        <f t="shared" si="24"/>
        <v>0</v>
      </c>
    </row>
    <row r="290" spans="1:10" x14ac:dyDescent="0.3">
      <c r="A290" s="1">
        <v>41755</v>
      </c>
      <c r="B290" s="1">
        <v>41771</v>
      </c>
      <c r="C290">
        <v>3.79</v>
      </c>
      <c r="D290">
        <v>0.1</v>
      </c>
      <c r="E290">
        <v>3</v>
      </c>
      <c r="F290">
        <f t="shared" si="20"/>
        <v>0</v>
      </c>
      <c r="G290">
        <f t="shared" si="21"/>
        <v>1</v>
      </c>
      <c r="H290">
        <f t="shared" si="22"/>
        <v>0</v>
      </c>
      <c r="I290">
        <f t="shared" si="23"/>
        <v>0</v>
      </c>
      <c r="J290">
        <f t="shared" si="24"/>
        <v>0</v>
      </c>
    </row>
    <row r="291" spans="1:10" x14ac:dyDescent="0.3">
      <c r="A291" s="1">
        <v>41755</v>
      </c>
      <c r="B291" s="1">
        <v>41761</v>
      </c>
      <c r="C291">
        <v>6.75</v>
      </c>
      <c r="D291">
        <v>0.18</v>
      </c>
      <c r="E291">
        <v>6</v>
      </c>
      <c r="F291">
        <f t="shared" si="20"/>
        <v>0</v>
      </c>
      <c r="G291">
        <f t="shared" si="21"/>
        <v>0</v>
      </c>
      <c r="H291">
        <f t="shared" si="22"/>
        <v>0</v>
      </c>
      <c r="I291">
        <f t="shared" si="23"/>
        <v>0</v>
      </c>
      <c r="J291">
        <f t="shared" si="24"/>
        <v>1</v>
      </c>
    </row>
    <row r="292" spans="1:10" x14ac:dyDescent="0.3">
      <c r="A292" s="1">
        <v>41755</v>
      </c>
      <c r="B292" s="1">
        <v>41767</v>
      </c>
      <c r="C292">
        <v>12.01</v>
      </c>
      <c r="D292">
        <v>0.32</v>
      </c>
      <c r="E292">
        <v>2</v>
      </c>
      <c r="F292">
        <f t="shared" si="20"/>
        <v>1</v>
      </c>
      <c r="G292">
        <f t="shared" si="21"/>
        <v>0</v>
      </c>
      <c r="H292">
        <f t="shared" si="22"/>
        <v>0</v>
      </c>
      <c r="I292">
        <f t="shared" si="23"/>
        <v>0</v>
      </c>
      <c r="J292">
        <f t="shared" si="24"/>
        <v>0</v>
      </c>
    </row>
    <row r="293" spans="1:10" x14ac:dyDescent="0.3">
      <c r="A293" s="1">
        <v>41755</v>
      </c>
      <c r="B293" s="1">
        <v>41764</v>
      </c>
      <c r="C293">
        <v>2.0099999999999998</v>
      </c>
      <c r="D293">
        <v>0.05</v>
      </c>
      <c r="E293">
        <v>2</v>
      </c>
      <c r="F293">
        <f t="shared" si="20"/>
        <v>1</v>
      </c>
      <c r="G293">
        <f t="shared" si="21"/>
        <v>0</v>
      </c>
      <c r="H293">
        <f t="shared" si="22"/>
        <v>0</v>
      </c>
      <c r="I293">
        <f t="shared" si="23"/>
        <v>0</v>
      </c>
      <c r="J293">
        <f t="shared" si="24"/>
        <v>0</v>
      </c>
    </row>
    <row r="294" spans="1:10" x14ac:dyDescent="0.3">
      <c r="A294" s="1">
        <v>41757</v>
      </c>
      <c r="B294" s="1">
        <v>41768</v>
      </c>
      <c r="C294">
        <v>9.06</v>
      </c>
      <c r="D294">
        <v>0.24</v>
      </c>
      <c r="E294">
        <v>5</v>
      </c>
      <c r="F294">
        <f t="shared" si="20"/>
        <v>0</v>
      </c>
      <c r="G294">
        <f t="shared" si="21"/>
        <v>0</v>
      </c>
      <c r="H294">
        <f t="shared" si="22"/>
        <v>0</v>
      </c>
      <c r="I294">
        <f t="shared" si="23"/>
        <v>1</v>
      </c>
      <c r="J294">
        <f t="shared" si="24"/>
        <v>0</v>
      </c>
    </row>
    <row r="295" spans="1:10" x14ac:dyDescent="0.3">
      <c r="A295" s="1">
        <v>41761</v>
      </c>
      <c r="B295" s="1">
        <v>41786</v>
      </c>
      <c r="C295">
        <v>13.81</v>
      </c>
      <c r="D295">
        <v>0.36</v>
      </c>
      <c r="E295">
        <v>3</v>
      </c>
      <c r="F295">
        <f t="shared" si="20"/>
        <v>0</v>
      </c>
      <c r="G295">
        <f t="shared" si="21"/>
        <v>1</v>
      </c>
      <c r="H295">
        <f t="shared" si="22"/>
        <v>0</v>
      </c>
      <c r="I295">
        <f t="shared" si="23"/>
        <v>0</v>
      </c>
      <c r="J295">
        <f t="shared" si="24"/>
        <v>0</v>
      </c>
    </row>
    <row r="296" spans="1:10" x14ac:dyDescent="0.3">
      <c r="A296" s="1">
        <v>41761</v>
      </c>
      <c r="B296" s="1">
        <v>41782</v>
      </c>
      <c r="C296">
        <v>5.47</v>
      </c>
      <c r="D296">
        <v>0.14000000000000001</v>
      </c>
      <c r="E296">
        <v>3</v>
      </c>
      <c r="F296">
        <f t="shared" si="20"/>
        <v>0</v>
      </c>
      <c r="G296">
        <f t="shared" si="21"/>
        <v>1</v>
      </c>
      <c r="H296">
        <f t="shared" si="22"/>
        <v>0</v>
      </c>
      <c r="I296">
        <f t="shared" si="23"/>
        <v>0</v>
      </c>
      <c r="J296">
        <f t="shared" si="24"/>
        <v>0</v>
      </c>
    </row>
    <row r="297" spans="1:10" x14ac:dyDescent="0.3">
      <c r="A297" s="1">
        <v>41761</v>
      </c>
      <c r="B297" s="1">
        <v>41777</v>
      </c>
      <c r="C297">
        <v>9.06</v>
      </c>
      <c r="D297">
        <v>0.24</v>
      </c>
      <c r="E297">
        <v>5</v>
      </c>
      <c r="F297">
        <f t="shared" si="20"/>
        <v>0</v>
      </c>
      <c r="G297">
        <f t="shared" si="21"/>
        <v>0</v>
      </c>
      <c r="H297">
        <f t="shared" si="22"/>
        <v>0</v>
      </c>
      <c r="I297">
        <f t="shared" si="23"/>
        <v>1</v>
      </c>
      <c r="J297">
        <f t="shared" si="24"/>
        <v>0</v>
      </c>
    </row>
    <row r="298" spans="1:10" x14ac:dyDescent="0.3">
      <c r="A298" s="1">
        <v>41764</v>
      </c>
      <c r="B298" s="1">
        <v>41780</v>
      </c>
      <c r="C298">
        <v>8.39</v>
      </c>
      <c r="D298">
        <v>0.22</v>
      </c>
      <c r="E298">
        <v>5</v>
      </c>
      <c r="F298">
        <f t="shared" si="20"/>
        <v>0</v>
      </c>
      <c r="G298">
        <f t="shared" si="21"/>
        <v>0</v>
      </c>
      <c r="H298">
        <f t="shared" si="22"/>
        <v>0</v>
      </c>
      <c r="I298">
        <f t="shared" si="23"/>
        <v>1</v>
      </c>
      <c r="J298">
        <f t="shared" si="24"/>
        <v>0</v>
      </c>
    </row>
    <row r="299" spans="1:10" x14ac:dyDescent="0.3">
      <c r="A299" s="1">
        <v>41764</v>
      </c>
      <c r="B299" s="1">
        <v>41776</v>
      </c>
      <c r="C299">
        <v>3.73</v>
      </c>
      <c r="D299">
        <v>0.1</v>
      </c>
      <c r="E299">
        <v>5</v>
      </c>
      <c r="F299">
        <f t="shared" si="20"/>
        <v>0</v>
      </c>
      <c r="G299">
        <f t="shared" si="21"/>
        <v>0</v>
      </c>
      <c r="H299">
        <f t="shared" si="22"/>
        <v>0</v>
      </c>
      <c r="I299">
        <f t="shared" si="23"/>
        <v>1</v>
      </c>
      <c r="J299">
        <f t="shared" si="24"/>
        <v>0</v>
      </c>
    </row>
    <row r="300" spans="1:10" x14ac:dyDescent="0.3">
      <c r="A300" s="1">
        <v>41765</v>
      </c>
      <c r="B300" s="1">
        <v>41773</v>
      </c>
      <c r="C300">
        <v>7.31</v>
      </c>
      <c r="D300">
        <v>0.19</v>
      </c>
      <c r="E300">
        <v>4</v>
      </c>
      <c r="F300">
        <f t="shared" si="20"/>
        <v>0</v>
      </c>
      <c r="G300">
        <f t="shared" si="21"/>
        <v>0</v>
      </c>
      <c r="H300">
        <f t="shared" si="22"/>
        <v>1</v>
      </c>
      <c r="I300">
        <f t="shared" si="23"/>
        <v>0</v>
      </c>
      <c r="J300">
        <f t="shared" si="24"/>
        <v>0</v>
      </c>
    </row>
    <row r="301" spans="1:10" x14ac:dyDescent="0.3">
      <c r="A301" s="1">
        <v>41767</v>
      </c>
      <c r="B301" s="1">
        <v>41780</v>
      </c>
      <c r="C301">
        <v>14.31</v>
      </c>
      <c r="D301">
        <v>0.38</v>
      </c>
      <c r="E301">
        <v>6</v>
      </c>
      <c r="F301">
        <f t="shared" si="20"/>
        <v>0</v>
      </c>
      <c r="G301">
        <f t="shared" si="21"/>
        <v>0</v>
      </c>
      <c r="H301">
        <f t="shared" si="22"/>
        <v>0</v>
      </c>
      <c r="I301">
        <f t="shared" si="23"/>
        <v>0</v>
      </c>
      <c r="J301">
        <f t="shared" si="24"/>
        <v>1</v>
      </c>
    </row>
    <row r="302" spans="1:10" x14ac:dyDescent="0.3">
      <c r="A302" s="1">
        <v>41767</v>
      </c>
      <c r="B302" s="1">
        <v>41794</v>
      </c>
      <c r="C302">
        <v>14.13</v>
      </c>
      <c r="D302">
        <v>0.37</v>
      </c>
      <c r="E302">
        <v>4</v>
      </c>
      <c r="F302">
        <f t="shared" si="20"/>
        <v>0</v>
      </c>
      <c r="G302">
        <f t="shared" si="21"/>
        <v>0</v>
      </c>
      <c r="H302">
        <f t="shared" si="22"/>
        <v>1</v>
      </c>
      <c r="I302">
        <f t="shared" si="23"/>
        <v>0</v>
      </c>
      <c r="J302">
        <f t="shared" si="24"/>
        <v>0</v>
      </c>
    </row>
    <row r="303" spans="1:10" x14ac:dyDescent="0.3">
      <c r="A303" s="1">
        <v>41767</v>
      </c>
      <c r="B303" s="1">
        <v>41777</v>
      </c>
      <c r="C303">
        <v>3.88</v>
      </c>
      <c r="D303">
        <v>0.1</v>
      </c>
      <c r="E303">
        <v>5</v>
      </c>
      <c r="F303">
        <f t="shared" si="20"/>
        <v>0</v>
      </c>
      <c r="G303">
        <f t="shared" si="21"/>
        <v>0</v>
      </c>
      <c r="H303">
        <f t="shared" si="22"/>
        <v>0</v>
      </c>
      <c r="I303">
        <f t="shared" si="23"/>
        <v>1</v>
      </c>
      <c r="J303">
        <f t="shared" si="24"/>
        <v>0</v>
      </c>
    </row>
    <row r="304" spans="1:10" x14ac:dyDescent="0.3">
      <c r="A304" s="1">
        <v>41767</v>
      </c>
      <c r="B304" s="1">
        <v>41769</v>
      </c>
      <c r="C304">
        <v>7.35</v>
      </c>
      <c r="D304">
        <v>0.19</v>
      </c>
      <c r="E304">
        <v>6</v>
      </c>
      <c r="F304">
        <f t="shared" si="20"/>
        <v>0</v>
      </c>
      <c r="G304">
        <f t="shared" si="21"/>
        <v>0</v>
      </c>
      <c r="H304">
        <f t="shared" si="22"/>
        <v>0</v>
      </c>
      <c r="I304">
        <f t="shared" si="23"/>
        <v>0</v>
      </c>
      <c r="J304">
        <f t="shared" si="24"/>
        <v>1</v>
      </c>
    </row>
    <row r="305" spans="1:10" x14ac:dyDescent="0.3">
      <c r="A305" s="1">
        <v>41767</v>
      </c>
      <c r="B305" s="1">
        <v>41776</v>
      </c>
      <c r="C305">
        <v>12.01</v>
      </c>
      <c r="D305">
        <v>0.32</v>
      </c>
      <c r="E305">
        <v>4</v>
      </c>
      <c r="F305">
        <f t="shared" si="20"/>
        <v>0</v>
      </c>
      <c r="G305">
        <f t="shared" si="21"/>
        <v>0</v>
      </c>
      <c r="H305">
        <f t="shared" si="22"/>
        <v>1</v>
      </c>
      <c r="I305">
        <f t="shared" si="23"/>
        <v>0</v>
      </c>
      <c r="J305">
        <f t="shared" si="24"/>
        <v>0</v>
      </c>
    </row>
    <row r="306" spans="1:10" x14ac:dyDescent="0.3">
      <c r="A306" s="1">
        <v>41767</v>
      </c>
      <c r="B306" s="1">
        <v>41775</v>
      </c>
      <c r="C306">
        <v>13.07</v>
      </c>
      <c r="D306">
        <v>0.34</v>
      </c>
      <c r="E306">
        <v>3</v>
      </c>
      <c r="F306">
        <f t="shared" si="20"/>
        <v>0</v>
      </c>
      <c r="G306">
        <f t="shared" si="21"/>
        <v>1</v>
      </c>
      <c r="H306">
        <f t="shared" si="22"/>
        <v>0</v>
      </c>
      <c r="I306">
        <f t="shared" si="23"/>
        <v>0</v>
      </c>
      <c r="J306">
        <f t="shared" si="24"/>
        <v>0</v>
      </c>
    </row>
    <row r="307" spans="1:10" x14ac:dyDescent="0.3">
      <c r="A307" s="1">
        <v>41773</v>
      </c>
      <c r="B307" s="1">
        <v>41789</v>
      </c>
      <c r="C307">
        <v>7.35</v>
      </c>
      <c r="D307">
        <v>0.19</v>
      </c>
      <c r="E307">
        <v>4</v>
      </c>
      <c r="F307">
        <f t="shared" si="20"/>
        <v>0</v>
      </c>
      <c r="G307">
        <f t="shared" si="21"/>
        <v>0</v>
      </c>
      <c r="H307">
        <f t="shared" si="22"/>
        <v>1</v>
      </c>
      <c r="I307">
        <f t="shared" si="23"/>
        <v>0</v>
      </c>
      <c r="J307">
        <f t="shared" si="24"/>
        <v>0</v>
      </c>
    </row>
    <row r="308" spans="1:10" x14ac:dyDescent="0.3">
      <c r="A308" s="1">
        <v>41773</v>
      </c>
      <c r="B308" s="1">
        <v>41776</v>
      </c>
      <c r="C308">
        <v>11.37</v>
      </c>
      <c r="D308">
        <v>0.3</v>
      </c>
      <c r="E308">
        <v>2</v>
      </c>
      <c r="F308">
        <f t="shared" si="20"/>
        <v>1</v>
      </c>
      <c r="G308">
        <f t="shared" si="21"/>
        <v>0</v>
      </c>
      <c r="H308">
        <f t="shared" si="22"/>
        <v>0</v>
      </c>
      <c r="I308">
        <f t="shared" si="23"/>
        <v>0</v>
      </c>
      <c r="J308">
        <f t="shared" si="24"/>
        <v>0</v>
      </c>
    </row>
    <row r="309" spans="1:10" x14ac:dyDescent="0.3">
      <c r="A309" s="1">
        <v>41773</v>
      </c>
      <c r="B309" s="1">
        <v>41778</v>
      </c>
      <c r="C309">
        <v>13.81</v>
      </c>
      <c r="D309">
        <v>0.36</v>
      </c>
      <c r="E309">
        <v>3</v>
      </c>
      <c r="F309">
        <f t="shared" si="20"/>
        <v>0</v>
      </c>
      <c r="G309">
        <f t="shared" si="21"/>
        <v>1</v>
      </c>
      <c r="H309">
        <f t="shared" si="22"/>
        <v>0</v>
      </c>
      <c r="I309">
        <f t="shared" si="23"/>
        <v>0</v>
      </c>
      <c r="J309">
        <f t="shared" si="24"/>
        <v>0</v>
      </c>
    </row>
    <row r="310" spans="1:10" x14ac:dyDescent="0.3">
      <c r="A310" s="1">
        <v>41773</v>
      </c>
      <c r="B310" s="1">
        <v>41780</v>
      </c>
      <c r="C310">
        <v>5.64</v>
      </c>
      <c r="D310">
        <v>0.15</v>
      </c>
      <c r="E310">
        <v>6</v>
      </c>
      <c r="F310">
        <f t="shared" si="20"/>
        <v>0</v>
      </c>
      <c r="G310">
        <f t="shared" si="21"/>
        <v>0</v>
      </c>
      <c r="H310">
        <f t="shared" si="22"/>
        <v>0</v>
      </c>
      <c r="I310">
        <f t="shared" si="23"/>
        <v>0</v>
      </c>
      <c r="J310">
        <f t="shared" si="24"/>
        <v>1</v>
      </c>
    </row>
    <row r="311" spans="1:10" x14ac:dyDescent="0.3">
      <c r="A311" s="1">
        <v>41773</v>
      </c>
      <c r="B311" s="1">
        <v>41782</v>
      </c>
      <c r="C311">
        <v>7.55</v>
      </c>
      <c r="D311">
        <v>0.2</v>
      </c>
      <c r="E311">
        <v>2</v>
      </c>
      <c r="F311">
        <f t="shared" si="20"/>
        <v>1</v>
      </c>
      <c r="G311">
        <f t="shared" si="21"/>
        <v>0</v>
      </c>
      <c r="H311">
        <f t="shared" si="22"/>
        <v>0</v>
      </c>
      <c r="I311">
        <f t="shared" si="23"/>
        <v>0</v>
      </c>
      <c r="J311">
        <f t="shared" si="24"/>
        <v>0</v>
      </c>
    </row>
    <row r="312" spans="1:10" x14ac:dyDescent="0.3">
      <c r="A312" s="1">
        <v>41773</v>
      </c>
      <c r="B312" s="1">
        <v>41787</v>
      </c>
      <c r="C312">
        <v>5.23</v>
      </c>
      <c r="D312">
        <v>0.14000000000000001</v>
      </c>
      <c r="E312">
        <v>3</v>
      </c>
      <c r="F312">
        <f t="shared" si="20"/>
        <v>0</v>
      </c>
      <c r="G312">
        <f t="shared" si="21"/>
        <v>1</v>
      </c>
      <c r="H312">
        <f t="shared" si="22"/>
        <v>0</v>
      </c>
      <c r="I312">
        <f t="shared" si="23"/>
        <v>0</v>
      </c>
      <c r="J312">
        <f t="shared" si="24"/>
        <v>0</v>
      </c>
    </row>
    <row r="313" spans="1:10" x14ac:dyDescent="0.3">
      <c r="A313" s="1">
        <v>41773</v>
      </c>
      <c r="B313" s="1">
        <v>41791</v>
      </c>
      <c r="C313">
        <v>7.55</v>
      </c>
      <c r="D313">
        <v>0.2</v>
      </c>
      <c r="E313">
        <v>2</v>
      </c>
      <c r="F313">
        <f t="shared" si="20"/>
        <v>1</v>
      </c>
      <c r="G313">
        <f t="shared" si="21"/>
        <v>0</v>
      </c>
      <c r="H313">
        <f t="shared" si="22"/>
        <v>0</v>
      </c>
      <c r="I313">
        <f t="shared" si="23"/>
        <v>0</v>
      </c>
      <c r="J313">
        <f t="shared" si="24"/>
        <v>0</v>
      </c>
    </row>
    <row r="314" spans="1:10" x14ac:dyDescent="0.3">
      <c r="A314" s="1">
        <v>41779</v>
      </c>
      <c r="B314" s="1">
        <v>41792</v>
      </c>
      <c r="C314">
        <v>8.89</v>
      </c>
      <c r="D314">
        <v>0.23</v>
      </c>
      <c r="E314">
        <v>3</v>
      </c>
      <c r="F314">
        <f t="shared" si="20"/>
        <v>0</v>
      </c>
      <c r="G314">
        <f t="shared" si="21"/>
        <v>1</v>
      </c>
      <c r="H314">
        <f t="shared" si="22"/>
        <v>0</v>
      </c>
      <c r="I314">
        <f t="shared" si="23"/>
        <v>0</v>
      </c>
      <c r="J314">
        <f t="shared" si="24"/>
        <v>0</v>
      </c>
    </row>
    <row r="315" spans="1:10" x14ac:dyDescent="0.3">
      <c r="A315" s="1">
        <v>41779</v>
      </c>
      <c r="B315" s="1">
        <v>41803</v>
      </c>
      <c r="C315">
        <v>8.65</v>
      </c>
      <c r="D315">
        <v>0.23</v>
      </c>
      <c r="E315">
        <v>3</v>
      </c>
      <c r="F315">
        <f t="shared" si="20"/>
        <v>0</v>
      </c>
      <c r="G315">
        <f t="shared" si="21"/>
        <v>1</v>
      </c>
      <c r="H315">
        <f t="shared" si="22"/>
        <v>0</v>
      </c>
      <c r="I315">
        <f t="shared" si="23"/>
        <v>0</v>
      </c>
      <c r="J315">
        <f t="shared" si="24"/>
        <v>0</v>
      </c>
    </row>
    <row r="316" spans="1:10" x14ac:dyDescent="0.3">
      <c r="A316" s="1">
        <v>41779</v>
      </c>
      <c r="B316" s="1">
        <v>41788</v>
      </c>
      <c r="C316">
        <v>7.3</v>
      </c>
      <c r="D316">
        <v>0.19</v>
      </c>
      <c r="E316">
        <v>6</v>
      </c>
      <c r="F316">
        <f t="shared" si="20"/>
        <v>0</v>
      </c>
      <c r="G316">
        <f t="shared" si="21"/>
        <v>0</v>
      </c>
      <c r="H316">
        <f t="shared" si="22"/>
        <v>0</v>
      </c>
      <c r="I316">
        <f t="shared" si="23"/>
        <v>0</v>
      </c>
      <c r="J316">
        <f t="shared" si="24"/>
        <v>1</v>
      </c>
    </row>
    <row r="317" spans="1:10" x14ac:dyDescent="0.3">
      <c r="A317" s="1">
        <v>41779</v>
      </c>
      <c r="B317" s="1">
        <v>41801</v>
      </c>
      <c r="C317">
        <v>10.59</v>
      </c>
      <c r="D317">
        <v>0.28000000000000003</v>
      </c>
      <c r="E317">
        <v>5</v>
      </c>
      <c r="F317">
        <f t="shared" si="20"/>
        <v>0</v>
      </c>
      <c r="G317">
        <f t="shared" si="21"/>
        <v>0</v>
      </c>
      <c r="H317">
        <f t="shared" si="22"/>
        <v>0</v>
      </c>
      <c r="I317">
        <f t="shared" si="23"/>
        <v>1</v>
      </c>
      <c r="J317">
        <f t="shared" si="24"/>
        <v>0</v>
      </c>
    </row>
    <row r="318" spans="1:10" x14ac:dyDescent="0.3">
      <c r="A318" s="1">
        <v>41779</v>
      </c>
      <c r="B318" s="1">
        <v>41789</v>
      </c>
      <c r="C318">
        <v>11.37</v>
      </c>
      <c r="D318">
        <v>0.3</v>
      </c>
      <c r="E318">
        <v>5</v>
      </c>
      <c r="F318">
        <f t="shared" si="20"/>
        <v>0</v>
      </c>
      <c r="G318">
        <f t="shared" si="21"/>
        <v>0</v>
      </c>
      <c r="H318">
        <f t="shared" si="22"/>
        <v>0</v>
      </c>
      <c r="I318">
        <f t="shared" si="23"/>
        <v>1</v>
      </c>
      <c r="J318">
        <f t="shared" si="24"/>
        <v>0</v>
      </c>
    </row>
    <row r="319" spans="1:10" x14ac:dyDescent="0.3">
      <c r="A319" s="1">
        <v>41779</v>
      </c>
      <c r="B319" s="1">
        <v>41793</v>
      </c>
      <c r="C319">
        <v>10.79</v>
      </c>
      <c r="D319">
        <v>0.28000000000000003</v>
      </c>
      <c r="E319">
        <v>4</v>
      </c>
      <c r="F319">
        <f t="shared" si="20"/>
        <v>0</v>
      </c>
      <c r="G319">
        <f t="shared" si="21"/>
        <v>0</v>
      </c>
      <c r="H319">
        <f t="shared" si="22"/>
        <v>1</v>
      </c>
      <c r="I319">
        <f t="shared" si="23"/>
        <v>0</v>
      </c>
      <c r="J319">
        <f t="shared" si="24"/>
        <v>0</v>
      </c>
    </row>
    <row r="320" spans="1:10" x14ac:dyDescent="0.3">
      <c r="A320" s="1">
        <v>41785</v>
      </c>
      <c r="B320" s="1">
        <v>41793</v>
      </c>
      <c r="C320">
        <v>11.44</v>
      </c>
      <c r="D320">
        <v>0.3</v>
      </c>
      <c r="E320">
        <v>4</v>
      </c>
      <c r="F320">
        <f t="shared" si="20"/>
        <v>0</v>
      </c>
      <c r="G320">
        <f t="shared" si="21"/>
        <v>0</v>
      </c>
      <c r="H320">
        <f t="shared" si="22"/>
        <v>1</v>
      </c>
      <c r="I320">
        <f t="shared" si="23"/>
        <v>0</v>
      </c>
      <c r="J320">
        <f t="shared" si="24"/>
        <v>0</v>
      </c>
    </row>
    <row r="321" spans="1:10" x14ac:dyDescent="0.3">
      <c r="A321" s="1">
        <v>41785</v>
      </c>
      <c r="B321" s="1">
        <v>41796</v>
      </c>
      <c r="C321">
        <v>13.07</v>
      </c>
      <c r="D321">
        <v>0.34</v>
      </c>
      <c r="E321">
        <v>2</v>
      </c>
      <c r="F321">
        <f t="shared" si="20"/>
        <v>1</v>
      </c>
      <c r="G321">
        <f t="shared" si="21"/>
        <v>0</v>
      </c>
      <c r="H321">
        <f t="shared" si="22"/>
        <v>0</v>
      </c>
      <c r="I321">
        <f t="shared" si="23"/>
        <v>0</v>
      </c>
      <c r="J321">
        <f t="shared" si="24"/>
        <v>0</v>
      </c>
    </row>
    <row r="322" spans="1:10" x14ac:dyDescent="0.3">
      <c r="A322" s="1">
        <v>41785</v>
      </c>
      <c r="B322" s="1">
        <v>41801</v>
      </c>
      <c r="C322">
        <v>5.57</v>
      </c>
      <c r="D322">
        <v>0.15</v>
      </c>
      <c r="E322">
        <v>6</v>
      </c>
      <c r="F322">
        <f t="shared" si="20"/>
        <v>0</v>
      </c>
      <c r="G322">
        <f t="shared" si="21"/>
        <v>0</v>
      </c>
      <c r="H322">
        <f t="shared" si="22"/>
        <v>0</v>
      </c>
      <c r="I322">
        <f t="shared" si="23"/>
        <v>0</v>
      </c>
      <c r="J322">
        <f t="shared" si="24"/>
        <v>1</v>
      </c>
    </row>
    <row r="323" spans="1:10" x14ac:dyDescent="0.3">
      <c r="A323" s="1">
        <v>41785</v>
      </c>
      <c r="B323" s="1">
        <v>41787</v>
      </c>
      <c r="C323">
        <v>11.78</v>
      </c>
      <c r="D323">
        <v>0.31</v>
      </c>
      <c r="E323">
        <v>5</v>
      </c>
      <c r="F323">
        <f t="shared" ref="F323:F386" si="25">IF(EXACT(E323,2),1,0)</f>
        <v>0</v>
      </c>
      <c r="G323">
        <f t="shared" ref="G323:G386" si="26">IF(EXACT(E323,3),1,0)</f>
        <v>0</v>
      </c>
      <c r="H323">
        <f t="shared" ref="H323:H386" si="27">IF(EXACT(E323,4),1,0)</f>
        <v>0</v>
      </c>
      <c r="I323">
        <f t="shared" ref="I323:I386" si="28">IF(EXACT(E323,5),1,0)</f>
        <v>1</v>
      </c>
      <c r="J323">
        <f t="shared" ref="J323:J386" si="29">IF(EXACT(E323,6),1,0)</f>
        <v>0</v>
      </c>
    </row>
    <row r="324" spans="1:10" x14ac:dyDescent="0.3">
      <c r="A324" s="1">
        <v>41785</v>
      </c>
      <c r="B324" s="1">
        <v>41788</v>
      </c>
      <c r="C324">
        <v>11.78</v>
      </c>
      <c r="D324">
        <v>0.31</v>
      </c>
      <c r="E324">
        <v>2</v>
      </c>
      <c r="F324">
        <f t="shared" si="25"/>
        <v>1</v>
      </c>
      <c r="G324">
        <f t="shared" si="26"/>
        <v>0</v>
      </c>
      <c r="H324">
        <f t="shared" si="27"/>
        <v>0</v>
      </c>
      <c r="I324">
        <f t="shared" si="28"/>
        <v>0</v>
      </c>
      <c r="J324">
        <f t="shared" si="29"/>
        <v>0</v>
      </c>
    </row>
    <row r="325" spans="1:10" x14ac:dyDescent="0.3">
      <c r="A325" s="1">
        <v>41785</v>
      </c>
      <c r="B325" s="1">
        <v>41802</v>
      </c>
      <c r="C325">
        <v>9.74</v>
      </c>
      <c r="D325">
        <v>0.26</v>
      </c>
      <c r="E325">
        <v>3</v>
      </c>
      <c r="F325">
        <f t="shared" si="25"/>
        <v>0</v>
      </c>
      <c r="G325">
        <f t="shared" si="26"/>
        <v>1</v>
      </c>
      <c r="H325">
        <f t="shared" si="27"/>
        <v>0</v>
      </c>
      <c r="I325">
        <f t="shared" si="28"/>
        <v>0</v>
      </c>
      <c r="J325">
        <f t="shared" si="29"/>
        <v>0</v>
      </c>
    </row>
    <row r="326" spans="1:10" x14ac:dyDescent="0.3">
      <c r="A326" s="1">
        <v>41791</v>
      </c>
      <c r="B326" s="1">
        <v>41818</v>
      </c>
      <c r="C326">
        <v>12.01</v>
      </c>
      <c r="D326">
        <v>0.32</v>
      </c>
      <c r="E326">
        <v>6</v>
      </c>
      <c r="F326">
        <f t="shared" si="25"/>
        <v>0</v>
      </c>
      <c r="G326">
        <f t="shared" si="26"/>
        <v>0</v>
      </c>
      <c r="H326">
        <f t="shared" si="27"/>
        <v>0</v>
      </c>
      <c r="I326">
        <f t="shared" si="28"/>
        <v>0</v>
      </c>
      <c r="J326">
        <f t="shared" si="29"/>
        <v>1</v>
      </c>
    </row>
    <row r="327" spans="1:10" x14ac:dyDescent="0.3">
      <c r="A327" s="1">
        <v>41791</v>
      </c>
      <c r="B327" s="1">
        <v>41798</v>
      </c>
      <c r="C327">
        <v>9.4600000000000009</v>
      </c>
      <c r="D327">
        <v>0.25</v>
      </c>
      <c r="E327">
        <v>3</v>
      </c>
      <c r="F327">
        <f t="shared" si="25"/>
        <v>0</v>
      </c>
      <c r="G327">
        <f t="shared" si="26"/>
        <v>1</v>
      </c>
      <c r="H327">
        <f t="shared" si="27"/>
        <v>0</v>
      </c>
      <c r="I327">
        <f t="shared" si="28"/>
        <v>0</v>
      </c>
      <c r="J327">
        <f t="shared" si="29"/>
        <v>0</v>
      </c>
    </row>
    <row r="328" spans="1:10" x14ac:dyDescent="0.3">
      <c r="A328" s="1">
        <v>41791</v>
      </c>
      <c r="B328" s="1">
        <v>41795</v>
      </c>
      <c r="C328">
        <v>11.37</v>
      </c>
      <c r="D328">
        <v>0.3</v>
      </c>
      <c r="E328">
        <v>6</v>
      </c>
      <c r="F328">
        <f t="shared" si="25"/>
        <v>0</v>
      </c>
      <c r="G328">
        <f t="shared" si="26"/>
        <v>0</v>
      </c>
      <c r="H328">
        <f t="shared" si="27"/>
        <v>0</v>
      </c>
      <c r="I328">
        <f t="shared" si="28"/>
        <v>0</v>
      </c>
      <c r="J328">
        <f t="shared" si="29"/>
        <v>1</v>
      </c>
    </row>
    <row r="329" spans="1:10" x14ac:dyDescent="0.3">
      <c r="A329" s="1">
        <v>41791</v>
      </c>
      <c r="B329" s="1">
        <v>41807</v>
      </c>
      <c r="C329">
        <v>5.78</v>
      </c>
      <c r="D329">
        <v>0.15</v>
      </c>
      <c r="E329">
        <v>3</v>
      </c>
      <c r="F329">
        <f t="shared" si="25"/>
        <v>0</v>
      </c>
      <c r="G329">
        <f t="shared" si="26"/>
        <v>1</v>
      </c>
      <c r="H329">
        <f t="shared" si="27"/>
        <v>0</v>
      </c>
      <c r="I329">
        <f t="shared" si="28"/>
        <v>0</v>
      </c>
      <c r="J329">
        <f t="shared" si="29"/>
        <v>0</v>
      </c>
    </row>
    <row r="330" spans="1:10" x14ac:dyDescent="0.3">
      <c r="A330" s="1">
        <v>41791</v>
      </c>
      <c r="B330" s="1">
        <v>41812</v>
      </c>
      <c r="C330">
        <v>12.01</v>
      </c>
      <c r="D330">
        <v>0.32</v>
      </c>
      <c r="E330">
        <v>5</v>
      </c>
      <c r="F330">
        <f t="shared" si="25"/>
        <v>0</v>
      </c>
      <c r="G330">
        <f t="shared" si="26"/>
        <v>0</v>
      </c>
      <c r="H330">
        <f t="shared" si="27"/>
        <v>0</v>
      </c>
      <c r="I330">
        <f t="shared" si="28"/>
        <v>1</v>
      </c>
      <c r="J330">
        <f t="shared" si="29"/>
        <v>0</v>
      </c>
    </row>
    <row r="331" spans="1:10" x14ac:dyDescent="0.3">
      <c r="A331" s="1">
        <v>41791</v>
      </c>
      <c r="B331" s="1">
        <v>41815</v>
      </c>
      <c r="C331">
        <v>7.55</v>
      </c>
      <c r="D331">
        <v>0.2</v>
      </c>
      <c r="E331">
        <v>5</v>
      </c>
      <c r="F331">
        <f t="shared" si="25"/>
        <v>0</v>
      </c>
      <c r="G331">
        <f t="shared" si="26"/>
        <v>0</v>
      </c>
      <c r="H331">
        <f t="shared" si="27"/>
        <v>0</v>
      </c>
      <c r="I331">
        <f t="shared" si="28"/>
        <v>1</v>
      </c>
      <c r="J331">
        <f t="shared" si="29"/>
        <v>0</v>
      </c>
    </row>
    <row r="332" spans="1:10" x14ac:dyDescent="0.3">
      <c r="A332" s="1">
        <v>41791</v>
      </c>
      <c r="B332" s="1">
        <v>41794</v>
      </c>
      <c r="C332">
        <v>9.74</v>
      </c>
      <c r="D332">
        <v>0.26</v>
      </c>
      <c r="E332">
        <v>3</v>
      </c>
      <c r="F332">
        <f t="shared" si="25"/>
        <v>0</v>
      </c>
      <c r="G332">
        <f t="shared" si="26"/>
        <v>1</v>
      </c>
      <c r="H332">
        <f t="shared" si="27"/>
        <v>0</v>
      </c>
      <c r="I332">
        <f t="shared" si="28"/>
        <v>0</v>
      </c>
      <c r="J332">
        <f t="shared" si="29"/>
        <v>0</v>
      </c>
    </row>
    <row r="333" spans="1:10" x14ac:dyDescent="0.3">
      <c r="A333" s="1">
        <v>41792</v>
      </c>
      <c r="B333" s="1">
        <v>41802</v>
      </c>
      <c r="C333">
        <v>2.72</v>
      </c>
      <c r="D333">
        <v>7.0000000000000007E-2</v>
      </c>
      <c r="E333">
        <v>2</v>
      </c>
      <c r="F333">
        <f t="shared" si="25"/>
        <v>1</v>
      </c>
      <c r="G333">
        <f t="shared" si="26"/>
        <v>0</v>
      </c>
      <c r="H333">
        <f t="shared" si="27"/>
        <v>0</v>
      </c>
      <c r="I333">
        <f t="shared" si="28"/>
        <v>0</v>
      </c>
      <c r="J333">
        <f t="shared" si="29"/>
        <v>0</v>
      </c>
    </row>
    <row r="334" spans="1:10" x14ac:dyDescent="0.3">
      <c r="A334" s="1">
        <v>41792</v>
      </c>
      <c r="B334" s="1">
        <v>41801</v>
      </c>
      <c r="C334">
        <v>3.57</v>
      </c>
      <c r="D334">
        <v>0.09</v>
      </c>
      <c r="E334">
        <v>3</v>
      </c>
      <c r="F334">
        <f t="shared" si="25"/>
        <v>0</v>
      </c>
      <c r="G334">
        <f t="shared" si="26"/>
        <v>1</v>
      </c>
      <c r="H334">
        <f t="shared" si="27"/>
        <v>0</v>
      </c>
      <c r="I334">
        <f t="shared" si="28"/>
        <v>0</v>
      </c>
      <c r="J334">
        <f t="shared" si="29"/>
        <v>0</v>
      </c>
    </row>
    <row r="335" spans="1:10" x14ac:dyDescent="0.3">
      <c r="A335" s="1">
        <v>41792</v>
      </c>
      <c r="B335" s="1">
        <v>41813</v>
      </c>
      <c r="C335">
        <v>7.55</v>
      </c>
      <c r="D335">
        <v>0.2</v>
      </c>
      <c r="E335">
        <v>6</v>
      </c>
      <c r="F335">
        <f t="shared" si="25"/>
        <v>0</v>
      </c>
      <c r="G335">
        <f t="shared" si="26"/>
        <v>0</v>
      </c>
      <c r="H335">
        <f t="shared" si="27"/>
        <v>0</v>
      </c>
      <c r="I335">
        <f t="shared" si="28"/>
        <v>0</v>
      </c>
      <c r="J335">
        <f t="shared" si="29"/>
        <v>1</v>
      </c>
    </row>
    <row r="336" spans="1:10" x14ac:dyDescent="0.3">
      <c r="A336" s="1">
        <v>41792</v>
      </c>
      <c r="B336" s="1">
        <v>41812</v>
      </c>
      <c r="C336">
        <v>3.57</v>
      </c>
      <c r="D336">
        <v>0.09</v>
      </c>
      <c r="E336">
        <v>2</v>
      </c>
      <c r="F336">
        <f t="shared" si="25"/>
        <v>1</v>
      </c>
      <c r="G336">
        <f t="shared" si="26"/>
        <v>0</v>
      </c>
      <c r="H336">
        <f t="shared" si="27"/>
        <v>0</v>
      </c>
      <c r="I336">
        <f t="shared" si="28"/>
        <v>0</v>
      </c>
      <c r="J336">
        <f t="shared" si="29"/>
        <v>0</v>
      </c>
    </row>
    <row r="337" spans="1:10" x14ac:dyDescent="0.3">
      <c r="A337" s="1">
        <v>41793</v>
      </c>
      <c r="B337" s="1">
        <v>41803</v>
      </c>
      <c r="C337">
        <v>2.29</v>
      </c>
      <c r="D337">
        <v>0.06</v>
      </c>
      <c r="E337">
        <v>5</v>
      </c>
      <c r="F337">
        <f t="shared" si="25"/>
        <v>0</v>
      </c>
      <c r="G337">
        <f t="shared" si="26"/>
        <v>0</v>
      </c>
      <c r="H337">
        <f t="shared" si="27"/>
        <v>0</v>
      </c>
      <c r="I337">
        <f t="shared" si="28"/>
        <v>1</v>
      </c>
      <c r="J337">
        <f t="shared" si="29"/>
        <v>0</v>
      </c>
    </row>
    <row r="338" spans="1:10" x14ac:dyDescent="0.3">
      <c r="A338" s="1">
        <v>41793</v>
      </c>
      <c r="B338" s="1">
        <v>41817</v>
      </c>
      <c r="C338">
        <v>9.06</v>
      </c>
      <c r="D338">
        <v>0.24</v>
      </c>
      <c r="E338">
        <v>4</v>
      </c>
      <c r="F338">
        <f t="shared" si="25"/>
        <v>0</v>
      </c>
      <c r="G338">
        <f t="shared" si="26"/>
        <v>0</v>
      </c>
      <c r="H338">
        <f t="shared" si="27"/>
        <v>1</v>
      </c>
      <c r="I338">
        <f t="shared" si="28"/>
        <v>0</v>
      </c>
      <c r="J338">
        <f t="shared" si="29"/>
        <v>0</v>
      </c>
    </row>
    <row r="339" spans="1:10" x14ac:dyDescent="0.3">
      <c r="A339" s="1">
        <v>41794</v>
      </c>
      <c r="B339" s="1">
        <v>41798</v>
      </c>
      <c r="C339">
        <v>4.25</v>
      </c>
      <c r="D339">
        <v>0.11</v>
      </c>
      <c r="E339">
        <v>2</v>
      </c>
      <c r="F339">
        <f t="shared" si="25"/>
        <v>1</v>
      </c>
      <c r="G339">
        <f t="shared" si="26"/>
        <v>0</v>
      </c>
      <c r="H339">
        <f t="shared" si="27"/>
        <v>0</v>
      </c>
      <c r="I339">
        <f t="shared" si="28"/>
        <v>0</v>
      </c>
      <c r="J339">
        <f t="shared" si="29"/>
        <v>0</v>
      </c>
    </row>
    <row r="340" spans="1:10" x14ac:dyDescent="0.3">
      <c r="A340" s="1">
        <v>41794</v>
      </c>
      <c r="B340" s="1">
        <v>41804</v>
      </c>
      <c r="C340">
        <v>7.31</v>
      </c>
      <c r="D340">
        <v>0.19</v>
      </c>
      <c r="E340">
        <v>6</v>
      </c>
      <c r="F340">
        <f t="shared" si="25"/>
        <v>0</v>
      </c>
      <c r="G340">
        <f t="shared" si="26"/>
        <v>0</v>
      </c>
      <c r="H340">
        <f t="shared" si="27"/>
        <v>0</v>
      </c>
      <c r="I340">
        <f t="shared" si="28"/>
        <v>0</v>
      </c>
      <c r="J340">
        <f t="shared" si="29"/>
        <v>1</v>
      </c>
    </row>
    <row r="341" spans="1:10" x14ac:dyDescent="0.3">
      <c r="A341" s="1">
        <v>41794</v>
      </c>
      <c r="B341" s="1">
        <v>41800</v>
      </c>
      <c r="C341">
        <v>9.06</v>
      </c>
      <c r="D341">
        <v>0.24</v>
      </c>
      <c r="E341">
        <v>2</v>
      </c>
      <c r="F341">
        <f t="shared" si="25"/>
        <v>1</v>
      </c>
      <c r="G341">
        <f t="shared" si="26"/>
        <v>0</v>
      </c>
      <c r="H341">
        <f t="shared" si="27"/>
        <v>0</v>
      </c>
      <c r="I341">
        <f t="shared" si="28"/>
        <v>0</v>
      </c>
      <c r="J341">
        <f t="shared" si="29"/>
        <v>0</v>
      </c>
    </row>
    <row r="342" spans="1:10" x14ac:dyDescent="0.3">
      <c r="A342" s="1">
        <v>41795</v>
      </c>
      <c r="B342" s="1">
        <v>41799</v>
      </c>
      <c r="C342">
        <v>6.43</v>
      </c>
      <c r="D342">
        <v>0.17</v>
      </c>
      <c r="E342">
        <v>3</v>
      </c>
      <c r="F342">
        <f t="shared" si="25"/>
        <v>0</v>
      </c>
      <c r="G342">
        <f t="shared" si="26"/>
        <v>1</v>
      </c>
      <c r="H342">
        <f t="shared" si="27"/>
        <v>0</v>
      </c>
      <c r="I342">
        <f t="shared" si="28"/>
        <v>0</v>
      </c>
      <c r="J342">
        <f t="shared" si="29"/>
        <v>0</v>
      </c>
    </row>
    <row r="343" spans="1:10" x14ac:dyDescent="0.3">
      <c r="A343" s="1">
        <v>41797</v>
      </c>
      <c r="B343" s="1">
        <v>41808</v>
      </c>
      <c r="C343">
        <v>2.0099999999999998</v>
      </c>
      <c r="D343">
        <v>0.05</v>
      </c>
      <c r="E343">
        <v>3</v>
      </c>
      <c r="F343">
        <f t="shared" si="25"/>
        <v>0</v>
      </c>
      <c r="G343">
        <f t="shared" si="26"/>
        <v>1</v>
      </c>
      <c r="H343">
        <f t="shared" si="27"/>
        <v>0</v>
      </c>
      <c r="I343">
        <f t="shared" si="28"/>
        <v>0</v>
      </c>
      <c r="J343">
        <f t="shared" si="29"/>
        <v>0</v>
      </c>
    </row>
    <row r="344" spans="1:10" x14ac:dyDescent="0.3">
      <c r="A344" s="1">
        <v>41797</v>
      </c>
      <c r="B344" s="1">
        <v>41802</v>
      </c>
      <c r="C344">
        <v>8.51</v>
      </c>
      <c r="D344">
        <v>0.22</v>
      </c>
      <c r="E344">
        <v>3</v>
      </c>
      <c r="F344">
        <f t="shared" si="25"/>
        <v>0</v>
      </c>
      <c r="G344">
        <f t="shared" si="26"/>
        <v>1</v>
      </c>
      <c r="H344">
        <f t="shared" si="27"/>
        <v>0</v>
      </c>
      <c r="I344">
        <f t="shared" si="28"/>
        <v>0</v>
      </c>
      <c r="J344">
        <f t="shared" si="29"/>
        <v>0</v>
      </c>
    </row>
    <row r="345" spans="1:10" x14ac:dyDescent="0.3">
      <c r="A345" s="1">
        <v>41797</v>
      </c>
      <c r="B345" s="1">
        <v>41817</v>
      </c>
      <c r="C345">
        <v>16.55</v>
      </c>
      <c r="D345">
        <v>0.44</v>
      </c>
      <c r="E345">
        <v>4</v>
      </c>
      <c r="F345">
        <f t="shared" si="25"/>
        <v>0</v>
      </c>
      <c r="G345">
        <f t="shared" si="26"/>
        <v>0</v>
      </c>
      <c r="H345">
        <f t="shared" si="27"/>
        <v>1</v>
      </c>
      <c r="I345">
        <f t="shared" si="28"/>
        <v>0</v>
      </c>
      <c r="J345">
        <f t="shared" si="29"/>
        <v>0</v>
      </c>
    </row>
    <row r="346" spans="1:10" x14ac:dyDescent="0.3">
      <c r="A346" s="1">
        <v>41797</v>
      </c>
      <c r="B346" s="1">
        <v>41804</v>
      </c>
      <c r="C346">
        <v>9.1300000000000008</v>
      </c>
      <c r="D346">
        <v>0.24</v>
      </c>
      <c r="E346">
        <v>3</v>
      </c>
      <c r="F346">
        <f t="shared" si="25"/>
        <v>0</v>
      </c>
      <c r="G346">
        <f t="shared" si="26"/>
        <v>1</v>
      </c>
      <c r="H346">
        <f t="shared" si="27"/>
        <v>0</v>
      </c>
      <c r="I346">
        <f t="shared" si="28"/>
        <v>0</v>
      </c>
      <c r="J346">
        <f t="shared" si="29"/>
        <v>0</v>
      </c>
    </row>
    <row r="347" spans="1:10" x14ac:dyDescent="0.3">
      <c r="A347" s="1">
        <v>41797</v>
      </c>
      <c r="B347" s="1">
        <v>41816</v>
      </c>
      <c r="C347">
        <v>10.199999999999999</v>
      </c>
      <c r="D347">
        <v>0.27</v>
      </c>
      <c r="E347">
        <v>5</v>
      </c>
      <c r="F347">
        <f t="shared" si="25"/>
        <v>0</v>
      </c>
      <c r="G347">
        <f t="shared" si="26"/>
        <v>0</v>
      </c>
      <c r="H347">
        <f t="shared" si="27"/>
        <v>0</v>
      </c>
      <c r="I347">
        <f t="shared" si="28"/>
        <v>1</v>
      </c>
      <c r="J347">
        <f t="shared" si="29"/>
        <v>0</v>
      </c>
    </row>
    <row r="348" spans="1:10" x14ac:dyDescent="0.3">
      <c r="A348" s="1">
        <v>41799</v>
      </c>
      <c r="B348" s="1">
        <v>41823</v>
      </c>
      <c r="C348">
        <v>6.23</v>
      </c>
      <c r="D348">
        <v>0.16</v>
      </c>
      <c r="E348">
        <v>2</v>
      </c>
      <c r="F348">
        <f t="shared" si="25"/>
        <v>1</v>
      </c>
      <c r="G348">
        <f t="shared" si="26"/>
        <v>0</v>
      </c>
      <c r="H348">
        <f t="shared" si="27"/>
        <v>0</v>
      </c>
      <c r="I348">
        <f t="shared" si="28"/>
        <v>0</v>
      </c>
      <c r="J348">
        <f t="shared" si="29"/>
        <v>0</v>
      </c>
    </row>
    <row r="349" spans="1:10" x14ac:dyDescent="0.3">
      <c r="A349" s="1">
        <v>41803</v>
      </c>
      <c r="B349" s="1">
        <v>41827</v>
      </c>
      <c r="C349">
        <v>8.51</v>
      </c>
      <c r="D349">
        <v>0.22</v>
      </c>
      <c r="E349">
        <v>3</v>
      </c>
      <c r="F349">
        <f t="shared" si="25"/>
        <v>0</v>
      </c>
      <c r="G349">
        <f t="shared" si="26"/>
        <v>1</v>
      </c>
      <c r="H349">
        <f t="shared" si="27"/>
        <v>0</v>
      </c>
      <c r="I349">
        <f t="shared" si="28"/>
        <v>0</v>
      </c>
      <c r="J349">
        <f t="shared" si="29"/>
        <v>0</v>
      </c>
    </row>
    <row r="350" spans="1:10" x14ac:dyDescent="0.3">
      <c r="A350" s="1">
        <v>41803</v>
      </c>
      <c r="B350" s="1">
        <v>41811</v>
      </c>
      <c r="C350">
        <v>13.82</v>
      </c>
      <c r="D350">
        <v>0.36</v>
      </c>
      <c r="E350">
        <v>4</v>
      </c>
      <c r="F350">
        <f t="shared" si="25"/>
        <v>0</v>
      </c>
      <c r="G350">
        <f t="shared" si="26"/>
        <v>0</v>
      </c>
      <c r="H350">
        <f t="shared" si="27"/>
        <v>1</v>
      </c>
      <c r="I350">
        <f t="shared" si="28"/>
        <v>0</v>
      </c>
      <c r="J350">
        <f t="shared" si="29"/>
        <v>0</v>
      </c>
    </row>
    <row r="351" spans="1:10" x14ac:dyDescent="0.3">
      <c r="A351" s="1">
        <v>41803</v>
      </c>
      <c r="B351" s="1">
        <v>41825</v>
      </c>
      <c r="C351">
        <v>6.34</v>
      </c>
      <c r="D351">
        <v>0.17</v>
      </c>
      <c r="E351">
        <v>6</v>
      </c>
      <c r="F351">
        <f t="shared" si="25"/>
        <v>0</v>
      </c>
      <c r="G351">
        <f t="shared" si="26"/>
        <v>0</v>
      </c>
      <c r="H351">
        <f t="shared" si="27"/>
        <v>0</v>
      </c>
      <c r="I351">
        <f t="shared" si="28"/>
        <v>0</v>
      </c>
      <c r="J351">
        <f t="shared" si="29"/>
        <v>1</v>
      </c>
    </row>
    <row r="352" spans="1:10" x14ac:dyDescent="0.3">
      <c r="A352" s="1">
        <v>41803</v>
      </c>
      <c r="B352" s="1">
        <v>41829</v>
      </c>
      <c r="C352">
        <v>10.19</v>
      </c>
      <c r="D352">
        <v>0.27</v>
      </c>
      <c r="E352">
        <v>6</v>
      </c>
      <c r="F352">
        <f t="shared" si="25"/>
        <v>0</v>
      </c>
      <c r="G352">
        <f t="shared" si="26"/>
        <v>0</v>
      </c>
      <c r="H352">
        <f t="shared" si="27"/>
        <v>0</v>
      </c>
      <c r="I352">
        <f t="shared" si="28"/>
        <v>0</v>
      </c>
      <c r="J352">
        <f t="shared" si="29"/>
        <v>1</v>
      </c>
    </row>
    <row r="353" spans="1:10" x14ac:dyDescent="0.3">
      <c r="A353" s="1">
        <v>41803</v>
      </c>
      <c r="B353" s="1">
        <v>41805</v>
      </c>
      <c r="C353">
        <v>14</v>
      </c>
      <c r="D353">
        <v>0.37</v>
      </c>
      <c r="E353">
        <v>3</v>
      </c>
      <c r="F353">
        <f t="shared" si="25"/>
        <v>0</v>
      </c>
      <c r="G353">
        <f t="shared" si="26"/>
        <v>1</v>
      </c>
      <c r="H353">
        <f t="shared" si="27"/>
        <v>0</v>
      </c>
      <c r="I353">
        <f t="shared" si="28"/>
        <v>0</v>
      </c>
      <c r="J353">
        <f t="shared" si="29"/>
        <v>0</v>
      </c>
    </row>
    <row r="354" spans="1:10" x14ac:dyDescent="0.3">
      <c r="A354" s="1">
        <v>41803</v>
      </c>
      <c r="B354" s="1">
        <v>41814</v>
      </c>
      <c r="C354">
        <v>14</v>
      </c>
      <c r="D354">
        <v>0.37</v>
      </c>
      <c r="E354">
        <v>4</v>
      </c>
      <c r="F354">
        <f t="shared" si="25"/>
        <v>0</v>
      </c>
      <c r="G354">
        <f t="shared" si="26"/>
        <v>0</v>
      </c>
      <c r="H354">
        <f t="shared" si="27"/>
        <v>1</v>
      </c>
      <c r="I354">
        <f t="shared" si="28"/>
        <v>0</v>
      </c>
      <c r="J354">
        <f t="shared" si="29"/>
        <v>0</v>
      </c>
    </row>
    <row r="355" spans="1:10" x14ac:dyDescent="0.3">
      <c r="A355" s="1">
        <v>41803</v>
      </c>
      <c r="B355" s="1">
        <v>41816</v>
      </c>
      <c r="C355">
        <v>10.19</v>
      </c>
      <c r="D355">
        <v>0.27</v>
      </c>
      <c r="E355">
        <v>2</v>
      </c>
      <c r="F355">
        <f t="shared" si="25"/>
        <v>1</v>
      </c>
      <c r="G355">
        <f t="shared" si="26"/>
        <v>0</v>
      </c>
      <c r="H355">
        <f t="shared" si="27"/>
        <v>0</v>
      </c>
      <c r="I355">
        <f t="shared" si="28"/>
        <v>0</v>
      </c>
      <c r="J355">
        <f t="shared" si="29"/>
        <v>0</v>
      </c>
    </row>
    <row r="356" spans="1:10" x14ac:dyDescent="0.3">
      <c r="A356" s="1">
        <v>41803</v>
      </c>
      <c r="B356" s="1">
        <v>41818</v>
      </c>
      <c r="C356">
        <v>8.89</v>
      </c>
      <c r="D356">
        <v>0.23</v>
      </c>
      <c r="E356">
        <v>5</v>
      </c>
      <c r="F356">
        <f t="shared" si="25"/>
        <v>0</v>
      </c>
      <c r="G356">
        <f t="shared" si="26"/>
        <v>0</v>
      </c>
      <c r="H356">
        <f t="shared" si="27"/>
        <v>0</v>
      </c>
      <c r="I356">
        <f t="shared" si="28"/>
        <v>1</v>
      </c>
      <c r="J356">
        <f t="shared" si="29"/>
        <v>0</v>
      </c>
    </row>
    <row r="357" spans="1:10" x14ac:dyDescent="0.3">
      <c r="A357" s="1">
        <v>41803</v>
      </c>
      <c r="B357" s="1">
        <v>41814</v>
      </c>
      <c r="C357">
        <v>11.44</v>
      </c>
      <c r="D357">
        <v>0.3</v>
      </c>
      <c r="E357">
        <v>6</v>
      </c>
      <c r="F357">
        <f t="shared" si="25"/>
        <v>0</v>
      </c>
      <c r="G357">
        <f t="shared" si="26"/>
        <v>0</v>
      </c>
      <c r="H357">
        <f t="shared" si="27"/>
        <v>0</v>
      </c>
      <c r="I357">
        <f t="shared" si="28"/>
        <v>0</v>
      </c>
      <c r="J357">
        <f t="shared" si="29"/>
        <v>1</v>
      </c>
    </row>
    <row r="358" spans="1:10" x14ac:dyDescent="0.3">
      <c r="A358" s="1">
        <v>41803</v>
      </c>
      <c r="B358" s="1">
        <v>41827</v>
      </c>
      <c r="C358">
        <v>10.93</v>
      </c>
      <c r="D358">
        <v>0.28999999999999998</v>
      </c>
      <c r="E358">
        <v>2</v>
      </c>
      <c r="F358">
        <f t="shared" si="25"/>
        <v>1</v>
      </c>
      <c r="G358">
        <f t="shared" si="26"/>
        <v>0</v>
      </c>
      <c r="H358">
        <f t="shared" si="27"/>
        <v>0</v>
      </c>
      <c r="I358">
        <f t="shared" si="28"/>
        <v>0</v>
      </c>
      <c r="J358">
        <f t="shared" si="29"/>
        <v>0</v>
      </c>
    </row>
    <row r="359" spans="1:10" x14ac:dyDescent="0.3">
      <c r="A359" s="1">
        <v>41803</v>
      </c>
      <c r="B359" s="1">
        <v>41822</v>
      </c>
      <c r="C359">
        <v>6.34</v>
      </c>
      <c r="D359">
        <v>0.17</v>
      </c>
      <c r="E359">
        <v>4</v>
      </c>
      <c r="F359">
        <f t="shared" si="25"/>
        <v>0</v>
      </c>
      <c r="G359">
        <f t="shared" si="26"/>
        <v>0</v>
      </c>
      <c r="H359">
        <f t="shared" si="27"/>
        <v>1</v>
      </c>
      <c r="I359">
        <f t="shared" si="28"/>
        <v>0</v>
      </c>
      <c r="J359">
        <f t="shared" si="29"/>
        <v>0</v>
      </c>
    </row>
    <row r="360" spans="1:10" x14ac:dyDescent="0.3">
      <c r="A360" s="1">
        <v>41803</v>
      </c>
      <c r="B360" s="1">
        <v>41813</v>
      </c>
      <c r="C360">
        <v>5.67</v>
      </c>
      <c r="D360">
        <v>0.15</v>
      </c>
      <c r="E360">
        <v>5</v>
      </c>
      <c r="F360">
        <f t="shared" si="25"/>
        <v>0</v>
      </c>
      <c r="G360">
        <f t="shared" si="26"/>
        <v>0</v>
      </c>
      <c r="H360">
        <f t="shared" si="27"/>
        <v>0</v>
      </c>
      <c r="I360">
        <f t="shared" si="28"/>
        <v>1</v>
      </c>
      <c r="J360">
        <f t="shared" si="29"/>
        <v>0</v>
      </c>
    </row>
    <row r="361" spans="1:10" x14ac:dyDescent="0.3">
      <c r="A361" s="1">
        <v>41803</v>
      </c>
      <c r="B361" s="1">
        <v>41821</v>
      </c>
      <c r="C361">
        <v>8.51</v>
      </c>
      <c r="D361">
        <v>0.22</v>
      </c>
      <c r="E361">
        <v>6</v>
      </c>
      <c r="F361">
        <f t="shared" si="25"/>
        <v>0</v>
      </c>
      <c r="G361">
        <f t="shared" si="26"/>
        <v>0</v>
      </c>
      <c r="H361">
        <f t="shared" si="27"/>
        <v>0</v>
      </c>
      <c r="I361">
        <f t="shared" si="28"/>
        <v>0</v>
      </c>
      <c r="J361">
        <f t="shared" si="29"/>
        <v>1</v>
      </c>
    </row>
    <row r="362" spans="1:10" x14ac:dyDescent="0.3">
      <c r="A362" s="1">
        <v>41803</v>
      </c>
      <c r="B362" s="1">
        <v>41817</v>
      </c>
      <c r="C362">
        <v>16.829999999999998</v>
      </c>
      <c r="D362">
        <v>0.44</v>
      </c>
      <c r="E362">
        <v>5</v>
      </c>
      <c r="F362">
        <f t="shared" si="25"/>
        <v>0</v>
      </c>
      <c r="G362">
        <f t="shared" si="26"/>
        <v>0</v>
      </c>
      <c r="H362">
        <f t="shared" si="27"/>
        <v>0</v>
      </c>
      <c r="I362">
        <f t="shared" si="28"/>
        <v>1</v>
      </c>
      <c r="J362">
        <f t="shared" si="29"/>
        <v>0</v>
      </c>
    </row>
    <row r="363" spans="1:10" x14ac:dyDescent="0.3">
      <c r="A363" s="1">
        <v>41803</v>
      </c>
      <c r="B363" s="1">
        <v>41814</v>
      </c>
      <c r="C363">
        <v>11.69</v>
      </c>
      <c r="D363">
        <v>0.31</v>
      </c>
      <c r="E363">
        <v>5</v>
      </c>
      <c r="F363">
        <f t="shared" si="25"/>
        <v>0</v>
      </c>
      <c r="G363">
        <f t="shared" si="26"/>
        <v>0</v>
      </c>
      <c r="H363">
        <f t="shared" si="27"/>
        <v>0</v>
      </c>
      <c r="I363">
        <f t="shared" si="28"/>
        <v>1</v>
      </c>
      <c r="J363">
        <f t="shared" si="29"/>
        <v>0</v>
      </c>
    </row>
    <row r="364" spans="1:10" x14ac:dyDescent="0.3">
      <c r="A364" s="1">
        <v>41806</v>
      </c>
      <c r="B364" s="1">
        <v>41808</v>
      </c>
      <c r="C364">
        <v>7.71</v>
      </c>
      <c r="D364">
        <v>0.2</v>
      </c>
      <c r="E364">
        <v>3</v>
      </c>
      <c r="F364">
        <f t="shared" si="25"/>
        <v>0</v>
      </c>
      <c r="G364">
        <f t="shared" si="26"/>
        <v>1</v>
      </c>
      <c r="H364">
        <f t="shared" si="27"/>
        <v>0</v>
      </c>
      <c r="I364">
        <f t="shared" si="28"/>
        <v>0</v>
      </c>
      <c r="J364">
        <f t="shared" si="29"/>
        <v>0</v>
      </c>
    </row>
    <row r="365" spans="1:10" x14ac:dyDescent="0.3">
      <c r="A365" s="1">
        <v>41806</v>
      </c>
      <c r="B365" s="1">
        <v>41834</v>
      </c>
      <c r="C365">
        <v>5.67</v>
      </c>
      <c r="D365">
        <v>0.15</v>
      </c>
      <c r="E365">
        <v>5</v>
      </c>
      <c r="F365">
        <f t="shared" si="25"/>
        <v>0</v>
      </c>
      <c r="G365">
        <f t="shared" si="26"/>
        <v>0</v>
      </c>
      <c r="H365">
        <f t="shared" si="27"/>
        <v>0</v>
      </c>
      <c r="I365">
        <f t="shared" si="28"/>
        <v>1</v>
      </c>
      <c r="J365">
        <f t="shared" si="29"/>
        <v>0</v>
      </c>
    </row>
    <row r="366" spans="1:10" x14ac:dyDescent="0.3">
      <c r="A366" s="1">
        <v>41809</v>
      </c>
      <c r="B366" s="1">
        <v>41837</v>
      </c>
      <c r="C366">
        <v>7.3</v>
      </c>
      <c r="D366">
        <v>0.19</v>
      </c>
      <c r="E366">
        <v>6</v>
      </c>
      <c r="F366">
        <f t="shared" si="25"/>
        <v>0</v>
      </c>
      <c r="G366">
        <f t="shared" si="26"/>
        <v>0</v>
      </c>
      <c r="H366">
        <f t="shared" si="27"/>
        <v>0</v>
      </c>
      <c r="I366">
        <f t="shared" si="28"/>
        <v>0</v>
      </c>
      <c r="J366">
        <f t="shared" si="29"/>
        <v>1</v>
      </c>
    </row>
    <row r="367" spans="1:10" x14ac:dyDescent="0.3">
      <c r="A367" s="1">
        <v>41809</v>
      </c>
      <c r="B367" s="1">
        <v>41813</v>
      </c>
      <c r="C367">
        <v>5.64</v>
      </c>
      <c r="D367">
        <v>0.15</v>
      </c>
      <c r="E367">
        <v>5</v>
      </c>
      <c r="F367">
        <f t="shared" si="25"/>
        <v>0</v>
      </c>
      <c r="G367">
        <f t="shared" si="26"/>
        <v>0</v>
      </c>
      <c r="H367">
        <f t="shared" si="27"/>
        <v>0</v>
      </c>
      <c r="I367">
        <f t="shared" si="28"/>
        <v>1</v>
      </c>
      <c r="J367">
        <f t="shared" si="29"/>
        <v>0</v>
      </c>
    </row>
    <row r="368" spans="1:10" x14ac:dyDescent="0.3">
      <c r="A368" s="1">
        <v>41809</v>
      </c>
      <c r="B368" s="1">
        <v>41815</v>
      </c>
      <c r="C368">
        <v>10.79</v>
      </c>
      <c r="D368">
        <v>0.28000000000000003</v>
      </c>
      <c r="E368">
        <v>5</v>
      </c>
      <c r="F368">
        <f t="shared" si="25"/>
        <v>0</v>
      </c>
      <c r="G368">
        <f t="shared" si="26"/>
        <v>0</v>
      </c>
      <c r="H368">
        <f t="shared" si="27"/>
        <v>0</v>
      </c>
      <c r="I368">
        <f t="shared" si="28"/>
        <v>1</v>
      </c>
      <c r="J368">
        <f t="shared" si="29"/>
        <v>0</v>
      </c>
    </row>
    <row r="369" spans="1:10" x14ac:dyDescent="0.3">
      <c r="A369" s="1">
        <v>41809</v>
      </c>
      <c r="B369" s="1">
        <v>41830</v>
      </c>
      <c r="C369">
        <v>10.199999999999999</v>
      </c>
      <c r="D369">
        <v>0.27</v>
      </c>
      <c r="E369">
        <v>6</v>
      </c>
      <c r="F369">
        <f t="shared" si="25"/>
        <v>0</v>
      </c>
      <c r="G369">
        <f t="shared" si="26"/>
        <v>0</v>
      </c>
      <c r="H369">
        <f t="shared" si="27"/>
        <v>0</v>
      </c>
      <c r="I369">
        <f t="shared" si="28"/>
        <v>0</v>
      </c>
      <c r="J369">
        <f t="shared" si="29"/>
        <v>1</v>
      </c>
    </row>
    <row r="370" spans="1:10" x14ac:dyDescent="0.3">
      <c r="A370" s="1">
        <v>41809</v>
      </c>
      <c r="B370" s="1">
        <v>41821</v>
      </c>
      <c r="C370">
        <v>16.55</v>
      </c>
      <c r="D370">
        <v>0.44</v>
      </c>
      <c r="E370">
        <v>3</v>
      </c>
      <c r="F370">
        <f t="shared" si="25"/>
        <v>0</v>
      </c>
      <c r="G370">
        <f t="shared" si="26"/>
        <v>1</v>
      </c>
      <c r="H370">
        <f t="shared" si="27"/>
        <v>0</v>
      </c>
      <c r="I370">
        <f t="shared" si="28"/>
        <v>0</v>
      </c>
      <c r="J370">
        <f t="shared" si="29"/>
        <v>0</v>
      </c>
    </row>
    <row r="371" spans="1:10" x14ac:dyDescent="0.3">
      <c r="A371" s="1">
        <v>41809</v>
      </c>
      <c r="B371" s="1">
        <v>41829</v>
      </c>
      <c r="C371">
        <v>8.9499999999999993</v>
      </c>
      <c r="D371">
        <v>0.24</v>
      </c>
      <c r="E371">
        <v>6</v>
      </c>
      <c r="F371">
        <f t="shared" si="25"/>
        <v>0</v>
      </c>
      <c r="G371">
        <f t="shared" si="26"/>
        <v>0</v>
      </c>
      <c r="H371">
        <f t="shared" si="27"/>
        <v>0</v>
      </c>
      <c r="I371">
        <f t="shared" si="28"/>
        <v>0</v>
      </c>
      <c r="J371">
        <f t="shared" si="29"/>
        <v>1</v>
      </c>
    </row>
    <row r="372" spans="1:10" x14ac:dyDescent="0.3">
      <c r="A372" s="1">
        <v>41815</v>
      </c>
      <c r="B372" s="1">
        <v>41825</v>
      </c>
      <c r="C372">
        <v>5.64</v>
      </c>
      <c r="D372">
        <v>0.15</v>
      </c>
      <c r="E372">
        <v>4</v>
      </c>
      <c r="F372">
        <f t="shared" si="25"/>
        <v>0</v>
      </c>
      <c r="G372">
        <f t="shared" si="26"/>
        <v>0</v>
      </c>
      <c r="H372">
        <f t="shared" si="27"/>
        <v>1</v>
      </c>
      <c r="I372">
        <f t="shared" si="28"/>
        <v>0</v>
      </c>
      <c r="J372">
        <f t="shared" si="29"/>
        <v>0</v>
      </c>
    </row>
    <row r="373" spans="1:10" x14ac:dyDescent="0.3">
      <c r="A373" s="1">
        <v>41815</v>
      </c>
      <c r="B373" s="1">
        <v>41840</v>
      </c>
      <c r="C373">
        <v>6.34</v>
      </c>
      <c r="D373">
        <v>0.17</v>
      </c>
      <c r="E373">
        <v>3</v>
      </c>
      <c r="F373">
        <f t="shared" si="25"/>
        <v>0</v>
      </c>
      <c r="G373">
        <f t="shared" si="26"/>
        <v>1</v>
      </c>
      <c r="H373">
        <f t="shared" si="27"/>
        <v>0</v>
      </c>
      <c r="I373">
        <f t="shared" si="28"/>
        <v>0</v>
      </c>
      <c r="J373">
        <f t="shared" si="29"/>
        <v>0</v>
      </c>
    </row>
    <row r="374" spans="1:10" x14ac:dyDescent="0.3">
      <c r="A374" s="1">
        <v>41815</v>
      </c>
      <c r="B374" s="1">
        <v>41832</v>
      </c>
      <c r="C374">
        <v>11.69</v>
      </c>
      <c r="D374">
        <v>0.31</v>
      </c>
      <c r="E374">
        <v>6</v>
      </c>
      <c r="F374">
        <f t="shared" si="25"/>
        <v>0</v>
      </c>
      <c r="G374">
        <f t="shared" si="26"/>
        <v>0</v>
      </c>
      <c r="H374">
        <f t="shared" si="27"/>
        <v>0</v>
      </c>
      <c r="I374">
        <f t="shared" si="28"/>
        <v>0</v>
      </c>
      <c r="J374">
        <f t="shared" si="29"/>
        <v>1</v>
      </c>
    </row>
    <row r="375" spans="1:10" x14ac:dyDescent="0.3">
      <c r="A375" s="1">
        <v>41815</v>
      </c>
      <c r="B375" s="1">
        <v>41839</v>
      </c>
      <c r="C375">
        <v>11.42</v>
      </c>
      <c r="D375">
        <v>0.3</v>
      </c>
      <c r="E375">
        <v>5</v>
      </c>
      <c r="F375">
        <f t="shared" si="25"/>
        <v>0</v>
      </c>
      <c r="G375">
        <f t="shared" si="26"/>
        <v>0</v>
      </c>
      <c r="H375">
        <f t="shared" si="27"/>
        <v>0</v>
      </c>
      <c r="I375">
        <f t="shared" si="28"/>
        <v>1</v>
      </c>
      <c r="J375">
        <f t="shared" si="29"/>
        <v>0</v>
      </c>
    </row>
    <row r="376" spans="1:10" x14ac:dyDescent="0.3">
      <c r="A376" s="1">
        <v>41815</v>
      </c>
      <c r="B376" s="1">
        <v>41822</v>
      </c>
      <c r="C376">
        <v>8.5399999999999991</v>
      </c>
      <c r="D376">
        <v>0.22</v>
      </c>
      <c r="E376">
        <v>6</v>
      </c>
      <c r="F376">
        <f t="shared" si="25"/>
        <v>0</v>
      </c>
      <c r="G376">
        <f t="shared" si="26"/>
        <v>0</v>
      </c>
      <c r="H376">
        <f t="shared" si="27"/>
        <v>0</v>
      </c>
      <c r="I376">
        <f t="shared" si="28"/>
        <v>0</v>
      </c>
      <c r="J376">
        <f t="shared" si="29"/>
        <v>1</v>
      </c>
    </row>
    <row r="377" spans="1:10" x14ac:dyDescent="0.3">
      <c r="A377" s="1">
        <v>41815</v>
      </c>
      <c r="B377" s="1">
        <v>41831</v>
      </c>
      <c r="C377">
        <v>10.199999999999999</v>
      </c>
      <c r="D377">
        <v>0.27</v>
      </c>
      <c r="E377">
        <v>3</v>
      </c>
      <c r="F377">
        <f t="shared" si="25"/>
        <v>0</v>
      </c>
      <c r="G377">
        <f t="shared" si="26"/>
        <v>1</v>
      </c>
      <c r="H377">
        <f t="shared" si="27"/>
        <v>0</v>
      </c>
      <c r="I377">
        <f t="shared" si="28"/>
        <v>0</v>
      </c>
      <c r="J377">
        <f t="shared" si="29"/>
        <v>0</v>
      </c>
    </row>
    <row r="378" spans="1:10" x14ac:dyDescent="0.3">
      <c r="A378" s="1">
        <v>41815</v>
      </c>
      <c r="B378" s="1">
        <v>41833</v>
      </c>
      <c r="C378">
        <v>8.39</v>
      </c>
      <c r="D378">
        <v>0.22</v>
      </c>
      <c r="E378">
        <v>6</v>
      </c>
      <c r="F378">
        <f t="shared" si="25"/>
        <v>0</v>
      </c>
      <c r="G378">
        <f t="shared" si="26"/>
        <v>0</v>
      </c>
      <c r="H378">
        <f t="shared" si="27"/>
        <v>0</v>
      </c>
      <c r="I378">
        <f t="shared" si="28"/>
        <v>0</v>
      </c>
      <c r="J378">
        <f t="shared" si="29"/>
        <v>1</v>
      </c>
    </row>
    <row r="379" spans="1:10" x14ac:dyDescent="0.3">
      <c r="A379" s="1">
        <v>41815</v>
      </c>
      <c r="B379" s="1">
        <v>41826</v>
      </c>
      <c r="C379">
        <v>9.4600000000000009</v>
      </c>
      <c r="D379">
        <v>0.25</v>
      </c>
      <c r="E379">
        <v>4</v>
      </c>
      <c r="F379">
        <f t="shared" si="25"/>
        <v>0</v>
      </c>
      <c r="G379">
        <f t="shared" si="26"/>
        <v>0</v>
      </c>
      <c r="H379">
        <f t="shared" si="27"/>
        <v>1</v>
      </c>
      <c r="I379">
        <f t="shared" si="28"/>
        <v>0</v>
      </c>
      <c r="J379">
        <f t="shared" si="29"/>
        <v>0</v>
      </c>
    </row>
    <row r="380" spans="1:10" x14ac:dyDescent="0.3">
      <c r="A380" s="1">
        <v>41815</v>
      </c>
      <c r="B380" s="1">
        <v>41843</v>
      </c>
      <c r="C380">
        <v>11.37</v>
      </c>
      <c r="D380">
        <v>0.3</v>
      </c>
      <c r="E380">
        <v>5</v>
      </c>
      <c r="F380">
        <f t="shared" si="25"/>
        <v>0</v>
      </c>
      <c r="G380">
        <f t="shared" si="26"/>
        <v>0</v>
      </c>
      <c r="H380">
        <f t="shared" si="27"/>
        <v>0</v>
      </c>
      <c r="I380">
        <f t="shared" si="28"/>
        <v>1</v>
      </c>
      <c r="J380">
        <f t="shared" si="29"/>
        <v>0</v>
      </c>
    </row>
    <row r="381" spans="1:10" x14ac:dyDescent="0.3">
      <c r="A381" s="1">
        <v>41815</v>
      </c>
      <c r="B381" s="1">
        <v>41841</v>
      </c>
      <c r="C381">
        <v>3.79</v>
      </c>
      <c r="D381">
        <v>0.1</v>
      </c>
      <c r="E381">
        <v>5</v>
      </c>
      <c r="F381">
        <f t="shared" si="25"/>
        <v>0</v>
      </c>
      <c r="G381">
        <f t="shared" si="26"/>
        <v>0</v>
      </c>
      <c r="H381">
        <f t="shared" si="27"/>
        <v>0</v>
      </c>
      <c r="I381">
        <f t="shared" si="28"/>
        <v>1</v>
      </c>
      <c r="J381">
        <f t="shared" si="29"/>
        <v>0</v>
      </c>
    </row>
    <row r="382" spans="1:10" x14ac:dyDescent="0.3">
      <c r="A382" s="1">
        <v>41815</v>
      </c>
      <c r="B382" s="1">
        <v>41835</v>
      </c>
      <c r="C382">
        <v>8.84</v>
      </c>
      <c r="D382">
        <v>0.23</v>
      </c>
      <c r="E382">
        <v>2</v>
      </c>
      <c r="F382">
        <f t="shared" si="25"/>
        <v>1</v>
      </c>
      <c r="G382">
        <f t="shared" si="26"/>
        <v>0</v>
      </c>
      <c r="H382">
        <f t="shared" si="27"/>
        <v>0</v>
      </c>
      <c r="I382">
        <f t="shared" si="28"/>
        <v>0</v>
      </c>
      <c r="J382">
        <f t="shared" si="29"/>
        <v>0</v>
      </c>
    </row>
    <row r="383" spans="1:10" x14ac:dyDescent="0.3">
      <c r="A383" s="1">
        <v>41815</v>
      </c>
      <c r="B383" s="1">
        <v>41825</v>
      </c>
      <c r="C383">
        <v>19.54</v>
      </c>
      <c r="D383">
        <v>0.51</v>
      </c>
      <c r="E383">
        <v>4</v>
      </c>
      <c r="F383">
        <f t="shared" si="25"/>
        <v>0</v>
      </c>
      <c r="G383">
        <f t="shared" si="26"/>
        <v>0</v>
      </c>
      <c r="H383">
        <f t="shared" si="27"/>
        <v>1</v>
      </c>
      <c r="I383">
        <f t="shared" si="28"/>
        <v>0</v>
      </c>
      <c r="J383">
        <f t="shared" si="29"/>
        <v>0</v>
      </c>
    </row>
    <row r="384" spans="1:10" x14ac:dyDescent="0.3">
      <c r="A384" s="1">
        <v>41815</v>
      </c>
      <c r="B384" s="1">
        <v>41821</v>
      </c>
      <c r="C384">
        <v>3.79</v>
      </c>
      <c r="D384">
        <v>0.1</v>
      </c>
      <c r="E384">
        <v>5</v>
      </c>
      <c r="F384">
        <f t="shared" si="25"/>
        <v>0</v>
      </c>
      <c r="G384">
        <f t="shared" si="26"/>
        <v>0</v>
      </c>
      <c r="H384">
        <f t="shared" si="27"/>
        <v>0</v>
      </c>
      <c r="I384">
        <f t="shared" si="28"/>
        <v>1</v>
      </c>
      <c r="J384">
        <f t="shared" si="29"/>
        <v>0</v>
      </c>
    </row>
    <row r="385" spans="1:10" x14ac:dyDescent="0.3">
      <c r="A385" s="1">
        <v>41815</v>
      </c>
      <c r="B385" s="1">
        <v>41828</v>
      </c>
      <c r="C385">
        <v>9.74</v>
      </c>
      <c r="D385">
        <v>0.26</v>
      </c>
      <c r="E385">
        <v>6</v>
      </c>
      <c r="F385">
        <f t="shared" si="25"/>
        <v>0</v>
      </c>
      <c r="G385">
        <f t="shared" si="26"/>
        <v>0</v>
      </c>
      <c r="H385">
        <f t="shared" si="27"/>
        <v>0</v>
      </c>
      <c r="I385">
        <f t="shared" si="28"/>
        <v>0</v>
      </c>
      <c r="J385">
        <f t="shared" si="29"/>
        <v>1</v>
      </c>
    </row>
    <row r="386" spans="1:10" x14ac:dyDescent="0.3">
      <c r="A386" s="1">
        <v>41815</v>
      </c>
      <c r="B386" s="1">
        <v>41837</v>
      </c>
      <c r="C386">
        <v>10.199999999999999</v>
      </c>
      <c r="D386">
        <v>0.27</v>
      </c>
      <c r="E386">
        <v>2</v>
      </c>
      <c r="F386">
        <f t="shared" si="25"/>
        <v>1</v>
      </c>
      <c r="G386">
        <f t="shared" si="26"/>
        <v>0</v>
      </c>
      <c r="H386">
        <f t="shared" si="27"/>
        <v>0</v>
      </c>
      <c r="I386">
        <f t="shared" si="28"/>
        <v>0</v>
      </c>
      <c r="J386">
        <f t="shared" si="29"/>
        <v>0</v>
      </c>
    </row>
    <row r="387" spans="1:10" x14ac:dyDescent="0.3">
      <c r="A387" s="1">
        <v>41815</v>
      </c>
      <c r="B387" s="1">
        <v>41836</v>
      </c>
      <c r="C387">
        <v>3.88</v>
      </c>
      <c r="D387">
        <v>0.1</v>
      </c>
      <c r="E387">
        <v>4</v>
      </c>
      <c r="F387">
        <f t="shared" ref="F387:F450" si="30">IF(EXACT(E387,2),1,0)</f>
        <v>0</v>
      </c>
      <c r="G387">
        <f t="shared" ref="G387:G450" si="31">IF(EXACT(E387,3),1,0)</f>
        <v>0</v>
      </c>
      <c r="H387">
        <f t="shared" ref="H387:H450" si="32">IF(EXACT(E387,4),1,0)</f>
        <v>1</v>
      </c>
      <c r="I387">
        <f t="shared" ref="I387:I450" si="33">IF(EXACT(E387,5),1,0)</f>
        <v>0</v>
      </c>
      <c r="J387">
        <f t="shared" ref="J387:J450" si="34">IF(EXACT(E387,6),1,0)</f>
        <v>0</v>
      </c>
    </row>
    <row r="388" spans="1:10" x14ac:dyDescent="0.3">
      <c r="A388" s="1">
        <v>41818</v>
      </c>
      <c r="B388" s="1">
        <v>41835</v>
      </c>
      <c r="C388">
        <v>4.66</v>
      </c>
      <c r="D388">
        <v>0.12</v>
      </c>
      <c r="E388">
        <v>4</v>
      </c>
      <c r="F388">
        <f t="shared" si="30"/>
        <v>0</v>
      </c>
      <c r="G388">
        <f t="shared" si="31"/>
        <v>0</v>
      </c>
      <c r="H388">
        <f t="shared" si="32"/>
        <v>1</v>
      </c>
      <c r="I388">
        <f t="shared" si="33"/>
        <v>0</v>
      </c>
      <c r="J388">
        <f t="shared" si="34"/>
        <v>0</v>
      </c>
    </row>
    <row r="389" spans="1:10" x14ac:dyDescent="0.3">
      <c r="A389" s="1">
        <v>41821</v>
      </c>
      <c r="B389" s="1">
        <v>41840</v>
      </c>
      <c r="C389">
        <v>16.55</v>
      </c>
      <c r="D389">
        <v>0.44</v>
      </c>
      <c r="E389">
        <v>6</v>
      </c>
      <c r="F389">
        <f t="shared" si="30"/>
        <v>0</v>
      </c>
      <c r="G389">
        <f t="shared" si="31"/>
        <v>0</v>
      </c>
      <c r="H389">
        <f t="shared" si="32"/>
        <v>0</v>
      </c>
      <c r="I389">
        <f t="shared" si="33"/>
        <v>0</v>
      </c>
      <c r="J389">
        <f t="shared" si="34"/>
        <v>1</v>
      </c>
    </row>
    <row r="390" spans="1:10" x14ac:dyDescent="0.3">
      <c r="A390" s="1">
        <v>41821</v>
      </c>
      <c r="B390" s="1">
        <v>41835</v>
      </c>
      <c r="C390">
        <v>13.81</v>
      </c>
      <c r="D390">
        <v>0.36</v>
      </c>
      <c r="E390">
        <v>3</v>
      </c>
      <c r="F390">
        <f t="shared" si="30"/>
        <v>0</v>
      </c>
      <c r="G390">
        <f t="shared" si="31"/>
        <v>1</v>
      </c>
      <c r="H390">
        <f t="shared" si="32"/>
        <v>0</v>
      </c>
      <c r="I390">
        <f t="shared" si="33"/>
        <v>0</v>
      </c>
      <c r="J390">
        <f t="shared" si="34"/>
        <v>0</v>
      </c>
    </row>
    <row r="391" spans="1:10" x14ac:dyDescent="0.3">
      <c r="A391" s="1">
        <v>41821</v>
      </c>
      <c r="B391" s="1">
        <v>41837</v>
      </c>
      <c r="C391">
        <v>8.51</v>
      </c>
      <c r="D391">
        <v>0.22</v>
      </c>
      <c r="E391">
        <v>5</v>
      </c>
      <c r="F391">
        <f t="shared" si="30"/>
        <v>0</v>
      </c>
      <c r="G391">
        <f t="shared" si="31"/>
        <v>0</v>
      </c>
      <c r="H391">
        <f t="shared" si="32"/>
        <v>0</v>
      </c>
      <c r="I391">
        <f t="shared" si="33"/>
        <v>1</v>
      </c>
      <c r="J391">
        <f t="shared" si="34"/>
        <v>0</v>
      </c>
    </row>
    <row r="392" spans="1:10" x14ac:dyDescent="0.3">
      <c r="A392" s="1">
        <v>41821</v>
      </c>
      <c r="B392" s="1">
        <v>41827</v>
      </c>
      <c r="C392">
        <v>8.65</v>
      </c>
      <c r="D392">
        <v>0.23</v>
      </c>
      <c r="E392">
        <v>2</v>
      </c>
      <c r="F392">
        <f t="shared" si="30"/>
        <v>1</v>
      </c>
      <c r="G392">
        <f t="shared" si="31"/>
        <v>0</v>
      </c>
      <c r="H392">
        <f t="shared" si="32"/>
        <v>0</v>
      </c>
      <c r="I392">
        <f t="shared" si="33"/>
        <v>0</v>
      </c>
      <c r="J392">
        <f t="shared" si="34"/>
        <v>0</v>
      </c>
    </row>
    <row r="393" spans="1:10" x14ac:dyDescent="0.3">
      <c r="A393" s="1">
        <v>41821</v>
      </c>
      <c r="B393" s="1">
        <v>41832</v>
      </c>
      <c r="C393">
        <v>11.69</v>
      </c>
      <c r="D393">
        <v>0.31</v>
      </c>
      <c r="E393">
        <v>4</v>
      </c>
      <c r="F393">
        <f t="shared" si="30"/>
        <v>0</v>
      </c>
      <c r="G393">
        <f t="shared" si="31"/>
        <v>0</v>
      </c>
      <c r="H393">
        <f t="shared" si="32"/>
        <v>1</v>
      </c>
      <c r="I393">
        <f t="shared" si="33"/>
        <v>0</v>
      </c>
      <c r="J393">
        <f t="shared" si="34"/>
        <v>0</v>
      </c>
    </row>
    <row r="394" spans="1:10" x14ac:dyDescent="0.3">
      <c r="A394" s="1">
        <v>41821</v>
      </c>
      <c r="B394" s="1">
        <v>41828</v>
      </c>
      <c r="C394">
        <v>7.06</v>
      </c>
      <c r="D394">
        <v>0.19</v>
      </c>
      <c r="E394">
        <v>3</v>
      </c>
      <c r="F394">
        <f t="shared" si="30"/>
        <v>0</v>
      </c>
      <c r="G394">
        <f t="shared" si="31"/>
        <v>1</v>
      </c>
      <c r="H394">
        <f t="shared" si="32"/>
        <v>0</v>
      </c>
      <c r="I394">
        <f t="shared" si="33"/>
        <v>0</v>
      </c>
      <c r="J394">
        <f t="shared" si="34"/>
        <v>0</v>
      </c>
    </row>
    <row r="395" spans="1:10" x14ac:dyDescent="0.3">
      <c r="A395" s="1">
        <v>41827</v>
      </c>
      <c r="B395" s="1">
        <v>41837</v>
      </c>
      <c r="C395">
        <v>11.44</v>
      </c>
      <c r="D395">
        <v>0.3</v>
      </c>
      <c r="E395">
        <v>5</v>
      </c>
      <c r="F395">
        <f t="shared" si="30"/>
        <v>0</v>
      </c>
      <c r="G395">
        <f t="shared" si="31"/>
        <v>0</v>
      </c>
      <c r="H395">
        <f t="shared" si="32"/>
        <v>0</v>
      </c>
      <c r="I395">
        <f t="shared" si="33"/>
        <v>1</v>
      </c>
      <c r="J395">
        <f t="shared" si="34"/>
        <v>0</v>
      </c>
    </row>
    <row r="396" spans="1:10" x14ac:dyDescent="0.3">
      <c r="A396" s="1">
        <v>41827</v>
      </c>
      <c r="B396" s="1">
        <v>41831</v>
      </c>
      <c r="C396">
        <v>8.9499999999999993</v>
      </c>
      <c r="D396">
        <v>0.24</v>
      </c>
      <c r="E396">
        <v>4</v>
      </c>
      <c r="F396">
        <f t="shared" si="30"/>
        <v>0</v>
      </c>
      <c r="G396">
        <f t="shared" si="31"/>
        <v>0</v>
      </c>
      <c r="H396">
        <f t="shared" si="32"/>
        <v>1</v>
      </c>
      <c r="I396">
        <f t="shared" si="33"/>
        <v>0</v>
      </c>
      <c r="J396">
        <f t="shared" si="34"/>
        <v>0</v>
      </c>
    </row>
    <row r="397" spans="1:10" x14ac:dyDescent="0.3">
      <c r="A397" s="1">
        <v>41827</v>
      </c>
      <c r="B397" s="1">
        <v>41847</v>
      </c>
      <c r="C397">
        <v>9.4600000000000009</v>
      </c>
      <c r="D397">
        <v>0.25</v>
      </c>
      <c r="E397">
        <v>6</v>
      </c>
      <c r="F397">
        <f t="shared" si="30"/>
        <v>0</v>
      </c>
      <c r="G397">
        <f t="shared" si="31"/>
        <v>0</v>
      </c>
      <c r="H397">
        <f t="shared" si="32"/>
        <v>0</v>
      </c>
      <c r="I397">
        <f t="shared" si="33"/>
        <v>0</v>
      </c>
      <c r="J397">
        <f t="shared" si="34"/>
        <v>1</v>
      </c>
    </row>
    <row r="398" spans="1:10" x14ac:dyDescent="0.3">
      <c r="A398" s="1">
        <v>41827</v>
      </c>
      <c r="B398" s="1">
        <v>41841</v>
      </c>
      <c r="C398">
        <v>5.23</v>
      </c>
      <c r="D398">
        <v>0.14000000000000001</v>
      </c>
      <c r="E398">
        <v>3</v>
      </c>
      <c r="F398">
        <f t="shared" si="30"/>
        <v>0</v>
      </c>
      <c r="G398">
        <f t="shared" si="31"/>
        <v>1</v>
      </c>
      <c r="H398">
        <f t="shared" si="32"/>
        <v>0</v>
      </c>
      <c r="I398">
        <f t="shared" si="33"/>
        <v>0</v>
      </c>
      <c r="J398">
        <f t="shared" si="34"/>
        <v>0</v>
      </c>
    </row>
    <row r="399" spans="1:10" x14ac:dyDescent="0.3">
      <c r="A399" s="1">
        <v>41827</v>
      </c>
      <c r="B399" s="1">
        <v>41847</v>
      </c>
      <c r="C399">
        <v>11.78</v>
      </c>
      <c r="D399">
        <v>0.31</v>
      </c>
      <c r="E399">
        <v>4</v>
      </c>
      <c r="F399">
        <f t="shared" si="30"/>
        <v>0</v>
      </c>
      <c r="G399">
        <f t="shared" si="31"/>
        <v>0</v>
      </c>
      <c r="H399">
        <f t="shared" si="32"/>
        <v>1</v>
      </c>
      <c r="I399">
        <f t="shared" si="33"/>
        <v>0</v>
      </c>
      <c r="J399">
        <f t="shared" si="34"/>
        <v>0</v>
      </c>
    </row>
    <row r="400" spans="1:10" x14ac:dyDescent="0.3">
      <c r="A400" s="1">
        <v>41827</v>
      </c>
      <c r="B400" s="1">
        <v>41836</v>
      </c>
      <c r="C400">
        <v>5.64</v>
      </c>
      <c r="D400">
        <v>0.15</v>
      </c>
      <c r="E400">
        <v>3</v>
      </c>
      <c r="F400">
        <f t="shared" si="30"/>
        <v>0</v>
      </c>
      <c r="G400">
        <f t="shared" si="31"/>
        <v>1</v>
      </c>
      <c r="H400">
        <f t="shared" si="32"/>
        <v>0</v>
      </c>
      <c r="I400">
        <f t="shared" si="33"/>
        <v>0</v>
      </c>
      <c r="J400">
        <f t="shared" si="34"/>
        <v>0</v>
      </c>
    </row>
    <row r="401" spans="1:10" x14ac:dyDescent="0.3">
      <c r="A401" s="1">
        <v>41827</v>
      </c>
      <c r="B401" s="1">
        <v>41839</v>
      </c>
      <c r="C401">
        <v>10.199999999999999</v>
      </c>
      <c r="D401">
        <v>0.27</v>
      </c>
      <c r="E401">
        <v>2</v>
      </c>
      <c r="F401">
        <f t="shared" si="30"/>
        <v>1</v>
      </c>
      <c r="G401">
        <f t="shared" si="31"/>
        <v>0</v>
      </c>
      <c r="H401">
        <f t="shared" si="32"/>
        <v>0</v>
      </c>
      <c r="I401">
        <f t="shared" si="33"/>
        <v>0</v>
      </c>
      <c r="J401">
        <f t="shared" si="34"/>
        <v>0</v>
      </c>
    </row>
    <row r="402" spans="1:10" x14ac:dyDescent="0.3">
      <c r="A402" s="1">
        <v>41827</v>
      </c>
      <c r="B402" s="1">
        <v>41852</v>
      </c>
      <c r="C402">
        <v>3.88</v>
      </c>
      <c r="D402">
        <v>0.1</v>
      </c>
      <c r="E402">
        <v>5</v>
      </c>
      <c r="F402">
        <f t="shared" si="30"/>
        <v>0</v>
      </c>
      <c r="G402">
        <f t="shared" si="31"/>
        <v>0</v>
      </c>
      <c r="H402">
        <f t="shared" si="32"/>
        <v>0</v>
      </c>
      <c r="I402">
        <f t="shared" si="33"/>
        <v>1</v>
      </c>
      <c r="J402">
        <f t="shared" si="34"/>
        <v>0</v>
      </c>
    </row>
    <row r="403" spans="1:10" x14ac:dyDescent="0.3">
      <c r="A403" s="1">
        <v>41827</v>
      </c>
      <c r="B403" s="1">
        <v>41835</v>
      </c>
      <c r="C403">
        <v>4.66</v>
      </c>
      <c r="D403">
        <v>0.12</v>
      </c>
      <c r="E403">
        <v>4</v>
      </c>
      <c r="F403">
        <f t="shared" si="30"/>
        <v>0</v>
      </c>
      <c r="G403">
        <f t="shared" si="31"/>
        <v>0</v>
      </c>
      <c r="H403">
        <f t="shared" si="32"/>
        <v>1</v>
      </c>
      <c r="I403">
        <f t="shared" si="33"/>
        <v>0</v>
      </c>
      <c r="J403">
        <f t="shared" si="34"/>
        <v>0</v>
      </c>
    </row>
    <row r="404" spans="1:10" x14ac:dyDescent="0.3">
      <c r="A404" s="1">
        <v>41827</v>
      </c>
      <c r="B404" s="1">
        <v>41838</v>
      </c>
      <c r="C404">
        <v>10.19</v>
      </c>
      <c r="D404">
        <v>0.27</v>
      </c>
      <c r="E404">
        <v>6</v>
      </c>
      <c r="F404">
        <f t="shared" si="30"/>
        <v>0</v>
      </c>
      <c r="G404">
        <f t="shared" si="31"/>
        <v>0</v>
      </c>
      <c r="H404">
        <f t="shared" si="32"/>
        <v>0</v>
      </c>
      <c r="I404">
        <f t="shared" si="33"/>
        <v>0</v>
      </c>
      <c r="J404">
        <f t="shared" si="34"/>
        <v>1</v>
      </c>
    </row>
    <row r="405" spans="1:10" x14ac:dyDescent="0.3">
      <c r="A405" s="1">
        <v>41827</v>
      </c>
      <c r="B405" s="1">
        <v>41844</v>
      </c>
      <c r="C405">
        <v>10.19</v>
      </c>
      <c r="D405">
        <v>0.27</v>
      </c>
      <c r="E405">
        <v>6</v>
      </c>
      <c r="F405">
        <f t="shared" si="30"/>
        <v>0</v>
      </c>
      <c r="G405">
        <f t="shared" si="31"/>
        <v>0</v>
      </c>
      <c r="H405">
        <f t="shared" si="32"/>
        <v>0</v>
      </c>
      <c r="I405">
        <f t="shared" si="33"/>
        <v>0</v>
      </c>
      <c r="J405">
        <f t="shared" si="34"/>
        <v>1</v>
      </c>
    </row>
    <row r="406" spans="1:10" x14ac:dyDescent="0.3">
      <c r="A406" s="1">
        <v>41827</v>
      </c>
      <c r="B406" s="1">
        <v>41848</v>
      </c>
      <c r="C406">
        <v>3.79</v>
      </c>
      <c r="D406">
        <v>0.1</v>
      </c>
      <c r="E406">
        <v>6</v>
      </c>
      <c r="F406">
        <f t="shared" si="30"/>
        <v>0</v>
      </c>
      <c r="G406">
        <f t="shared" si="31"/>
        <v>0</v>
      </c>
      <c r="H406">
        <f t="shared" si="32"/>
        <v>0</v>
      </c>
      <c r="I406">
        <f t="shared" si="33"/>
        <v>0</v>
      </c>
      <c r="J406">
        <f t="shared" si="34"/>
        <v>1</v>
      </c>
    </row>
    <row r="407" spans="1:10" x14ac:dyDescent="0.3">
      <c r="A407" s="1">
        <v>41827</v>
      </c>
      <c r="B407" s="1">
        <v>41847</v>
      </c>
      <c r="C407">
        <v>9.06</v>
      </c>
      <c r="D407">
        <v>0.24</v>
      </c>
      <c r="E407">
        <v>2</v>
      </c>
      <c r="F407">
        <f t="shared" si="30"/>
        <v>1</v>
      </c>
      <c r="G407">
        <f t="shared" si="31"/>
        <v>0</v>
      </c>
      <c r="H407">
        <f t="shared" si="32"/>
        <v>0</v>
      </c>
      <c r="I407">
        <f t="shared" si="33"/>
        <v>0</v>
      </c>
      <c r="J407">
        <f t="shared" si="34"/>
        <v>0</v>
      </c>
    </row>
    <row r="408" spans="1:10" x14ac:dyDescent="0.3">
      <c r="A408" s="1">
        <v>41827</v>
      </c>
      <c r="B408" s="1">
        <v>41831</v>
      </c>
      <c r="C408">
        <v>6.23</v>
      </c>
      <c r="D408">
        <v>0.16</v>
      </c>
      <c r="E408">
        <v>3</v>
      </c>
      <c r="F408">
        <f t="shared" si="30"/>
        <v>0</v>
      </c>
      <c r="G408">
        <f t="shared" si="31"/>
        <v>1</v>
      </c>
      <c r="H408">
        <f t="shared" si="32"/>
        <v>0</v>
      </c>
      <c r="I408">
        <f t="shared" si="33"/>
        <v>0</v>
      </c>
      <c r="J408">
        <f t="shared" si="34"/>
        <v>0</v>
      </c>
    </row>
    <row r="409" spans="1:10" x14ac:dyDescent="0.3">
      <c r="A409" s="1">
        <v>41827</v>
      </c>
      <c r="B409" s="1">
        <v>41852</v>
      </c>
      <c r="C409">
        <v>10.79</v>
      </c>
      <c r="D409">
        <v>0.28000000000000003</v>
      </c>
      <c r="E409">
        <v>3</v>
      </c>
      <c r="F409">
        <f t="shared" si="30"/>
        <v>0</v>
      </c>
      <c r="G409">
        <f t="shared" si="31"/>
        <v>1</v>
      </c>
      <c r="H409">
        <f t="shared" si="32"/>
        <v>0</v>
      </c>
      <c r="I409">
        <f t="shared" si="33"/>
        <v>0</v>
      </c>
      <c r="J409">
        <f t="shared" si="34"/>
        <v>0</v>
      </c>
    </row>
    <row r="410" spans="1:10" x14ac:dyDescent="0.3">
      <c r="A410" s="1">
        <v>41830</v>
      </c>
      <c r="B410" s="1">
        <v>41847</v>
      </c>
      <c r="C410">
        <v>5.67</v>
      </c>
      <c r="D410">
        <v>0.15</v>
      </c>
      <c r="E410">
        <v>5</v>
      </c>
      <c r="F410">
        <f t="shared" si="30"/>
        <v>0</v>
      </c>
      <c r="G410">
        <f t="shared" si="31"/>
        <v>0</v>
      </c>
      <c r="H410">
        <f t="shared" si="32"/>
        <v>0</v>
      </c>
      <c r="I410">
        <f t="shared" si="33"/>
        <v>1</v>
      </c>
      <c r="J410">
        <f t="shared" si="34"/>
        <v>0</v>
      </c>
    </row>
    <row r="411" spans="1:10" x14ac:dyDescent="0.3">
      <c r="A411" s="1">
        <v>41831</v>
      </c>
      <c r="B411" s="1">
        <v>41855</v>
      </c>
      <c r="C411">
        <v>2.29</v>
      </c>
      <c r="D411">
        <v>0.06</v>
      </c>
      <c r="E411">
        <v>3</v>
      </c>
      <c r="F411">
        <f t="shared" si="30"/>
        <v>0</v>
      </c>
      <c r="G411">
        <f t="shared" si="31"/>
        <v>1</v>
      </c>
      <c r="H411">
        <f t="shared" si="32"/>
        <v>0</v>
      </c>
      <c r="I411">
        <f t="shared" si="33"/>
        <v>0</v>
      </c>
      <c r="J411">
        <f t="shared" si="34"/>
        <v>0</v>
      </c>
    </row>
    <row r="412" spans="1:10" x14ac:dyDescent="0.3">
      <c r="A412" s="1">
        <v>41833</v>
      </c>
      <c r="B412" s="1">
        <v>41853</v>
      </c>
      <c r="C412">
        <v>10.93</v>
      </c>
      <c r="D412">
        <v>0.28999999999999998</v>
      </c>
      <c r="E412">
        <v>2</v>
      </c>
      <c r="F412">
        <f t="shared" si="30"/>
        <v>1</v>
      </c>
      <c r="G412">
        <f t="shared" si="31"/>
        <v>0</v>
      </c>
      <c r="H412">
        <f t="shared" si="32"/>
        <v>0</v>
      </c>
      <c r="I412">
        <f t="shared" si="33"/>
        <v>0</v>
      </c>
      <c r="J412">
        <f t="shared" si="34"/>
        <v>0</v>
      </c>
    </row>
    <row r="413" spans="1:10" x14ac:dyDescent="0.3">
      <c r="A413" s="1">
        <v>41833</v>
      </c>
      <c r="B413" s="1">
        <v>41841</v>
      </c>
      <c r="C413">
        <v>16.55</v>
      </c>
      <c r="D413">
        <v>0.44</v>
      </c>
      <c r="E413">
        <v>4</v>
      </c>
      <c r="F413">
        <f t="shared" si="30"/>
        <v>0</v>
      </c>
      <c r="G413">
        <f t="shared" si="31"/>
        <v>0</v>
      </c>
      <c r="H413">
        <f t="shared" si="32"/>
        <v>1</v>
      </c>
      <c r="I413">
        <f t="shared" si="33"/>
        <v>0</v>
      </c>
      <c r="J413">
        <f t="shared" si="34"/>
        <v>0</v>
      </c>
    </row>
    <row r="414" spans="1:10" x14ac:dyDescent="0.3">
      <c r="A414" s="1">
        <v>41834</v>
      </c>
      <c r="B414" s="1">
        <v>41836</v>
      </c>
      <c r="C414">
        <v>6.43</v>
      </c>
      <c r="D414">
        <v>0.17</v>
      </c>
      <c r="E414">
        <v>6</v>
      </c>
      <c r="F414">
        <f t="shared" si="30"/>
        <v>0</v>
      </c>
      <c r="G414">
        <f t="shared" si="31"/>
        <v>0</v>
      </c>
      <c r="H414">
        <f t="shared" si="32"/>
        <v>0</v>
      </c>
      <c r="I414">
        <f t="shared" si="33"/>
        <v>0</v>
      </c>
      <c r="J414">
        <f t="shared" si="34"/>
        <v>1</v>
      </c>
    </row>
    <row r="415" spans="1:10" x14ac:dyDescent="0.3">
      <c r="A415" s="1">
        <v>41835</v>
      </c>
      <c r="B415" s="1">
        <v>41863</v>
      </c>
      <c r="C415">
        <v>3.94</v>
      </c>
      <c r="D415">
        <v>0.1</v>
      </c>
      <c r="E415">
        <v>6</v>
      </c>
      <c r="F415">
        <f t="shared" si="30"/>
        <v>0</v>
      </c>
      <c r="G415">
        <f t="shared" si="31"/>
        <v>0</v>
      </c>
      <c r="H415">
        <f t="shared" si="32"/>
        <v>0</v>
      </c>
      <c r="I415">
        <f t="shared" si="33"/>
        <v>0</v>
      </c>
      <c r="J415">
        <f t="shared" si="34"/>
        <v>1</v>
      </c>
    </row>
    <row r="416" spans="1:10" x14ac:dyDescent="0.3">
      <c r="A416" s="1">
        <v>41835</v>
      </c>
      <c r="B416" s="1">
        <v>41847</v>
      </c>
      <c r="C416">
        <v>3.79</v>
      </c>
      <c r="D416">
        <v>0.1</v>
      </c>
      <c r="E416">
        <v>3</v>
      </c>
      <c r="F416">
        <f t="shared" si="30"/>
        <v>0</v>
      </c>
      <c r="G416">
        <f t="shared" si="31"/>
        <v>1</v>
      </c>
      <c r="H416">
        <f t="shared" si="32"/>
        <v>0</v>
      </c>
      <c r="I416">
        <f t="shared" si="33"/>
        <v>0</v>
      </c>
      <c r="J416">
        <f t="shared" si="34"/>
        <v>0</v>
      </c>
    </row>
    <row r="417" spans="1:10" x14ac:dyDescent="0.3">
      <c r="A417" s="1">
        <v>41835</v>
      </c>
      <c r="B417" s="1">
        <v>41856</v>
      </c>
      <c r="C417">
        <v>6.58</v>
      </c>
      <c r="D417">
        <v>0.17</v>
      </c>
      <c r="E417">
        <v>3</v>
      </c>
      <c r="F417">
        <f t="shared" si="30"/>
        <v>0</v>
      </c>
      <c r="G417">
        <f t="shared" si="31"/>
        <v>1</v>
      </c>
      <c r="H417">
        <f t="shared" si="32"/>
        <v>0</v>
      </c>
      <c r="I417">
        <f t="shared" si="33"/>
        <v>0</v>
      </c>
      <c r="J417">
        <f t="shared" si="34"/>
        <v>0</v>
      </c>
    </row>
    <row r="418" spans="1:10" x14ac:dyDescent="0.3">
      <c r="A418" s="1">
        <v>41837</v>
      </c>
      <c r="B418" s="1">
        <v>41853</v>
      </c>
      <c r="C418">
        <v>5.67</v>
      </c>
      <c r="D418">
        <v>0.15</v>
      </c>
      <c r="E418">
        <v>2</v>
      </c>
      <c r="F418">
        <f t="shared" si="30"/>
        <v>1</v>
      </c>
      <c r="G418">
        <f t="shared" si="31"/>
        <v>0</v>
      </c>
      <c r="H418">
        <f t="shared" si="32"/>
        <v>0</v>
      </c>
      <c r="I418">
        <f t="shared" si="33"/>
        <v>0</v>
      </c>
      <c r="J418">
        <f t="shared" si="34"/>
        <v>0</v>
      </c>
    </row>
    <row r="419" spans="1:10" x14ac:dyDescent="0.3">
      <c r="A419" s="1">
        <v>41839</v>
      </c>
      <c r="B419" s="1">
        <v>41857</v>
      </c>
      <c r="C419">
        <v>10.19</v>
      </c>
      <c r="D419">
        <v>0.27</v>
      </c>
      <c r="E419">
        <v>6</v>
      </c>
      <c r="F419">
        <f t="shared" si="30"/>
        <v>0</v>
      </c>
      <c r="G419">
        <f t="shared" si="31"/>
        <v>0</v>
      </c>
      <c r="H419">
        <f t="shared" si="32"/>
        <v>0</v>
      </c>
      <c r="I419">
        <f t="shared" si="33"/>
        <v>0</v>
      </c>
      <c r="J419">
        <f t="shared" si="34"/>
        <v>1</v>
      </c>
    </row>
    <row r="420" spans="1:10" x14ac:dyDescent="0.3">
      <c r="A420" s="1">
        <v>41839</v>
      </c>
      <c r="B420" s="1">
        <v>41848</v>
      </c>
      <c r="C420">
        <v>7.06</v>
      </c>
      <c r="D420">
        <v>0.19</v>
      </c>
      <c r="E420">
        <v>2</v>
      </c>
      <c r="F420">
        <f t="shared" si="30"/>
        <v>1</v>
      </c>
      <c r="G420">
        <f t="shared" si="31"/>
        <v>0</v>
      </c>
      <c r="H420">
        <f t="shared" si="32"/>
        <v>0</v>
      </c>
      <c r="I420">
        <f t="shared" si="33"/>
        <v>0</v>
      </c>
      <c r="J420">
        <f t="shared" si="34"/>
        <v>0</v>
      </c>
    </row>
    <row r="421" spans="1:10" x14ac:dyDescent="0.3">
      <c r="A421" s="1">
        <v>41839</v>
      </c>
      <c r="B421" s="1">
        <v>41860</v>
      </c>
      <c r="C421">
        <v>6.75</v>
      </c>
      <c r="D421">
        <v>0.18</v>
      </c>
      <c r="E421">
        <v>5</v>
      </c>
      <c r="F421">
        <f t="shared" si="30"/>
        <v>0</v>
      </c>
      <c r="G421">
        <f t="shared" si="31"/>
        <v>0</v>
      </c>
      <c r="H421">
        <f t="shared" si="32"/>
        <v>0</v>
      </c>
      <c r="I421">
        <f t="shared" si="33"/>
        <v>1</v>
      </c>
      <c r="J421">
        <f t="shared" si="34"/>
        <v>0</v>
      </c>
    </row>
    <row r="422" spans="1:10" x14ac:dyDescent="0.3">
      <c r="A422" s="1">
        <v>41839</v>
      </c>
      <c r="B422" s="1">
        <v>41861</v>
      </c>
      <c r="C422">
        <v>8.83</v>
      </c>
      <c r="D422">
        <v>0.23</v>
      </c>
      <c r="E422">
        <v>6</v>
      </c>
      <c r="F422">
        <f t="shared" si="30"/>
        <v>0</v>
      </c>
      <c r="G422">
        <f t="shared" si="31"/>
        <v>0</v>
      </c>
      <c r="H422">
        <f t="shared" si="32"/>
        <v>0</v>
      </c>
      <c r="I422">
        <f t="shared" si="33"/>
        <v>0</v>
      </c>
      <c r="J422">
        <f t="shared" si="34"/>
        <v>1</v>
      </c>
    </row>
    <row r="423" spans="1:10" x14ac:dyDescent="0.3">
      <c r="A423" s="1">
        <v>41839</v>
      </c>
      <c r="B423" s="1">
        <v>41860</v>
      </c>
      <c r="C423">
        <v>8.39</v>
      </c>
      <c r="D423">
        <v>0.22</v>
      </c>
      <c r="E423">
        <v>2</v>
      </c>
      <c r="F423">
        <f t="shared" si="30"/>
        <v>1</v>
      </c>
      <c r="G423">
        <f t="shared" si="31"/>
        <v>0</v>
      </c>
      <c r="H423">
        <f t="shared" si="32"/>
        <v>0</v>
      </c>
      <c r="I423">
        <f t="shared" si="33"/>
        <v>0</v>
      </c>
      <c r="J423">
        <f t="shared" si="34"/>
        <v>0</v>
      </c>
    </row>
    <row r="424" spans="1:10" x14ac:dyDescent="0.3">
      <c r="A424" s="1">
        <v>41839</v>
      </c>
      <c r="B424" s="1">
        <v>41853</v>
      </c>
      <c r="C424">
        <v>6.23</v>
      </c>
      <c r="D424">
        <v>0.16</v>
      </c>
      <c r="E424">
        <v>3</v>
      </c>
      <c r="F424">
        <f t="shared" si="30"/>
        <v>0</v>
      </c>
      <c r="G424">
        <f t="shared" si="31"/>
        <v>1</v>
      </c>
      <c r="H424">
        <f t="shared" si="32"/>
        <v>0</v>
      </c>
      <c r="I424">
        <f t="shared" si="33"/>
        <v>0</v>
      </c>
      <c r="J424">
        <f t="shared" si="34"/>
        <v>0</v>
      </c>
    </row>
    <row r="425" spans="1:10" x14ac:dyDescent="0.3">
      <c r="A425" s="1">
        <v>41839</v>
      </c>
      <c r="B425" s="1">
        <v>41859</v>
      </c>
      <c r="C425">
        <v>3.79</v>
      </c>
      <c r="D425">
        <v>0.1</v>
      </c>
      <c r="E425">
        <v>4</v>
      </c>
      <c r="F425">
        <f t="shared" si="30"/>
        <v>0</v>
      </c>
      <c r="G425">
        <f t="shared" si="31"/>
        <v>0</v>
      </c>
      <c r="H425">
        <f t="shared" si="32"/>
        <v>1</v>
      </c>
      <c r="I425">
        <f t="shared" si="33"/>
        <v>0</v>
      </c>
      <c r="J425">
        <f t="shared" si="34"/>
        <v>0</v>
      </c>
    </row>
    <row r="426" spans="1:10" x14ac:dyDescent="0.3">
      <c r="A426" s="1">
        <v>41839</v>
      </c>
      <c r="B426" s="1">
        <v>41866</v>
      </c>
      <c r="C426">
        <v>11.37</v>
      </c>
      <c r="D426">
        <v>0.3</v>
      </c>
      <c r="E426">
        <v>5</v>
      </c>
      <c r="F426">
        <f t="shared" si="30"/>
        <v>0</v>
      </c>
      <c r="G426">
        <f t="shared" si="31"/>
        <v>0</v>
      </c>
      <c r="H426">
        <f t="shared" si="32"/>
        <v>0</v>
      </c>
      <c r="I426">
        <f t="shared" si="33"/>
        <v>1</v>
      </c>
      <c r="J426">
        <f t="shared" si="34"/>
        <v>0</v>
      </c>
    </row>
    <row r="427" spans="1:10" x14ac:dyDescent="0.3">
      <c r="A427" s="1">
        <v>41839</v>
      </c>
      <c r="B427" s="1">
        <v>41847</v>
      </c>
      <c r="C427">
        <v>5.64</v>
      </c>
      <c r="D427">
        <v>0.15</v>
      </c>
      <c r="E427">
        <v>5</v>
      </c>
      <c r="F427">
        <f t="shared" si="30"/>
        <v>0</v>
      </c>
      <c r="G427">
        <f t="shared" si="31"/>
        <v>0</v>
      </c>
      <c r="H427">
        <f t="shared" si="32"/>
        <v>0</v>
      </c>
      <c r="I427">
        <f t="shared" si="33"/>
        <v>1</v>
      </c>
      <c r="J427">
        <f t="shared" si="34"/>
        <v>0</v>
      </c>
    </row>
    <row r="428" spans="1:10" x14ac:dyDescent="0.3">
      <c r="A428" s="1">
        <v>41839</v>
      </c>
      <c r="B428" s="1">
        <v>41858</v>
      </c>
      <c r="C428">
        <v>7.55</v>
      </c>
      <c r="D428">
        <v>0.2</v>
      </c>
      <c r="E428">
        <v>2</v>
      </c>
      <c r="F428">
        <f t="shared" si="30"/>
        <v>1</v>
      </c>
      <c r="G428">
        <f t="shared" si="31"/>
        <v>0</v>
      </c>
      <c r="H428">
        <f t="shared" si="32"/>
        <v>0</v>
      </c>
      <c r="I428">
        <f t="shared" si="33"/>
        <v>0</v>
      </c>
      <c r="J428">
        <f t="shared" si="34"/>
        <v>0</v>
      </c>
    </row>
    <row r="429" spans="1:10" x14ac:dyDescent="0.3">
      <c r="A429" s="1">
        <v>41839</v>
      </c>
      <c r="B429" s="1">
        <v>41853</v>
      </c>
      <c r="C429">
        <v>10.199999999999999</v>
      </c>
      <c r="D429">
        <v>0.27</v>
      </c>
      <c r="E429">
        <v>4</v>
      </c>
      <c r="F429">
        <f t="shared" si="30"/>
        <v>0</v>
      </c>
      <c r="G429">
        <f t="shared" si="31"/>
        <v>0</v>
      </c>
      <c r="H429">
        <f t="shared" si="32"/>
        <v>1</v>
      </c>
      <c r="I429">
        <f t="shared" si="33"/>
        <v>0</v>
      </c>
      <c r="J429">
        <f t="shared" si="34"/>
        <v>0</v>
      </c>
    </row>
    <row r="430" spans="1:10" x14ac:dyDescent="0.3">
      <c r="A430" s="1">
        <v>41839</v>
      </c>
      <c r="B430" s="1">
        <v>41862</v>
      </c>
      <c r="C430">
        <v>2.0099999999999998</v>
      </c>
      <c r="D430">
        <v>0.05</v>
      </c>
      <c r="E430">
        <v>6</v>
      </c>
      <c r="F430">
        <f t="shared" si="30"/>
        <v>0</v>
      </c>
      <c r="G430">
        <f t="shared" si="31"/>
        <v>0</v>
      </c>
      <c r="H430">
        <f t="shared" si="32"/>
        <v>0</v>
      </c>
      <c r="I430">
        <f t="shared" si="33"/>
        <v>0</v>
      </c>
      <c r="J430">
        <f t="shared" si="34"/>
        <v>1</v>
      </c>
    </row>
    <row r="431" spans="1:10" x14ac:dyDescent="0.3">
      <c r="A431" s="1">
        <v>41839</v>
      </c>
      <c r="B431" s="1">
        <v>41862</v>
      </c>
      <c r="C431">
        <v>13.81</v>
      </c>
      <c r="D431">
        <v>0.36</v>
      </c>
      <c r="E431">
        <v>3</v>
      </c>
      <c r="F431">
        <f t="shared" si="30"/>
        <v>0</v>
      </c>
      <c r="G431">
        <f t="shared" si="31"/>
        <v>1</v>
      </c>
      <c r="H431">
        <f t="shared" si="32"/>
        <v>0</v>
      </c>
      <c r="I431">
        <f t="shared" si="33"/>
        <v>0</v>
      </c>
      <c r="J431">
        <f t="shared" si="34"/>
        <v>0</v>
      </c>
    </row>
    <row r="432" spans="1:10" x14ac:dyDescent="0.3">
      <c r="A432" s="1">
        <v>41841</v>
      </c>
      <c r="B432" s="1">
        <v>41868</v>
      </c>
      <c r="C432">
        <v>8.7200000000000006</v>
      </c>
      <c r="D432">
        <v>0.23</v>
      </c>
      <c r="E432">
        <v>2</v>
      </c>
      <c r="F432">
        <f t="shared" si="30"/>
        <v>1</v>
      </c>
      <c r="G432">
        <f t="shared" si="31"/>
        <v>0</v>
      </c>
      <c r="H432">
        <f t="shared" si="32"/>
        <v>0</v>
      </c>
      <c r="I432">
        <f t="shared" si="33"/>
        <v>0</v>
      </c>
      <c r="J432">
        <f t="shared" si="34"/>
        <v>0</v>
      </c>
    </row>
    <row r="433" spans="1:10" x14ac:dyDescent="0.3">
      <c r="A433" s="1">
        <v>41841</v>
      </c>
      <c r="B433" s="1">
        <v>41859</v>
      </c>
      <c r="C433">
        <v>11.44</v>
      </c>
      <c r="D433">
        <v>0.3</v>
      </c>
      <c r="E433">
        <v>3</v>
      </c>
      <c r="F433">
        <f t="shared" si="30"/>
        <v>0</v>
      </c>
      <c r="G433">
        <f t="shared" si="31"/>
        <v>1</v>
      </c>
      <c r="H433">
        <f t="shared" si="32"/>
        <v>0</v>
      </c>
      <c r="I433">
        <f t="shared" si="33"/>
        <v>0</v>
      </c>
      <c r="J433">
        <f t="shared" si="34"/>
        <v>0</v>
      </c>
    </row>
    <row r="434" spans="1:10" x14ac:dyDescent="0.3">
      <c r="A434" s="1">
        <v>41841</v>
      </c>
      <c r="B434" s="1">
        <v>41854</v>
      </c>
      <c r="C434">
        <v>3.94</v>
      </c>
      <c r="D434">
        <v>0.1</v>
      </c>
      <c r="E434">
        <v>2</v>
      </c>
      <c r="F434">
        <f t="shared" si="30"/>
        <v>1</v>
      </c>
      <c r="G434">
        <f t="shared" si="31"/>
        <v>0</v>
      </c>
      <c r="H434">
        <f t="shared" si="32"/>
        <v>0</v>
      </c>
      <c r="I434">
        <f t="shared" si="33"/>
        <v>0</v>
      </c>
      <c r="J434">
        <f t="shared" si="34"/>
        <v>0</v>
      </c>
    </row>
    <row r="435" spans="1:10" x14ac:dyDescent="0.3">
      <c r="A435" s="1">
        <v>41845</v>
      </c>
      <c r="B435" s="1">
        <v>41871</v>
      </c>
      <c r="C435">
        <v>9.4600000000000009</v>
      </c>
      <c r="D435">
        <v>0.25</v>
      </c>
      <c r="E435">
        <v>3</v>
      </c>
      <c r="F435">
        <f t="shared" si="30"/>
        <v>0</v>
      </c>
      <c r="G435">
        <f t="shared" si="31"/>
        <v>1</v>
      </c>
      <c r="H435">
        <f t="shared" si="32"/>
        <v>0</v>
      </c>
      <c r="I435">
        <f t="shared" si="33"/>
        <v>0</v>
      </c>
      <c r="J435">
        <f t="shared" si="34"/>
        <v>0</v>
      </c>
    </row>
    <row r="436" spans="1:10" x14ac:dyDescent="0.3">
      <c r="A436" s="1">
        <v>41845</v>
      </c>
      <c r="B436" s="1">
        <v>41853</v>
      </c>
      <c r="C436">
        <v>11.69</v>
      </c>
      <c r="D436">
        <v>0.31</v>
      </c>
      <c r="E436">
        <v>4</v>
      </c>
      <c r="F436">
        <f t="shared" si="30"/>
        <v>0</v>
      </c>
      <c r="G436">
        <f t="shared" si="31"/>
        <v>0</v>
      </c>
      <c r="H436">
        <f t="shared" si="32"/>
        <v>1</v>
      </c>
      <c r="I436">
        <f t="shared" si="33"/>
        <v>0</v>
      </c>
      <c r="J436">
        <f t="shared" si="34"/>
        <v>0</v>
      </c>
    </row>
    <row r="437" spans="1:10" x14ac:dyDescent="0.3">
      <c r="A437" s="1">
        <v>41845</v>
      </c>
      <c r="B437" s="1">
        <v>41870</v>
      </c>
      <c r="C437">
        <v>8.83</v>
      </c>
      <c r="D437">
        <v>0.23</v>
      </c>
      <c r="E437">
        <v>2</v>
      </c>
      <c r="F437">
        <f t="shared" si="30"/>
        <v>1</v>
      </c>
      <c r="G437">
        <f t="shared" si="31"/>
        <v>0</v>
      </c>
      <c r="H437">
        <f t="shared" si="32"/>
        <v>0</v>
      </c>
      <c r="I437">
        <f t="shared" si="33"/>
        <v>0</v>
      </c>
      <c r="J437">
        <f t="shared" si="34"/>
        <v>0</v>
      </c>
    </row>
    <row r="438" spans="1:10" x14ac:dyDescent="0.3">
      <c r="A438" s="1">
        <v>41845</v>
      </c>
      <c r="B438" s="1">
        <v>41866</v>
      </c>
      <c r="C438">
        <v>8.83</v>
      </c>
      <c r="D438">
        <v>0.23</v>
      </c>
      <c r="E438">
        <v>6</v>
      </c>
      <c r="F438">
        <f t="shared" si="30"/>
        <v>0</v>
      </c>
      <c r="G438">
        <f t="shared" si="31"/>
        <v>0</v>
      </c>
      <c r="H438">
        <f t="shared" si="32"/>
        <v>0</v>
      </c>
      <c r="I438">
        <f t="shared" si="33"/>
        <v>0</v>
      </c>
      <c r="J438">
        <f t="shared" si="34"/>
        <v>1</v>
      </c>
    </row>
    <row r="439" spans="1:10" x14ac:dyDescent="0.3">
      <c r="A439" s="1">
        <v>41845</v>
      </c>
      <c r="B439" s="1">
        <v>41866</v>
      </c>
      <c r="C439">
        <v>9.1300000000000008</v>
      </c>
      <c r="D439">
        <v>0.24</v>
      </c>
      <c r="E439">
        <v>4</v>
      </c>
      <c r="F439">
        <f t="shared" si="30"/>
        <v>0</v>
      </c>
      <c r="G439">
        <f t="shared" si="31"/>
        <v>0</v>
      </c>
      <c r="H439">
        <f t="shared" si="32"/>
        <v>1</v>
      </c>
      <c r="I439">
        <f t="shared" si="33"/>
        <v>0</v>
      </c>
      <c r="J439">
        <f t="shared" si="34"/>
        <v>0</v>
      </c>
    </row>
    <row r="440" spans="1:10" x14ac:dyDescent="0.3">
      <c r="A440" s="1">
        <v>41845</v>
      </c>
      <c r="B440" s="1">
        <v>41873</v>
      </c>
      <c r="C440">
        <v>9.06</v>
      </c>
      <c r="D440">
        <v>0.24</v>
      </c>
      <c r="E440">
        <v>5</v>
      </c>
      <c r="F440">
        <f t="shared" si="30"/>
        <v>0</v>
      </c>
      <c r="G440">
        <f t="shared" si="31"/>
        <v>0</v>
      </c>
      <c r="H440">
        <f t="shared" si="32"/>
        <v>0</v>
      </c>
      <c r="I440">
        <f t="shared" si="33"/>
        <v>1</v>
      </c>
      <c r="J440">
        <f t="shared" si="34"/>
        <v>0</v>
      </c>
    </row>
    <row r="441" spans="1:10" x14ac:dyDescent="0.3">
      <c r="A441" s="1">
        <v>41851</v>
      </c>
      <c r="B441" s="1">
        <v>41873</v>
      </c>
      <c r="C441">
        <v>10.19</v>
      </c>
      <c r="D441">
        <v>0.27</v>
      </c>
      <c r="E441">
        <v>5</v>
      </c>
      <c r="F441">
        <f t="shared" si="30"/>
        <v>0</v>
      </c>
      <c r="G441">
        <f t="shared" si="31"/>
        <v>0</v>
      </c>
      <c r="H441">
        <f t="shared" si="32"/>
        <v>0</v>
      </c>
      <c r="I441">
        <f t="shared" si="33"/>
        <v>1</v>
      </c>
      <c r="J441">
        <f t="shared" si="34"/>
        <v>0</v>
      </c>
    </row>
    <row r="442" spans="1:10" x14ac:dyDescent="0.3">
      <c r="A442" s="1">
        <v>41851</v>
      </c>
      <c r="B442" s="1">
        <v>41872</v>
      </c>
      <c r="C442">
        <v>14</v>
      </c>
      <c r="D442">
        <v>0.37</v>
      </c>
      <c r="E442">
        <v>4</v>
      </c>
      <c r="F442">
        <f t="shared" si="30"/>
        <v>0</v>
      </c>
      <c r="G442">
        <f t="shared" si="31"/>
        <v>0</v>
      </c>
      <c r="H442">
        <f t="shared" si="32"/>
        <v>1</v>
      </c>
      <c r="I442">
        <f t="shared" si="33"/>
        <v>0</v>
      </c>
      <c r="J442">
        <f t="shared" si="34"/>
        <v>0</v>
      </c>
    </row>
    <row r="443" spans="1:10" x14ac:dyDescent="0.3">
      <c r="A443" s="1">
        <v>41851</v>
      </c>
      <c r="B443" s="1">
        <v>41858</v>
      </c>
      <c r="C443">
        <v>11.44</v>
      </c>
      <c r="D443">
        <v>0.3</v>
      </c>
      <c r="E443">
        <v>5</v>
      </c>
      <c r="F443">
        <f t="shared" si="30"/>
        <v>0</v>
      </c>
      <c r="G443">
        <f t="shared" si="31"/>
        <v>0</v>
      </c>
      <c r="H443">
        <f t="shared" si="32"/>
        <v>0</v>
      </c>
      <c r="I443">
        <f t="shared" si="33"/>
        <v>1</v>
      </c>
      <c r="J443">
        <f t="shared" si="34"/>
        <v>0</v>
      </c>
    </row>
    <row r="444" spans="1:10" x14ac:dyDescent="0.3">
      <c r="A444" s="1">
        <v>41851</v>
      </c>
      <c r="B444" s="1">
        <v>41871</v>
      </c>
      <c r="C444">
        <v>7.31</v>
      </c>
      <c r="D444">
        <v>0.19</v>
      </c>
      <c r="E444">
        <v>2</v>
      </c>
      <c r="F444">
        <f t="shared" si="30"/>
        <v>1</v>
      </c>
      <c r="G444">
        <f t="shared" si="31"/>
        <v>0</v>
      </c>
      <c r="H444">
        <f t="shared" si="32"/>
        <v>0</v>
      </c>
      <c r="I444">
        <f t="shared" si="33"/>
        <v>0</v>
      </c>
      <c r="J444">
        <f t="shared" si="34"/>
        <v>0</v>
      </c>
    </row>
    <row r="445" spans="1:10" x14ac:dyDescent="0.3">
      <c r="A445" s="1">
        <v>41851</v>
      </c>
      <c r="B445" s="1">
        <v>41863</v>
      </c>
      <c r="C445">
        <v>9.4600000000000009</v>
      </c>
      <c r="D445">
        <v>0.25</v>
      </c>
      <c r="E445">
        <v>2</v>
      </c>
      <c r="F445">
        <f t="shared" si="30"/>
        <v>1</v>
      </c>
      <c r="G445">
        <f t="shared" si="31"/>
        <v>0</v>
      </c>
      <c r="H445">
        <f t="shared" si="32"/>
        <v>0</v>
      </c>
      <c r="I445">
        <f t="shared" si="33"/>
        <v>0</v>
      </c>
      <c r="J445">
        <f t="shared" si="34"/>
        <v>0</v>
      </c>
    </row>
    <row r="446" spans="1:10" x14ac:dyDescent="0.3">
      <c r="A446" s="1">
        <v>41851</v>
      </c>
      <c r="B446" s="1">
        <v>41856</v>
      </c>
      <c r="C446">
        <v>8.83</v>
      </c>
      <c r="D446">
        <v>0.23</v>
      </c>
      <c r="E446">
        <v>3</v>
      </c>
      <c r="F446">
        <f t="shared" si="30"/>
        <v>0</v>
      </c>
      <c r="G446">
        <f t="shared" si="31"/>
        <v>1</v>
      </c>
      <c r="H446">
        <f t="shared" si="32"/>
        <v>0</v>
      </c>
      <c r="I446">
        <f t="shared" si="33"/>
        <v>0</v>
      </c>
      <c r="J446">
        <f t="shared" si="34"/>
        <v>0</v>
      </c>
    </row>
    <row r="447" spans="1:10" x14ac:dyDescent="0.3">
      <c r="A447" s="1">
        <v>41851</v>
      </c>
      <c r="B447" s="1">
        <v>41855</v>
      </c>
      <c r="C447">
        <v>6.88</v>
      </c>
      <c r="D447">
        <v>0.18</v>
      </c>
      <c r="E447">
        <v>2</v>
      </c>
      <c r="F447">
        <f t="shared" si="30"/>
        <v>1</v>
      </c>
      <c r="G447">
        <f t="shared" si="31"/>
        <v>0</v>
      </c>
      <c r="H447">
        <f t="shared" si="32"/>
        <v>0</v>
      </c>
      <c r="I447">
        <f t="shared" si="33"/>
        <v>0</v>
      </c>
      <c r="J447">
        <f t="shared" si="34"/>
        <v>0</v>
      </c>
    </row>
    <row r="448" spans="1:10" x14ac:dyDescent="0.3">
      <c r="A448" s="1">
        <v>41851</v>
      </c>
      <c r="B448" s="1">
        <v>41853</v>
      </c>
      <c r="C448">
        <v>6.75</v>
      </c>
      <c r="D448">
        <v>0.18</v>
      </c>
      <c r="E448">
        <v>3</v>
      </c>
      <c r="F448">
        <f t="shared" si="30"/>
        <v>0</v>
      </c>
      <c r="G448">
        <f t="shared" si="31"/>
        <v>1</v>
      </c>
      <c r="H448">
        <f t="shared" si="32"/>
        <v>0</v>
      </c>
      <c r="I448">
        <f t="shared" si="33"/>
        <v>0</v>
      </c>
      <c r="J448">
        <f t="shared" si="34"/>
        <v>0</v>
      </c>
    </row>
    <row r="449" spans="1:10" x14ac:dyDescent="0.3">
      <c r="A449" s="1">
        <v>41851</v>
      </c>
      <c r="B449" s="1">
        <v>41869</v>
      </c>
      <c r="C449">
        <v>19.54</v>
      </c>
      <c r="D449">
        <v>0.51</v>
      </c>
      <c r="E449">
        <v>3</v>
      </c>
      <c r="F449">
        <f t="shared" si="30"/>
        <v>0</v>
      </c>
      <c r="G449">
        <f t="shared" si="31"/>
        <v>1</v>
      </c>
      <c r="H449">
        <f t="shared" si="32"/>
        <v>0</v>
      </c>
      <c r="I449">
        <f t="shared" si="33"/>
        <v>0</v>
      </c>
      <c r="J449">
        <f t="shared" si="34"/>
        <v>0</v>
      </c>
    </row>
    <row r="450" spans="1:10" x14ac:dyDescent="0.3">
      <c r="A450" s="1">
        <v>41851</v>
      </c>
      <c r="B450" s="1">
        <v>41856</v>
      </c>
      <c r="C450">
        <v>14.31</v>
      </c>
      <c r="D450">
        <v>0.38</v>
      </c>
      <c r="E450">
        <v>6</v>
      </c>
      <c r="F450">
        <f t="shared" si="30"/>
        <v>0</v>
      </c>
      <c r="G450">
        <f t="shared" si="31"/>
        <v>0</v>
      </c>
      <c r="H450">
        <f t="shared" si="32"/>
        <v>0</v>
      </c>
      <c r="I450">
        <f t="shared" si="33"/>
        <v>0</v>
      </c>
      <c r="J450">
        <f t="shared" si="34"/>
        <v>1</v>
      </c>
    </row>
    <row r="451" spans="1:10" x14ac:dyDescent="0.3">
      <c r="A451" s="1">
        <v>41851</v>
      </c>
      <c r="B451" s="1">
        <v>41870</v>
      </c>
      <c r="C451">
        <v>3.79</v>
      </c>
      <c r="D451">
        <v>0.1</v>
      </c>
      <c r="E451">
        <v>2</v>
      </c>
      <c r="F451">
        <f t="shared" ref="F451:F514" si="35">IF(EXACT(E451,2),1,0)</f>
        <v>1</v>
      </c>
      <c r="G451">
        <f t="shared" ref="G451:G514" si="36">IF(EXACT(E451,3),1,0)</f>
        <v>0</v>
      </c>
      <c r="H451">
        <f t="shared" ref="H451:H514" si="37">IF(EXACT(E451,4),1,0)</f>
        <v>0</v>
      </c>
      <c r="I451">
        <f t="shared" ref="I451:I514" si="38">IF(EXACT(E451,5),1,0)</f>
        <v>0</v>
      </c>
      <c r="J451">
        <f t="shared" ref="J451:J514" si="39">IF(EXACT(E451,6),1,0)</f>
        <v>0</v>
      </c>
    </row>
    <row r="452" spans="1:10" x14ac:dyDescent="0.3">
      <c r="A452" s="1">
        <v>41851</v>
      </c>
      <c r="B452" s="1">
        <v>41868</v>
      </c>
      <c r="C452">
        <v>8.89</v>
      </c>
      <c r="D452">
        <v>0.23</v>
      </c>
      <c r="E452">
        <v>5</v>
      </c>
      <c r="F452">
        <f t="shared" si="35"/>
        <v>0</v>
      </c>
      <c r="G452">
        <f t="shared" si="36"/>
        <v>0</v>
      </c>
      <c r="H452">
        <f t="shared" si="37"/>
        <v>0</v>
      </c>
      <c r="I452">
        <f t="shared" si="38"/>
        <v>1</v>
      </c>
      <c r="J452">
        <f t="shared" si="39"/>
        <v>0</v>
      </c>
    </row>
    <row r="453" spans="1:10" x14ac:dyDescent="0.3">
      <c r="A453" s="1">
        <v>41851</v>
      </c>
      <c r="B453" s="1">
        <v>41867</v>
      </c>
      <c r="C453">
        <v>7.71</v>
      </c>
      <c r="D453">
        <v>0.2</v>
      </c>
      <c r="E453">
        <v>5</v>
      </c>
      <c r="F453">
        <f t="shared" si="35"/>
        <v>0</v>
      </c>
      <c r="G453">
        <f t="shared" si="36"/>
        <v>0</v>
      </c>
      <c r="H453">
        <f t="shared" si="37"/>
        <v>0</v>
      </c>
      <c r="I453">
        <f t="shared" si="38"/>
        <v>1</v>
      </c>
      <c r="J453">
        <f t="shared" si="39"/>
        <v>0</v>
      </c>
    </row>
    <row r="454" spans="1:10" x14ac:dyDescent="0.3">
      <c r="A454" s="1">
        <v>41851</v>
      </c>
      <c r="B454" s="1">
        <v>41864</v>
      </c>
      <c r="C454">
        <v>16.829999999999998</v>
      </c>
      <c r="D454">
        <v>0.44</v>
      </c>
      <c r="E454">
        <v>6</v>
      </c>
      <c r="F454">
        <f t="shared" si="35"/>
        <v>0</v>
      </c>
      <c r="G454">
        <f t="shared" si="36"/>
        <v>0</v>
      </c>
      <c r="H454">
        <f t="shared" si="37"/>
        <v>0</v>
      </c>
      <c r="I454">
        <f t="shared" si="38"/>
        <v>0</v>
      </c>
      <c r="J454">
        <f t="shared" si="39"/>
        <v>1</v>
      </c>
    </row>
    <row r="455" spans="1:10" x14ac:dyDescent="0.3">
      <c r="A455" s="1">
        <v>41851</v>
      </c>
      <c r="B455" s="1">
        <v>41857</v>
      </c>
      <c r="C455">
        <v>5.23</v>
      </c>
      <c r="D455">
        <v>0.14000000000000001</v>
      </c>
      <c r="E455">
        <v>6</v>
      </c>
      <c r="F455">
        <f t="shared" si="35"/>
        <v>0</v>
      </c>
      <c r="G455">
        <f t="shared" si="36"/>
        <v>0</v>
      </c>
      <c r="H455">
        <f t="shared" si="37"/>
        <v>0</v>
      </c>
      <c r="I455">
        <f t="shared" si="38"/>
        <v>0</v>
      </c>
      <c r="J455">
        <f t="shared" si="39"/>
        <v>1</v>
      </c>
    </row>
    <row r="456" spans="1:10" x14ac:dyDescent="0.3">
      <c r="A456" s="1">
        <v>41851</v>
      </c>
      <c r="B456" s="1">
        <v>41853</v>
      </c>
      <c r="C456">
        <v>10.79</v>
      </c>
      <c r="D456">
        <v>0.28000000000000003</v>
      </c>
      <c r="E456">
        <v>5</v>
      </c>
      <c r="F456">
        <f t="shared" si="35"/>
        <v>0</v>
      </c>
      <c r="G456">
        <f t="shared" si="36"/>
        <v>0</v>
      </c>
      <c r="H456">
        <f t="shared" si="37"/>
        <v>0</v>
      </c>
      <c r="I456">
        <f t="shared" si="38"/>
        <v>1</v>
      </c>
      <c r="J456">
        <f t="shared" si="39"/>
        <v>0</v>
      </c>
    </row>
    <row r="457" spans="1:10" x14ac:dyDescent="0.3">
      <c r="A457" s="1">
        <v>41851</v>
      </c>
      <c r="B457" s="1">
        <v>41868</v>
      </c>
      <c r="C457">
        <v>12.23</v>
      </c>
      <c r="D457">
        <v>0.32</v>
      </c>
      <c r="E457">
        <v>2</v>
      </c>
      <c r="F457">
        <f t="shared" si="35"/>
        <v>1</v>
      </c>
      <c r="G457">
        <f t="shared" si="36"/>
        <v>0</v>
      </c>
      <c r="H457">
        <f t="shared" si="37"/>
        <v>0</v>
      </c>
      <c r="I457">
        <f t="shared" si="38"/>
        <v>0</v>
      </c>
      <c r="J457">
        <f t="shared" si="39"/>
        <v>0</v>
      </c>
    </row>
    <row r="458" spans="1:10" x14ac:dyDescent="0.3">
      <c r="A458" s="1">
        <v>41851</v>
      </c>
      <c r="B458" s="1">
        <v>41870</v>
      </c>
      <c r="C458">
        <v>5.78</v>
      </c>
      <c r="D458">
        <v>0.15</v>
      </c>
      <c r="E458">
        <v>6</v>
      </c>
      <c r="F458">
        <f t="shared" si="35"/>
        <v>0</v>
      </c>
      <c r="G458">
        <f t="shared" si="36"/>
        <v>0</v>
      </c>
      <c r="H458">
        <f t="shared" si="37"/>
        <v>0</v>
      </c>
      <c r="I458">
        <f t="shared" si="38"/>
        <v>0</v>
      </c>
      <c r="J458">
        <f t="shared" si="39"/>
        <v>1</v>
      </c>
    </row>
    <row r="459" spans="1:10" x14ac:dyDescent="0.3">
      <c r="A459" s="1">
        <v>41857</v>
      </c>
      <c r="B459" s="1">
        <v>41865</v>
      </c>
      <c r="C459">
        <v>5.23</v>
      </c>
      <c r="D459">
        <v>0.14000000000000001</v>
      </c>
      <c r="E459">
        <v>3</v>
      </c>
      <c r="F459">
        <f t="shared" si="35"/>
        <v>0</v>
      </c>
      <c r="G459">
        <f t="shared" si="36"/>
        <v>1</v>
      </c>
      <c r="H459">
        <f t="shared" si="37"/>
        <v>0</v>
      </c>
      <c r="I459">
        <f t="shared" si="38"/>
        <v>0</v>
      </c>
      <c r="J459">
        <f t="shared" si="39"/>
        <v>0</v>
      </c>
    </row>
    <row r="460" spans="1:10" x14ac:dyDescent="0.3">
      <c r="A460" s="1">
        <v>41857</v>
      </c>
      <c r="B460" s="1">
        <v>41868</v>
      </c>
      <c r="C460">
        <v>9.06</v>
      </c>
      <c r="D460">
        <v>0.24</v>
      </c>
      <c r="E460">
        <v>2</v>
      </c>
      <c r="F460">
        <f t="shared" si="35"/>
        <v>1</v>
      </c>
      <c r="G460">
        <f t="shared" si="36"/>
        <v>0</v>
      </c>
      <c r="H460">
        <f t="shared" si="37"/>
        <v>0</v>
      </c>
      <c r="I460">
        <f t="shared" si="38"/>
        <v>0</v>
      </c>
      <c r="J460">
        <f t="shared" si="39"/>
        <v>0</v>
      </c>
    </row>
    <row r="461" spans="1:10" x14ac:dyDescent="0.3">
      <c r="A461" s="1">
        <v>41857</v>
      </c>
      <c r="B461" s="1">
        <v>41885</v>
      </c>
      <c r="C461">
        <v>12.23</v>
      </c>
      <c r="D461">
        <v>0.32</v>
      </c>
      <c r="E461">
        <v>4</v>
      </c>
      <c r="F461">
        <f t="shared" si="35"/>
        <v>0</v>
      </c>
      <c r="G461">
        <f t="shared" si="36"/>
        <v>0</v>
      </c>
      <c r="H461">
        <f t="shared" si="37"/>
        <v>1</v>
      </c>
      <c r="I461">
        <f t="shared" si="38"/>
        <v>0</v>
      </c>
      <c r="J461">
        <f t="shared" si="39"/>
        <v>0</v>
      </c>
    </row>
    <row r="462" spans="1:10" x14ac:dyDescent="0.3">
      <c r="A462" s="1">
        <v>41857</v>
      </c>
      <c r="B462" s="1">
        <v>41881</v>
      </c>
      <c r="C462">
        <v>8.83</v>
      </c>
      <c r="D462">
        <v>0.23</v>
      </c>
      <c r="E462">
        <v>4</v>
      </c>
      <c r="F462">
        <f t="shared" si="35"/>
        <v>0</v>
      </c>
      <c r="G462">
        <f t="shared" si="36"/>
        <v>0</v>
      </c>
      <c r="H462">
        <f t="shared" si="37"/>
        <v>1</v>
      </c>
      <c r="I462">
        <f t="shared" si="38"/>
        <v>0</v>
      </c>
      <c r="J462">
        <f t="shared" si="39"/>
        <v>0</v>
      </c>
    </row>
    <row r="463" spans="1:10" x14ac:dyDescent="0.3">
      <c r="A463" s="1">
        <v>41857</v>
      </c>
      <c r="B463" s="1">
        <v>41876</v>
      </c>
      <c r="C463">
        <v>10.93</v>
      </c>
      <c r="D463">
        <v>0.28999999999999998</v>
      </c>
      <c r="E463">
        <v>5</v>
      </c>
      <c r="F463">
        <f t="shared" si="35"/>
        <v>0</v>
      </c>
      <c r="G463">
        <f t="shared" si="36"/>
        <v>0</v>
      </c>
      <c r="H463">
        <f t="shared" si="37"/>
        <v>0</v>
      </c>
      <c r="I463">
        <f t="shared" si="38"/>
        <v>1</v>
      </c>
      <c r="J463">
        <f t="shared" si="39"/>
        <v>0</v>
      </c>
    </row>
    <row r="464" spans="1:10" x14ac:dyDescent="0.3">
      <c r="A464" s="1">
        <v>41860</v>
      </c>
      <c r="B464" s="1">
        <v>41874</v>
      </c>
      <c r="C464">
        <v>3.94</v>
      </c>
      <c r="D464">
        <v>0.1</v>
      </c>
      <c r="E464">
        <v>2</v>
      </c>
      <c r="F464">
        <f t="shared" si="35"/>
        <v>1</v>
      </c>
      <c r="G464">
        <f t="shared" si="36"/>
        <v>0</v>
      </c>
      <c r="H464">
        <f t="shared" si="37"/>
        <v>0</v>
      </c>
      <c r="I464">
        <f t="shared" si="38"/>
        <v>0</v>
      </c>
      <c r="J464">
        <f t="shared" si="39"/>
        <v>0</v>
      </c>
    </row>
    <row r="465" spans="1:10" x14ac:dyDescent="0.3">
      <c r="A465" s="1">
        <v>41863</v>
      </c>
      <c r="B465" s="1">
        <v>41885</v>
      </c>
      <c r="C465">
        <v>19.54</v>
      </c>
      <c r="D465">
        <v>0.51</v>
      </c>
      <c r="E465">
        <v>6</v>
      </c>
      <c r="F465">
        <f t="shared" si="35"/>
        <v>0</v>
      </c>
      <c r="G465">
        <f t="shared" si="36"/>
        <v>0</v>
      </c>
      <c r="H465">
        <f t="shared" si="37"/>
        <v>0</v>
      </c>
      <c r="I465">
        <f t="shared" si="38"/>
        <v>0</v>
      </c>
      <c r="J465">
        <f t="shared" si="39"/>
        <v>1</v>
      </c>
    </row>
    <row r="466" spans="1:10" x14ac:dyDescent="0.3">
      <c r="A466" s="1">
        <v>41863</v>
      </c>
      <c r="B466" s="1">
        <v>41872</v>
      </c>
      <c r="C466">
        <v>6.75</v>
      </c>
      <c r="D466">
        <v>0.18</v>
      </c>
      <c r="E466">
        <v>2</v>
      </c>
      <c r="F466">
        <f t="shared" si="35"/>
        <v>1</v>
      </c>
      <c r="G466">
        <f t="shared" si="36"/>
        <v>0</v>
      </c>
      <c r="H466">
        <f t="shared" si="37"/>
        <v>0</v>
      </c>
      <c r="I466">
        <f t="shared" si="38"/>
        <v>0</v>
      </c>
      <c r="J466">
        <f t="shared" si="39"/>
        <v>0</v>
      </c>
    </row>
    <row r="467" spans="1:10" x14ac:dyDescent="0.3">
      <c r="A467" s="1">
        <v>41863</v>
      </c>
      <c r="B467" s="1">
        <v>41888</v>
      </c>
      <c r="C467">
        <v>7.55</v>
      </c>
      <c r="D467">
        <v>0.2</v>
      </c>
      <c r="E467">
        <v>5</v>
      </c>
      <c r="F467">
        <f t="shared" si="35"/>
        <v>0</v>
      </c>
      <c r="G467">
        <f t="shared" si="36"/>
        <v>0</v>
      </c>
      <c r="H467">
        <f t="shared" si="37"/>
        <v>0</v>
      </c>
      <c r="I467">
        <f t="shared" si="38"/>
        <v>1</v>
      </c>
      <c r="J467">
        <f t="shared" si="39"/>
        <v>0</v>
      </c>
    </row>
    <row r="468" spans="1:10" x14ac:dyDescent="0.3">
      <c r="A468" s="1">
        <v>41863</v>
      </c>
      <c r="B468" s="1">
        <v>41886</v>
      </c>
      <c r="C468">
        <v>3.73</v>
      </c>
      <c r="D468">
        <v>0.1</v>
      </c>
      <c r="E468">
        <v>5</v>
      </c>
      <c r="F468">
        <f t="shared" si="35"/>
        <v>0</v>
      </c>
      <c r="G468">
        <f t="shared" si="36"/>
        <v>0</v>
      </c>
      <c r="H468">
        <f t="shared" si="37"/>
        <v>0</v>
      </c>
      <c r="I468">
        <f t="shared" si="38"/>
        <v>1</v>
      </c>
      <c r="J468">
        <f t="shared" si="39"/>
        <v>0</v>
      </c>
    </row>
    <row r="469" spans="1:10" x14ac:dyDescent="0.3">
      <c r="A469" s="1">
        <v>41863</v>
      </c>
      <c r="B469" s="1">
        <v>41874</v>
      </c>
      <c r="C469">
        <v>8.51</v>
      </c>
      <c r="D469">
        <v>0.22</v>
      </c>
      <c r="E469">
        <v>2</v>
      </c>
      <c r="F469">
        <f t="shared" si="35"/>
        <v>1</v>
      </c>
      <c r="G469">
        <f t="shared" si="36"/>
        <v>0</v>
      </c>
      <c r="H469">
        <f t="shared" si="37"/>
        <v>0</v>
      </c>
      <c r="I469">
        <f t="shared" si="38"/>
        <v>0</v>
      </c>
      <c r="J469">
        <f t="shared" si="39"/>
        <v>0</v>
      </c>
    </row>
    <row r="470" spans="1:10" x14ac:dyDescent="0.3">
      <c r="A470" s="1">
        <v>41863</v>
      </c>
      <c r="B470" s="1">
        <v>41878</v>
      </c>
      <c r="C470">
        <v>6.88</v>
      </c>
      <c r="D470">
        <v>0.18</v>
      </c>
      <c r="E470">
        <v>3</v>
      </c>
      <c r="F470">
        <f t="shared" si="35"/>
        <v>0</v>
      </c>
      <c r="G470">
        <f t="shared" si="36"/>
        <v>1</v>
      </c>
      <c r="H470">
        <f t="shared" si="37"/>
        <v>0</v>
      </c>
      <c r="I470">
        <f t="shared" si="38"/>
        <v>0</v>
      </c>
      <c r="J470">
        <f t="shared" si="39"/>
        <v>0</v>
      </c>
    </row>
    <row r="471" spans="1:10" x14ac:dyDescent="0.3">
      <c r="A471" s="1">
        <v>41863</v>
      </c>
      <c r="B471" s="1">
        <v>41874</v>
      </c>
      <c r="C471">
        <v>6.75</v>
      </c>
      <c r="D471">
        <v>0.18</v>
      </c>
      <c r="E471">
        <v>4</v>
      </c>
      <c r="F471">
        <f t="shared" si="35"/>
        <v>0</v>
      </c>
      <c r="G471">
        <f t="shared" si="36"/>
        <v>0</v>
      </c>
      <c r="H471">
        <f t="shared" si="37"/>
        <v>1</v>
      </c>
      <c r="I471">
        <f t="shared" si="38"/>
        <v>0</v>
      </c>
      <c r="J471">
        <f t="shared" si="39"/>
        <v>0</v>
      </c>
    </row>
    <row r="472" spans="1:10" x14ac:dyDescent="0.3">
      <c r="A472" s="1">
        <v>41863</v>
      </c>
      <c r="B472" s="1">
        <v>41875</v>
      </c>
      <c r="C472">
        <v>11.42</v>
      </c>
      <c r="D472">
        <v>0.3</v>
      </c>
      <c r="E472">
        <v>5</v>
      </c>
      <c r="F472">
        <f t="shared" si="35"/>
        <v>0</v>
      </c>
      <c r="G472">
        <f t="shared" si="36"/>
        <v>0</v>
      </c>
      <c r="H472">
        <f t="shared" si="37"/>
        <v>0</v>
      </c>
      <c r="I472">
        <f t="shared" si="38"/>
        <v>1</v>
      </c>
      <c r="J472">
        <f t="shared" si="39"/>
        <v>0</v>
      </c>
    </row>
    <row r="473" spans="1:10" x14ac:dyDescent="0.3">
      <c r="A473" s="1">
        <v>41863</v>
      </c>
      <c r="B473" s="1">
        <v>41866</v>
      </c>
      <c r="C473">
        <v>16.940000000000001</v>
      </c>
      <c r="D473">
        <v>0.45</v>
      </c>
      <c r="E473">
        <v>3</v>
      </c>
      <c r="F473">
        <f t="shared" si="35"/>
        <v>0</v>
      </c>
      <c r="G473">
        <f t="shared" si="36"/>
        <v>1</v>
      </c>
      <c r="H473">
        <f t="shared" si="37"/>
        <v>0</v>
      </c>
      <c r="I473">
        <f t="shared" si="38"/>
        <v>0</v>
      </c>
      <c r="J473">
        <f t="shared" si="39"/>
        <v>0</v>
      </c>
    </row>
    <row r="474" spans="1:10" x14ac:dyDescent="0.3">
      <c r="A474" s="1">
        <v>41863</v>
      </c>
      <c r="B474" s="1">
        <v>41867</v>
      </c>
      <c r="C474">
        <v>6.34</v>
      </c>
      <c r="D474">
        <v>0.17</v>
      </c>
      <c r="E474">
        <v>6</v>
      </c>
      <c r="F474">
        <f t="shared" si="35"/>
        <v>0</v>
      </c>
      <c r="G474">
        <f t="shared" si="36"/>
        <v>0</v>
      </c>
      <c r="H474">
        <f t="shared" si="37"/>
        <v>0</v>
      </c>
      <c r="I474">
        <f t="shared" si="38"/>
        <v>0</v>
      </c>
      <c r="J474">
        <f t="shared" si="39"/>
        <v>1</v>
      </c>
    </row>
    <row r="475" spans="1:10" x14ac:dyDescent="0.3">
      <c r="A475" s="1">
        <v>41863</v>
      </c>
      <c r="B475" s="1">
        <v>41870</v>
      </c>
      <c r="C475">
        <v>8.83</v>
      </c>
      <c r="D475">
        <v>0.23</v>
      </c>
      <c r="E475">
        <v>4</v>
      </c>
      <c r="F475">
        <f t="shared" si="35"/>
        <v>0</v>
      </c>
      <c r="G475">
        <f t="shared" si="36"/>
        <v>0</v>
      </c>
      <c r="H475">
        <f t="shared" si="37"/>
        <v>1</v>
      </c>
      <c r="I475">
        <f t="shared" si="38"/>
        <v>0</v>
      </c>
      <c r="J475">
        <f t="shared" si="39"/>
        <v>0</v>
      </c>
    </row>
    <row r="476" spans="1:10" x14ac:dyDescent="0.3">
      <c r="A476" s="1">
        <v>41863</v>
      </c>
      <c r="B476" s="1">
        <v>41876</v>
      </c>
      <c r="C476">
        <v>6.34</v>
      </c>
      <c r="D476">
        <v>0.17</v>
      </c>
      <c r="E476">
        <v>3</v>
      </c>
      <c r="F476">
        <f t="shared" si="35"/>
        <v>0</v>
      </c>
      <c r="G476">
        <f t="shared" si="36"/>
        <v>1</v>
      </c>
      <c r="H476">
        <f t="shared" si="37"/>
        <v>0</v>
      </c>
      <c r="I476">
        <f t="shared" si="38"/>
        <v>0</v>
      </c>
      <c r="J476">
        <f t="shared" si="39"/>
        <v>0</v>
      </c>
    </row>
    <row r="477" spans="1:10" x14ac:dyDescent="0.3">
      <c r="A477" s="1">
        <v>41863</v>
      </c>
      <c r="B477" s="1">
        <v>41880</v>
      </c>
      <c r="C477">
        <v>8.84</v>
      </c>
      <c r="D477">
        <v>0.23</v>
      </c>
      <c r="E477">
        <v>3</v>
      </c>
      <c r="F477">
        <f t="shared" si="35"/>
        <v>0</v>
      </c>
      <c r="G477">
        <f t="shared" si="36"/>
        <v>1</v>
      </c>
      <c r="H477">
        <f t="shared" si="37"/>
        <v>0</v>
      </c>
      <c r="I477">
        <f t="shared" si="38"/>
        <v>0</v>
      </c>
      <c r="J477">
        <f t="shared" si="39"/>
        <v>0</v>
      </c>
    </row>
    <row r="478" spans="1:10" x14ac:dyDescent="0.3">
      <c r="A478" s="1">
        <v>41863</v>
      </c>
      <c r="B478" s="1">
        <v>41869</v>
      </c>
      <c r="C478">
        <v>8.65</v>
      </c>
      <c r="D478">
        <v>0.23</v>
      </c>
      <c r="E478">
        <v>2</v>
      </c>
      <c r="F478">
        <f t="shared" si="35"/>
        <v>1</v>
      </c>
      <c r="G478">
        <f t="shared" si="36"/>
        <v>0</v>
      </c>
      <c r="H478">
        <f t="shared" si="37"/>
        <v>0</v>
      </c>
      <c r="I478">
        <f t="shared" si="38"/>
        <v>0</v>
      </c>
      <c r="J478">
        <f t="shared" si="39"/>
        <v>0</v>
      </c>
    </row>
    <row r="479" spans="1:10" x14ac:dyDescent="0.3">
      <c r="A479" s="1">
        <v>41863</v>
      </c>
      <c r="B479" s="1">
        <v>41887</v>
      </c>
      <c r="C479">
        <v>8.51</v>
      </c>
      <c r="D479">
        <v>0.22</v>
      </c>
      <c r="E479">
        <v>4</v>
      </c>
      <c r="F479">
        <f t="shared" si="35"/>
        <v>0</v>
      </c>
      <c r="G479">
        <f t="shared" si="36"/>
        <v>0</v>
      </c>
      <c r="H479">
        <f t="shared" si="37"/>
        <v>1</v>
      </c>
      <c r="I479">
        <f t="shared" si="38"/>
        <v>0</v>
      </c>
      <c r="J479">
        <f t="shared" si="39"/>
        <v>0</v>
      </c>
    </row>
    <row r="480" spans="1:10" x14ac:dyDescent="0.3">
      <c r="A480" s="1">
        <v>41863</v>
      </c>
      <c r="B480" s="1">
        <v>41890</v>
      </c>
      <c r="C480">
        <v>9.74</v>
      </c>
      <c r="D480">
        <v>0.26</v>
      </c>
      <c r="E480">
        <v>5</v>
      </c>
      <c r="F480">
        <f t="shared" si="35"/>
        <v>0</v>
      </c>
      <c r="G480">
        <f t="shared" si="36"/>
        <v>0</v>
      </c>
      <c r="H480">
        <f t="shared" si="37"/>
        <v>0</v>
      </c>
      <c r="I480">
        <f t="shared" si="38"/>
        <v>1</v>
      </c>
      <c r="J480">
        <f t="shared" si="39"/>
        <v>0</v>
      </c>
    </row>
    <row r="481" spans="1:10" x14ac:dyDescent="0.3">
      <c r="A481" s="1">
        <v>41863</v>
      </c>
      <c r="B481" s="1">
        <v>41887</v>
      </c>
      <c r="C481">
        <v>13.02</v>
      </c>
      <c r="D481">
        <v>0.34</v>
      </c>
      <c r="E481">
        <v>2</v>
      </c>
      <c r="F481">
        <f t="shared" si="35"/>
        <v>1</v>
      </c>
      <c r="G481">
        <f t="shared" si="36"/>
        <v>0</v>
      </c>
      <c r="H481">
        <f t="shared" si="37"/>
        <v>0</v>
      </c>
      <c r="I481">
        <f t="shared" si="38"/>
        <v>0</v>
      </c>
      <c r="J481">
        <f t="shared" si="39"/>
        <v>0</v>
      </c>
    </row>
    <row r="482" spans="1:10" x14ac:dyDescent="0.3">
      <c r="A482" s="1">
        <v>41865</v>
      </c>
      <c r="B482" s="1">
        <v>41869</v>
      </c>
      <c r="C482">
        <v>4.66</v>
      </c>
      <c r="D482">
        <v>0.12</v>
      </c>
      <c r="E482">
        <v>3</v>
      </c>
      <c r="F482">
        <f t="shared" si="35"/>
        <v>0</v>
      </c>
      <c r="G482">
        <f t="shared" si="36"/>
        <v>1</v>
      </c>
      <c r="H482">
        <f t="shared" si="37"/>
        <v>0</v>
      </c>
      <c r="I482">
        <f t="shared" si="38"/>
        <v>0</v>
      </c>
      <c r="J482">
        <f t="shared" si="39"/>
        <v>0</v>
      </c>
    </row>
    <row r="483" spans="1:10" x14ac:dyDescent="0.3">
      <c r="A483" s="1">
        <v>41869</v>
      </c>
      <c r="B483" s="1">
        <v>41884</v>
      </c>
      <c r="C483">
        <v>14.13</v>
      </c>
      <c r="D483">
        <v>0.37</v>
      </c>
      <c r="E483">
        <v>4</v>
      </c>
      <c r="F483">
        <f t="shared" si="35"/>
        <v>0</v>
      </c>
      <c r="G483">
        <f t="shared" si="36"/>
        <v>0</v>
      </c>
      <c r="H483">
        <f t="shared" si="37"/>
        <v>1</v>
      </c>
      <c r="I483">
        <f t="shared" si="38"/>
        <v>0</v>
      </c>
      <c r="J483">
        <f t="shared" si="39"/>
        <v>0</v>
      </c>
    </row>
    <row r="484" spans="1:10" x14ac:dyDescent="0.3">
      <c r="A484" s="1">
        <v>41869</v>
      </c>
      <c r="B484" s="1">
        <v>41892</v>
      </c>
      <c r="C484">
        <v>11.37</v>
      </c>
      <c r="D484">
        <v>0.3</v>
      </c>
      <c r="E484">
        <v>2</v>
      </c>
      <c r="F484">
        <f t="shared" si="35"/>
        <v>1</v>
      </c>
      <c r="G484">
        <f t="shared" si="36"/>
        <v>0</v>
      </c>
      <c r="H484">
        <f t="shared" si="37"/>
        <v>0</v>
      </c>
      <c r="I484">
        <f t="shared" si="38"/>
        <v>0</v>
      </c>
      <c r="J484">
        <f t="shared" si="39"/>
        <v>0</v>
      </c>
    </row>
    <row r="485" spans="1:10" x14ac:dyDescent="0.3">
      <c r="A485" s="1">
        <v>41869</v>
      </c>
      <c r="B485" s="1">
        <v>41890</v>
      </c>
      <c r="C485">
        <v>3.79</v>
      </c>
      <c r="D485">
        <v>0.1</v>
      </c>
      <c r="E485">
        <v>3</v>
      </c>
      <c r="F485">
        <f t="shared" si="35"/>
        <v>0</v>
      </c>
      <c r="G485">
        <f t="shared" si="36"/>
        <v>1</v>
      </c>
      <c r="H485">
        <f t="shared" si="37"/>
        <v>0</v>
      </c>
      <c r="I485">
        <f t="shared" si="38"/>
        <v>0</v>
      </c>
      <c r="J485">
        <f t="shared" si="39"/>
        <v>0</v>
      </c>
    </row>
    <row r="486" spans="1:10" x14ac:dyDescent="0.3">
      <c r="A486" s="1">
        <v>41869</v>
      </c>
      <c r="B486" s="1">
        <v>41875</v>
      </c>
      <c r="C486">
        <v>11.42</v>
      </c>
      <c r="D486">
        <v>0.3</v>
      </c>
      <c r="E486">
        <v>6</v>
      </c>
      <c r="F486">
        <f t="shared" si="35"/>
        <v>0</v>
      </c>
      <c r="G486">
        <f t="shared" si="36"/>
        <v>0</v>
      </c>
      <c r="H486">
        <f t="shared" si="37"/>
        <v>0</v>
      </c>
      <c r="I486">
        <f t="shared" si="38"/>
        <v>0</v>
      </c>
      <c r="J486">
        <f t="shared" si="39"/>
        <v>1</v>
      </c>
    </row>
    <row r="487" spans="1:10" x14ac:dyDescent="0.3">
      <c r="A487" s="1">
        <v>41869</v>
      </c>
      <c r="B487" s="1">
        <v>41892</v>
      </c>
      <c r="C487">
        <v>8.84</v>
      </c>
      <c r="D487">
        <v>0.23</v>
      </c>
      <c r="E487">
        <v>3</v>
      </c>
      <c r="F487">
        <f t="shared" si="35"/>
        <v>0</v>
      </c>
      <c r="G487">
        <f t="shared" si="36"/>
        <v>1</v>
      </c>
      <c r="H487">
        <f t="shared" si="37"/>
        <v>0</v>
      </c>
      <c r="I487">
        <f t="shared" si="38"/>
        <v>0</v>
      </c>
      <c r="J487">
        <f t="shared" si="39"/>
        <v>0</v>
      </c>
    </row>
    <row r="488" spans="1:10" x14ac:dyDescent="0.3">
      <c r="A488" s="1">
        <v>41869</v>
      </c>
      <c r="B488" s="1">
        <v>41875</v>
      </c>
      <c r="C488">
        <v>11.69</v>
      </c>
      <c r="D488">
        <v>0.31</v>
      </c>
      <c r="E488">
        <v>6</v>
      </c>
      <c r="F488">
        <f t="shared" si="35"/>
        <v>0</v>
      </c>
      <c r="G488">
        <f t="shared" si="36"/>
        <v>0</v>
      </c>
      <c r="H488">
        <f t="shared" si="37"/>
        <v>0</v>
      </c>
      <c r="I488">
        <f t="shared" si="38"/>
        <v>0</v>
      </c>
      <c r="J488">
        <f t="shared" si="39"/>
        <v>1</v>
      </c>
    </row>
    <row r="489" spans="1:10" x14ac:dyDescent="0.3">
      <c r="A489" s="1">
        <v>41875</v>
      </c>
      <c r="B489" s="1">
        <v>41879</v>
      </c>
      <c r="C489">
        <v>5.78</v>
      </c>
      <c r="D489">
        <v>0.15</v>
      </c>
      <c r="E489">
        <v>4</v>
      </c>
      <c r="F489">
        <f t="shared" si="35"/>
        <v>0</v>
      </c>
      <c r="G489">
        <f t="shared" si="36"/>
        <v>0</v>
      </c>
      <c r="H489">
        <f t="shared" si="37"/>
        <v>1</v>
      </c>
      <c r="I489">
        <f t="shared" si="38"/>
        <v>0</v>
      </c>
      <c r="J489">
        <f t="shared" si="39"/>
        <v>0</v>
      </c>
    </row>
    <row r="490" spans="1:10" x14ac:dyDescent="0.3">
      <c r="A490" s="1">
        <v>41875</v>
      </c>
      <c r="B490" s="1">
        <v>41877</v>
      </c>
      <c r="C490">
        <v>19.54</v>
      </c>
      <c r="D490">
        <v>0.51</v>
      </c>
      <c r="E490">
        <v>5</v>
      </c>
      <c r="F490">
        <f t="shared" si="35"/>
        <v>0</v>
      </c>
      <c r="G490">
        <f t="shared" si="36"/>
        <v>0</v>
      </c>
      <c r="H490">
        <f t="shared" si="37"/>
        <v>0</v>
      </c>
      <c r="I490">
        <f t="shared" si="38"/>
        <v>1</v>
      </c>
      <c r="J490">
        <f t="shared" si="39"/>
        <v>0</v>
      </c>
    </row>
    <row r="491" spans="1:10" x14ac:dyDescent="0.3">
      <c r="A491" s="1">
        <v>41875</v>
      </c>
      <c r="B491" s="1">
        <v>41891</v>
      </c>
      <c r="C491">
        <v>9.06</v>
      </c>
      <c r="D491">
        <v>0.24</v>
      </c>
      <c r="E491">
        <v>2</v>
      </c>
      <c r="F491">
        <f t="shared" si="35"/>
        <v>1</v>
      </c>
      <c r="G491">
        <f t="shared" si="36"/>
        <v>0</v>
      </c>
      <c r="H491">
        <f t="shared" si="37"/>
        <v>0</v>
      </c>
      <c r="I491">
        <f t="shared" si="38"/>
        <v>0</v>
      </c>
      <c r="J491">
        <f t="shared" si="39"/>
        <v>0</v>
      </c>
    </row>
    <row r="492" spans="1:10" x14ac:dyDescent="0.3">
      <c r="A492" s="1">
        <v>41875</v>
      </c>
      <c r="B492" s="1">
        <v>41890</v>
      </c>
      <c r="C492">
        <v>13.81</v>
      </c>
      <c r="D492">
        <v>0.36</v>
      </c>
      <c r="E492">
        <v>6</v>
      </c>
      <c r="F492">
        <f t="shared" si="35"/>
        <v>0</v>
      </c>
      <c r="G492">
        <f t="shared" si="36"/>
        <v>0</v>
      </c>
      <c r="H492">
        <f t="shared" si="37"/>
        <v>0</v>
      </c>
      <c r="I492">
        <f t="shared" si="38"/>
        <v>0</v>
      </c>
      <c r="J492">
        <f t="shared" si="39"/>
        <v>1</v>
      </c>
    </row>
    <row r="493" spans="1:10" x14ac:dyDescent="0.3">
      <c r="A493" s="1">
        <v>41875</v>
      </c>
      <c r="B493" s="1">
        <v>41886</v>
      </c>
      <c r="C493">
        <v>11.42</v>
      </c>
      <c r="D493">
        <v>0.3</v>
      </c>
      <c r="E493">
        <v>5</v>
      </c>
      <c r="F493">
        <f t="shared" si="35"/>
        <v>0</v>
      </c>
      <c r="G493">
        <f t="shared" si="36"/>
        <v>0</v>
      </c>
      <c r="H493">
        <f t="shared" si="37"/>
        <v>0</v>
      </c>
      <c r="I493">
        <f t="shared" si="38"/>
        <v>1</v>
      </c>
      <c r="J493">
        <f t="shared" si="39"/>
        <v>0</v>
      </c>
    </row>
    <row r="494" spans="1:10" x14ac:dyDescent="0.3">
      <c r="A494" s="1">
        <v>41875</v>
      </c>
      <c r="B494" s="1">
        <v>41881</v>
      </c>
      <c r="C494">
        <v>14.31</v>
      </c>
      <c r="D494">
        <v>0.38</v>
      </c>
      <c r="E494">
        <v>2</v>
      </c>
      <c r="F494">
        <f t="shared" si="35"/>
        <v>1</v>
      </c>
      <c r="G494">
        <f t="shared" si="36"/>
        <v>0</v>
      </c>
      <c r="H494">
        <f t="shared" si="37"/>
        <v>0</v>
      </c>
      <c r="I494">
        <f t="shared" si="38"/>
        <v>0</v>
      </c>
      <c r="J494">
        <f t="shared" si="39"/>
        <v>0</v>
      </c>
    </row>
    <row r="495" spans="1:10" x14ac:dyDescent="0.3">
      <c r="A495" s="1">
        <v>41875</v>
      </c>
      <c r="B495" s="1">
        <v>41894</v>
      </c>
      <c r="C495">
        <v>8.83</v>
      </c>
      <c r="D495">
        <v>0.23</v>
      </c>
      <c r="E495">
        <v>3</v>
      </c>
      <c r="F495">
        <f t="shared" si="35"/>
        <v>0</v>
      </c>
      <c r="G495">
        <f t="shared" si="36"/>
        <v>1</v>
      </c>
      <c r="H495">
        <f t="shared" si="37"/>
        <v>0</v>
      </c>
      <c r="I495">
        <f t="shared" si="38"/>
        <v>0</v>
      </c>
      <c r="J495">
        <f t="shared" si="39"/>
        <v>0</v>
      </c>
    </row>
    <row r="496" spans="1:10" x14ac:dyDescent="0.3">
      <c r="A496" s="1">
        <v>41875</v>
      </c>
      <c r="B496" s="1">
        <v>41885</v>
      </c>
      <c r="C496">
        <v>14.31</v>
      </c>
      <c r="D496">
        <v>0.38</v>
      </c>
      <c r="E496">
        <v>3</v>
      </c>
      <c r="F496">
        <f t="shared" si="35"/>
        <v>0</v>
      </c>
      <c r="G496">
        <f t="shared" si="36"/>
        <v>1</v>
      </c>
      <c r="H496">
        <f t="shared" si="37"/>
        <v>0</v>
      </c>
      <c r="I496">
        <f t="shared" si="38"/>
        <v>0</v>
      </c>
      <c r="J496">
        <f t="shared" si="39"/>
        <v>0</v>
      </c>
    </row>
    <row r="497" spans="1:10" x14ac:dyDescent="0.3">
      <c r="A497" s="1">
        <v>41875</v>
      </c>
      <c r="B497" s="1">
        <v>41895</v>
      </c>
      <c r="C497">
        <v>11.37</v>
      </c>
      <c r="D497">
        <v>0.3</v>
      </c>
      <c r="E497">
        <v>2</v>
      </c>
      <c r="F497">
        <f t="shared" si="35"/>
        <v>1</v>
      </c>
      <c r="G497">
        <f t="shared" si="36"/>
        <v>0</v>
      </c>
      <c r="H497">
        <f t="shared" si="37"/>
        <v>0</v>
      </c>
      <c r="I497">
        <f t="shared" si="38"/>
        <v>0</v>
      </c>
      <c r="J497">
        <f t="shared" si="39"/>
        <v>0</v>
      </c>
    </row>
    <row r="498" spans="1:10" x14ac:dyDescent="0.3">
      <c r="A498" s="1">
        <v>41875</v>
      </c>
      <c r="B498" s="1">
        <v>41894</v>
      </c>
      <c r="C498">
        <v>11.44</v>
      </c>
      <c r="D498">
        <v>0.3</v>
      </c>
      <c r="E498">
        <v>2</v>
      </c>
      <c r="F498">
        <f t="shared" si="35"/>
        <v>1</v>
      </c>
      <c r="G498">
        <f t="shared" si="36"/>
        <v>0</v>
      </c>
      <c r="H498">
        <f t="shared" si="37"/>
        <v>0</v>
      </c>
      <c r="I498">
        <f t="shared" si="38"/>
        <v>0</v>
      </c>
      <c r="J498">
        <f t="shared" si="39"/>
        <v>0</v>
      </c>
    </row>
    <row r="499" spans="1:10" x14ac:dyDescent="0.3">
      <c r="A499" s="1">
        <v>41875</v>
      </c>
      <c r="B499" s="1">
        <v>41902</v>
      </c>
      <c r="C499">
        <v>8.65</v>
      </c>
      <c r="D499">
        <v>0.23</v>
      </c>
      <c r="E499">
        <v>4</v>
      </c>
      <c r="F499">
        <f t="shared" si="35"/>
        <v>0</v>
      </c>
      <c r="G499">
        <f t="shared" si="36"/>
        <v>0</v>
      </c>
      <c r="H499">
        <f t="shared" si="37"/>
        <v>1</v>
      </c>
      <c r="I499">
        <f t="shared" si="38"/>
        <v>0</v>
      </c>
      <c r="J499">
        <f t="shared" si="39"/>
        <v>0</v>
      </c>
    </row>
    <row r="500" spans="1:10" x14ac:dyDescent="0.3">
      <c r="A500" s="1">
        <v>41876</v>
      </c>
      <c r="B500" s="1">
        <v>41886</v>
      </c>
      <c r="C500">
        <v>11.42</v>
      </c>
      <c r="D500">
        <v>0.3</v>
      </c>
      <c r="E500">
        <v>5</v>
      </c>
      <c r="F500">
        <f t="shared" si="35"/>
        <v>0</v>
      </c>
      <c r="G500">
        <f t="shared" si="36"/>
        <v>0</v>
      </c>
      <c r="H500">
        <f t="shared" si="37"/>
        <v>0</v>
      </c>
      <c r="I500">
        <f t="shared" si="38"/>
        <v>1</v>
      </c>
      <c r="J500">
        <f t="shared" si="39"/>
        <v>0</v>
      </c>
    </row>
    <row r="501" spans="1:10" x14ac:dyDescent="0.3">
      <c r="A501" s="1">
        <v>41876</v>
      </c>
      <c r="B501" s="1">
        <v>41886</v>
      </c>
      <c r="C501">
        <v>8.39</v>
      </c>
      <c r="D501">
        <v>0.22</v>
      </c>
      <c r="E501">
        <v>2</v>
      </c>
      <c r="F501">
        <f t="shared" si="35"/>
        <v>1</v>
      </c>
      <c r="G501">
        <f t="shared" si="36"/>
        <v>0</v>
      </c>
      <c r="H501">
        <f t="shared" si="37"/>
        <v>0</v>
      </c>
      <c r="I501">
        <f t="shared" si="38"/>
        <v>0</v>
      </c>
      <c r="J501">
        <f t="shared" si="39"/>
        <v>0</v>
      </c>
    </row>
    <row r="502" spans="1:10" x14ac:dyDescent="0.3">
      <c r="A502" s="1">
        <v>41876</v>
      </c>
      <c r="B502" s="1">
        <v>41887</v>
      </c>
      <c r="C502">
        <v>9.74</v>
      </c>
      <c r="D502">
        <v>0.26</v>
      </c>
      <c r="E502">
        <v>4</v>
      </c>
      <c r="F502">
        <f t="shared" si="35"/>
        <v>0</v>
      </c>
      <c r="G502">
        <f t="shared" si="36"/>
        <v>0</v>
      </c>
      <c r="H502">
        <f t="shared" si="37"/>
        <v>1</v>
      </c>
      <c r="I502">
        <f t="shared" si="38"/>
        <v>0</v>
      </c>
      <c r="J502">
        <f t="shared" si="39"/>
        <v>0</v>
      </c>
    </row>
    <row r="503" spans="1:10" x14ac:dyDescent="0.3">
      <c r="A503" s="1">
        <v>41876</v>
      </c>
      <c r="B503" s="1">
        <v>41903</v>
      </c>
      <c r="C503">
        <v>5.23</v>
      </c>
      <c r="D503">
        <v>0.14000000000000001</v>
      </c>
      <c r="E503">
        <v>6</v>
      </c>
      <c r="F503">
        <f t="shared" si="35"/>
        <v>0</v>
      </c>
      <c r="G503">
        <f t="shared" si="36"/>
        <v>0</v>
      </c>
      <c r="H503">
        <f t="shared" si="37"/>
        <v>0</v>
      </c>
      <c r="I503">
        <f t="shared" si="38"/>
        <v>0</v>
      </c>
      <c r="J503">
        <f t="shared" si="39"/>
        <v>1</v>
      </c>
    </row>
    <row r="504" spans="1:10" x14ac:dyDescent="0.3">
      <c r="A504" s="1">
        <v>41876</v>
      </c>
      <c r="B504" s="1">
        <v>41894</v>
      </c>
      <c r="C504">
        <v>8.39</v>
      </c>
      <c r="D504">
        <v>0.22</v>
      </c>
      <c r="E504">
        <v>3</v>
      </c>
      <c r="F504">
        <f t="shared" si="35"/>
        <v>0</v>
      </c>
      <c r="G504">
        <f t="shared" si="36"/>
        <v>1</v>
      </c>
      <c r="H504">
        <f t="shared" si="37"/>
        <v>0</v>
      </c>
      <c r="I504">
        <f t="shared" si="38"/>
        <v>0</v>
      </c>
      <c r="J504">
        <f t="shared" si="39"/>
        <v>0</v>
      </c>
    </row>
    <row r="505" spans="1:10" x14ac:dyDescent="0.3">
      <c r="A505" s="1">
        <v>41877</v>
      </c>
      <c r="B505" s="1">
        <v>41896</v>
      </c>
      <c r="C505">
        <v>5.23</v>
      </c>
      <c r="D505">
        <v>0.14000000000000001</v>
      </c>
      <c r="E505">
        <v>4</v>
      </c>
      <c r="F505">
        <f t="shared" si="35"/>
        <v>0</v>
      </c>
      <c r="G505">
        <f t="shared" si="36"/>
        <v>0</v>
      </c>
      <c r="H505">
        <f t="shared" si="37"/>
        <v>1</v>
      </c>
      <c r="I505">
        <f t="shared" si="38"/>
        <v>0</v>
      </c>
      <c r="J505">
        <f t="shared" si="39"/>
        <v>0</v>
      </c>
    </row>
    <row r="506" spans="1:10" x14ac:dyDescent="0.3">
      <c r="A506" s="1">
        <v>41878</v>
      </c>
      <c r="B506" s="1">
        <v>41884</v>
      </c>
      <c r="C506">
        <v>6.34</v>
      </c>
      <c r="D506">
        <v>0.17</v>
      </c>
      <c r="E506">
        <v>4</v>
      </c>
      <c r="F506">
        <f t="shared" si="35"/>
        <v>0</v>
      </c>
      <c r="G506">
        <f t="shared" si="36"/>
        <v>0</v>
      </c>
      <c r="H506">
        <f t="shared" si="37"/>
        <v>1</v>
      </c>
      <c r="I506">
        <f t="shared" si="38"/>
        <v>0</v>
      </c>
      <c r="J506">
        <f t="shared" si="39"/>
        <v>0</v>
      </c>
    </row>
    <row r="507" spans="1:10" x14ac:dyDescent="0.3">
      <c r="A507" s="1">
        <v>41881</v>
      </c>
      <c r="B507" s="1">
        <v>41908</v>
      </c>
      <c r="C507">
        <v>10.93</v>
      </c>
      <c r="D507">
        <v>0.28999999999999998</v>
      </c>
      <c r="E507">
        <v>4</v>
      </c>
      <c r="F507">
        <f t="shared" si="35"/>
        <v>0</v>
      </c>
      <c r="G507">
        <f t="shared" si="36"/>
        <v>0</v>
      </c>
      <c r="H507">
        <f t="shared" si="37"/>
        <v>1</v>
      </c>
      <c r="I507">
        <f t="shared" si="38"/>
        <v>0</v>
      </c>
      <c r="J507">
        <f t="shared" si="39"/>
        <v>0</v>
      </c>
    </row>
    <row r="508" spans="1:10" x14ac:dyDescent="0.3">
      <c r="A508" s="1">
        <v>41881</v>
      </c>
      <c r="B508" s="1">
        <v>41894</v>
      </c>
      <c r="C508">
        <v>8.89</v>
      </c>
      <c r="D508">
        <v>0.23</v>
      </c>
      <c r="E508">
        <v>2</v>
      </c>
      <c r="F508">
        <f t="shared" si="35"/>
        <v>1</v>
      </c>
      <c r="G508">
        <f t="shared" si="36"/>
        <v>0</v>
      </c>
      <c r="H508">
        <f t="shared" si="37"/>
        <v>0</v>
      </c>
      <c r="I508">
        <f t="shared" si="38"/>
        <v>0</v>
      </c>
      <c r="J508">
        <f t="shared" si="39"/>
        <v>0</v>
      </c>
    </row>
    <row r="509" spans="1:10" x14ac:dyDescent="0.3">
      <c r="A509" s="1">
        <v>41881</v>
      </c>
      <c r="B509" s="1">
        <v>41883</v>
      </c>
      <c r="C509">
        <v>5.57</v>
      </c>
      <c r="D509">
        <v>0.15</v>
      </c>
      <c r="E509">
        <v>2</v>
      </c>
      <c r="F509">
        <f t="shared" si="35"/>
        <v>1</v>
      </c>
      <c r="G509">
        <f t="shared" si="36"/>
        <v>0</v>
      </c>
      <c r="H509">
        <f t="shared" si="37"/>
        <v>0</v>
      </c>
      <c r="I509">
        <f t="shared" si="38"/>
        <v>0</v>
      </c>
      <c r="J509">
        <f t="shared" si="39"/>
        <v>0</v>
      </c>
    </row>
    <row r="510" spans="1:10" x14ac:dyDescent="0.3">
      <c r="A510" s="1">
        <v>41881</v>
      </c>
      <c r="B510" s="1">
        <v>41907</v>
      </c>
      <c r="C510">
        <v>6.23</v>
      </c>
      <c r="D510">
        <v>0.16</v>
      </c>
      <c r="E510">
        <v>3</v>
      </c>
      <c r="F510">
        <f t="shared" si="35"/>
        <v>0</v>
      </c>
      <c r="G510">
        <f t="shared" si="36"/>
        <v>1</v>
      </c>
      <c r="H510">
        <f t="shared" si="37"/>
        <v>0</v>
      </c>
      <c r="I510">
        <f t="shared" si="38"/>
        <v>0</v>
      </c>
      <c r="J510">
        <f t="shared" si="39"/>
        <v>0</v>
      </c>
    </row>
    <row r="511" spans="1:10" x14ac:dyDescent="0.3">
      <c r="A511" s="1">
        <v>41881</v>
      </c>
      <c r="B511" s="1">
        <v>41896</v>
      </c>
      <c r="C511">
        <v>11.42</v>
      </c>
      <c r="D511">
        <v>0.3</v>
      </c>
      <c r="E511">
        <v>4</v>
      </c>
      <c r="F511">
        <f t="shared" si="35"/>
        <v>0</v>
      </c>
      <c r="G511">
        <f t="shared" si="36"/>
        <v>0</v>
      </c>
      <c r="H511">
        <f t="shared" si="37"/>
        <v>1</v>
      </c>
      <c r="I511">
        <f t="shared" si="38"/>
        <v>0</v>
      </c>
      <c r="J511">
        <f t="shared" si="39"/>
        <v>0</v>
      </c>
    </row>
    <row r="512" spans="1:10" x14ac:dyDescent="0.3">
      <c r="A512" s="1">
        <v>41881</v>
      </c>
      <c r="B512" s="1">
        <v>41903</v>
      </c>
      <c r="C512">
        <v>16.940000000000001</v>
      </c>
      <c r="D512">
        <v>0.45</v>
      </c>
      <c r="E512">
        <v>3</v>
      </c>
      <c r="F512">
        <f t="shared" si="35"/>
        <v>0</v>
      </c>
      <c r="G512">
        <f t="shared" si="36"/>
        <v>1</v>
      </c>
      <c r="H512">
        <f t="shared" si="37"/>
        <v>0</v>
      </c>
      <c r="I512">
        <f t="shared" si="38"/>
        <v>0</v>
      </c>
      <c r="J512">
        <f t="shared" si="39"/>
        <v>0</v>
      </c>
    </row>
    <row r="513" spans="1:10" x14ac:dyDescent="0.3">
      <c r="A513" s="1">
        <v>41885</v>
      </c>
      <c r="B513" s="1">
        <v>41901</v>
      </c>
      <c r="C513">
        <v>7.06</v>
      </c>
      <c r="D513">
        <v>0.19</v>
      </c>
      <c r="E513">
        <v>4</v>
      </c>
      <c r="F513">
        <f t="shared" si="35"/>
        <v>0</v>
      </c>
      <c r="G513">
        <f t="shared" si="36"/>
        <v>0</v>
      </c>
      <c r="H513">
        <f t="shared" si="37"/>
        <v>1</v>
      </c>
      <c r="I513">
        <f t="shared" si="38"/>
        <v>0</v>
      </c>
      <c r="J513">
        <f t="shared" si="39"/>
        <v>0</v>
      </c>
    </row>
    <row r="514" spans="1:10" x14ac:dyDescent="0.3">
      <c r="A514" s="1">
        <v>41886</v>
      </c>
      <c r="B514" s="1">
        <v>41899</v>
      </c>
      <c r="C514">
        <v>5.64</v>
      </c>
      <c r="D514">
        <v>0.15</v>
      </c>
      <c r="E514">
        <v>4</v>
      </c>
      <c r="F514">
        <f t="shared" si="35"/>
        <v>0</v>
      </c>
      <c r="G514">
        <f t="shared" si="36"/>
        <v>0</v>
      </c>
      <c r="H514">
        <f t="shared" si="37"/>
        <v>1</v>
      </c>
      <c r="I514">
        <f t="shared" si="38"/>
        <v>0</v>
      </c>
      <c r="J514">
        <f t="shared" si="39"/>
        <v>0</v>
      </c>
    </row>
    <row r="515" spans="1:10" x14ac:dyDescent="0.3">
      <c r="A515" s="1">
        <v>41886</v>
      </c>
      <c r="B515" s="1">
        <v>41898</v>
      </c>
      <c r="C515">
        <v>7.3</v>
      </c>
      <c r="D515">
        <v>0.19</v>
      </c>
      <c r="E515">
        <v>3</v>
      </c>
      <c r="F515">
        <f t="shared" ref="F515:F578" si="40">IF(EXACT(E515,2),1,0)</f>
        <v>0</v>
      </c>
      <c r="G515">
        <f t="shared" ref="G515:G578" si="41">IF(EXACT(E515,3),1,0)</f>
        <v>1</v>
      </c>
      <c r="H515">
        <f t="shared" ref="H515:H578" si="42">IF(EXACT(E515,4),1,0)</f>
        <v>0</v>
      </c>
      <c r="I515">
        <f t="shared" ref="I515:I578" si="43">IF(EXACT(E515,5),1,0)</f>
        <v>0</v>
      </c>
      <c r="J515">
        <f t="shared" ref="J515:J578" si="44">IF(EXACT(E515,6),1,0)</f>
        <v>0</v>
      </c>
    </row>
    <row r="516" spans="1:10" x14ac:dyDescent="0.3">
      <c r="A516" s="1">
        <v>41886</v>
      </c>
      <c r="B516" s="1">
        <v>41896</v>
      </c>
      <c r="C516">
        <v>7.06</v>
      </c>
      <c r="D516">
        <v>0.19</v>
      </c>
      <c r="E516">
        <v>3</v>
      </c>
      <c r="F516">
        <f t="shared" si="40"/>
        <v>0</v>
      </c>
      <c r="G516">
        <f t="shared" si="41"/>
        <v>1</v>
      </c>
      <c r="H516">
        <f t="shared" si="42"/>
        <v>0</v>
      </c>
      <c r="I516">
        <f t="shared" si="43"/>
        <v>0</v>
      </c>
      <c r="J516">
        <f t="shared" si="44"/>
        <v>0</v>
      </c>
    </row>
    <row r="517" spans="1:10" x14ac:dyDescent="0.3">
      <c r="A517" s="1">
        <v>41886</v>
      </c>
      <c r="B517" s="1">
        <v>41896</v>
      </c>
      <c r="C517">
        <v>5.64</v>
      </c>
      <c r="D517">
        <v>0.15</v>
      </c>
      <c r="E517">
        <v>5</v>
      </c>
      <c r="F517">
        <f t="shared" si="40"/>
        <v>0</v>
      </c>
      <c r="G517">
        <f t="shared" si="41"/>
        <v>0</v>
      </c>
      <c r="H517">
        <f t="shared" si="42"/>
        <v>0</v>
      </c>
      <c r="I517">
        <f t="shared" si="43"/>
        <v>1</v>
      </c>
      <c r="J517">
        <f t="shared" si="44"/>
        <v>0</v>
      </c>
    </row>
    <row r="518" spans="1:10" x14ac:dyDescent="0.3">
      <c r="A518" s="1">
        <v>41886</v>
      </c>
      <c r="B518" s="1">
        <v>41889</v>
      </c>
      <c r="C518">
        <v>3.73</v>
      </c>
      <c r="D518">
        <v>0.1</v>
      </c>
      <c r="E518">
        <v>6</v>
      </c>
      <c r="F518">
        <f t="shared" si="40"/>
        <v>0</v>
      </c>
      <c r="G518">
        <f t="shared" si="41"/>
        <v>0</v>
      </c>
      <c r="H518">
        <f t="shared" si="42"/>
        <v>0</v>
      </c>
      <c r="I518">
        <f t="shared" si="43"/>
        <v>0</v>
      </c>
      <c r="J518">
        <f t="shared" si="44"/>
        <v>1</v>
      </c>
    </row>
    <row r="519" spans="1:10" x14ac:dyDescent="0.3">
      <c r="A519" s="1">
        <v>41886</v>
      </c>
      <c r="B519" s="1">
        <v>41908</v>
      </c>
      <c r="C519">
        <v>13.81</v>
      </c>
      <c r="D519">
        <v>0.36</v>
      </c>
      <c r="E519">
        <v>6</v>
      </c>
      <c r="F519">
        <f t="shared" si="40"/>
        <v>0</v>
      </c>
      <c r="G519">
        <f t="shared" si="41"/>
        <v>0</v>
      </c>
      <c r="H519">
        <f t="shared" si="42"/>
        <v>0</v>
      </c>
      <c r="I519">
        <f t="shared" si="43"/>
        <v>0</v>
      </c>
      <c r="J519">
        <f t="shared" si="44"/>
        <v>1</v>
      </c>
    </row>
    <row r="520" spans="1:10" x14ac:dyDescent="0.3">
      <c r="A520" s="1">
        <v>41886</v>
      </c>
      <c r="B520" s="1">
        <v>41896</v>
      </c>
      <c r="C520">
        <v>5.47</v>
      </c>
      <c r="D520">
        <v>0.14000000000000001</v>
      </c>
      <c r="E520">
        <v>2</v>
      </c>
      <c r="F520">
        <f t="shared" si="40"/>
        <v>1</v>
      </c>
      <c r="G520">
        <f t="shared" si="41"/>
        <v>0</v>
      </c>
      <c r="H520">
        <f t="shared" si="42"/>
        <v>0</v>
      </c>
      <c r="I520">
        <f t="shared" si="43"/>
        <v>0</v>
      </c>
      <c r="J520">
        <f t="shared" si="44"/>
        <v>0</v>
      </c>
    </row>
    <row r="521" spans="1:10" x14ac:dyDescent="0.3">
      <c r="A521" s="1">
        <v>41886</v>
      </c>
      <c r="B521" s="1">
        <v>41914</v>
      </c>
      <c r="C521">
        <v>7.31</v>
      </c>
      <c r="D521">
        <v>0.19</v>
      </c>
      <c r="E521">
        <v>6</v>
      </c>
      <c r="F521">
        <f t="shared" si="40"/>
        <v>0</v>
      </c>
      <c r="G521">
        <f t="shared" si="41"/>
        <v>0</v>
      </c>
      <c r="H521">
        <f t="shared" si="42"/>
        <v>0</v>
      </c>
      <c r="I521">
        <f t="shared" si="43"/>
        <v>0</v>
      </c>
      <c r="J521">
        <f t="shared" si="44"/>
        <v>1</v>
      </c>
    </row>
    <row r="522" spans="1:10" x14ac:dyDescent="0.3">
      <c r="A522" s="1">
        <v>41886</v>
      </c>
      <c r="B522" s="1">
        <v>41888</v>
      </c>
      <c r="C522">
        <v>3.73</v>
      </c>
      <c r="D522">
        <v>0.1</v>
      </c>
      <c r="E522">
        <v>3</v>
      </c>
      <c r="F522">
        <f t="shared" si="40"/>
        <v>0</v>
      </c>
      <c r="G522">
        <f t="shared" si="41"/>
        <v>1</v>
      </c>
      <c r="H522">
        <f t="shared" si="42"/>
        <v>0</v>
      </c>
      <c r="I522">
        <f t="shared" si="43"/>
        <v>0</v>
      </c>
      <c r="J522">
        <f t="shared" si="44"/>
        <v>0</v>
      </c>
    </row>
    <row r="523" spans="1:10" x14ac:dyDescent="0.3">
      <c r="A523" s="1">
        <v>41886</v>
      </c>
      <c r="B523" s="1">
        <v>41907</v>
      </c>
      <c r="C523">
        <v>8.39</v>
      </c>
      <c r="D523">
        <v>0.22</v>
      </c>
      <c r="E523">
        <v>4</v>
      </c>
      <c r="F523">
        <f t="shared" si="40"/>
        <v>0</v>
      </c>
      <c r="G523">
        <f t="shared" si="41"/>
        <v>0</v>
      </c>
      <c r="H523">
        <f t="shared" si="42"/>
        <v>1</v>
      </c>
      <c r="I523">
        <f t="shared" si="43"/>
        <v>0</v>
      </c>
      <c r="J523">
        <f t="shared" si="44"/>
        <v>0</v>
      </c>
    </row>
    <row r="524" spans="1:10" x14ac:dyDescent="0.3">
      <c r="A524" s="1">
        <v>41886</v>
      </c>
      <c r="B524" s="1">
        <v>41897</v>
      </c>
      <c r="C524">
        <v>13.07</v>
      </c>
      <c r="D524">
        <v>0.34</v>
      </c>
      <c r="E524">
        <v>2</v>
      </c>
      <c r="F524">
        <f t="shared" si="40"/>
        <v>1</v>
      </c>
      <c r="G524">
        <f t="shared" si="41"/>
        <v>0</v>
      </c>
      <c r="H524">
        <f t="shared" si="42"/>
        <v>0</v>
      </c>
      <c r="I524">
        <f t="shared" si="43"/>
        <v>0</v>
      </c>
      <c r="J524">
        <f t="shared" si="44"/>
        <v>0</v>
      </c>
    </row>
    <row r="525" spans="1:10" x14ac:dyDescent="0.3">
      <c r="A525" s="1">
        <v>41886</v>
      </c>
      <c r="B525" s="1">
        <v>41891</v>
      </c>
      <c r="C525">
        <v>7.35</v>
      </c>
      <c r="D525">
        <v>0.19</v>
      </c>
      <c r="E525">
        <v>3</v>
      </c>
      <c r="F525">
        <f t="shared" si="40"/>
        <v>0</v>
      </c>
      <c r="G525">
        <f t="shared" si="41"/>
        <v>1</v>
      </c>
      <c r="H525">
        <f t="shared" si="42"/>
        <v>0</v>
      </c>
      <c r="I525">
        <f t="shared" si="43"/>
        <v>0</v>
      </c>
      <c r="J525">
        <f t="shared" si="44"/>
        <v>0</v>
      </c>
    </row>
    <row r="526" spans="1:10" x14ac:dyDescent="0.3">
      <c r="A526" s="1">
        <v>41886</v>
      </c>
      <c r="B526" s="1">
        <v>41896</v>
      </c>
      <c r="C526">
        <v>14.31</v>
      </c>
      <c r="D526">
        <v>0.38</v>
      </c>
      <c r="E526">
        <v>5</v>
      </c>
      <c r="F526">
        <f t="shared" si="40"/>
        <v>0</v>
      </c>
      <c r="G526">
        <f t="shared" si="41"/>
        <v>0</v>
      </c>
      <c r="H526">
        <f t="shared" si="42"/>
        <v>0</v>
      </c>
      <c r="I526">
        <f t="shared" si="43"/>
        <v>1</v>
      </c>
      <c r="J526">
        <f t="shared" si="44"/>
        <v>0</v>
      </c>
    </row>
    <row r="527" spans="1:10" x14ac:dyDescent="0.3">
      <c r="A527" s="1">
        <v>41886</v>
      </c>
      <c r="B527" s="1">
        <v>41914</v>
      </c>
      <c r="C527">
        <v>5.57</v>
      </c>
      <c r="D527">
        <v>0.15</v>
      </c>
      <c r="E527">
        <v>4</v>
      </c>
      <c r="F527">
        <f t="shared" si="40"/>
        <v>0</v>
      </c>
      <c r="G527">
        <f t="shared" si="41"/>
        <v>0</v>
      </c>
      <c r="H527">
        <f t="shared" si="42"/>
        <v>1</v>
      </c>
      <c r="I527">
        <f t="shared" si="43"/>
        <v>0</v>
      </c>
      <c r="J527">
        <f t="shared" si="44"/>
        <v>0</v>
      </c>
    </row>
    <row r="528" spans="1:10" x14ac:dyDescent="0.3">
      <c r="A528" s="1">
        <v>41886</v>
      </c>
      <c r="B528" s="1">
        <v>41888</v>
      </c>
      <c r="C528">
        <v>5.23</v>
      </c>
      <c r="D528">
        <v>0.14000000000000001</v>
      </c>
      <c r="E528">
        <v>2</v>
      </c>
      <c r="F528">
        <f t="shared" si="40"/>
        <v>1</v>
      </c>
      <c r="G528">
        <f t="shared" si="41"/>
        <v>0</v>
      </c>
      <c r="H528">
        <f t="shared" si="42"/>
        <v>0</v>
      </c>
      <c r="I528">
        <f t="shared" si="43"/>
        <v>0</v>
      </c>
      <c r="J528">
        <f t="shared" si="44"/>
        <v>0</v>
      </c>
    </row>
    <row r="529" spans="1:10" x14ac:dyDescent="0.3">
      <c r="A529" s="1">
        <v>41886</v>
      </c>
      <c r="B529" s="1">
        <v>41900</v>
      </c>
      <c r="C529">
        <v>10.79</v>
      </c>
      <c r="D529">
        <v>0.28000000000000003</v>
      </c>
      <c r="E529">
        <v>4</v>
      </c>
      <c r="F529">
        <f t="shared" si="40"/>
        <v>0</v>
      </c>
      <c r="G529">
        <f t="shared" si="41"/>
        <v>0</v>
      </c>
      <c r="H529">
        <f t="shared" si="42"/>
        <v>1</v>
      </c>
      <c r="I529">
        <f t="shared" si="43"/>
        <v>0</v>
      </c>
      <c r="J529">
        <f t="shared" si="44"/>
        <v>0</v>
      </c>
    </row>
    <row r="530" spans="1:10" x14ac:dyDescent="0.3">
      <c r="A530" s="1">
        <v>41886</v>
      </c>
      <c r="B530" s="1">
        <v>41892</v>
      </c>
      <c r="C530">
        <v>2.72</v>
      </c>
      <c r="D530">
        <v>7.0000000000000007E-2</v>
      </c>
      <c r="E530">
        <v>2</v>
      </c>
      <c r="F530">
        <f t="shared" si="40"/>
        <v>1</v>
      </c>
      <c r="G530">
        <f t="shared" si="41"/>
        <v>0</v>
      </c>
      <c r="H530">
        <f t="shared" si="42"/>
        <v>0</v>
      </c>
      <c r="I530">
        <f t="shared" si="43"/>
        <v>0</v>
      </c>
      <c r="J530">
        <f t="shared" si="44"/>
        <v>0</v>
      </c>
    </row>
    <row r="531" spans="1:10" x14ac:dyDescent="0.3">
      <c r="A531" s="1">
        <v>41887</v>
      </c>
      <c r="B531" s="1">
        <v>41913</v>
      </c>
      <c r="C531">
        <v>7.55</v>
      </c>
      <c r="D531">
        <v>0.2</v>
      </c>
      <c r="E531">
        <v>3</v>
      </c>
      <c r="F531">
        <f t="shared" si="40"/>
        <v>0</v>
      </c>
      <c r="G531">
        <f t="shared" si="41"/>
        <v>1</v>
      </c>
      <c r="H531">
        <f t="shared" si="42"/>
        <v>0</v>
      </c>
      <c r="I531">
        <f t="shared" si="43"/>
        <v>0</v>
      </c>
      <c r="J531">
        <f t="shared" si="44"/>
        <v>0</v>
      </c>
    </row>
    <row r="532" spans="1:10" x14ac:dyDescent="0.3">
      <c r="A532" s="1">
        <v>41887</v>
      </c>
      <c r="B532" s="1">
        <v>41906</v>
      </c>
      <c r="C532">
        <v>6.43</v>
      </c>
      <c r="D532">
        <v>0.17</v>
      </c>
      <c r="E532">
        <v>2</v>
      </c>
      <c r="F532">
        <f t="shared" si="40"/>
        <v>1</v>
      </c>
      <c r="G532">
        <f t="shared" si="41"/>
        <v>0</v>
      </c>
      <c r="H532">
        <f t="shared" si="42"/>
        <v>0</v>
      </c>
      <c r="I532">
        <f t="shared" si="43"/>
        <v>0</v>
      </c>
      <c r="J532">
        <f t="shared" si="44"/>
        <v>0</v>
      </c>
    </row>
    <row r="533" spans="1:10" x14ac:dyDescent="0.3">
      <c r="A533" s="1">
        <v>41887</v>
      </c>
      <c r="B533" s="1">
        <v>41905</v>
      </c>
      <c r="C533">
        <v>3.88</v>
      </c>
      <c r="D533">
        <v>0.1</v>
      </c>
      <c r="E533">
        <v>6</v>
      </c>
      <c r="F533">
        <f t="shared" si="40"/>
        <v>0</v>
      </c>
      <c r="G533">
        <f t="shared" si="41"/>
        <v>0</v>
      </c>
      <c r="H533">
        <f t="shared" si="42"/>
        <v>0</v>
      </c>
      <c r="I533">
        <f t="shared" si="43"/>
        <v>0</v>
      </c>
      <c r="J533">
        <f t="shared" si="44"/>
        <v>1</v>
      </c>
    </row>
    <row r="534" spans="1:10" x14ac:dyDescent="0.3">
      <c r="A534" s="1">
        <v>41887</v>
      </c>
      <c r="B534" s="1">
        <v>41889</v>
      </c>
      <c r="C534">
        <v>5.67</v>
      </c>
      <c r="D534">
        <v>0.15</v>
      </c>
      <c r="E534">
        <v>4</v>
      </c>
      <c r="F534">
        <f t="shared" si="40"/>
        <v>0</v>
      </c>
      <c r="G534">
        <f t="shared" si="41"/>
        <v>0</v>
      </c>
      <c r="H534">
        <f t="shared" si="42"/>
        <v>1</v>
      </c>
      <c r="I534">
        <f t="shared" si="43"/>
        <v>0</v>
      </c>
      <c r="J534">
        <f t="shared" si="44"/>
        <v>0</v>
      </c>
    </row>
    <row r="535" spans="1:10" x14ac:dyDescent="0.3">
      <c r="A535" s="1">
        <v>41887</v>
      </c>
      <c r="B535" s="1">
        <v>41889</v>
      </c>
      <c r="C535">
        <v>12.01</v>
      </c>
      <c r="D535">
        <v>0.32</v>
      </c>
      <c r="E535">
        <v>4</v>
      </c>
      <c r="F535">
        <f t="shared" si="40"/>
        <v>0</v>
      </c>
      <c r="G535">
        <f t="shared" si="41"/>
        <v>0</v>
      </c>
      <c r="H535">
        <f t="shared" si="42"/>
        <v>1</v>
      </c>
      <c r="I535">
        <f t="shared" si="43"/>
        <v>0</v>
      </c>
      <c r="J535">
        <f t="shared" si="44"/>
        <v>0</v>
      </c>
    </row>
    <row r="536" spans="1:10" x14ac:dyDescent="0.3">
      <c r="A536" s="1">
        <v>41887</v>
      </c>
      <c r="B536" s="1">
        <v>41908</v>
      </c>
      <c r="C536">
        <v>6.58</v>
      </c>
      <c r="D536">
        <v>0.17</v>
      </c>
      <c r="E536">
        <v>6</v>
      </c>
      <c r="F536">
        <f t="shared" si="40"/>
        <v>0</v>
      </c>
      <c r="G536">
        <f t="shared" si="41"/>
        <v>0</v>
      </c>
      <c r="H536">
        <f t="shared" si="42"/>
        <v>0</v>
      </c>
      <c r="I536">
        <f t="shared" si="43"/>
        <v>0</v>
      </c>
      <c r="J536">
        <f t="shared" si="44"/>
        <v>1</v>
      </c>
    </row>
    <row r="537" spans="1:10" x14ac:dyDescent="0.3">
      <c r="A537" s="1">
        <v>41887</v>
      </c>
      <c r="B537" s="1">
        <v>41914</v>
      </c>
      <c r="C537">
        <v>3.79</v>
      </c>
      <c r="D537">
        <v>0.1</v>
      </c>
      <c r="E537">
        <v>3</v>
      </c>
      <c r="F537">
        <f t="shared" si="40"/>
        <v>0</v>
      </c>
      <c r="G537">
        <f t="shared" si="41"/>
        <v>1</v>
      </c>
      <c r="H537">
        <f t="shared" si="42"/>
        <v>0</v>
      </c>
      <c r="I537">
        <f t="shared" si="43"/>
        <v>0</v>
      </c>
      <c r="J537">
        <f t="shared" si="44"/>
        <v>0</v>
      </c>
    </row>
    <row r="538" spans="1:10" x14ac:dyDescent="0.3">
      <c r="A538" s="1">
        <v>41887</v>
      </c>
      <c r="B538" s="1">
        <v>41891</v>
      </c>
      <c r="C538">
        <v>8.83</v>
      </c>
      <c r="D538">
        <v>0.23</v>
      </c>
      <c r="E538">
        <v>2</v>
      </c>
      <c r="F538">
        <f t="shared" si="40"/>
        <v>1</v>
      </c>
      <c r="G538">
        <f t="shared" si="41"/>
        <v>0</v>
      </c>
      <c r="H538">
        <f t="shared" si="42"/>
        <v>0</v>
      </c>
      <c r="I538">
        <f t="shared" si="43"/>
        <v>0</v>
      </c>
      <c r="J538">
        <f t="shared" si="44"/>
        <v>0</v>
      </c>
    </row>
    <row r="539" spans="1:10" x14ac:dyDescent="0.3">
      <c r="A539" s="1">
        <v>41887</v>
      </c>
      <c r="B539" s="1">
        <v>41891</v>
      </c>
      <c r="C539">
        <v>14.31</v>
      </c>
      <c r="D539">
        <v>0.38</v>
      </c>
      <c r="E539">
        <v>3</v>
      </c>
      <c r="F539">
        <f t="shared" si="40"/>
        <v>0</v>
      </c>
      <c r="G539">
        <f t="shared" si="41"/>
        <v>1</v>
      </c>
      <c r="H539">
        <f t="shared" si="42"/>
        <v>0</v>
      </c>
      <c r="I539">
        <f t="shared" si="43"/>
        <v>0</v>
      </c>
      <c r="J539">
        <f t="shared" si="44"/>
        <v>0</v>
      </c>
    </row>
    <row r="540" spans="1:10" x14ac:dyDescent="0.3">
      <c r="A540" s="1">
        <v>41887</v>
      </c>
      <c r="B540" s="1">
        <v>41900</v>
      </c>
      <c r="C540">
        <v>5.47</v>
      </c>
      <c r="D540">
        <v>0.14000000000000001</v>
      </c>
      <c r="E540">
        <v>3</v>
      </c>
      <c r="F540">
        <f t="shared" si="40"/>
        <v>0</v>
      </c>
      <c r="G540">
        <f t="shared" si="41"/>
        <v>1</v>
      </c>
      <c r="H540">
        <f t="shared" si="42"/>
        <v>0</v>
      </c>
      <c r="I540">
        <f t="shared" si="43"/>
        <v>0</v>
      </c>
      <c r="J540">
        <f t="shared" si="44"/>
        <v>0</v>
      </c>
    </row>
    <row r="541" spans="1:10" x14ac:dyDescent="0.3">
      <c r="A541" s="1">
        <v>41887</v>
      </c>
      <c r="B541" s="1">
        <v>41907</v>
      </c>
      <c r="C541">
        <v>8.9499999999999993</v>
      </c>
      <c r="D541">
        <v>0.24</v>
      </c>
      <c r="E541">
        <v>4</v>
      </c>
      <c r="F541">
        <f t="shared" si="40"/>
        <v>0</v>
      </c>
      <c r="G541">
        <f t="shared" si="41"/>
        <v>0</v>
      </c>
      <c r="H541">
        <f t="shared" si="42"/>
        <v>1</v>
      </c>
      <c r="I541">
        <f t="shared" si="43"/>
        <v>0</v>
      </c>
      <c r="J541">
        <f t="shared" si="44"/>
        <v>0</v>
      </c>
    </row>
    <row r="542" spans="1:10" x14ac:dyDescent="0.3">
      <c r="A542" s="1">
        <v>41887</v>
      </c>
      <c r="B542" s="1">
        <v>41912</v>
      </c>
      <c r="C542">
        <v>4.25</v>
      </c>
      <c r="D542">
        <v>0.11</v>
      </c>
      <c r="E542">
        <v>5</v>
      </c>
      <c r="F542">
        <f t="shared" si="40"/>
        <v>0</v>
      </c>
      <c r="G542">
        <f t="shared" si="41"/>
        <v>0</v>
      </c>
      <c r="H542">
        <f t="shared" si="42"/>
        <v>0</v>
      </c>
      <c r="I542">
        <f t="shared" si="43"/>
        <v>1</v>
      </c>
      <c r="J542">
        <f t="shared" si="44"/>
        <v>0</v>
      </c>
    </row>
    <row r="543" spans="1:10" x14ac:dyDescent="0.3">
      <c r="A543" s="1">
        <v>41887</v>
      </c>
      <c r="B543" s="1">
        <v>41894</v>
      </c>
      <c r="C543">
        <v>6.88</v>
      </c>
      <c r="D543">
        <v>0.18</v>
      </c>
      <c r="E543">
        <v>5</v>
      </c>
      <c r="F543">
        <f t="shared" si="40"/>
        <v>0</v>
      </c>
      <c r="G543">
        <f t="shared" si="41"/>
        <v>0</v>
      </c>
      <c r="H543">
        <f t="shared" si="42"/>
        <v>0</v>
      </c>
      <c r="I543">
        <f t="shared" si="43"/>
        <v>1</v>
      </c>
      <c r="J543">
        <f t="shared" si="44"/>
        <v>0</v>
      </c>
    </row>
    <row r="544" spans="1:10" x14ac:dyDescent="0.3">
      <c r="A544" s="1">
        <v>41887</v>
      </c>
      <c r="B544" s="1">
        <v>41911</v>
      </c>
      <c r="C544">
        <v>8.89</v>
      </c>
      <c r="D544">
        <v>0.23</v>
      </c>
      <c r="E544">
        <v>3</v>
      </c>
      <c r="F544">
        <f t="shared" si="40"/>
        <v>0</v>
      </c>
      <c r="G544">
        <f t="shared" si="41"/>
        <v>1</v>
      </c>
      <c r="H544">
        <f t="shared" si="42"/>
        <v>0</v>
      </c>
      <c r="I544">
        <f t="shared" si="43"/>
        <v>0</v>
      </c>
      <c r="J544">
        <f t="shared" si="44"/>
        <v>0</v>
      </c>
    </row>
    <row r="545" spans="1:10" x14ac:dyDescent="0.3">
      <c r="A545" s="1">
        <v>41889</v>
      </c>
      <c r="B545" s="1">
        <v>41916</v>
      </c>
      <c r="C545">
        <v>6.43</v>
      </c>
      <c r="D545">
        <v>0.17</v>
      </c>
      <c r="E545">
        <v>5</v>
      </c>
      <c r="F545">
        <f t="shared" si="40"/>
        <v>0</v>
      </c>
      <c r="G545">
        <f t="shared" si="41"/>
        <v>0</v>
      </c>
      <c r="H545">
        <f t="shared" si="42"/>
        <v>0</v>
      </c>
      <c r="I545">
        <f t="shared" si="43"/>
        <v>1</v>
      </c>
      <c r="J545">
        <f t="shared" si="44"/>
        <v>0</v>
      </c>
    </row>
    <row r="546" spans="1:10" x14ac:dyDescent="0.3">
      <c r="A546" s="1">
        <v>41890</v>
      </c>
      <c r="B546" s="1">
        <v>41918</v>
      </c>
      <c r="C546">
        <v>6.58</v>
      </c>
      <c r="D546">
        <v>0.17</v>
      </c>
      <c r="E546">
        <v>5</v>
      </c>
      <c r="F546">
        <f t="shared" si="40"/>
        <v>0</v>
      </c>
      <c r="G546">
        <f t="shared" si="41"/>
        <v>0</v>
      </c>
      <c r="H546">
        <f t="shared" si="42"/>
        <v>0</v>
      </c>
      <c r="I546">
        <f t="shared" si="43"/>
        <v>1</v>
      </c>
      <c r="J546">
        <f t="shared" si="44"/>
        <v>0</v>
      </c>
    </row>
    <row r="547" spans="1:10" x14ac:dyDescent="0.3">
      <c r="A547" s="1">
        <v>41890</v>
      </c>
      <c r="B547" s="1">
        <v>41898</v>
      </c>
      <c r="C547">
        <v>5.67</v>
      </c>
      <c r="D547">
        <v>0.15</v>
      </c>
      <c r="E547">
        <v>2</v>
      </c>
      <c r="F547">
        <f t="shared" si="40"/>
        <v>1</v>
      </c>
      <c r="G547">
        <f t="shared" si="41"/>
        <v>0</v>
      </c>
      <c r="H547">
        <f t="shared" si="42"/>
        <v>0</v>
      </c>
      <c r="I547">
        <f t="shared" si="43"/>
        <v>0</v>
      </c>
      <c r="J547">
        <f t="shared" si="44"/>
        <v>0</v>
      </c>
    </row>
    <row r="548" spans="1:10" x14ac:dyDescent="0.3">
      <c r="A548" s="1">
        <v>41890</v>
      </c>
      <c r="B548" s="1">
        <v>41912</v>
      </c>
      <c r="C548">
        <v>3.57</v>
      </c>
      <c r="D548">
        <v>0.09</v>
      </c>
      <c r="E548">
        <v>3</v>
      </c>
      <c r="F548">
        <f t="shared" si="40"/>
        <v>0</v>
      </c>
      <c r="G548">
        <f t="shared" si="41"/>
        <v>1</v>
      </c>
      <c r="H548">
        <f t="shared" si="42"/>
        <v>0</v>
      </c>
      <c r="I548">
        <f t="shared" si="43"/>
        <v>0</v>
      </c>
      <c r="J548">
        <f t="shared" si="44"/>
        <v>0</v>
      </c>
    </row>
    <row r="549" spans="1:10" x14ac:dyDescent="0.3">
      <c r="A549" s="1">
        <v>41890</v>
      </c>
      <c r="B549" s="1">
        <v>41895</v>
      </c>
      <c r="C549">
        <v>3.73</v>
      </c>
      <c r="D549">
        <v>0.1</v>
      </c>
      <c r="E549">
        <v>3</v>
      </c>
      <c r="F549">
        <f t="shared" si="40"/>
        <v>0</v>
      </c>
      <c r="G549">
        <f t="shared" si="41"/>
        <v>1</v>
      </c>
      <c r="H549">
        <f t="shared" si="42"/>
        <v>0</v>
      </c>
      <c r="I549">
        <f t="shared" si="43"/>
        <v>0</v>
      </c>
      <c r="J549">
        <f t="shared" si="44"/>
        <v>0</v>
      </c>
    </row>
    <row r="550" spans="1:10" x14ac:dyDescent="0.3">
      <c r="A550" s="1">
        <v>41893</v>
      </c>
      <c r="B550" s="1">
        <v>41900</v>
      </c>
      <c r="C550">
        <v>8.5399999999999991</v>
      </c>
      <c r="D550">
        <v>0.22</v>
      </c>
      <c r="E550">
        <v>4</v>
      </c>
      <c r="F550">
        <f t="shared" si="40"/>
        <v>0</v>
      </c>
      <c r="G550">
        <f t="shared" si="41"/>
        <v>0</v>
      </c>
      <c r="H550">
        <f t="shared" si="42"/>
        <v>1</v>
      </c>
      <c r="I550">
        <f t="shared" si="43"/>
        <v>0</v>
      </c>
      <c r="J550">
        <f t="shared" si="44"/>
        <v>0</v>
      </c>
    </row>
    <row r="551" spans="1:10" x14ac:dyDescent="0.3">
      <c r="A551" s="1">
        <v>41893</v>
      </c>
      <c r="B551" s="1">
        <v>41898</v>
      </c>
      <c r="C551">
        <v>16.829999999999998</v>
      </c>
      <c r="D551">
        <v>0.44</v>
      </c>
      <c r="E551">
        <v>3</v>
      </c>
      <c r="F551">
        <f t="shared" si="40"/>
        <v>0</v>
      </c>
      <c r="G551">
        <f t="shared" si="41"/>
        <v>1</v>
      </c>
      <c r="H551">
        <f t="shared" si="42"/>
        <v>0</v>
      </c>
      <c r="I551">
        <f t="shared" si="43"/>
        <v>0</v>
      </c>
      <c r="J551">
        <f t="shared" si="44"/>
        <v>0</v>
      </c>
    </row>
    <row r="552" spans="1:10" x14ac:dyDescent="0.3">
      <c r="A552" s="1">
        <v>41893</v>
      </c>
      <c r="B552" s="1">
        <v>41918</v>
      </c>
      <c r="C552">
        <v>11.42</v>
      </c>
      <c r="D552">
        <v>0.3</v>
      </c>
      <c r="E552">
        <v>6</v>
      </c>
      <c r="F552">
        <f t="shared" si="40"/>
        <v>0</v>
      </c>
      <c r="G552">
        <f t="shared" si="41"/>
        <v>0</v>
      </c>
      <c r="H552">
        <f t="shared" si="42"/>
        <v>0</v>
      </c>
      <c r="I552">
        <f t="shared" si="43"/>
        <v>0</v>
      </c>
      <c r="J552">
        <f t="shared" si="44"/>
        <v>1</v>
      </c>
    </row>
    <row r="553" spans="1:10" x14ac:dyDescent="0.3">
      <c r="A553" s="1">
        <v>41893</v>
      </c>
      <c r="B553" s="1">
        <v>41899</v>
      </c>
      <c r="C553">
        <v>8.84</v>
      </c>
      <c r="D553">
        <v>0.23</v>
      </c>
      <c r="E553">
        <v>2</v>
      </c>
      <c r="F553">
        <f t="shared" si="40"/>
        <v>1</v>
      </c>
      <c r="G553">
        <f t="shared" si="41"/>
        <v>0</v>
      </c>
      <c r="H553">
        <f t="shared" si="42"/>
        <v>0</v>
      </c>
      <c r="I553">
        <f t="shared" si="43"/>
        <v>0</v>
      </c>
      <c r="J553">
        <f t="shared" si="44"/>
        <v>0</v>
      </c>
    </row>
    <row r="554" spans="1:10" x14ac:dyDescent="0.3">
      <c r="A554" s="1">
        <v>41893</v>
      </c>
      <c r="B554" s="1">
        <v>41906</v>
      </c>
      <c r="C554">
        <v>6.75</v>
      </c>
      <c r="D554">
        <v>0.18</v>
      </c>
      <c r="E554">
        <v>6</v>
      </c>
      <c r="F554">
        <f t="shared" si="40"/>
        <v>0</v>
      </c>
      <c r="G554">
        <f t="shared" si="41"/>
        <v>0</v>
      </c>
      <c r="H554">
        <f t="shared" si="42"/>
        <v>0</v>
      </c>
      <c r="I554">
        <f t="shared" si="43"/>
        <v>0</v>
      </c>
      <c r="J554">
        <f t="shared" si="44"/>
        <v>1</v>
      </c>
    </row>
    <row r="555" spans="1:10" x14ac:dyDescent="0.3">
      <c r="A555" s="1">
        <v>41893</v>
      </c>
      <c r="B555" s="1">
        <v>41919</v>
      </c>
      <c r="C555">
        <v>7.35</v>
      </c>
      <c r="D555">
        <v>0.19</v>
      </c>
      <c r="E555">
        <v>5</v>
      </c>
      <c r="F555">
        <f t="shared" si="40"/>
        <v>0</v>
      </c>
      <c r="G555">
        <f t="shared" si="41"/>
        <v>0</v>
      </c>
      <c r="H555">
        <f t="shared" si="42"/>
        <v>0</v>
      </c>
      <c r="I555">
        <f t="shared" si="43"/>
        <v>1</v>
      </c>
      <c r="J555">
        <f t="shared" si="44"/>
        <v>0</v>
      </c>
    </row>
    <row r="556" spans="1:10" x14ac:dyDescent="0.3">
      <c r="A556" s="1">
        <v>41897</v>
      </c>
      <c r="B556" s="1">
        <v>41921</v>
      </c>
      <c r="C556">
        <v>3.57</v>
      </c>
      <c r="D556">
        <v>0.09</v>
      </c>
      <c r="E556">
        <v>4</v>
      </c>
      <c r="F556">
        <f t="shared" si="40"/>
        <v>0</v>
      </c>
      <c r="G556">
        <f t="shared" si="41"/>
        <v>0</v>
      </c>
      <c r="H556">
        <f t="shared" si="42"/>
        <v>1</v>
      </c>
      <c r="I556">
        <f t="shared" si="43"/>
        <v>0</v>
      </c>
      <c r="J556">
        <f t="shared" si="44"/>
        <v>0</v>
      </c>
    </row>
    <row r="557" spans="1:10" x14ac:dyDescent="0.3">
      <c r="A557" s="1">
        <v>41897</v>
      </c>
      <c r="B557" s="1">
        <v>41905</v>
      </c>
      <c r="C557">
        <v>9.06</v>
      </c>
      <c r="D557">
        <v>0.24</v>
      </c>
      <c r="E557">
        <v>5</v>
      </c>
      <c r="F557">
        <f t="shared" si="40"/>
        <v>0</v>
      </c>
      <c r="G557">
        <f t="shared" si="41"/>
        <v>0</v>
      </c>
      <c r="H557">
        <f t="shared" si="42"/>
        <v>0</v>
      </c>
      <c r="I557">
        <f t="shared" si="43"/>
        <v>1</v>
      </c>
      <c r="J557">
        <f t="shared" si="44"/>
        <v>0</v>
      </c>
    </row>
    <row r="558" spans="1:10" x14ac:dyDescent="0.3">
      <c r="A558" s="1">
        <v>41898</v>
      </c>
      <c r="B558" s="1">
        <v>41906</v>
      </c>
      <c r="C558">
        <v>9.4600000000000009</v>
      </c>
      <c r="D558">
        <v>0.25</v>
      </c>
      <c r="E558">
        <v>4</v>
      </c>
      <c r="F558">
        <f t="shared" si="40"/>
        <v>0</v>
      </c>
      <c r="G558">
        <f t="shared" si="41"/>
        <v>0</v>
      </c>
      <c r="H558">
        <f t="shared" si="42"/>
        <v>1</v>
      </c>
      <c r="I558">
        <f t="shared" si="43"/>
        <v>0</v>
      </c>
      <c r="J558">
        <f t="shared" si="44"/>
        <v>0</v>
      </c>
    </row>
    <row r="559" spans="1:10" x14ac:dyDescent="0.3">
      <c r="A559" s="1">
        <v>41898</v>
      </c>
      <c r="B559" s="1">
        <v>41924</v>
      </c>
      <c r="C559">
        <v>8.9499999999999993</v>
      </c>
      <c r="D559">
        <v>0.24</v>
      </c>
      <c r="E559">
        <v>5</v>
      </c>
      <c r="F559">
        <f t="shared" si="40"/>
        <v>0</v>
      </c>
      <c r="G559">
        <f t="shared" si="41"/>
        <v>0</v>
      </c>
      <c r="H559">
        <f t="shared" si="42"/>
        <v>0</v>
      </c>
      <c r="I559">
        <f t="shared" si="43"/>
        <v>1</v>
      </c>
      <c r="J559">
        <f t="shared" si="44"/>
        <v>0</v>
      </c>
    </row>
    <row r="560" spans="1:10" x14ac:dyDescent="0.3">
      <c r="A560" s="1">
        <v>41898</v>
      </c>
      <c r="B560" s="1">
        <v>41923</v>
      </c>
      <c r="C560">
        <v>9.06</v>
      </c>
      <c r="D560">
        <v>0.24</v>
      </c>
      <c r="E560">
        <v>2</v>
      </c>
      <c r="F560">
        <f t="shared" si="40"/>
        <v>1</v>
      </c>
      <c r="G560">
        <f t="shared" si="41"/>
        <v>0</v>
      </c>
      <c r="H560">
        <f t="shared" si="42"/>
        <v>0</v>
      </c>
      <c r="I560">
        <f t="shared" si="43"/>
        <v>0</v>
      </c>
      <c r="J560">
        <f t="shared" si="44"/>
        <v>0</v>
      </c>
    </row>
    <row r="561" spans="1:10" x14ac:dyDescent="0.3">
      <c r="A561" s="1">
        <v>41898</v>
      </c>
      <c r="B561" s="1">
        <v>41904</v>
      </c>
      <c r="C561">
        <v>6.88</v>
      </c>
      <c r="D561">
        <v>0.18</v>
      </c>
      <c r="E561">
        <v>3</v>
      </c>
      <c r="F561">
        <f t="shared" si="40"/>
        <v>0</v>
      </c>
      <c r="G561">
        <f t="shared" si="41"/>
        <v>1</v>
      </c>
      <c r="H561">
        <f t="shared" si="42"/>
        <v>0</v>
      </c>
      <c r="I561">
        <f t="shared" si="43"/>
        <v>0</v>
      </c>
      <c r="J561">
        <f t="shared" si="44"/>
        <v>0</v>
      </c>
    </row>
    <row r="562" spans="1:10" x14ac:dyDescent="0.3">
      <c r="A562" s="1">
        <v>41898</v>
      </c>
      <c r="B562" s="1">
        <v>41917</v>
      </c>
      <c r="C562">
        <v>9.1300000000000008</v>
      </c>
      <c r="D562">
        <v>0.24</v>
      </c>
      <c r="E562">
        <v>4</v>
      </c>
      <c r="F562">
        <f t="shared" si="40"/>
        <v>0</v>
      </c>
      <c r="G562">
        <f t="shared" si="41"/>
        <v>0</v>
      </c>
      <c r="H562">
        <f t="shared" si="42"/>
        <v>1</v>
      </c>
      <c r="I562">
        <f t="shared" si="43"/>
        <v>0</v>
      </c>
      <c r="J562">
        <f t="shared" si="44"/>
        <v>0</v>
      </c>
    </row>
    <row r="563" spans="1:10" x14ac:dyDescent="0.3">
      <c r="A563" s="1">
        <v>41898</v>
      </c>
      <c r="B563" s="1">
        <v>41924</v>
      </c>
      <c r="C563">
        <v>12.01</v>
      </c>
      <c r="D563">
        <v>0.32</v>
      </c>
      <c r="E563">
        <v>3</v>
      </c>
      <c r="F563">
        <f t="shared" si="40"/>
        <v>0</v>
      </c>
      <c r="G563">
        <f t="shared" si="41"/>
        <v>1</v>
      </c>
      <c r="H563">
        <f t="shared" si="42"/>
        <v>0</v>
      </c>
      <c r="I563">
        <f t="shared" si="43"/>
        <v>0</v>
      </c>
      <c r="J563">
        <f t="shared" si="44"/>
        <v>0</v>
      </c>
    </row>
    <row r="564" spans="1:10" x14ac:dyDescent="0.3">
      <c r="A564" s="1">
        <v>41898</v>
      </c>
      <c r="B564" s="1">
        <v>41920</v>
      </c>
      <c r="C564">
        <v>19.54</v>
      </c>
      <c r="D564">
        <v>0.51</v>
      </c>
      <c r="E564">
        <v>5</v>
      </c>
      <c r="F564">
        <f t="shared" si="40"/>
        <v>0</v>
      </c>
      <c r="G564">
        <f t="shared" si="41"/>
        <v>0</v>
      </c>
      <c r="H564">
        <f t="shared" si="42"/>
        <v>0</v>
      </c>
      <c r="I564">
        <f t="shared" si="43"/>
        <v>1</v>
      </c>
      <c r="J564">
        <f t="shared" si="44"/>
        <v>0</v>
      </c>
    </row>
    <row r="565" spans="1:10" x14ac:dyDescent="0.3">
      <c r="A565" s="1">
        <v>41898</v>
      </c>
      <c r="B565" s="1">
        <v>41918</v>
      </c>
      <c r="C565">
        <v>10.199999999999999</v>
      </c>
      <c r="D565">
        <v>0.27</v>
      </c>
      <c r="E565">
        <v>5</v>
      </c>
      <c r="F565">
        <f t="shared" si="40"/>
        <v>0</v>
      </c>
      <c r="G565">
        <f t="shared" si="41"/>
        <v>0</v>
      </c>
      <c r="H565">
        <f t="shared" si="42"/>
        <v>0</v>
      </c>
      <c r="I565">
        <f t="shared" si="43"/>
        <v>1</v>
      </c>
      <c r="J565">
        <f t="shared" si="44"/>
        <v>0</v>
      </c>
    </row>
    <row r="566" spans="1:10" x14ac:dyDescent="0.3">
      <c r="A566" s="1">
        <v>41898</v>
      </c>
      <c r="B566" s="1">
        <v>41910</v>
      </c>
      <c r="C566">
        <v>14.31</v>
      </c>
      <c r="D566">
        <v>0.38</v>
      </c>
      <c r="E566">
        <v>6</v>
      </c>
      <c r="F566">
        <f t="shared" si="40"/>
        <v>0</v>
      </c>
      <c r="G566">
        <f t="shared" si="41"/>
        <v>0</v>
      </c>
      <c r="H566">
        <f t="shared" si="42"/>
        <v>0</v>
      </c>
      <c r="I566">
        <f t="shared" si="43"/>
        <v>0</v>
      </c>
      <c r="J566">
        <f t="shared" si="44"/>
        <v>1</v>
      </c>
    </row>
    <row r="567" spans="1:10" x14ac:dyDescent="0.3">
      <c r="A567" s="1">
        <v>41898</v>
      </c>
      <c r="B567" s="1">
        <v>41924</v>
      </c>
      <c r="C567">
        <v>8.89</v>
      </c>
      <c r="D567">
        <v>0.23</v>
      </c>
      <c r="E567">
        <v>6</v>
      </c>
      <c r="F567">
        <f t="shared" si="40"/>
        <v>0</v>
      </c>
      <c r="G567">
        <f t="shared" si="41"/>
        <v>0</v>
      </c>
      <c r="H567">
        <f t="shared" si="42"/>
        <v>0</v>
      </c>
      <c r="I567">
        <f t="shared" si="43"/>
        <v>0</v>
      </c>
      <c r="J567">
        <f t="shared" si="44"/>
        <v>1</v>
      </c>
    </row>
    <row r="568" spans="1:10" x14ac:dyDescent="0.3">
      <c r="A568" s="1">
        <v>41898</v>
      </c>
      <c r="B568" s="1">
        <v>41925</v>
      </c>
      <c r="C568">
        <v>11.44</v>
      </c>
      <c r="D568">
        <v>0.3</v>
      </c>
      <c r="E568">
        <v>2</v>
      </c>
      <c r="F568">
        <f t="shared" si="40"/>
        <v>1</v>
      </c>
      <c r="G568">
        <f t="shared" si="41"/>
        <v>0</v>
      </c>
      <c r="H568">
        <f t="shared" si="42"/>
        <v>0</v>
      </c>
      <c r="I568">
        <f t="shared" si="43"/>
        <v>0</v>
      </c>
      <c r="J568">
        <f t="shared" si="44"/>
        <v>0</v>
      </c>
    </row>
    <row r="569" spans="1:10" x14ac:dyDescent="0.3">
      <c r="A569" s="1">
        <v>41898</v>
      </c>
      <c r="B569" s="1">
        <v>41911</v>
      </c>
      <c r="C569">
        <v>6.43</v>
      </c>
      <c r="D569">
        <v>0.17</v>
      </c>
      <c r="E569">
        <v>5</v>
      </c>
      <c r="F569">
        <f t="shared" si="40"/>
        <v>0</v>
      </c>
      <c r="G569">
        <f t="shared" si="41"/>
        <v>0</v>
      </c>
      <c r="H569">
        <f t="shared" si="42"/>
        <v>0</v>
      </c>
      <c r="I569">
        <f t="shared" si="43"/>
        <v>1</v>
      </c>
      <c r="J569">
        <f t="shared" si="44"/>
        <v>0</v>
      </c>
    </row>
    <row r="570" spans="1:10" x14ac:dyDescent="0.3">
      <c r="A570" s="1">
        <v>41898</v>
      </c>
      <c r="B570" s="1">
        <v>41907</v>
      </c>
      <c r="C570">
        <v>7.31</v>
      </c>
      <c r="D570">
        <v>0.19</v>
      </c>
      <c r="E570">
        <v>5</v>
      </c>
      <c r="F570">
        <f t="shared" si="40"/>
        <v>0</v>
      </c>
      <c r="G570">
        <f t="shared" si="41"/>
        <v>0</v>
      </c>
      <c r="H570">
        <f t="shared" si="42"/>
        <v>0</v>
      </c>
      <c r="I570">
        <f t="shared" si="43"/>
        <v>1</v>
      </c>
      <c r="J570">
        <f t="shared" si="44"/>
        <v>0</v>
      </c>
    </row>
    <row r="571" spans="1:10" x14ac:dyDescent="0.3">
      <c r="A571" s="1">
        <v>41898</v>
      </c>
      <c r="B571" s="1">
        <v>41924</v>
      </c>
      <c r="C571">
        <v>8.5399999999999991</v>
      </c>
      <c r="D571">
        <v>0.22</v>
      </c>
      <c r="E571">
        <v>4</v>
      </c>
      <c r="F571">
        <f t="shared" si="40"/>
        <v>0</v>
      </c>
      <c r="G571">
        <f t="shared" si="41"/>
        <v>0</v>
      </c>
      <c r="H571">
        <f t="shared" si="42"/>
        <v>1</v>
      </c>
      <c r="I571">
        <f t="shared" si="43"/>
        <v>0</v>
      </c>
      <c r="J571">
        <f t="shared" si="44"/>
        <v>0</v>
      </c>
    </row>
    <row r="572" spans="1:10" x14ac:dyDescent="0.3">
      <c r="A572" s="1">
        <v>41898</v>
      </c>
      <c r="B572" s="1">
        <v>41901</v>
      </c>
      <c r="C572">
        <v>4.25</v>
      </c>
      <c r="D572">
        <v>0.11</v>
      </c>
      <c r="E572">
        <v>6</v>
      </c>
      <c r="F572">
        <f t="shared" si="40"/>
        <v>0</v>
      </c>
      <c r="G572">
        <f t="shared" si="41"/>
        <v>0</v>
      </c>
      <c r="H572">
        <f t="shared" si="42"/>
        <v>0</v>
      </c>
      <c r="I572">
        <f t="shared" si="43"/>
        <v>0</v>
      </c>
      <c r="J572">
        <f t="shared" si="44"/>
        <v>1</v>
      </c>
    </row>
    <row r="573" spans="1:10" x14ac:dyDescent="0.3">
      <c r="A573" s="1">
        <v>41898</v>
      </c>
      <c r="B573" s="1">
        <v>41922</v>
      </c>
      <c r="C573">
        <v>7.3</v>
      </c>
      <c r="D573">
        <v>0.19</v>
      </c>
      <c r="E573">
        <v>2</v>
      </c>
      <c r="F573">
        <f t="shared" si="40"/>
        <v>1</v>
      </c>
      <c r="G573">
        <f t="shared" si="41"/>
        <v>0</v>
      </c>
      <c r="H573">
        <f t="shared" si="42"/>
        <v>0</v>
      </c>
      <c r="I573">
        <f t="shared" si="43"/>
        <v>0</v>
      </c>
      <c r="J573">
        <f t="shared" si="44"/>
        <v>0</v>
      </c>
    </row>
    <row r="574" spans="1:10" x14ac:dyDescent="0.3">
      <c r="A574" s="1">
        <v>41898</v>
      </c>
      <c r="B574" s="1">
        <v>41919</v>
      </c>
      <c r="C574">
        <v>11.37</v>
      </c>
      <c r="D574">
        <v>0.3</v>
      </c>
      <c r="E574">
        <v>6</v>
      </c>
      <c r="F574">
        <f t="shared" si="40"/>
        <v>0</v>
      </c>
      <c r="G574">
        <f t="shared" si="41"/>
        <v>0</v>
      </c>
      <c r="H574">
        <f t="shared" si="42"/>
        <v>0</v>
      </c>
      <c r="I574">
        <f t="shared" si="43"/>
        <v>0</v>
      </c>
      <c r="J574">
        <f t="shared" si="44"/>
        <v>1</v>
      </c>
    </row>
    <row r="575" spans="1:10" x14ac:dyDescent="0.3">
      <c r="A575" s="1">
        <v>41898</v>
      </c>
      <c r="B575" s="1">
        <v>41903</v>
      </c>
      <c r="C575">
        <v>14.13</v>
      </c>
      <c r="D575">
        <v>0.37</v>
      </c>
      <c r="E575">
        <v>2</v>
      </c>
      <c r="F575">
        <f t="shared" si="40"/>
        <v>1</v>
      </c>
      <c r="G575">
        <f t="shared" si="41"/>
        <v>0</v>
      </c>
      <c r="H575">
        <f t="shared" si="42"/>
        <v>0</v>
      </c>
      <c r="I575">
        <f t="shared" si="43"/>
        <v>0</v>
      </c>
      <c r="J575">
        <f t="shared" si="44"/>
        <v>0</v>
      </c>
    </row>
    <row r="576" spans="1:10" x14ac:dyDescent="0.3">
      <c r="A576" s="1">
        <v>41898</v>
      </c>
      <c r="B576" s="1">
        <v>41925</v>
      </c>
      <c r="C576">
        <v>11.44</v>
      </c>
      <c r="D576">
        <v>0.3</v>
      </c>
      <c r="E576">
        <v>2</v>
      </c>
      <c r="F576">
        <f t="shared" si="40"/>
        <v>1</v>
      </c>
      <c r="G576">
        <f t="shared" si="41"/>
        <v>0</v>
      </c>
      <c r="H576">
        <f t="shared" si="42"/>
        <v>0</v>
      </c>
      <c r="I576">
        <f t="shared" si="43"/>
        <v>0</v>
      </c>
      <c r="J576">
        <f t="shared" si="44"/>
        <v>0</v>
      </c>
    </row>
    <row r="577" spans="1:10" x14ac:dyDescent="0.3">
      <c r="A577" s="1">
        <v>41899</v>
      </c>
      <c r="B577" s="1">
        <v>41927</v>
      </c>
      <c r="C577">
        <v>9.4600000000000009</v>
      </c>
      <c r="D577">
        <v>0.25</v>
      </c>
      <c r="E577">
        <v>6</v>
      </c>
      <c r="F577">
        <f t="shared" si="40"/>
        <v>0</v>
      </c>
      <c r="G577">
        <f t="shared" si="41"/>
        <v>0</v>
      </c>
      <c r="H577">
        <f t="shared" si="42"/>
        <v>0</v>
      </c>
      <c r="I577">
        <f t="shared" si="43"/>
        <v>0</v>
      </c>
      <c r="J577">
        <f t="shared" si="44"/>
        <v>1</v>
      </c>
    </row>
    <row r="578" spans="1:10" x14ac:dyDescent="0.3">
      <c r="A578" s="1">
        <v>41899</v>
      </c>
      <c r="B578" s="1">
        <v>41902</v>
      </c>
      <c r="C578">
        <v>4.25</v>
      </c>
      <c r="D578">
        <v>0.11</v>
      </c>
      <c r="E578">
        <v>2</v>
      </c>
      <c r="F578">
        <f t="shared" si="40"/>
        <v>1</v>
      </c>
      <c r="G578">
        <f t="shared" si="41"/>
        <v>0</v>
      </c>
      <c r="H578">
        <f t="shared" si="42"/>
        <v>0</v>
      </c>
      <c r="I578">
        <f t="shared" si="43"/>
        <v>0</v>
      </c>
      <c r="J578">
        <f t="shared" si="44"/>
        <v>0</v>
      </c>
    </row>
    <row r="579" spans="1:10" x14ac:dyDescent="0.3">
      <c r="A579" s="1">
        <v>41899</v>
      </c>
      <c r="B579" s="1">
        <v>41911</v>
      </c>
      <c r="C579">
        <v>7.31</v>
      </c>
      <c r="D579">
        <v>0.19</v>
      </c>
      <c r="E579">
        <v>4</v>
      </c>
      <c r="F579">
        <f t="shared" ref="F579:F642" si="45">IF(EXACT(E579,2),1,0)</f>
        <v>0</v>
      </c>
      <c r="G579">
        <f t="shared" ref="G579:G642" si="46">IF(EXACT(E579,3),1,0)</f>
        <v>0</v>
      </c>
      <c r="H579">
        <f t="shared" ref="H579:H642" si="47">IF(EXACT(E579,4),1,0)</f>
        <v>1</v>
      </c>
      <c r="I579">
        <f t="shared" ref="I579:I642" si="48">IF(EXACT(E579,5),1,0)</f>
        <v>0</v>
      </c>
      <c r="J579">
        <f t="shared" ref="J579:J642" si="49">IF(EXACT(E579,6),1,0)</f>
        <v>0</v>
      </c>
    </row>
    <row r="580" spans="1:10" x14ac:dyDescent="0.3">
      <c r="A580" s="1">
        <v>41899</v>
      </c>
      <c r="B580" s="1">
        <v>41913</v>
      </c>
      <c r="C580">
        <v>14</v>
      </c>
      <c r="D580">
        <v>0.37</v>
      </c>
      <c r="E580">
        <v>6</v>
      </c>
      <c r="F580">
        <f t="shared" si="45"/>
        <v>0</v>
      </c>
      <c r="G580">
        <f t="shared" si="46"/>
        <v>0</v>
      </c>
      <c r="H580">
        <f t="shared" si="47"/>
        <v>0</v>
      </c>
      <c r="I580">
        <f t="shared" si="48"/>
        <v>0</v>
      </c>
      <c r="J580">
        <f t="shared" si="49"/>
        <v>1</v>
      </c>
    </row>
    <row r="581" spans="1:10" x14ac:dyDescent="0.3">
      <c r="A581" s="1">
        <v>41899</v>
      </c>
      <c r="B581" s="1">
        <v>41907</v>
      </c>
      <c r="C581">
        <v>6.23</v>
      </c>
      <c r="D581">
        <v>0.16</v>
      </c>
      <c r="E581">
        <v>2</v>
      </c>
      <c r="F581">
        <f t="shared" si="45"/>
        <v>1</v>
      </c>
      <c r="G581">
        <f t="shared" si="46"/>
        <v>0</v>
      </c>
      <c r="H581">
        <f t="shared" si="47"/>
        <v>0</v>
      </c>
      <c r="I581">
        <f t="shared" si="48"/>
        <v>0</v>
      </c>
      <c r="J581">
        <f t="shared" si="49"/>
        <v>0</v>
      </c>
    </row>
    <row r="582" spans="1:10" x14ac:dyDescent="0.3">
      <c r="A582" s="1">
        <v>41899</v>
      </c>
      <c r="B582" s="1">
        <v>41904</v>
      </c>
      <c r="C582">
        <v>9.1300000000000008</v>
      </c>
      <c r="D582">
        <v>0.24</v>
      </c>
      <c r="E582">
        <v>3</v>
      </c>
      <c r="F582">
        <f t="shared" si="45"/>
        <v>0</v>
      </c>
      <c r="G582">
        <f t="shared" si="46"/>
        <v>1</v>
      </c>
      <c r="H582">
        <f t="shared" si="47"/>
        <v>0</v>
      </c>
      <c r="I582">
        <f t="shared" si="48"/>
        <v>0</v>
      </c>
      <c r="J582">
        <f t="shared" si="49"/>
        <v>0</v>
      </c>
    </row>
    <row r="583" spans="1:10" x14ac:dyDescent="0.3">
      <c r="A583" s="1">
        <v>41899</v>
      </c>
      <c r="B583" s="1">
        <v>41919</v>
      </c>
      <c r="C583">
        <v>10.59</v>
      </c>
      <c r="D583">
        <v>0.28000000000000003</v>
      </c>
      <c r="E583">
        <v>5</v>
      </c>
      <c r="F583">
        <f t="shared" si="45"/>
        <v>0</v>
      </c>
      <c r="G583">
        <f t="shared" si="46"/>
        <v>0</v>
      </c>
      <c r="H583">
        <f t="shared" si="47"/>
        <v>0</v>
      </c>
      <c r="I583">
        <f t="shared" si="48"/>
        <v>1</v>
      </c>
      <c r="J583">
        <f t="shared" si="49"/>
        <v>0</v>
      </c>
    </row>
    <row r="584" spans="1:10" x14ac:dyDescent="0.3">
      <c r="A584" s="1">
        <v>41899</v>
      </c>
      <c r="B584" s="1">
        <v>41902</v>
      </c>
      <c r="C584">
        <v>9.06</v>
      </c>
      <c r="D584">
        <v>0.24</v>
      </c>
      <c r="E584">
        <v>2</v>
      </c>
      <c r="F584">
        <f t="shared" si="45"/>
        <v>1</v>
      </c>
      <c r="G584">
        <f t="shared" si="46"/>
        <v>0</v>
      </c>
      <c r="H584">
        <f t="shared" si="47"/>
        <v>0</v>
      </c>
      <c r="I584">
        <f t="shared" si="48"/>
        <v>0</v>
      </c>
      <c r="J584">
        <f t="shared" si="49"/>
        <v>0</v>
      </c>
    </row>
    <row r="585" spans="1:10" x14ac:dyDescent="0.3">
      <c r="A585" s="1">
        <v>41899</v>
      </c>
      <c r="B585" s="1">
        <v>41901</v>
      </c>
      <c r="C585">
        <v>7.06</v>
      </c>
      <c r="D585">
        <v>0.19</v>
      </c>
      <c r="E585">
        <v>2</v>
      </c>
      <c r="F585">
        <f t="shared" si="45"/>
        <v>1</v>
      </c>
      <c r="G585">
        <f t="shared" si="46"/>
        <v>0</v>
      </c>
      <c r="H585">
        <f t="shared" si="47"/>
        <v>0</v>
      </c>
      <c r="I585">
        <f t="shared" si="48"/>
        <v>0</v>
      </c>
      <c r="J585">
        <f t="shared" si="49"/>
        <v>0</v>
      </c>
    </row>
    <row r="586" spans="1:10" x14ac:dyDescent="0.3">
      <c r="A586" s="1">
        <v>41899</v>
      </c>
      <c r="B586" s="1">
        <v>41916</v>
      </c>
      <c r="C586">
        <v>6.75</v>
      </c>
      <c r="D586">
        <v>0.18</v>
      </c>
      <c r="E586">
        <v>5</v>
      </c>
      <c r="F586">
        <f t="shared" si="45"/>
        <v>0</v>
      </c>
      <c r="G586">
        <f t="shared" si="46"/>
        <v>0</v>
      </c>
      <c r="H586">
        <f t="shared" si="47"/>
        <v>0</v>
      </c>
      <c r="I586">
        <f t="shared" si="48"/>
        <v>1</v>
      </c>
      <c r="J586">
        <f t="shared" si="49"/>
        <v>0</v>
      </c>
    </row>
    <row r="587" spans="1:10" x14ac:dyDescent="0.3">
      <c r="A587" s="1">
        <v>41899</v>
      </c>
      <c r="B587" s="1">
        <v>41911</v>
      </c>
      <c r="C587">
        <v>7.3</v>
      </c>
      <c r="D587">
        <v>0.19</v>
      </c>
      <c r="E587">
        <v>4</v>
      </c>
      <c r="F587">
        <f t="shared" si="45"/>
        <v>0</v>
      </c>
      <c r="G587">
        <f t="shared" si="46"/>
        <v>0</v>
      </c>
      <c r="H587">
        <f t="shared" si="47"/>
        <v>1</v>
      </c>
      <c r="I587">
        <f t="shared" si="48"/>
        <v>0</v>
      </c>
      <c r="J587">
        <f t="shared" si="49"/>
        <v>0</v>
      </c>
    </row>
    <row r="588" spans="1:10" x14ac:dyDescent="0.3">
      <c r="A588" s="1">
        <v>41899</v>
      </c>
      <c r="B588" s="1">
        <v>41902</v>
      </c>
      <c r="C588">
        <v>13.02</v>
      </c>
      <c r="D588">
        <v>0.34</v>
      </c>
      <c r="E588">
        <v>5</v>
      </c>
      <c r="F588">
        <f t="shared" si="45"/>
        <v>0</v>
      </c>
      <c r="G588">
        <f t="shared" si="46"/>
        <v>0</v>
      </c>
      <c r="H588">
        <f t="shared" si="47"/>
        <v>0</v>
      </c>
      <c r="I588">
        <f t="shared" si="48"/>
        <v>1</v>
      </c>
      <c r="J588">
        <f t="shared" si="49"/>
        <v>0</v>
      </c>
    </row>
    <row r="589" spans="1:10" x14ac:dyDescent="0.3">
      <c r="A589" s="1">
        <v>41899</v>
      </c>
      <c r="B589" s="1">
        <v>41905</v>
      </c>
      <c r="C589">
        <v>14.13</v>
      </c>
      <c r="D589">
        <v>0.37</v>
      </c>
      <c r="E589">
        <v>3</v>
      </c>
      <c r="F589">
        <f t="shared" si="45"/>
        <v>0</v>
      </c>
      <c r="G589">
        <f t="shared" si="46"/>
        <v>1</v>
      </c>
      <c r="H589">
        <f t="shared" si="47"/>
        <v>0</v>
      </c>
      <c r="I589">
        <f t="shared" si="48"/>
        <v>0</v>
      </c>
      <c r="J589">
        <f t="shared" si="49"/>
        <v>0</v>
      </c>
    </row>
    <row r="590" spans="1:10" x14ac:dyDescent="0.3">
      <c r="A590" s="1">
        <v>41899</v>
      </c>
      <c r="B590" s="1">
        <v>41906</v>
      </c>
      <c r="C590">
        <v>10.59</v>
      </c>
      <c r="D590">
        <v>0.28000000000000003</v>
      </c>
      <c r="E590">
        <v>3</v>
      </c>
      <c r="F590">
        <f t="shared" si="45"/>
        <v>0</v>
      </c>
      <c r="G590">
        <f t="shared" si="46"/>
        <v>1</v>
      </c>
      <c r="H590">
        <f t="shared" si="47"/>
        <v>0</v>
      </c>
      <c r="I590">
        <f t="shared" si="48"/>
        <v>0</v>
      </c>
      <c r="J590">
        <f t="shared" si="49"/>
        <v>0</v>
      </c>
    </row>
    <row r="591" spans="1:10" x14ac:dyDescent="0.3">
      <c r="A591" s="1">
        <v>41899</v>
      </c>
      <c r="B591" s="1">
        <v>41917</v>
      </c>
      <c r="C591">
        <v>5.57</v>
      </c>
      <c r="D591">
        <v>0.15</v>
      </c>
      <c r="E591">
        <v>6</v>
      </c>
      <c r="F591">
        <f t="shared" si="45"/>
        <v>0</v>
      </c>
      <c r="G591">
        <f t="shared" si="46"/>
        <v>0</v>
      </c>
      <c r="H591">
        <f t="shared" si="47"/>
        <v>0</v>
      </c>
      <c r="I591">
        <f t="shared" si="48"/>
        <v>0</v>
      </c>
      <c r="J591">
        <f t="shared" si="49"/>
        <v>1</v>
      </c>
    </row>
    <row r="592" spans="1:10" x14ac:dyDescent="0.3">
      <c r="A592" s="1">
        <v>41900</v>
      </c>
      <c r="B592" s="1">
        <v>41906</v>
      </c>
      <c r="C592">
        <v>5.57</v>
      </c>
      <c r="D592">
        <v>0.15</v>
      </c>
      <c r="E592">
        <v>2</v>
      </c>
      <c r="F592">
        <f t="shared" si="45"/>
        <v>1</v>
      </c>
      <c r="G592">
        <f t="shared" si="46"/>
        <v>0</v>
      </c>
      <c r="H592">
        <f t="shared" si="47"/>
        <v>0</v>
      </c>
      <c r="I592">
        <f t="shared" si="48"/>
        <v>0</v>
      </c>
      <c r="J592">
        <f t="shared" si="49"/>
        <v>0</v>
      </c>
    </row>
    <row r="593" spans="1:10" x14ac:dyDescent="0.3">
      <c r="A593" s="1">
        <v>41901</v>
      </c>
      <c r="B593" s="1">
        <v>41919</v>
      </c>
      <c r="C593">
        <v>8.7200000000000006</v>
      </c>
      <c r="D593">
        <v>0.23</v>
      </c>
      <c r="E593">
        <v>2</v>
      </c>
      <c r="F593">
        <f t="shared" si="45"/>
        <v>1</v>
      </c>
      <c r="G593">
        <f t="shared" si="46"/>
        <v>0</v>
      </c>
      <c r="H593">
        <f t="shared" si="47"/>
        <v>0</v>
      </c>
      <c r="I593">
        <f t="shared" si="48"/>
        <v>0</v>
      </c>
      <c r="J593">
        <f t="shared" si="49"/>
        <v>0</v>
      </c>
    </row>
    <row r="594" spans="1:10" x14ac:dyDescent="0.3">
      <c r="A594" s="1">
        <v>41902</v>
      </c>
      <c r="B594" s="1">
        <v>41904</v>
      </c>
      <c r="C594">
        <v>6.43</v>
      </c>
      <c r="D594">
        <v>0.17</v>
      </c>
      <c r="E594">
        <v>4</v>
      </c>
      <c r="F594">
        <f t="shared" si="45"/>
        <v>0</v>
      </c>
      <c r="G594">
        <f t="shared" si="46"/>
        <v>0</v>
      </c>
      <c r="H594">
        <f t="shared" si="47"/>
        <v>1</v>
      </c>
      <c r="I594">
        <f t="shared" si="48"/>
        <v>0</v>
      </c>
      <c r="J594">
        <f t="shared" si="49"/>
        <v>0</v>
      </c>
    </row>
    <row r="595" spans="1:10" x14ac:dyDescent="0.3">
      <c r="A595" s="1">
        <v>41904</v>
      </c>
      <c r="B595" s="1">
        <v>41929</v>
      </c>
      <c r="C595">
        <v>3.57</v>
      </c>
      <c r="D595">
        <v>0.09</v>
      </c>
      <c r="E595">
        <v>2</v>
      </c>
      <c r="F595">
        <f t="shared" si="45"/>
        <v>1</v>
      </c>
      <c r="G595">
        <f t="shared" si="46"/>
        <v>0</v>
      </c>
      <c r="H595">
        <f t="shared" si="47"/>
        <v>0</v>
      </c>
      <c r="I595">
        <f t="shared" si="48"/>
        <v>0</v>
      </c>
      <c r="J595">
        <f t="shared" si="49"/>
        <v>0</v>
      </c>
    </row>
    <row r="596" spans="1:10" x14ac:dyDescent="0.3">
      <c r="A596" s="1">
        <v>41905</v>
      </c>
      <c r="B596" s="1">
        <v>41924</v>
      </c>
      <c r="C596">
        <v>13.82</v>
      </c>
      <c r="D596">
        <v>0.36</v>
      </c>
      <c r="E596">
        <v>4</v>
      </c>
      <c r="F596">
        <f t="shared" si="45"/>
        <v>0</v>
      </c>
      <c r="G596">
        <f t="shared" si="46"/>
        <v>0</v>
      </c>
      <c r="H596">
        <f t="shared" si="47"/>
        <v>1</v>
      </c>
      <c r="I596">
        <f t="shared" si="48"/>
        <v>0</v>
      </c>
      <c r="J596">
        <f t="shared" si="49"/>
        <v>0</v>
      </c>
    </row>
    <row r="597" spans="1:10" x14ac:dyDescent="0.3">
      <c r="A597" s="1">
        <v>41905</v>
      </c>
      <c r="B597" s="1">
        <v>41910</v>
      </c>
      <c r="C597">
        <v>11.37</v>
      </c>
      <c r="D597">
        <v>0.3</v>
      </c>
      <c r="E597">
        <v>5</v>
      </c>
      <c r="F597">
        <f t="shared" si="45"/>
        <v>0</v>
      </c>
      <c r="G597">
        <f t="shared" si="46"/>
        <v>0</v>
      </c>
      <c r="H597">
        <f t="shared" si="47"/>
        <v>0</v>
      </c>
      <c r="I597">
        <f t="shared" si="48"/>
        <v>1</v>
      </c>
      <c r="J597">
        <f t="shared" si="49"/>
        <v>0</v>
      </c>
    </row>
    <row r="598" spans="1:10" x14ac:dyDescent="0.3">
      <c r="A598" s="1">
        <v>41905</v>
      </c>
      <c r="B598" s="1">
        <v>41925</v>
      </c>
      <c r="C598">
        <v>6.58</v>
      </c>
      <c r="D598">
        <v>0.17</v>
      </c>
      <c r="E598">
        <v>4</v>
      </c>
      <c r="F598">
        <f t="shared" si="45"/>
        <v>0</v>
      </c>
      <c r="G598">
        <f t="shared" si="46"/>
        <v>0</v>
      </c>
      <c r="H598">
        <f t="shared" si="47"/>
        <v>1</v>
      </c>
      <c r="I598">
        <f t="shared" si="48"/>
        <v>0</v>
      </c>
      <c r="J598">
        <f t="shared" si="49"/>
        <v>0</v>
      </c>
    </row>
    <row r="599" spans="1:10" x14ac:dyDescent="0.3">
      <c r="A599" s="1">
        <v>41905</v>
      </c>
      <c r="B599" s="1">
        <v>41927</v>
      </c>
      <c r="C599">
        <v>11.69</v>
      </c>
      <c r="D599">
        <v>0.31</v>
      </c>
      <c r="E599">
        <v>5</v>
      </c>
      <c r="F599">
        <f t="shared" si="45"/>
        <v>0</v>
      </c>
      <c r="G599">
        <f t="shared" si="46"/>
        <v>0</v>
      </c>
      <c r="H599">
        <f t="shared" si="47"/>
        <v>0</v>
      </c>
      <c r="I599">
        <f t="shared" si="48"/>
        <v>1</v>
      </c>
      <c r="J599">
        <f t="shared" si="49"/>
        <v>0</v>
      </c>
    </row>
    <row r="600" spans="1:10" x14ac:dyDescent="0.3">
      <c r="A600" s="1">
        <v>41905</v>
      </c>
      <c r="B600" s="1">
        <v>41907</v>
      </c>
      <c r="C600">
        <v>12.01</v>
      </c>
      <c r="D600">
        <v>0.32</v>
      </c>
      <c r="E600">
        <v>3</v>
      </c>
      <c r="F600">
        <f t="shared" si="45"/>
        <v>0</v>
      </c>
      <c r="G600">
        <f t="shared" si="46"/>
        <v>1</v>
      </c>
      <c r="H600">
        <f t="shared" si="47"/>
        <v>0</v>
      </c>
      <c r="I600">
        <f t="shared" si="48"/>
        <v>0</v>
      </c>
      <c r="J600">
        <f t="shared" si="49"/>
        <v>0</v>
      </c>
    </row>
    <row r="601" spans="1:10" x14ac:dyDescent="0.3">
      <c r="A601" s="1">
        <v>41905</v>
      </c>
      <c r="B601" s="1">
        <v>41924</v>
      </c>
      <c r="C601">
        <v>6.43</v>
      </c>
      <c r="D601">
        <v>0.17</v>
      </c>
      <c r="E601">
        <v>2</v>
      </c>
      <c r="F601">
        <f t="shared" si="45"/>
        <v>1</v>
      </c>
      <c r="G601">
        <f t="shared" si="46"/>
        <v>0</v>
      </c>
      <c r="H601">
        <f t="shared" si="47"/>
        <v>0</v>
      </c>
      <c r="I601">
        <f t="shared" si="48"/>
        <v>0</v>
      </c>
      <c r="J601">
        <f t="shared" si="49"/>
        <v>0</v>
      </c>
    </row>
    <row r="602" spans="1:10" x14ac:dyDescent="0.3">
      <c r="A602" s="1">
        <v>41906</v>
      </c>
      <c r="B602" s="1">
        <v>41921</v>
      </c>
      <c r="C602">
        <v>14.13</v>
      </c>
      <c r="D602">
        <v>0.37</v>
      </c>
      <c r="E602">
        <v>2</v>
      </c>
      <c r="F602">
        <f t="shared" si="45"/>
        <v>1</v>
      </c>
      <c r="G602">
        <f t="shared" si="46"/>
        <v>0</v>
      </c>
      <c r="H602">
        <f t="shared" si="47"/>
        <v>0</v>
      </c>
      <c r="I602">
        <f t="shared" si="48"/>
        <v>0</v>
      </c>
      <c r="J602">
        <f t="shared" si="49"/>
        <v>0</v>
      </c>
    </row>
    <row r="603" spans="1:10" x14ac:dyDescent="0.3">
      <c r="A603" s="1">
        <v>41908</v>
      </c>
      <c r="B603" s="1">
        <v>41928</v>
      </c>
      <c r="C603">
        <v>3.73</v>
      </c>
      <c r="D603">
        <v>0.1</v>
      </c>
      <c r="E603">
        <v>2</v>
      </c>
      <c r="F603">
        <f t="shared" si="45"/>
        <v>1</v>
      </c>
      <c r="G603">
        <f t="shared" si="46"/>
        <v>0</v>
      </c>
      <c r="H603">
        <f t="shared" si="47"/>
        <v>0</v>
      </c>
      <c r="I603">
        <f t="shared" si="48"/>
        <v>0</v>
      </c>
      <c r="J603">
        <f t="shared" si="49"/>
        <v>0</v>
      </c>
    </row>
    <row r="604" spans="1:10" x14ac:dyDescent="0.3">
      <c r="A604" s="1">
        <v>41910</v>
      </c>
      <c r="B604" s="1">
        <v>41936</v>
      </c>
      <c r="C604">
        <v>2.29</v>
      </c>
      <c r="D604">
        <v>0.06</v>
      </c>
      <c r="E604">
        <v>6</v>
      </c>
      <c r="F604">
        <f t="shared" si="45"/>
        <v>0</v>
      </c>
      <c r="G604">
        <f t="shared" si="46"/>
        <v>0</v>
      </c>
      <c r="H604">
        <f t="shared" si="47"/>
        <v>0</v>
      </c>
      <c r="I604">
        <f t="shared" si="48"/>
        <v>0</v>
      </c>
      <c r="J604">
        <f t="shared" si="49"/>
        <v>1</v>
      </c>
    </row>
    <row r="605" spans="1:10" x14ac:dyDescent="0.3">
      <c r="A605" s="1">
        <v>41910</v>
      </c>
      <c r="B605" s="1">
        <v>41926</v>
      </c>
      <c r="C605">
        <v>14.13</v>
      </c>
      <c r="D605">
        <v>0.37</v>
      </c>
      <c r="E605">
        <v>3</v>
      </c>
      <c r="F605">
        <f t="shared" si="45"/>
        <v>0</v>
      </c>
      <c r="G605">
        <f t="shared" si="46"/>
        <v>1</v>
      </c>
      <c r="H605">
        <f t="shared" si="47"/>
        <v>0</v>
      </c>
      <c r="I605">
        <f t="shared" si="48"/>
        <v>0</v>
      </c>
      <c r="J605">
        <f t="shared" si="49"/>
        <v>0</v>
      </c>
    </row>
    <row r="606" spans="1:10" x14ac:dyDescent="0.3">
      <c r="A606" s="1">
        <v>41910</v>
      </c>
      <c r="B606" s="1">
        <v>41925</v>
      </c>
      <c r="C606">
        <v>11.37</v>
      </c>
      <c r="D606">
        <v>0.3</v>
      </c>
      <c r="E606">
        <v>4</v>
      </c>
      <c r="F606">
        <f t="shared" si="45"/>
        <v>0</v>
      </c>
      <c r="G606">
        <f t="shared" si="46"/>
        <v>0</v>
      </c>
      <c r="H606">
        <f t="shared" si="47"/>
        <v>1</v>
      </c>
      <c r="I606">
        <f t="shared" si="48"/>
        <v>0</v>
      </c>
      <c r="J606">
        <f t="shared" si="49"/>
        <v>0</v>
      </c>
    </row>
    <row r="607" spans="1:10" x14ac:dyDescent="0.3">
      <c r="A607" s="1">
        <v>41910</v>
      </c>
      <c r="B607" s="1">
        <v>41917</v>
      </c>
      <c r="C607">
        <v>16.940000000000001</v>
      </c>
      <c r="D607">
        <v>0.45</v>
      </c>
      <c r="E607">
        <v>2</v>
      </c>
      <c r="F607">
        <f t="shared" si="45"/>
        <v>1</v>
      </c>
      <c r="G607">
        <f t="shared" si="46"/>
        <v>0</v>
      </c>
      <c r="H607">
        <f t="shared" si="47"/>
        <v>0</v>
      </c>
      <c r="I607">
        <f t="shared" si="48"/>
        <v>0</v>
      </c>
      <c r="J607">
        <f t="shared" si="49"/>
        <v>0</v>
      </c>
    </row>
    <row r="608" spans="1:10" x14ac:dyDescent="0.3">
      <c r="A608" s="1">
        <v>41910</v>
      </c>
      <c r="B608" s="1">
        <v>41913</v>
      </c>
      <c r="C608">
        <v>11.42</v>
      </c>
      <c r="D608">
        <v>0.3</v>
      </c>
      <c r="E608">
        <v>3</v>
      </c>
      <c r="F608">
        <f t="shared" si="45"/>
        <v>0</v>
      </c>
      <c r="G608">
        <f t="shared" si="46"/>
        <v>1</v>
      </c>
      <c r="H608">
        <f t="shared" si="47"/>
        <v>0</v>
      </c>
      <c r="I608">
        <f t="shared" si="48"/>
        <v>0</v>
      </c>
      <c r="J608">
        <f t="shared" si="49"/>
        <v>0</v>
      </c>
    </row>
    <row r="609" spans="1:10" x14ac:dyDescent="0.3">
      <c r="A609" s="1">
        <v>41910</v>
      </c>
      <c r="B609" s="1">
        <v>41913</v>
      </c>
      <c r="C609">
        <v>4.25</v>
      </c>
      <c r="D609">
        <v>0.11</v>
      </c>
      <c r="E609">
        <v>4</v>
      </c>
      <c r="F609">
        <f t="shared" si="45"/>
        <v>0</v>
      </c>
      <c r="G609">
        <f t="shared" si="46"/>
        <v>0</v>
      </c>
      <c r="H609">
        <f t="shared" si="47"/>
        <v>1</v>
      </c>
      <c r="I609">
        <f t="shared" si="48"/>
        <v>0</v>
      </c>
      <c r="J609">
        <f t="shared" si="49"/>
        <v>0</v>
      </c>
    </row>
    <row r="610" spans="1:10" x14ac:dyDescent="0.3">
      <c r="A610" s="1">
        <v>41910</v>
      </c>
      <c r="B610" s="1">
        <v>41930</v>
      </c>
      <c r="C610">
        <v>5.78</v>
      </c>
      <c r="D610">
        <v>0.15</v>
      </c>
      <c r="E610">
        <v>2</v>
      </c>
      <c r="F610">
        <f t="shared" si="45"/>
        <v>1</v>
      </c>
      <c r="G610">
        <f t="shared" si="46"/>
        <v>0</v>
      </c>
      <c r="H610">
        <f t="shared" si="47"/>
        <v>0</v>
      </c>
      <c r="I610">
        <f t="shared" si="48"/>
        <v>0</v>
      </c>
      <c r="J610">
        <f t="shared" si="49"/>
        <v>0</v>
      </c>
    </row>
    <row r="611" spans="1:10" x14ac:dyDescent="0.3">
      <c r="A611" s="1">
        <v>41910</v>
      </c>
      <c r="B611" s="1">
        <v>41918</v>
      </c>
      <c r="C611">
        <v>5.23</v>
      </c>
      <c r="D611">
        <v>0.14000000000000001</v>
      </c>
      <c r="E611">
        <v>5</v>
      </c>
      <c r="F611">
        <f t="shared" si="45"/>
        <v>0</v>
      </c>
      <c r="G611">
        <f t="shared" si="46"/>
        <v>0</v>
      </c>
      <c r="H611">
        <f t="shared" si="47"/>
        <v>0</v>
      </c>
      <c r="I611">
        <f t="shared" si="48"/>
        <v>1</v>
      </c>
      <c r="J611">
        <f t="shared" si="49"/>
        <v>0</v>
      </c>
    </row>
    <row r="612" spans="1:10" x14ac:dyDescent="0.3">
      <c r="A612" s="1">
        <v>41910</v>
      </c>
      <c r="B612" s="1">
        <v>41933</v>
      </c>
      <c r="C612">
        <v>10.79</v>
      </c>
      <c r="D612">
        <v>0.28000000000000003</v>
      </c>
      <c r="E612">
        <v>3</v>
      </c>
      <c r="F612">
        <f t="shared" si="45"/>
        <v>0</v>
      </c>
      <c r="G612">
        <f t="shared" si="46"/>
        <v>1</v>
      </c>
      <c r="H612">
        <f t="shared" si="47"/>
        <v>0</v>
      </c>
      <c r="I612">
        <f t="shared" si="48"/>
        <v>0</v>
      </c>
      <c r="J612">
        <f t="shared" si="49"/>
        <v>0</v>
      </c>
    </row>
    <row r="613" spans="1:10" x14ac:dyDescent="0.3">
      <c r="A613" s="1">
        <v>41910</v>
      </c>
      <c r="B613" s="1">
        <v>41923</v>
      </c>
      <c r="C613">
        <v>5.78</v>
      </c>
      <c r="D613">
        <v>0.15</v>
      </c>
      <c r="E613">
        <v>6</v>
      </c>
      <c r="F613">
        <f t="shared" si="45"/>
        <v>0</v>
      </c>
      <c r="G613">
        <f t="shared" si="46"/>
        <v>0</v>
      </c>
      <c r="H613">
        <f t="shared" si="47"/>
        <v>0</v>
      </c>
      <c r="I613">
        <f t="shared" si="48"/>
        <v>0</v>
      </c>
      <c r="J613">
        <f t="shared" si="49"/>
        <v>1</v>
      </c>
    </row>
    <row r="614" spans="1:10" x14ac:dyDescent="0.3">
      <c r="A614" s="1">
        <v>41911</v>
      </c>
      <c r="B614" s="1">
        <v>41919</v>
      </c>
      <c r="C614">
        <v>11.37</v>
      </c>
      <c r="D614">
        <v>0.3</v>
      </c>
      <c r="E614">
        <v>4</v>
      </c>
      <c r="F614">
        <f t="shared" si="45"/>
        <v>0</v>
      </c>
      <c r="G614">
        <f t="shared" si="46"/>
        <v>0</v>
      </c>
      <c r="H614">
        <f t="shared" si="47"/>
        <v>1</v>
      </c>
      <c r="I614">
        <f t="shared" si="48"/>
        <v>0</v>
      </c>
      <c r="J614">
        <f t="shared" si="49"/>
        <v>0</v>
      </c>
    </row>
    <row r="615" spans="1:10" x14ac:dyDescent="0.3">
      <c r="A615" s="1">
        <v>41911</v>
      </c>
      <c r="B615" s="1">
        <v>41927</v>
      </c>
      <c r="C615">
        <v>8.9499999999999993</v>
      </c>
      <c r="D615">
        <v>0.24</v>
      </c>
      <c r="E615">
        <v>3</v>
      </c>
      <c r="F615">
        <f t="shared" si="45"/>
        <v>0</v>
      </c>
      <c r="G615">
        <f t="shared" si="46"/>
        <v>1</v>
      </c>
      <c r="H615">
        <f t="shared" si="47"/>
        <v>0</v>
      </c>
      <c r="I615">
        <f t="shared" si="48"/>
        <v>0</v>
      </c>
      <c r="J615">
        <f t="shared" si="49"/>
        <v>0</v>
      </c>
    </row>
    <row r="616" spans="1:10" x14ac:dyDescent="0.3">
      <c r="A616" s="1">
        <v>41911</v>
      </c>
      <c r="B616" s="1">
        <v>41929</v>
      </c>
      <c r="C616">
        <v>10.199999999999999</v>
      </c>
      <c r="D616">
        <v>0.27</v>
      </c>
      <c r="E616">
        <v>3</v>
      </c>
      <c r="F616">
        <f t="shared" si="45"/>
        <v>0</v>
      </c>
      <c r="G616">
        <f t="shared" si="46"/>
        <v>1</v>
      </c>
      <c r="H616">
        <f t="shared" si="47"/>
        <v>0</v>
      </c>
      <c r="I616">
        <f t="shared" si="48"/>
        <v>0</v>
      </c>
      <c r="J616">
        <f t="shared" si="49"/>
        <v>0</v>
      </c>
    </row>
    <row r="617" spans="1:10" x14ac:dyDescent="0.3">
      <c r="A617" s="1">
        <v>41911</v>
      </c>
      <c r="B617" s="1">
        <v>41921</v>
      </c>
      <c r="C617">
        <v>9.1300000000000008</v>
      </c>
      <c r="D617">
        <v>0.24</v>
      </c>
      <c r="E617">
        <v>4</v>
      </c>
      <c r="F617">
        <f t="shared" si="45"/>
        <v>0</v>
      </c>
      <c r="G617">
        <f t="shared" si="46"/>
        <v>0</v>
      </c>
      <c r="H617">
        <f t="shared" si="47"/>
        <v>1</v>
      </c>
      <c r="I617">
        <f t="shared" si="48"/>
        <v>0</v>
      </c>
      <c r="J617">
        <f t="shared" si="49"/>
        <v>0</v>
      </c>
    </row>
    <row r="618" spans="1:10" x14ac:dyDescent="0.3">
      <c r="A618" s="1">
        <v>41911</v>
      </c>
      <c r="B618" s="1">
        <v>41932</v>
      </c>
      <c r="C618">
        <v>6.23</v>
      </c>
      <c r="D618">
        <v>0.16</v>
      </c>
      <c r="E618">
        <v>6</v>
      </c>
      <c r="F618">
        <f t="shared" si="45"/>
        <v>0</v>
      </c>
      <c r="G618">
        <f t="shared" si="46"/>
        <v>0</v>
      </c>
      <c r="H618">
        <f t="shared" si="47"/>
        <v>0</v>
      </c>
      <c r="I618">
        <f t="shared" si="48"/>
        <v>0</v>
      </c>
      <c r="J618">
        <f t="shared" si="49"/>
        <v>1</v>
      </c>
    </row>
    <row r="619" spans="1:10" x14ac:dyDescent="0.3">
      <c r="A619" s="1">
        <v>41911</v>
      </c>
      <c r="B619" s="1">
        <v>41932</v>
      </c>
      <c r="C619">
        <v>8.84</v>
      </c>
      <c r="D619">
        <v>0.23</v>
      </c>
      <c r="E619">
        <v>4</v>
      </c>
      <c r="F619">
        <f t="shared" si="45"/>
        <v>0</v>
      </c>
      <c r="G619">
        <f t="shared" si="46"/>
        <v>0</v>
      </c>
      <c r="H619">
        <f t="shared" si="47"/>
        <v>1</v>
      </c>
      <c r="I619">
        <f t="shared" si="48"/>
        <v>0</v>
      </c>
      <c r="J619">
        <f t="shared" si="49"/>
        <v>0</v>
      </c>
    </row>
    <row r="620" spans="1:10" x14ac:dyDescent="0.3">
      <c r="A620" s="1">
        <v>41911</v>
      </c>
      <c r="B620" s="1">
        <v>41919</v>
      </c>
      <c r="C620">
        <v>6.88</v>
      </c>
      <c r="D620">
        <v>0.18</v>
      </c>
      <c r="E620">
        <v>6</v>
      </c>
      <c r="F620">
        <f t="shared" si="45"/>
        <v>0</v>
      </c>
      <c r="G620">
        <f t="shared" si="46"/>
        <v>0</v>
      </c>
      <c r="H620">
        <f t="shared" si="47"/>
        <v>0</v>
      </c>
      <c r="I620">
        <f t="shared" si="48"/>
        <v>0</v>
      </c>
      <c r="J620">
        <f t="shared" si="49"/>
        <v>1</v>
      </c>
    </row>
    <row r="621" spans="1:10" x14ac:dyDescent="0.3">
      <c r="A621" s="1">
        <v>41911</v>
      </c>
      <c r="B621" s="1">
        <v>41921</v>
      </c>
      <c r="C621">
        <v>8.84</v>
      </c>
      <c r="D621">
        <v>0.23</v>
      </c>
      <c r="E621">
        <v>2</v>
      </c>
      <c r="F621">
        <f t="shared" si="45"/>
        <v>1</v>
      </c>
      <c r="G621">
        <f t="shared" si="46"/>
        <v>0</v>
      </c>
      <c r="H621">
        <f t="shared" si="47"/>
        <v>0</v>
      </c>
      <c r="I621">
        <f t="shared" si="48"/>
        <v>0</v>
      </c>
      <c r="J621">
        <f t="shared" si="49"/>
        <v>0</v>
      </c>
    </row>
    <row r="622" spans="1:10" x14ac:dyDescent="0.3">
      <c r="A622" s="1">
        <v>41911</v>
      </c>
      <c r="B622" s="1">
        <v>41917</v>
      </c>
      <c r="C622">
        <v>3.57</v>
      </c>
      <c r="D622">
        <v>0.09</v>
      </c>
      <c r="E622">
        <v>5</v>
      </c>
      <c r="F622">
        <f t="shared" si="45"/>
        <v>0</v>
      </c>
      <c r="G622">
        <f t="shared" si="46"/>
        <v>0</v>
      </c>
      <c r="H622">
        <f t="shared" si="47"/>
        <v>0</v>
      </c>
      <c r="I622">
        <f t="shared" si="48"/>
        <v>1</v>
      </c>
      <c r="J622">
        <f t="shared" si="49"/>
        <v>0</v>
      </c>
    </row>
    <row r="623" spans="1:10" x14ac:dyDescent="0.3">
      <c r="A623" s="1">
        <v>41911</v>
      </c>
      <c r="B623" s="1">
        <v>41926</v>
      </c>
      <c r="C623">
        <v>5.64</v>
      </c>
      <c r="D623">
        <v>0.15</v>
      </c>
      <c r="E623">
        <v>5</v>
      </c>
      <c r="F623">
        <f t="shared" si="45"/>
        <v>0</v>
      </c>
      <c r="G623">
        <f t="shared" si="46"/>
        <v>0</v>
      </c>
      <c r="H623">
        <f t="shared" si="47"/>
        <v>0</v>
      </c>
      <c r="I623">
        <f t="shared" si="48"/>
        <v>1</v>
      </c>
      <c r="J623">
        <f t="shared" si="49"/>
        <v>0</v>
      </c>
    </row>
    <row r="624" spans="1:10" x14ac:dyDescent="0.3">
      <c r="A624" s="1">
        <v>41911</v>
      </c>
      <c r="B624" s="1">
        <v>41938</v>
      </c>
      <c r="C624">
        <v>9.06</v>
      </c>
      <c r="D624">
        <v>0.24</v>
      </c>
      <c r="E624">
        <v>6</v>
      </c>
      <c r="F624">
        <f t="shared" si="45"/>
        <v>0</v>
      </c>
      <c r="G624">
        <f t="shared" si="46"/>
        <v>0</v>
      </c>
      <c r="H624">
        <f t="shared" si="47"/>
        <v>0</v>
      </c>
      <c r="I624">
        <f t="shared" si="48"/>
        <v>0</v>
      </c>
      <c r="J624">
        <f t="shared" si="49"/>
        <v>1</v>
      </c>
    </row>
    <row r="625" spans="1:10" x14ac:dyDescent="0.3">
      <c r="A625" s="1">
        <v>41911</v>
      </c>
      <c r="B625" s="1">
        <v>41916</v>
      </c>
      <c r="C625">
        <v>7.55</v>
      </c>
      <c r="D625">
        <v>0.2</v>
      </c>
      <c r="E625">
        <v>2</v>
      </c>
      <c r="F625">
        <f t="shared" si="45"/>
        <v>1</v>
      </c>
      <c r="G625">
        <f t="shared" si="46"/>
        <v>0</v>
      </c>
      <c r="H625">
        <f t="shared" si="47"/>
        <v>0</v>
      </c>
      <c r="I625">
        <f t="shared" si="48"/>
        <v>0</v>
      </c>
      <c r="J625">
        <f t="shared" si="49"/>
        <v>0</v>
      </c>
    </row>
    <row r="626" spans="1:10" x14ac:dyDescent="0.3">
      <c r="A626" s="1">
        <v>41911</v>
      </c>
      <c r="B626" s="1">
        <v>41929</v>
      </c>
      <c r="C626">
        <v>13.02</v>
      </c>
      <c r="D626">
        <v>0.34</v>
      </c>
      <c r="E626">
        <v>5</v>
      </c>
      <c r="F626">
        <f t="shared" si="45"/>
        <v>0</v>
      </c>
      <c r="G626">
        <f t="shared" si="46"/>
        <v>0</v>
      </c>
      <c r="H626">
        <f t="shared" si="47"/>
        <v>0</v>
      </c>
      <c r="I626">
        <f t="shared" si="48"/>
        <v>1</v>
      </c>
      <c r="J626">
        <f t="shared" si="49"/>
        <v>0</v>
      </c>
    </row>
    <row r="627" spans="1:10" x14ac:dyDescent="0.3">
      <c r="A627" s="1">
        <v>41911</v>
      </c>
      <c r="B627" s="1">
        <v>41913</v>
      </c>
      <c r="C627">
        <v>8.9499999999999993</v>
      </c>
      <c r="D627">
        <v>0.24</v>
      </c>
      <c r="E627">
        <v>4</v>
      </c>
      <c r="F627">
        <f t="shared" si="45"/>
        <v>0</v>
      </c>
      <c r="G627">
        <f t="shared" si="46"/>
        <v>0</v>
      </c>
      <c r="H627">
        <f t="shared" si="47"/>
        <v>1</v>
      </c>
      <c r="I627">
        <f t="shared" si="48"/>
        <v>0</v>
      </c>
      <c r="J627">
        <f t="shared" si="49"/>
        <v>0</v>
      </c>
    </row>
    <row r="628" spans="1:10" x14ac:dyDescent="0.3">
      <c r="A628" s="1">
        <v>41911</v>
      </c>
      <c r="B628" s="1">
        <v>41918</v>
      </c>
      <c r="C628">
        <v>10.93</v>
      </c>
      <c r="D628">
        <v>0.28999999999999998</v>
      </c>
      <c r="E628">
        <v>3</v>
      </c>
      <c r="F628">
        <f t="shared" si="45"/>
        <v>0</v>
      </c>
      <c r="G628">
        <f t="shared" si="46"/>
        <v>1</v>
      </c>
      <c r="H628">
        <f t="shared" si="47"/>
        <v>0</v>
      </c>
      <c r="I628">
        <f t="shared" si="48"/>
        <v>0</v>
      </c>
      <c r="J628">
        <f t="shared" si="49"/>
        <v>0</v>
      </c>
    </row>
    <row r="629" spans="1:10" x14ac:dyDescent="0.3">
      <c r="A629" s="1">
        <v>41911</v>
      </c>
      <c r="B629" s="1">
        <v>41931</v>
      </c>
      <c r="C629">
        <v>7.3</v>
      </c>
      <c r="D629">
        <v>0.19</v>
      </c>
      <c r="E629">
        <v>5</v>
      </c>
      <c r="F629">
        <f t="shared" si="45"/>
        <v>0</v>
      </c>
      <c r="G629">
        <f t="shared" si="46"/>
        <v>0</v>
      </c>
      <c r="H629">
        <f t="shared" si="47"/>
        <v>0</v>
      </c>
      <c r="I629">
        <f t="shared" si="48"/>
        <v>1</v>
      </c>
      <c r="J629">
        <f t="shared" si="49"/>
        <v>0</v>
      </c>
    </row>
    <row r="630" spans="1:10" x14ac:dyDescent="0.3">
      <c r="A630" s="1">
        <v>41911</v>
      </c>
      <c r="B630" s="1">
        <v>41939</v>
      </c>
      <c r="C630">
        <v>7.31</v>
      </c>
      <c r="D630">
        <v>0.19</v>
      </c>
      <c r="E630">
        <v>6</v>
      </c>
      <c r="F630">
        <f t="shared" si="45"/>
        <v>0</v>
      </c>
      <c r="G630">
        <f t="shared" si="46"/>
        <v>0</v>
      </c>
      <c r="H630">
        <f t="shared" si="47"/>
        <v>0</v>
      </c>
      <c r="I630">
        <f t="shared" si="48"/>
        <v>0</v>
      </c>
      <c r="J630">
        <f t="shared" si="49"/>
        <v>1</v>
      </c>
    </row>
    <row r="631" spans="1:10" x14ac:dyDescent="0.3">
      <c r="A631" s="1">
        <v>41911</v>
      </c>
      <c r="B631" s="1">
        <v>41918</v>
      </c>
      <c r="C631">
        <v>13.07</v>
      </c>
      <c r="D631">
        <v>0.34</v>
      </c>
      <c r="E631">
        <v>5</v>
      </c>
      <c r="F631">
        <f t="shared" si="45"/>
        <v>0</v>
      </c>
      <c r="G631">
        <f t="shared" si="46"/>
        <v>0</v>
      </c>
      <c r="H631">
        <f t="shared" si="47"/>
        <v>0</v>
      </c>
      <c r="I631">
        <f t="shared" si="48"/>
        <v>1</v>
      </c>
      <c r="J631">
        <f t="shared" si="49"/>
        <v>0</v>
      </c>
    </row>
    <row r="632" spans="1:10" x14ac:dyDescent="0.3">
      <c r="A632" s="1">
        <v>41911</v>
      </c>
      <c r="B632" s="1">
        <v>41923</v>
      </c>
      <c r="C632">
        <v>5.67</v>
      </c>
      <c r="D632">
        <v>0.15</v>
      </c>
      <c r="E632">
        <v>4</v>
      </c>
      <c r="F632">
        <f t="shared" si="45"/>
        <v>0</v>
      </c>
      <c r="G632">
        <f t="shared" si="46"/>
        <v>0</v>
      </c>
      <c r="H632">
        <f t="shared" si="47"/>
        <v>1</v>
      </c>
      <c r="I632">
        <f t="shared" si="48"/>
        <v>0</v>
      </c>
      <c r="J632">
        <f t="shared" si="49"/>
        <v>0</v>
      </c>
    </row>
    <row r="633" spans="1:10" x14ac:dyDescent="0.3">
      <c r="A633" s="1">
        <v>41912</v>
      </c>
      <c r="B633" s="1">
        <v>41925</v>
      </c>
      <c r="C633">
        <v>2.72</v>
      </c>
      <c r="D633">
        <v>7.0000000000000007E-2</v>
      </c>
      <c r="E633">
        <v>6</v>
      </c>
      <c r="F633">
        <f t="shared" si="45"/>
        <v>0</v>
      </c>
      <c r="G633">
        <f t="shared" si="46"/>
        <v>0</v>
      </c>
      <c r="H633">
        <f t="shared" si="47"/>
        <v>0</v>
      </c>
      <c r="I633">
        <f t="shared" si="48"/>
        <v>0</v>
      </c>
      <c r="J633">
        <f t="shared" si="49"/>
        <v>1</v>
      </c>
    </row>
    <row r="634" spans="1:10" x14ac:dyDescent="0.3">
      <c r="A634" s="1">
        <v>41913</v>
      </c>
      <c r="B634" s="1">
        <v>41919</v>
      </c>
      <c r="C634">
        <v>5.67</v>
      </c>
      <c r="D634">
        <v>0.15</v>
      </c>
      <c r="E634">
        <v>4</v>
      </c>
      <c r="F634">
        <f t="shared" si="45"/>
        <v>0</v>
      </c>
      <c r="G634">
        <f t="shared" si="46"/>
        <v>0</v>
      </c>
      <c r="H634">
        <f t="shared" si="47"/>
        <v>1</v>
      </c>
      <c r="I634">
        <f t="shared" si="48"/>
        <v>0</v>
      </c>
      <c r="J634">
        <f t="shared" si="49"/>
        <v>0</v>
      </c>
    </row>
    <row r="635" spans="1:10" x14ac:dyDescent="0.3">
      <c r="A635" s="1">
        <v>41913</v>
      </c>
      <c r="B635" s="1">
        <v>41928</v>
      </c>
      <c r="C635">
        <v>5.67</v>
      </c>
      <c r="D635">
        <v>0.15</v>
      </c>
      <c r="E635">
        <v>5</v>
      </c>
      <c r="F635">
        <f t="shared" si="45"/>
        <v>0</v>
      </c>
      <c r="G635">
        <f t="shared" si="46"/>
        <v>0</v>
      </c>
      <c r="H635">
        <f t="shared" si="47"/>
        <v>0</v>
      </c>
      <c r="I635">
        <f t="shared" si="48"/>
        <v>1</v>
      </c>
      <c r="J635">
        <f t="shared" si="49"/>
        <v>0</v>
      </c>
    </row>
    <row r="636" spans="1:10" x14ac:dyDescent="0.3">
      <c r="A636" s="1">
        <v>41914</v>
      </c>
      <c r="B636" s="1">
        <v>41917</v>
      </c>
      <c r="C636">
        <v>3.94</v>
      </c>
      <c r="D636">
        <v>0.1</v>
      </c>
      <c r="E636">
        <v>5</v>
      </c>
      <c r="F636">
        <f t="shared" si="45"/>
        <v>0</v>
      </c>
      <c r="G636">
        <f t="shared" si="46"/>
        <v>0</v>
      </c>
      <c r="H636">
        <f t="shared" si="47"/>
        <v>0</v>
      </c>
      <c r="I636">
        <f t="shared" si="48"/>
        <v>1</v>
      </c>
      <c r="J636">
        <f t="shared" si="49"/>
        <v>0</v>
      </c>
    </row>
    <row r="637" spans="1:10" x14ac:dyDescent="0.3">
      <c r="A637" s="1">
        <v>41914</v>
      </c>
      <c r="B637" s="1">
        <v>41942</v>
      </c>
      <c r="C637">
        <v>5.64</v>
      </c>
      <c r="D637">
        <v>0.15</v>
      </c>
      <c r="E637">
        <v>3</v>
      </c>
      <c r="F637">
        <f t="shared" si="45"/>
        <v>0</v>
      </c>
      <c r="G637">
        <f t="shared" si="46"/>
        <v>1</v>
      </c>
      <c r="H637">
        <f t="shared" si="47"/>
        <v>0</v>
      </c>
      <c r="I637">
        <f t="shared" si="48"/>
        <v>0</v>
      </c>
      <c r="J637">
        <f t="shared" si="49"/>
        <v>0</v>
      </c>
    </row>
    <row r="638" spans="1:10" x14ac:dyDescent="0.3">
      <c r="A638" s="1">
        <v>41915</v>
      </c>
      <c r="B638" s="1">
        <v>41932</v>
      </c>
      <c r="C638">
        <v>2.0099999999999998</v>
      </c>
      <c r="D638">
        <v>0.05</v>
      </c>
      <c r="E638">
        <v>6</v>
      </c>
      <c r="F638">
        <f t="shared" si="45"/>
        <v>0</v>
      </c>
      <c r="G638">
        <f t="shared" si="46"/>
        <v>0</v>
      </c>
      <c r="H638">
        <f t="shared" si="47"/>
        <v>0</v>
      </c>
      <c r="I638">
        <f t="shared" si="48"/>
        <v>0</v>
      </c>
      <c r="J638">
        <f t="shared" si="49"/>
        <v>1</v>
      </c>
    </row>
    <row r="639" spans="1:10" x14ac:dyDescent="0.3">
      <c r="A639" s="1">
        <v>41915</v>
      </c>
      <c r="B639" s="1">
        <v>41938</v>
      </c>
      <c r="C639">
        <v>3.73</v>
      </c>
      <c r="D639">
        <v>0.1</v>
      </c>
      <c r="E639">
        <v>4</v>
      </c>
      <c r="F639">
        <f t="shared" si="45"/>
        <v>0</v>
      </c>
      <c r="G639">
        <f t="shared" si="46"/>
        <v>0</v>
      </c>
      <c r="H639">
        <f t="shared" si="47"/>
        <v>1</v>
      </c>
      <c r="I639">
        <f t="shared" si="48"/>
        <v>0</v>
      </c>
      <c r="J639">
        <f t="shared" si="49"/>
        <v>0</v>
      </c>
    </row>
    <row r="640" spans="1:10" x14ac:dyDescent="0.3">
      <c r="A640" s="1">
        <v>41915</v>
      </c>
      <c r="B640" s="1">
        <v>41921</v>
      </c>
      <c r="C640">
        <v>3.73</v>
      </c>
      <c r="D640">
        <v>0.1</v>
      </c>
      <c r="E640">
        <v>2</v>
      </c>
      <c r="F640">
        <f t="shared" si="45"/>
        <v>1</v>
      </c>
      <c r="G640">
        <f t="shared" si="46"/>
        <v>0</v>
      </c>
      <c r="H640">
        <f t="shared" si="47"/>
        <v>0</v>
      </c>
      <c r="I640">
        <f t="shared" si="48"/>
        <v>0</v>
      </c>
      <c r="J640">
        <f t="shared" si="49"/>
        <v>0</v>
      </c>
    </row>
    <row r="641" spans="1:10" x14ac:dyDescent="0.3">
      <c r="A641" s="1">
        <v>41917</v>
      </c>
      <c r="B641" s="1">
        <v>41937</v>
      </c>
      <c r="C641">
        <v>4.25</v>
      </c>
      <c r="D641">
        <v>0.11</v>
      </c>
      <c r="E641">
        <v>5</v>
      </c>
      <c r="F641">
        <f t="shared" si="45"/>
        <v>0</v>
      </c>
      <c r="G641">
        <f t="shared" si="46"/>
        <v>0</v>
      </c>
      <c r="H641">
        <f t="shared" si="47"/>
        <v>0</v>
      </c>
      <c r="I641">
        <f t="shared" si="48"/>
        <v>1</v>
      </c>
      <c r="J641">
        <f t="shared" si="49"/>
        <v>0</v>
      </c>
    </row>
    <row r="642" spans="1:10" x14ac:dyDescent="0.3">
      <c r="A642" s="1">
        <v>41917</v>
      </c>
      <c r="B642" s="1">
        <v>41928</v>
      </c>
      <c r="C642">
        <v>11.42</v>
      </c>
      <c r="D642">
        <v>0.3</v>
      </c>
      <c r="E642">
        <v>4</v>
      </c>
      <c r="F642">
        <f t="shared" si="45"/>
        <v>0</v>
      </c>
      <c r="G642">
        <f t="shared" si="46"/>
        <v>0</v>
      </c>
      <c r="H642">
        <f t="shared" si="47"/>
        <v>1</v>
      </c>
      <c r="I642">
        <f t="shared" si="48"/>
        <v>0</v>
      </c>
      <c r="J642">
        <f t="shared" si="49"/>
        <v>0</v>
      </c>
    </row>
    <row r="643" spans="1:10" x14ac:dyDescent="0.3">
      <c r="A643" s="1">
        <v>41917</v>
      </c>
      <c r="B643" s="1">
        <v>41939</v>
      </c>
      <c r="C643">
        <v>13.07</v>
      </c>
      <c r="D643">
        <v>0.34</v>
      </c>
      <c r="E643">
        <v>3</v>
      </c>
      <c r="F643">
        <f t="shared" ref="F643:F706" si="50">IF(EXACT(E643,2),1,0)</f>
        <v>0</v>
      </c>
      <c r="G643">
        <f t="shared" ref="G643:G706" si="51">IF(EXACT(E643,3),1,0)</f>
        <v>1</v>
      </c>
      <c r="H643">
        <f t="shared" ref="H643:H706" si="52">IF(EXACT(E643,4),1,0)</f>
        <v>0</v>
      </c>
      <c r="I643">
        <f t="shared" ref="I643:I706" si="53">IF(EXACT(E643,5),1,0)</f>
        <v>0</v>
      </c>
      <c r="J643">
        <f t="shared" ref="J643:J706" si="54">IF(EXACT(E643,6),1,0)</f>
        <v>0</v>
      </c>
    </row>
    <row r="644" spans="1:10" x14ac:dyDescent="0.3">
      <c r="A644" s="1">
        <v>41918</v>
      </c>
      <c r="B644" s="1">
        <v>41939</v>
      </c>
      <c r="C644">
        <v>5.67</v>
      </c>
      <c r="D644">
        <v>0.15</v>
      </c>
      <c r="E644">
        <v>2</v>
      </c>
      <c r="F644">
        <f t="shared" si="50"/>
        <v>1</v>
      </c>
      <c r="G644">
        <f t="shared" si="51"/>
        <v>0</v>
      </c>
      <c r="H644">
        <f t="shared" si="52"/>
        <v>0</v>
      </c>
      <c r="I644">
        <f t="shared" si="53"/>
        <v>0</v>
      </c>
      <c r="J644">
        <f t="shared" si="54"/>
        <v>0</v>
      </c>
    </row>
    <row r="645" spans="1:10" x14ac:dyDescent="0.3">
      <c r="A645" s="1">
        <v>41918</v>
      </c>
      <c r="B645" s="1">
        <v>41922</v>
      </c>
      <c r="C645">
        <v>6.23</v>
      </c>
      <c r="D645">
        <v>0.16</v>
      </c>
      <c r="E645">
        <v>4</v>
      </c>
      <c r="F645">
        <f t="shared" si="50"/>
        <v>0</v>
      </c>
      <c r="G645">
        <f t="shared" si="51"/>
        <v>0</v>
      </c>
      <c r="H645">
        <f t="shared" si="52"/>
        <v>1</v>
      </c>
      <c r="I645">
        <f t="shared" si="53"/>
        <v>0</v>
      </c>
      <c r="J645">
        <f t="shared" si="54"/>
        <v>0</v>
      </c>
    </row>
    <row r="646" spans="1:10" x14ac:dyDescent="0.3">
      <c r="A646" s="1">
        <v>41918</v>
      </c>
      <c r="B646" s="1">
        <v>41940</v>
      </c>
      <c r="C646">
        <v>19.940000000000001</v>
      </c>
      <c r="D646">
        <v>0.52</v>
      </c>
      <c r="E646">
        <v>4</v>
      </c>
      <c r="F646">
        <f t="shared" si="50"/>
        <v>0</v>
      </c>
      <c r="G646">
        <f t="shared" si="51"/>
        <v>0</v>
      </c>
      <c r="H646">
        <f t="shared" si="52"/>
        <v>1</v>
      </c>
      <c r="I646">
        <f t="shared" si="53"/>
        <v>0</v>
      </c>
      <c r="J646">
        <f t="shared" si="54"/>
        <v>0</v>
      </c>
    </row>
    <row r="647" spans="1:10" x14ac:dyDescent="0.3">
      <c r="A647" s="1">
        <v>41918</v>
      </c>
      <c r="B647" s="1">
        <v>41925</v>
      </c>
      <c r="C647">
        <v>6.88</v>
      </c>
      <c r="D647">
        <v>0.18</v>
      </c>
      <c r="E647">
        <v>3</v>
      </c>
      <c r="F647">
        <f t="shared" si="50"/>
        <v>0</v>
      </c>
      <c r="G647">
        <f t="shared" si="51"/>
        <v>1</v>
      </c>
      <c r="H647">
        <f t="shared" si="52"/>
        <v>0</v>
      </c>
      <c r="I647">
        <f t="shared" si="53"/>
        <v>0</v>
      </c>
      <c r="J647">
        <f t="shared" si="54"/>
        <v>0</v>
      </c>
    </row>
    <row r="648" spans="1:10" x14ac:dyDescent="0.3">
      <c r="A648" s="1">
        <v>41918</v>
      </c>
      <c r="B648" s="1">
        <v>41929</v>
      </c>
      <c r="C648">
        <v>8.39</v>
      </c>
      <c r="D648">
        <v>0.22</v>
      </c>
      <c r="E648">
        <v>6</v>
      </c>
      <c r="F648">
        <f t="shared" si="50"/>
        <v>0</v>
      </c>
      <c r="G648">
        <f t="shared" si="51"/>
        <v>0</v>
      </c>
      <c r="H648">
        <f t="shared" si="52"/>
        <v>0</v>
      </c>
      <c r="I648">
        <f t="shared" si="53"/>
        <v>0</v>
      </c>
      <c r="J648">
        <f t="shared" si="54"/>
        <v>1</v>
      </c>
    </row>
    <row r="649" spans="1:10" x14ac:dyDescent="0.3">
      <c r="A649" s="1">
        <v>41922</v>
      </c>
      <c r="B649" s="1">
        <v>41936</v>
      </c>
      <c r="C649">
        <v>11.44</v>
      </c>
      <c r="D649">
        <v>0.3</v>
      </c>
      <c r="E649">
        <v>4</v>
      </c>
      <c r="F649">
        <f t="shared" si="50"/>
        <v>0</v>
      </c>
      <c r="G649">
        <f t="shared" si="51"/>
        <v>0</v>
      </c>
      <c r="H649">
        <f t="shared" si="52"/>
        <v>1</v>
      </c>
      <c r="I649">
        <f t="shared" si="53"/>
        <v>0</v>
      </c>
      <c r="J649">
        <f t="shared" si="54"/>
        <v>0</v>
      </c>
    </row>
    <row r="650" spans="1:10" x14ac:dyDescent="0.3">
      <c r="A650" s="1">
        <v>41922</v>
      </c>
      <c r="B650" s="1">
        <v>41937</v>
      </c>
      <c r="C650">
        <v>9.4600000000000009</v>
      </c>
      <c r="D650">
        <v>0.25</v>
      </c>
      <c r="E650">
        <v>5</v>
      </c>
      <c r="F650">
        <f t="shared" si="50"/>
        <v>0</v>
      </c>
      <c r="G650">
        <f t="shared" si="51"/>
        <v>0</v>
      </c>
      <c r="H650">
        <f t="shared" si="52"/>
        <v>0</v>
      </c>
      <c r="I650">
        <f t="shared" si="53"/>
        <v>1</v>
      </c>
      <c r="J650">
        <f t="shared" si="54"/>
        <v>0</v>
      </c>
    </row>
    <row r="651" spans="1:10" x14ac:dyDescent="0.3">
      <c r="A651" s="1">
        <v>41922</v>
      </c>
      <c r="B651" s="1">
        <v>41926</v>
      </c>
      <c r="C651">
        <v>5.67</v>
      </c>
      <c r="D651">
        <v>0.15</v>
      </c>
      <c r="E651">
        <v>4</v>
      </c>
      <c r="F651">
        <f t="shared" si="50"/>
        <v>0</v>
      </c>
      <c r="G651">
        <f t="shared" si="51"/>
        <v>0</v>
      </c>
      <c r="H651">
        <f t="shared" si="52"/>
        <v>1</v>
      </c>
      <c r="I651">
        <f t="shared" si="53"/>
        <v>0</v>
      </c>
      <c r="J651">
        <f t="shared" si="54"/>
        <v>0</v>
      </c>
    </row>
    <row r="652" spans="1:10" x14ac:dyDescent="0.3">
      <c r="A652" s="1">
        <v>41922</v>
      </c>
      <c r="B652" s="1">
        <v>41947</v>
      </c>
      <c r="C652">
        <v>13.82</v>
      </c>
      <c r="D652">
        <v>0.36</v>
      </c>
      <c r="E652">
        <v>2</v>
      </c>
      <c r="F652">
        <f t="shared" si="50"/>
        <v>1</v>
      </c>
      <c r="G652">
        <f t="shared" si="51"/>
        <v>0</v>
      </c>
      <c r="H652">
        <f t="shared" si="52"/>
        <v>0</v>
      </c>
      <c r="I652">
        <f t="shared" si="53"/>
        <v>0</v>
      </c>
      <c r="J652">
        <f t="shared" si="54"/>
        <v>0</v>
      </c>
    </row>
    <row r="653" spans="1:10" x14ac:dyDescent="0.3">
      <c r="A653" s="1">
        <v>41922</v>
      </c>
      <c r="B653" s="1">
        <v>41929</v>
      </c>
      <c r="C653">
        <v>6.43</v>
      </c>
      <c r="D653">
        <v>0.17</v>
      </c>
      <c r="E653">
        <v>5</v>
      </c>
      <c r="F653">
        <f t="shared" si="50"/>
        <v>0</v>
      </c>
      <c r="G653">
        <f t="shared" si="51"/>
        <v>0</v>
      </c>
      <c r="H653">
        <f t="shared" si="52"/>
        <v>0</v>
      </c>
      <c r="I653">
        <f t="shared" si="53"/>
        <v>1</v>
      </c>
      <c r="J653">
        <f t="shared" si="54"/>
        <v>0</v>
      </c>
    </row>
    <row r="654" spans="1:10" x14ac:dyDescent="0.3">
      <c r="A654" s="1">
        <v>41922</v>
      </c>
      <c r="B654" s="1">
        <v>41928</v>
      </c>
      <c r="C654">
        <v>2.0099999999999998</v>
      </c>
      <c r="D654">
        <v>0.05</v>
      </c>
      <c r="E654">
        <v>2</v>
      </c>
      <c r="F654">
        <f t="shared" si="50"/>
        <v>1</v>
      </c>
      <c r="G654">
        <f t="shared" si="51"/>
        <v>0</v>
      </c>
      <c r="H654">
        <f t="shared" si="52"/>
        <v>0</v>
      </c>
      <c r="I654">
        <f t="shared" si="53"/>
        <v>0</v>
      </c>
      <c r="J654">
        <f t="shared" si="54"/>
        <v>0</v>
      </c>
    </row>
    <row r="655" spans="1:10" x14ac:dyDescent="0.3">
      <c r="A655" s="1">
        <v>41922</v>
      </c>
      <c r="B655" s="1">
        <v>41950</v>
      </c>
      <c r="C655">
        <v>6.43</v>
      </c>
      <c r="D655">
        <v>0.17</v>
      </c>
      <c r="E655">
        <v>5</v>
      </c>
      <c r="F655">
        <f t="shared" si="50"/>
        <v>0</v>
      </c>
      <c r="G655">
        <f t="shared" si="51"/>
        <v>0</v>
      </c>
      <c r="H655">
        <f t="shared" si="52"/>
        <v>0</v>
      </c>
      <c r="I655">
        <f t="shared" si="53"/>
        <v>1</v>
      </c>
      <c r="J655">
        <f t="shared" si="54"/>
        <v>0</v>
      </c>
    </row>
    <row r="656" spans="1:10" x14ac:dyDescent="0.3">
      <c r="A656" s="1">
        <v>41922</v>
      </c>
      <c r="B656" s="1">
        <v>41944</v>
      </c>
      <c r="C656">
        <v>7.35</v>
      </c>
      <c r="D656">
        <v>0.19</v>
      </c>
      <c r="E656">
        <v>6</v>
      </c>
      <c r="F656">
        <f t="shared" si="50"/>
        <v>0</v>
      </c>
      <c r="G656">
        <f t="shared" si="51"/>
        <v>0</v>
      </c>
      <c r="H656">
        <f t="shared" si="52"/>
        <v>0</v>
      </c>
      <c r="I656">
        <f t="shared" si="53"/>
        <v>0</v>
      </c>
      <c r="J656">
        <f t="shared" si="54"/>
        <v>1</v>
      </c>
    </row>
    <row r="657" spans="1:10" x14ac:dyDescent="0.3">
      <c r="A657" s="1">
        <v>41922</v>
      </c>
      <c r="B657" s="1">
        <v>41947</v>
      </c>
      <c r="C657">
        <v>16.55</v>
      </c>
      <c r="D657">
        <v>0.44</v>
      </c>
      <c r="E657">
        <v>6</v>
      </c>
      <c r="F657">
        <f t="shared" si="50"/>
        <v>0</v>
      </c>
      <c r="G657">
        <f t="shared" si="51"/>
        <v>0</v>
      </c>
      <c r="H657">
        <f t="shared" si="52"/>
        <v>0</v>
      </c>
      <c r="I657">
        <f t="shared" si="53"/>
        <v>0</v>
      </c>
      <c r="J657">
        <f t="shared" si="54"/>
        <v>1</v>
      </c>
    </row>
    <row r="658" spans="1:10" x14ac:dyDescent="0.3">
      <c r="A658" s="1">
        <v>41922</v>
      </c>
      <c r="B658" s="1">
        <v>41928</v>
      </c>
      <c r="C658">
        <v>9.06</v>
      </c>
      <c r="D658">
        <v>0.24</v>
      </c>
      <c r="E658">
        <v>6</v>
      </c>
      <c r="F658">
        <f t="shared" si="50"/>
        <v>0</v>
      </c>
      <c r="G658">
        <f t="shared" si="51"/>
        <v>0</v>
      </c>
      <c r="H658">
        <f t="shared" si="52"/>
        <v>0</v>
      </c>
      <c r="I658">
        <f t="shared" si="53"/>
        <v>0</v>
      </c>
      <c r="J658">
        <f t="shared" si="54"/>
        <v>1</v>
      </c>
    </row>
    <row r="659" spans="1:10" x14ac:dyDescent="0.3">
      <c r="A659" s="1">
        <v>41922</v>
      </c>
      <c r="B659" s="1">
        <v>41945</v>
      </c>
      <c r="C659">
        <v>10.59</v>
      </c>
      <c r="D659">
        <v>0.28000000000000003</v>
      </c>
      <c r="E659">
        <v>4</v>
      </c>
      <c r="F659">
        <f t="shared" si="50"/>
        <v>0</v>
      </c>
      <c r="G659">
        <f t="shared" si="51"/>
        <v>0</v>
      </c>
      <c r="H659">
        <f t="shared" si="52"/>
        <v>1</v>
      </c>
      <c r="I659">
        <f t="shared" si="53"/>
        <v>0</v>
      </c>
      <c r="J659">
        <f t="shared" si="54"/>
        <v>0</v>
      </c>
    </row>
    <row r="660" spans="1:10" x14ac:dyDescent="0.3">
      <c r="A660" s="1">
        <v>41922</v>
      </c>
      <c r="B660" s="1">
        <v>41930</v>
      </c>
      <c r="C660">
        <v>7.71</v>
      </c>
      <c r="D660">
        <v>0.2</v>
      </c>
      <c r="E660">
        <v>3</v>
      </c>
      <c r="F660">
        <f t="shared" si="50"/>
        <v>0</v>
      </c>
      <c r="G660">
        <f t="shared" si="51"/>
        <v>1</v>
      </c>
      <c r="H660">
        <f t="shared" si="52"/>
        <v>0</v>
      </c>
      <c r="I660">
        <f t="shared" si="53"/>
        <v>0</v>
      </c>
      <c r="J660">
        <f t="shared" si="54"/>
        <v>0</v>
      </c>
    </row>
    <row r="661" spans="1:10" x14ac:dyDescent="0.3">
      <c r="A661" s="1">
        <v>41922</v>
      </c>
      <c r="B661" s="1">
        <v>41949</v>
      </c>
      <c r="C661">
        <v>10.19</v>
      </c>
      <c r="D661">
        <v>0.27</v>
      </c>
      <c r="E661">
        <v>4</v>
      </c>
      <c r="F661">
        <f t="shared" si="50"/>
        <v>0</v>
      </c>
      <c r="G661">
        <f t="shared" si="51"/>
        <v>0</v>
      </c>
      <c r="H661">
        <f t="shared" si="52"/>
        <v>1</v>
      </c>
      <c r="I661">
        <f t="shared" si="53"/>
        <v>0</v>
      </c>
      <c r="J661">
        <f t="shared" si="54"/>
        <v>0</v>
      </c>
    </row>
    <row r="662" spans="1:10" x14ac:dyDescent="0.3">
      <c r="A662" s="1">
        <v>41922</v>
      </c>
      <c r="B662" s="1">
        <v>41928</v>
      </c>
      <c r="C662">
        <v>4.25</v>
      </c>
      <c r="D662">
        <v>0.11</v>
      </c>
      <c r="E662">
        <v>4</v>
      </c>
      <c r="F662">
        <f t="shared" si="50"/>
        <v>0</v>
      </c>
      <c r="G662">
        <f t="shared" si="51"/>
        <v>0</v>
      </c>
      <c r="H662">
        <f t="shared" si="52"/>
        <v>1</v>
      </c>
      <c r="I662">
        <f t="shared" si="53"/>
        <v>0</v>
      </c>
      <c r="J662">
        <f t="shared" si="54"/>
        <v>0</v>
      </c>
    </row>
    <row r="663" spans="1:10" x14ac:dyDescent="0.3">
      <c r="A663" s="1">
        <v>41922</v>
      </c>
      <c r="B663" s="1">
        <v>41926</v>
      </c>
      <c r="C663">
        <v>9.06</v>
      </c>
      <c r="D663">
        <v>0.24</v>
      </c>
      <c r="E663">
        <v>3</v>
      </c>
      <c r="F663">
        <f t="shared" si="50"/>
        <v>0</v>
      </c>
      <c r="G663">
        <f t="shared" si="51"/>
        <v>1</v>
      </c>
      <c r="H663">
        <f t="shared" si="52"/>
        <v>0</v>
      </c>
      <c r="I663">
        <f t="shared" si="53"/>
        <v>0</v>
      </c>
      <c r="J663">
        <f t="shared" si="54"/>
        <v>0</v>
      </c>
    </row>
    <row r="664" spans="1:10" x14ac:dyDescent="0.3">
      <c r="A664" s="1">
        <v>41923</v>
      </c>
      <c r="B664" s="1">
        <v>41932</v>
      </c>
      <c r="C664">
        <v>8.65</v>
      </c>
      <c r="D664">
        <v>0.23</v>
      </c>
      <c r="E664">
        <v>4</v>
      </c>
      <c r="F664">
        <f t="shared" si="50"/>
        <v>0</v>
      </c>
      <c r="G664">
        <f t="shared" si="51"/>
        <v>0</v>
      </c>
      <c r="H664">
        <f t="shared" si="52"/>
        <v>1</v>
      </c>
      <c r="I664">
        <f t="shared" si="53"/>
        <v>0</v>
      </c>
      <c r="J664">
        <f t="shared" si="54"/>
        <v>0</v>
      </c>
    </row>
    <row r="665" spans="1:10" x14ac:dyDescent="0.3">
      <c r="A665" s="1">
        <v>41923</v>
      </c>
      <c r="B665" s="1">
        <v>41935</v>
      </c>
      <c r="C665">
        <v>8.84</v>
      </c>
      <c r="D665">
        <v>0.23</v>
      </c>
      <c r="E665">
        <v>4</v>
      </c>
      <c r="F665">
        <f t="shared" si="50"/>
        <v>0</v>
      </c>
      <c r="G665">
        <f t="shared" si="51"/>
        <v>0</v>
      </c>
      <c r="H665">
        <f t="shared" si="52"/>
        <v>1</v>
      </c>
      <c r="I665">
        <f t="shared" si="53"/>
        <v>0</v>
      </c>
      <c r="J665">
        <f t="shared" si="54"/>
        <v>0</v>
      </c>
    </row>
    <row r="666" spans="1:10" x14ac:dyDescent="0.3">
      <c r="A666" s="1">
        <v>41923</v>
      </c>
      <c r="B666" s="1">
        <v>41932</v>
      </c>
      <c r="C666">
        <v>4.25</v>
      </c>
      <c r="D666">
        <v>0.11</v>
      </c>
      <c r="E666">
        <v>5</v>
      </c>
      <c r="F666">
        <f t="shared" si="50"/>
        <v>0</v>
      </c>
      <c r="G666">
        <f t="shared" si="51"/>
        <v>0</v>
      </c>
      <c r="H666">
        <f t="shared" si="52"/>
        <v>0</v>
      </c>
      <c r="I666">
        <f t="shared" si="53"/>
        <v>1</v>
      </c>
      <c r="J666">
        <f t="shared" si="54"/>
        <v>0</v>
      </c>
    </row>
    <row r="667" spans="1:10" x14ac:dyDescent="0.3">
      <c r="A667" s="1">
        <v>41923</v>
      </c>
      <c r="B667" s="1">
        <v>41927</v>
      </c>
      <c r="C667">
        <v>5.47</v>
      </c>
      <c r="D667">
        <v>0.14000000000000001</v>
      </c>
      <c r="E667">
        <v>5</v>
      </c>
      <c r="F667">
        <f t="shared" si="50"/>
        <v>0</v>
      </c>
      <c r="G667">
        <f t="shared" si="51"/>
        <v>0</v>
      </c>
      <c r="H667">
        <f t="shared" si="52"/>
        <v>0</v>
      </c>
      <c r="I667">
        <f t="shared" si="53"/>
        <v>1</v>
      </c>
      <c r="J667">
        <f t="shared" si="54"/>
        <v>0</v>
      </c>
    </row>
    <row r="668" spans="1:10" x14ac:dyDescent="0.3">
      <c r="A668" s="1">
        <v>41923</v>
      </c>
      <c r="B668" s="1">
        <v>41937</v>
      </c>
      <c r="C668">
        <v>14.31</v>
      </c>
      <c r="D668">
        <v>0.38</v>
      </c>
      <c r="E668">
        <v>3</v>
      </c>
      <c r="F668">
        <f t="shared" si="50"/>
        <v>0</v>
      </c>
      <c r="G668">
        <f t="shared" si="51"/>
        <v>1</v>
      </c>
      <c r="H668">
        <f t="shared" si="52"/>
        <v>0</v>
      </c>
      <c r="I668">
        <f t="shared" si="53"/>
        <v>0</v>
      </c>
      <c r="J668">
        <f t="shared" si="54"/>
        <v>0</v>
      </c>
    </row>
    <row r="669" spans="1:10" x14ac:dyDescent="0.3">
      <c r="A669" s="1">
        <v>41923</v>
      </c>
      <c r="B669" s="1">
        <v>41949</v>
      </c>
      <c r="C669">
        <v>13.81</v>
      </c>
      <c r="D669">
        <v>0.36</v>
      </c>
      <c r="E669">
        <v>6</v>
      </c>
      <c r="F669">
        <f t="shared" si="50"/>
        <v>0</v>
      </c>
      <c r="G669">
        <f t="shared" si="51"/>
        <v>0</v>
      </c>
      <c r="H669">
        <f t="shared" si="52"/>
        <v>0</v>
      </c>
      <c r="I669">
        <f t="shared" si="53"/>
        <v>0</v>
      </c>
      <c r="J669">
        <f t="shared" si="54"/>
        <v>1</v>
      </c>
    </row>
    <row r="670" spans="1:10" x14ac:dyDescent="0.3">
      <c r="A670" s="1">
        <v>41923</v>
      </c>
      <c r="B670" s="1">
        <v>41943</v>
      </c>
      <c r="C670">
        <v>9.74</v>
      </c>
      <c r="D670">
        <v>0.26</v>
      </c>
      <c r="E670">
        <v>3</v>
      </c>
      <c r="F670">
        <f t="shared" si="50"/>
        <v>0</v>
      </c>
      <c r="G670">
        <f t="shared" si="51"/>
        <v>1</v>
      </c>
      <c r="H670">
        <f t="shared" si="52"/>
        <v>0</v>
      </c>
      <c r="I670">
        <f t="shared" si="53"/>
        <v>0</v>
      </c>
      <c r="J670">
        <f t="shared" si="54"/>
        <v>0</v>
      </c>
    </row>
    <row r="671" spans="1:10" x14ac:dyDescent="0.3">
      <c r="A671" s="1">
        <v>41923</v>
      </c>
      <c r="B671" s="1">
        <v>41951</v>
      </c>
      <c r="C671">
        <v>9.4600000000000009</v>
      </c>
      <c r="D671">
        <v>0.25</v>
      </c>
      <c r="E671">
        <v>5</v>
      </c>
      <c r="F671">
        <f t="shared" si="50"/>
        <v>0</v>
      </c>
      <c r="G671">
        <f t="shared" si="51"/>
        <v>0</v>
      </c>
      <c r="H671">
        <f t="shared" si="52"/>
        <v>0</v>
      </c>
      <c r="I671">
        <f t="shared" si="53"/>
        <v>1</v>
      </c>
      <c r="J671">
        <f t="shared" si="54"/>
        <v>0</v>
      </c>
    </row>
    <row r="672" spans="1:10" x14ac:dyDescent="0.3">
      <c r="A672" s="1">
        <v>41923</v>
      </c>
      <c r="B672" s="1">
        <v>41940</v>
      </c>
      <c r="C672">
        <v>7.31</v>
      </c>
      <c r="D672">
        <v>0.19</v>
      </c>
      <c r="E672">
        <v>2</v>
      </c>
      <c r="F672">
        <f t="shared" si="50"/>
        <v>1</v>
      </c>
      <c r="G672">
        <f t="shared" si="51"/>
        <v>0</v>
      </c>
      <c r="H672">
        <f t="shared" si="52"/>
        <v>0</v>
      </c>
      <c r="I672">
        <f t="shared" si="53"/>
        <v>0</v>
      </c>
      <c r="J672">
        <f t="shared" si="54"/>
        <v>0</v>
      </c>
    </row>
    <row r="673" spans="1:10" x14ac:dyDescent="0.3">
      <c r="A673" s="1">
        <v>41923</v>
      </c>
      <c r="B673" s="1">
        <v>41945</v>
      </c>
      <c r="C673">
        <v>11.78</v>
      </c>
      <c r="D673">
        <v>0.31</v>
      </c>
      <c r="E673">
        <v>4</v>
      </c>
      <c r="F673">
        <f t="shared" si="50"/>
        <v>0</v>
      </c>
      <c r="G673">
        <f t="shared" si="51"/>
        <v>0</v>
      </c>
      <c r="H673">
        <f t="shared" si="52"/>
        <v>1</v>
      </c>
      <c r="I673">
        <f t="shared" si="53"/>
        <v>0</v>
      </c>
      <c r="J673">
        <f t="shared" si="54"/>
        <v>0</v>
      </c>
    </row>
    <row r="674" spans="1:10" x14ac:dyDescent="0.3">
      <c r="A674" s="1">
        <v>41923</v>
      </c>
      <c r="B674" s="1">
        <v>41940</v>
      </c>
      <c r="C674">
        <v>13.82</v>
      </c>
      <c r="D674">
        <v>0.36</v>
      </c>
      <c r="E674">
        <v>4</v>
      </c>
      <c r="F674">
        <f t="shared" si="50"/>
        <v>0</v>
      </c>
      <c r="G674">
        <f t="shared" si="51"/>
        <v>0</v>
      </c>
      <c r="H674">
        <f t="shared" si="52"/>
        <v>1</v>
      </c>
      <c r="I674">
        <f t="shared" si="53"/>
        <v>0</v>
      </c>
      <c r="J674">
        <f t="shared" si="54"/>
        <v>0</v>
      </c>
    </row>
    <row r="675" spans="1:10" x14ac:dyDescent="0.3">
      <c r="A675" s="1">
        <v>41925</v>
      </c>
      <c r="B675" s="1">
        <v>41950</v>
      </c>
      <c r="C675">
        <v>3.94</v>
      </c>
      <c r="D675">
        <v>0.1</v>
      </c>
      <c r="E675">
        <v>5</v>
      </c>
      <c r="F675">
        <f t="shared" si="50"/>
        <v>0</v>
      </c>
      <c r="G675">
        <f t="shared" si="51"/>
        <v>0</v>
      </c>
      <c r="H675">
        <f t="shared" si="52"/>
        <v>0</v>
      </c>
      <c r="I675">
        <f t="shared" si="53"/>
        <v>1</v>
      </c>
      <c r="J675">
        <f t="shared" si="54"/>
        <v>0</v>
      </c>
    </row>
    <row r="676" spans="1:10" x14ac:dyDescent="0.3">
      <c r="A676" s="1">
        <v>41925</v>
      </c>
      <c r="B676" s="1">
        <v>41934</v>
      </c>
      <c r="C676">
        <v>6.58</v>
      </c>
      <c r="D676">
        <v>0.17</v>
      </c>
      <c r="E676">
        <v>5</v>
      </c>
      <c r="F676">
        <f t="shared" si="50"/>
        <v>0</v>
      </c>
      <c r="G676">
        <f t="shared" si="51"/>
        <v>0</v>
      </c>
      <c r="H676">
        <f t="shared" si="52"/>
        <v>0</v>
      </c>
      <c r="I676">
        <f t="shared" si="53"/>
        <v>1</v>
      </c>
      <c r="J676">
        <f t="shared" si="54"/>
        <v>0</v>
      </c>
    </row>
    <row r="677" spans="1:10" x14ac:dyDescent="0.3">
      <c r="A677" s="1">
        <v>41925</v>
      </c>
      <c r="B677" s="1">
        <v>41931</v>
      </c>
      <c r="C677">
        <v>6.34</v>
      </c>
      <c r="D677">
        <v>0.17</v>
      </c>
      <c r="E677">
        <v>4</v>
      </c>
      <c r="F677">
        <f t="shared" si="50"/>
        <v>0</v>
      </c>
      <c r="G677">
        <f t="shared" si="51"/>
        <v>0</v>
      </c>
      <c r="H677">
        <f t="shared" si="52"/>
        <v>1</v>
      </c>
      <c r="I677">
        <f t="shared" si="53"/>
        <v>0</v>
      </c>
      <c r="J677">
        <f t="shared" si="54"/>
        <v>0</v>
      </c>
    </row>
    <row r="678" spans="1:10" x14ac:dyDescent="0.3">
      <c r="A678" s="1">
        <v>41925</v>
      </c>
      <c r="B678" s="1">
        <v>41943</v>
      </c>
      <c r="C678">
        <v>6.58</v>
      </c>
      <c r="D678">
        <v>0.17</v>
      </c>
      <c r="E678">
        <v>4</v>
      </c>
      <c r="F678">
        <f t="shared" si="50"/>
        <v>0</v>
      </c>
      <c r="G678">
        <f t="shared" si="51"/>
        <v>0</v>
      </c>
      <c r="H678">
        <f t="shared" si="52"/>
        <v>1</v>
      </c>
      <c r="I678">
        <f t="shared" si="53"/>
        <v>0</v>
      </c>
      <c r="J678">
        <f t="shared" si="54"/>
        <v>0</v>
      </c>
    </row>
    <row r="679" spans="1:10" x14ac:dyDescent="0.3">
      <c r="A679" s="1">
        <v>41925</v>
      </c>
      <c r="B679" s="1">
        <v>41949</v>
      </c>
      <c r="C679">
        <v>6.34</v>
      </c>
      <c r="D679">
        <v>0.17</v>
      </c>
      <c r="E679">
        <v>3</v>
      </c>
      <c r="F679">
        <f t="shared" si="50"/>
        <v>0</v>
      </c>
      <c r="G679">
        <f t="shared" si="51"/>
        <v>1</v>
      </c>
      <c r="H679">
        <f t="shared" si="52"/>
        <v>0</v>
      </c>
      <c r="I679">
        <f t="shared" si="53"/>
        <v>0</v>
      </c>
      <c r="J679">
        <f t="shared" si="54"/>
        <v>0</v>
      </c>
    </row>
    <row r="680" spans="1:10" x14ac:dyDescent="0.3">
      <c r="A680" s="1">
        <v>41926</v>
      </c>
      <c r="B680" s="1">
        <v>41941</v>
      </c>
      <c r="C680">
        <v>6.43</v>
      </c>
      <c r="D680">
        <v>0.17</v>
      </c>
      <c r="E680">
        <v>6</v>
      </c>
      <c r="F680">
        <f t="shared" si="50"/>
        <v>0</v>
      </c>
      <c r="G680">
        <f t="shared" si="51"/>
        <v>0</v>
      </c>
      <c r="H680">
        <f t="shared" si="52"/>
        <v>0</v>
      </c>
      <c r="I680">
        <f t="shared" si="53"/>
        <v>0</v>
      </c>
      <c r="J680">
        <f t="shared" si="54"/>
        <v>1</v>
      </c>
    </row>
    <row r="681" spans="1:10" x14ac:dyDescent="0.3">
      <c r="A681" s="1">
        <v>41927</v>
      </c>
      <c r="B681" s="1">
        <v>41954</v>
      </c>
      <c r="C681">
        <v>2.0099999999999998</v>
      </c>
      <c r="D681">
        <v>0.05</v>
      </c>
      <c r="E681">
        <v>6</v>
      </c>
      <c r="F681">
        <f t="shared" si="50"/>
        <v>0</v>
      </c>
      <c r="G681">
        <f t="shared" si="51"/>
        <v>0</v>
      </c>
      <c r="H681">
        <f t="shared" si="52"/>
        <v>0</v>
      </c>
      <c r="I681">
        <f t="shared" si="53"/>
        <v>0</v>
      </c>
      <c r="J681">
        <f t="shared" si="54"/>
        <v>1</v>
      </c>
    </row>
    <row r="682" spans="1:10" x14ac:dyDescent="0.3">
      <c r="A682" s="1">
        <v>41927</v>
      </c>
      <c r="B682" s="1">
        <v>41953</v>
      </c>
      <c r="C682">
        <v>2.72</v>
      </c>
      <c r="D682">
        <v>7.0000000000000007E-2</v>
      </c>
      <c r="E682">
        <v>4</v>
      </c>
      <c r="F682">
        <f t="shared" si="50"/>
        <v>0</v>
      </c>
      <c r="G682">
        <f t="shared" si="51"/>
        <v>0</v>
      </c>
      <c r="H682">
        <f t="shared" si="52"/>
        <v>1</v>
      </c>
      <c r="I682">
        <f t="shared" si="53"/>
        <v>0</v>
      </c>
      <c r="J682">
        <f t="shared" si="54"/>
        <v>0</v>
      </c>
    </row>
    <row r="683" spans="1:10" x14ac:dyDescent="0.3">
      <c r="A683" s="1">
        <v>41928</v>
      </c>
      <c r="B683" s="1">
        <v>41934</v>
      </c>
      <c r="C683">
        <v>3.73</v>
      </c>
      <c r="D683">
        <v>0.1</v>
      </c>
      <c r="E683">
        <v>5</v>
      </c>
      <c r="F683">
        <f t="shared" si="50"/>
        <v>0</v>
      </c>
      <c r="G683">
        <f t="shared" si="51"/>
        <v>0</v>
      </c>
      <c r="H683">
        <f t="shared" si="52"/>
        <v>0</v>
      </c>
      <c r="I683">
        <f t="shared" si="53"/>
        <v>1</v>
      </c>
      <c r="J683">
        <f t="shared" si="54"/>
        <v>0</v>
      </c>
    </row>
    <row r="684" spans="1:10" x14ac:dyDescent="0.3">
      <c r="A684" s="1">
        <v>41929</v>
      </c>
      <c r="B684" s="1">
        <v>41937</v>
      </c>
      <c r="C684">
        <v>5.64</v>
      </c>
      <c r="D684">
        <v>0.15</v>
      </c>
      <c r="E684">
        <v>6</v>
      </c>
      <c r="F684">
        <f t="shared" si="50"/>
        <v>0</v>
      </c>
      <c r="G684">
        <f t="shared" si="51"/>
        <v>0</v>
      </c>
      <c r="H684">
        <f t="shared" si="52"/>
        <v>0</v>
      </c>
      <c r="I684">
        <f t="shared" si="53"/>
        <v>0</v>
      </c>
      <c r="J684">
        <f t="shared" si="54"/>
        <v>1</v>
      </c>
    </row>
    <row r="685" spans="1:10" x14ac:dyDescent="0.3">
      <c r="A685" s="1">
        <v>41929</v>
      </c>
      <c r="B685" s="1">
        <v>41942</v>
      </c>
      <c r="C685">
        <v>11.78</v>
      </c>
      <c r="D685">
        <v>0.31</v>
      </c>
      <c r="E685">
        <v>5</v>
      </c>
      <c r="F685">
        <f t="shared" si="50"/>
        <v>0</v>
      </c>
      <c r="G685">
        <f t="shared" si="51"/>
        <v>0</v>
      </c>
      <c r="H685">
        <f t="shared" si="52"/>
        <v>0</v>
      </c>
      <c r="I685">
        <f t="shared" si="53"/>
        <v>1</v>
      </c>
      <c r="J685">
        <f t="shared" si="54"/>
        <v>0</v>
      </c>
    </row>
    <row r="686" spans="1:10" x14ac:dyDescent="0.3">
      <c r="A686" s="1">
        <v>41929</v>
      </c>
      <c r="B686" s="1">
        <v>41931</v>
      </c>
      <c r="C686">
        <v>9.4600000000000009</v>
      </c>
      <c r="D686">
        <v>0.25</v>
      </c>
      <c r="E686">
        <v>5</v>
      </c>
      <c r="F686">
        <f t="shared" si="50"/>
        <v>0</v>
      </c>
      <c r="G686">
        <f t="shared" si="51"/>
        <v>0</v>
      </c>
      <c r="H686">
        <f t="shared" si="52"/>
        <v>0</v>
      </c>
      <c r="I686">
        <f t="shared" si="53"/>
        <v>1</v>
      </c>
      <c r="J686">
        <f t="shared" si="54"/>
        <v>0</v>
      </c>
    </row>
    <row r="687" spans="1:10" x14ac:dyDescent="0.3">
      <c r="A687" s="1">
        <v>41929</v>
      </c>
      <c r="B687" s="1">
        <v>41945</v>
      </c>
      <c r="C687">
        <v>4.25</v>
      </c>
      <c r="D687">
        <v>0.11</v>
      </c>
      <c r="E687">
        <v>3</v>
      </c>
      <c r="F687">
        <f t="shared" si="50"/>
        <v>0</v>
      </c>
      <c r="G687">
        <f t="shared" si="51"/>
        <v>1</v>
      </c>
      <c r="H687">
        <f t="shared" si="52"/>
        <v>0</v>
      </c>
      <c r="I687">
        <f t="shared" si="53"/>
        <v>0</v>
      </c>
      <c r="J687">
        <f t="shared" si="54"/>
        <v>0</v>
      </c>
    </row>
    <row r="688" spans="1:10" x14ac:dyDescent="0.3">
      <c r="A688" s="1">
        <v>41929</v>
      </c>
      <c r="B688" s="1">
        <v>41955</v>
      </c>
      <c r="C688">
        <v>11.42</v>
      </c>
      <c r="D688">
        <v>0.3</v>
      </c>
      <c r="E688">
        <v>4</v>
      </c>
      <c r="F688">
        <f t="shared" si="50"/>
        <v>0</v>
      </c>
      <c r="G688">
        <f t="shared" si="51"/>
        <v>0</v>
      </c>
      <c r="H688">
        <f t="shared" si="52"/>
        <v>1</v>
      </c>
      <c r="I688">
        <f t="shared" si="53"/>
        <v>0</v>
      </c>
      <c r="J688">
        <f t="shared" si="54"/>
        <v>0</v>
      </c>
    </row>
    <row r="689" spans="1:10" x14ac:dyDescent="0.3">
      <c r="A689" s="1">
        <v>41929</v>
      </c>
      <c r="B689" s="1">
        <v>41955</v>
      </c>
      <c r="C689">
        <v>8.5399999999999991</v>
      </c>
      <c r="D689">
        <v>0.22</v>
      </c>
      <c r="E689">
        <v>3</v>
      </c>
      <c r="F689">
        <f t="shared" si="50"/>
        <v>0</v>
      </c>
      <c r="G689">
        <f t="shared" si="51"/>
        <v>1</v>
      </c>
      <c r="H689">
        <f t="shared" si="52"/>
        <v>0</v>
      </c>
      <c r="I689">
        <f t="shared" si="53"/>
        <v>0</v>
      </c>
      <c r="J689">
        <f t="shared" si="54"/>
        <v>0</v>
      </c>
    </row>
    <row r="690" spans="1:10" x14ac:dyDescent="0.3">
      <c r="A690" s="1">
        <v>41930</v>
      </c>
      <c r="B690" s="1">
        <v>41936</v>
      </c>
      <c r="C690">
        <v>2.72</v>
      </c>
      <c r="D690">
        <v>7.0000000000000007E-2</v>
      </c>
      <c r="E690">
        <v>2</v>
      </c>
      <c r="F690">
        <f t="shared" si="50"/>
        <v>1</v>
      </c>
      <c r="G690">
        <f t="shared" si="51"/>
        <v>0</v>
      </c>
      <c r="H690">
        <f t="shared" si="52"/>
        <v>0</v>
      </c>
      <c r="I690">
        <f t="shared" si="53"/>
        <v>0</v>
      </c>
      <c r="J690">
        <f t="shared" si="54"/>
        <v>0</v>
      </c>
    </row>
    <row r="691" spans="1:10" x14ac:dyDescent="0.3">
      <c r="A691" s="1">
        <v>41934</v>
      </c>
      <c r="B691" s="1">
        <v>41941</v>
      </c>
      <c r="C691">
        <v>11.78</v>
      </c>
      <c r="D691">
        <v>0.31</v>
      </c>
      <c r="E691">
        <v>3</v>
      </c>
      <c r="F691">
        <f t="shared" si="50"/>
        <v>0</v>
      </c>
      <c r="G691">
        <f t="shared" si="51"/>
        <v>1</v>
      </c>
      <c r="H691">
        <f t="shared" si="52"/>
        <v>0</v>
      </c>
      <c r="I691">
        <f t="shared" si="53"/>
        <v>0</v>
      </c>
      <c r="J691">
        <f t="shared" si="54"/>
        <v>0</v>
      </c>
    </row>
    <row r="692" spans="1:10" x14ac:dyDescent="0.3">
      <c r="A692" s="1">
        <v>41934</v>
      </c>
      <c r="B692" s="1">
        <v>41959</v>
      </c>
      <c r="C692">
        <v>8.89</v>
      </c>
      <c r="D692">
        <v>0.23</v>
      </c>
      <c r="E692">
        <v>4</v>
      </c>
      <c r="F692">
        <f t="shared" si="50"/>
        <v>0</v>
      </c>
      <c r="G692">
        <f t="shared" si="51"/>
        <v>0</v>
      </c>
      <c r="H692">
        <f t="shared" si="52"/>
        <v>1</v>
      </c>
      <c r="I692">
        <f t="shared" si="53"/>
        <v>0</v>
      </c>
      <c r="J692">
        <f t="shared" si="54"/>
        <v>0</v>
      </c>
    </row>
    <row r="693" spans="1:10" x14ac:dyDescent="0.3">
      <c r="A693" s="1">
        <v>41934</v>
      </c>
      <c r="B693" s="1">
        <v>41937</v>
      </c>
      <c r="C693">
        <v>3.94</v>
      </c>
      <c r="D693">
        <v>0.1</v>
      </c>
      <c r="E693">
        <v>5</v>
      </c>
      <c r="F693">
        <f t="shared" si="50"/>
        <v>0</v>
      </c>
      <c r="G693">
        <f t="shared" si="51"/>
        <v>0</v>
      </c>
      <c r="H693">
        <f t="shared" si="52"/>
        <v>0</v>
      </c>
      <c r="I693">
        <f t="shared" si="53"/>
        <v>1</v>
      </c>
      <c r="J693">
        <f t="shared" si="54"/>
        <v>0</v>
      </c>
    </row>
    <row r="694" spans="1:10" x14ac:dyDescent="0.3">
      <c r="A694" s="1">
        <v>41934</v>
      </c>
      <c r="B694" s="1">
        <v>41960</v>
      </c>
      <c r="C694">
        <v>6.23</v>
      </c>
      <c r="D694">
        <v>0.16</v>
      </c>
      <c r="E694">
        <v>5</v>
      </c>
      <c r="F694">
        <f t="shared" si="50"/>
        <v>0</v>
      </c>
      <c r="G694">
        <f t="shared" si="51"/>
        <v>0</v>
      </c>
      <c r="H694">
        <f t="shared" si="52"/>
        <v>0</v>
      </c>
      <c r="I694">
        <f t="shared" si="53"/>
        <v>1</v>
      </c>
      <c r="J694">
        <f t="shared" si="54"/>
        <v>0</v>
      </c>
    </row>
    <row r="695" spans="1:10" x14ac:dyDescent="0.3">
      <c r="A695" s="1">
        <v>41934</v>
      </c>
      <c r="B695" s="1">
        <v>41961</v>
      </c>
      <c r="C695">
        <v>9.4600000000000009</v>
      </c>
      <c r="D695">
        <v>0.25</v>
      </c>
      <c r="E695">
        <v>6</v>
      </c>
      <c r="F695">
        <f t="shared" si="50"/>
        <v>0</v>
      </c>
      <c r="G695">
        <f t="shared" si="51"/>
        <v>0</v>
      </c>
      <c r="H695">
        <f t="shared" si="52"/>
        <v>0</v>
      </c>
      <c r="I695">
        <f t="shared" si="53"/>
        <v>0</v>
      </c>
      <c r="J695">
        <f t="shared" si="54"/>
        <v>1</v>
      </c>
    </row>
    <row r="696" spans="1:10" x14ac:dyDescent="0.3">
      <c r="A696" s="1">
        <v>41934</v>
      </c>
      <c r="B696" s="1">
        <v>41942</v>
      </c>
      <c r="C696">
        <v>11.42</v>
      </c>
      <c r="D696">
        <v>0.3</v>
      </c>
      <c r="E696">
        <v>6</v>
      </c>
      <c r="F696">
        <f t="shared" si="50"/>
        <v>0</v>
      </c>
      <c r="G696">
        <f t="shared" si="51"/>
        <v>0</v>
      </c>
      <c r="H696">
        <f t="shared" si="52"/>
        <v>0</v>
      </c>
      <c r="I696">
        <f t="shared" si="53"/>
        <v>0</v>
      </c>
      <c r="J696">
        <f t="shared" si="54"/>
        <v>1</v>
      </c>
    </row>
    <row r="697" spans="1:10" x14ac:dyDescent="0.3">
      <c r="A697" s="1">
        <v>41934</v>
      </c>
      <c r="B697" s="1">
        <v>41949</v>
      </c>
      <c r="C697">
        <v>8.84</v>
      </c>
      <c r="D697">
        <v>0.23</v>
      </c>
      <c r="E697">
        <v>3</v>
      </c>
      <c r="F697">
        <f t="shared" si="50"/>
        <v>0</v>
      </c>
      <c r="G697">
        <f t="shared" si="51"/>
        <v>1</v>
      </c>
      <c r="H697">
        <f t="shared" si="52"/>
        <v>0</v>
      </c>
      <c r="I697">
        <f t="shared" si="53"/>
        <v>0</v>
      </c>
      <c r="J697">
        <f t="shared" si="54"/>
        <v>0</v>
      </c>
    </row>
    <row r="698" spans="1:10" x14ac:dyDescent="0.3">
      <c r="A698" s="1">
        <v>41934</v>
      </c>
      <c r="B698" s="1">
        <v>41949</v>
      </c>
      <c r="C698">
        <v>6.34</v>
      </c>
      <c r="D698">
        <v>0.17</v>
      </c>
      <c r="E698">
        <v>2</v>
      </c>
      <c r="F698">
        <f t="shared" si="50"/>
        <v>1</v>
      </c>
      <c r="G698">
        <f t="shared" si="51"/>
        <v>0</v>
      </c>
      <c r="H698">
        <f t="shared" si="52"/>
        <v>0</v>
      </c>
      <c r="I698">
        <f t="shared" si="53"/>
        <v>0</v>
      </c>
      <c r="J698">
        <f t="shared" si="54"/>
        <v>0</v>
      </c>
    </row>
    <row r="699" spans="1:10" x14ac:dyDescent="0.3">
      <c r="A699" s="1">
        <v>41934</v>
      </c>
      <c r="B699" s="1">
        <v>41943</v>
      </c>
      <c r="C699">
        <v>5.67</v>
      </c>
      <c r="D699">
        <v>0.15</v>
      </c>
      <c r="E699">
        <v>2</v>
      </c>
      <c r="F699">
        <f t="shared" si="50"/>
        <v>1</v>
      </c>
      <c r="G699">
        <f t="shared" si="51"/>
        <v>0</v>
      </c>
      <c r="H699">
        <f t="shared" si="52"/>
        <v>0</v>
      </c>
      <c r="I699">
        <f t="shared" si="53"/>
        <v>0</v>
      </c>
      <c r="J699">
        <f t="shared" si="54"/>
        <v>0</v>
      </c>
    </row>
    <row r="700" spans="1:10" x14ac:dyDescent="0.3">
      <c r="A700" s="1">
        <v>41934</v>
      </c>
      <c r="B700" s="1">
        <v>41954</v>
      </c>
      <c r="C700">
        <v>11.78</v>
      </c>
      <c r="D700">
        <v>0.31</v>
      </c>
      <c r="E700">
        <v>5</v>
      </c>
      <c r="F700">
        <f t="shared" si="50"/>
        <v>0</v>
      </c>
      <c r="G700">
        <f t="shared" si="51"/>
        <v>0</v>
      </c>
      <c r="H700">
        <f t="shared" si="52"/>
        <v>0</v>
      </c>
      <c r="I700">
        <f t="shared" si="53"/>
        <v>1</v>
      </c>
      <c r="J700">
        <f t="shared" si="54"/>
        <v>0</v>
      </c>
    </row>
    <row r="701" spans="1:10" x14ac:dyDescent="0.3">
      <c r="A701" s="1">
        <v>41934</v>
      </c>
      <c r="B701" s="1">
        <v>41944</v>
      </c>
      <c r="C701">
        <v>13.82</v>
      </c>
      <c r="D701">
        <v>0.36</v>
      </c>
      <c r="E701">
        <v>3</v>
      </c>
      <c r="F701">
        <f t="shared" si="50"/>
        <v>0</v>
      </c>
      <c r="G701">
        <f t="shared" si="51"/>
        <v>1</v>
      </c>
      <c r="H701">
        <f t="shared" si="52"/>
        <v>0</v>
      </c>
      <c r="I701">
        <f t="shared" si="53"/>
        <v>0</v>
      </c>
      <c r="J701">
        <f t="shared" si="54"/>
        <v>0</v>
      </c>
    </row>
    <row r="702" spans="1:10" x14ac:dyDescent="0.3">
      <c r="A702" s="1">
        <v>41934</v>
      </c>
      <c r="B702" s="1">
        <v>41958</v>
      </c>
      <c r="C702">
        <v>3.57</v>
      </c>
      <c r="D702">
        <v>0.09</v>
      </c>
      <c r="E702">
        <v>3</v>
      </c>
      <c r="F702">
        <f t="shared" si="50"/>
        <v>0</v>
      </c>
      <c r="G702">
        <f t="shared" si="51"/>
        <v>1</v>
      </c>
      <c r="H702">
        <f t="shared" si="52"/>
        <v>0</v>
      </c>
      <c r="I702">
        <f t="shared" si="53"/>
        <v>0</v>
      </c>
      <c r="J702">
        <f t="shared" si="54"/>
        <v>0</v>
      </c>
    </row>
    <row r="703" spans="1:10" x14ac:dyDescent="0.3">
      <c r="A703" s="1">
        <v>41934</v>
      </c>
      <c r="B703" s="1">
        <v>41954</v>
      </c>
      <c r="C703">
        <v>6.88</v>
      </c>
      <c r="D703">
        <v>0.18</v>
      </c>
      <c r="E703">
        <v>3</v>
      </c>
      <c r="F703">
        <f t="shared" si="50"/>
        <v>0</v>
      </c>
      <c r="G703">
        <f t="shared" si="51"/>
        <v>1</v>
      </c>
      <c r="H703">
        <f t="shared" si="52"/>
        <v>0</v>
      </c>
      <c r="I703">
        <f t="shared" si="53"/>
        <v>0</v>
      </c>
      <c r="J703">
        <f t="shared" si="54"/>
        <v>0</v>
      </c>
    </row>
    <row r="704" spans="1:10" x14ac:dyDescent="0.3">
      <c r="A704" s="1">
        <v>41934</v>
      </c>
      <c r="B704" s="1">
        <v>41958</v>
      </c>
      <c r="C704">
        <v>7.3</v>
      </c>
      <c r="D704">
        <v>0.19</v>
      </c>
      <c r="E704">
        <v>5</v>
      </c>
      <c r="F704">
        <f t="shared" si="50"/>
        <v>0</v>
      </c>
      <c r="G704">
        <f t="shared" si="51"/>
        <v>0</v>
      </c>
      <c r="H704">
        <f t="shared" si="52"/>
        <v>0</v>
      </c>
      <c r="I704">
        <f t="shared" si="53"/>
        <v>1</v>
      </c>
      <c r="J704">
        <f t="shared" si="54"/>
        <v>0</v>
      </c>
    </row>
    <row r="705" spans="1:10" x14ac:dyDescent="0.3">
      <c r="A705" s="1">
        <v>41934</v>
      </c>
      <c r="B705" s="1">
        <v>41955</v>
      </c>
      <c r="C705">
        <v>9.74</v>
      </c>
      <c r="D705">
        <v>0.26</v>
      </c>
      <c r="E705">
        <v>2</v>
      </c>
      <c r="F705">
        <f t="shared" si="50"/>
        <v>1</v>
      </c>
      <c r="G705">
        <f t="shared" si="51"/>
        <v>0</v>
      </c>
      <c r="H705">
        <f t="shared" si="52"/>
        <v>0</v>
      </c>
      <c r="I705">
        <f t="shared" si="53"/>
        <v>0</v>
      </c>
      <c r="J705">
        <f t="shared" si="54"/>
        <v>0</v>
      </c>
    </row>
    <row r="706" spans="1:10" x14ac:dyDescent="0.3">
      <c r="A706" s="1">
        <v>41934</v>
      </c>
      <c r="B706" s="1">
        <v>41945</v>
      </c>
      <c r="C706">
        <v>8.65</v>
      </c>
      <c r="D706">
        <v>0.23</v>
      </c>
      <c r="E706">
        <v>2</v>
      </c>
      <c r="F706">
        <f t="shared" si="50"/>
        <v>1</v>
      </c>
      <c r="G706">
        <f t="shared" si="51"/>
        <v>0</v>
      </c>
      <c r="H706">
        <f t="shared" si="52"/>
        <v>0</v>
      </c>
      <c r="I706">
        <f t="shared" si="53"/>
        <v>0</v>
      </c>
      <c r="J706">
        <f t="shared" si="54"/>
        <v>0</v>
      </c>
    </row>
    <row r="707" spans="1:10" x14ac:dyDescent="0.3">
      <c r="A707" s="1">
        <v>41934</v>
      </c>
      <c r="B707" s="1">
        <v>41954</v>
      </c>
      <c r="C707">
        <v>3.57</v>
      </c>
      <c r="D707">
        <v>0.09</v>
      </c>
      <c r="E707">
        <v>5</v>
      </c>
      <c r="F707">
        <f t="shared" ref="F707:F770" si="55">IF(EXACT(E707,2),1,0)</f>
        <v>0</v>
      </c>
      <c r="G707">
        <f t="shared" ref="G707:G770" si="56">IF(EXACT(E707,3),1,0)</f>
        <v>0</v>
      </c>
      <c r="H707">
        <f t="shared" ref="H707:H770" si="57">IF(EXACT(E707,4),1,0)</f>
        <v>0</v>
      </c>
      <c r="I707">
        <f t="shared" ref="I707:I770" si="58">IF(EXACT(E707,5),1,0)</f>
        <v>1</v>
      </c>
      <c r="J707">
        <f t="shared" ref="J707:J770" si="59">IF(EXACT(E707,6),1,0)</f>
        <v>0</v>
      </c>
    </row>
    <row r="708" spans="1:10" x14ac:dyDescent="0.3">
      <c r="A708" s="1">
        <v>41934</v>
      </c>
      <c r="B708" s="1">
        <v>41951</v>
      </c>
      <c r="C708">
        <v>4.25</v>
      </c>
      <c r="D708">
        <v>0.11</v>
      </c>
      <c r="E708">
        <v>6</v>
      </c>
      <c r="F708">
        <f t="shared" si="55"/>
        <v>0</v>
      </c>
      <c r="G708">
        <f t="shared" si="56"/>
        <v>0</v>
      </c>
      <c r="H708">
        <f t="shared" si="57"/>
        <v>0</v>
      </c>
      <c r="I708">
        <f t="shared" si="58"/>
        <v>0</v>
      </c>
      <c r="J708">
        <f t="shared" si="59"/>
        <v>1</v>
      </c>
    </row>
    <row r="709" spans="1:10" x14ac:dyDescent="0.3">
      <c r="A709" s="1">
        <v>41934</v>
      </c>
      <c r="B709" s="1">
        <v>41938</v>
      </c>
      <c r="C709">
        <v>13.02</v>
      </c>
      <c r="D709">
        <v>0.34</v>
      </c>
      <c r="E709">
        <v>2</v>
      </c>
      <c r="F709">
        <f t="shared" si="55"/>
        <v>1</v>
      </c>
      <c r="G709">
        <f t="shared" si="56"/>
        <v>0</v>
      </c>
      <c r="H709">
        <f t="shared" si="57"/>
        <v>0</v>
      </c>
      <c r="I709">
        <f t="shared" si="58"/>
        <v>0</v>
      </c>
      <c r="J709">
        <f t="shared" si="59"/>
        <v>0</v>
      </c>
    </row>
    <row r="710" spans="1:10" x14ac:dyDescent="0.3">
      <c r="A710" s="1">
        <v>41935</v>
      </c>
      <c r="B710" s="1">
        <v>41945</v>
      </c>
      <c r="C710">
        <v>11.44</v>
      </c>
      <c r="D710">
        <v>0.3</v>
      </c>
      <c r="E710">
        <v>6</v>
      </c>
      <c r="F710">
        <f t="shared" si="55"/>
        <v>0</v>
      </c>
      <c r="G710">
        <f t="shared" si="56"/>
        <v>0</v>
      </c>
      <c r="H710">
        <f t="shared" si="57"/>
        <v>0</v>
      </c>
      <c r="I710">
        <f t="shared" si="58"/>
        <v>0</v>
      </c>
      <c r="J710">
        <f t="shared" si="59"/>
        <v>1</v>
      </c>
    </row>
    <row r="711" spans="1:10" x14ac:dyDescent="0.3">
      <c r="A711" s="1">
        <v>41935</v>
      </c>
      <c r="B711" s="1">
        <v>41954</v>
      </c>
      <c r="C711">
        <v>11.78</v>
      </c>
      <c r="D711">
        <v>0.31</v>
      </c>
      <c r="E711">
        <v>5</v>
      </c>
      <c r="F711">
        <f t="shared" si="55"/>
        <v>0</v>
      </c>
      <c r="G711">
        <f t="shared" si="56"/>
        <v>0</v>
      </c>
      <c r="H711">
        <f t="shared" si="57"/>
        <v>0</v>
      </c>
      <c r="I711">
        <f t="shared" si="58"/>
        <v>1</v>
      </c>
      <c r="J711">
        <f t="shared" si="59"/>
        <v>0</v>
      </c>
    </row>
    <row r="712" spans="1:10" x14ac:dyDescent="0.3">
      <c r="A712" s="1">
        <v>41935</v>
      </c>
      <c r="B712" s="1">
        <v>41944</v>
      </c>
      <c r="C712">
        <v>7.31</v>
      </c>
      <c r="D712">
        <v>0.19</v>
      </c>
      <c r="E712">
        <v>2</v>
      </c>
      <c r="F712">
        <f t="shared" si="55"/>
        <v>1</v>
      </c>
      <c r="G712">
        <f t="shared" si="56"/>
        <v>0</v>
      </c>
      <c r="H712">
        <f t="shared" si="57"/>
        <v>0</v>
      </c>
      <c r="I712">
        <f t="shared" si="58"/>
        <v>0</v>
      </c>
      <c r="J712">
        <f t="shared" si="59"/>
        <v>0</v>
      </c>
    </row>
    <row r="713" spans="1:10" x14ac:dyDescent="0.3">
      <c r="A713" s="1">
        <v>41935</v>
      </c>
      <c r="B713" s="1">
        <v>41940</v>
      </c>
      <c r="C713">
        <v>3.79</v>
      </c>
      <c r="D713">
        <v>0.1</v>
      </c>
      <c r="E713">
        <v>4</v>
      </c>
      <c r="F713">
        <f t="shared" si="55"/>
        <v>0</v>
      </c>
      <c r="G713">
        <f t="shared" si="56"/>
        <v>0</v>
      </c>
      <c r="H713">
        <f t="shared" si="57"/>
        <v>1</v>
      </c>
      <c r="I713">
        <f t="shared" si="58"/>
        <v>0</v>
      </c>
      <c r="J713">
        <f t="shared" si="59"/>
        <v>0</v>
      </c>
    </row>
    <row r="714" spans="1:10" x14ac:dyDescent="0.3">
      <c r="A714" s="1">
        <v>41935</v>
      </c>
      <c r="B714" s="1">
        <v>41947</v>
      </c>
      <c r="C714">
        <v>11.42</v>
      </c>
      <c r="D714">
        <v>0.3</v>
      </c>
      <c r="E714">
        <v>3</v>
      </c>
      <c r="F714">
        <f t="shared" si="55"/>
        <v>0</v>
      </c>
      <c r="G714">
        <f t="shared" si="56"/>
        <v>1</v>
      </c>
      <c r="H714">
        <f t="shared" si="57"/>
        <v>0</v>
      </c>
      <c r="I714">
        <f t="shared" si="58"/>
        <v>0</v>
      </c>
      <c r="J714">
        <f t="shared" si="59"/>
        <v>0</v>
      </c>
    </row>
    <row r="715" spans="1:10" x14ac:dyDescent="0.3">
      <c r="A715" s="1">
        <v>41935</v>
      </c>
      <c r="B715" s="1">
        <v>41955</v>
      </c>
      <c r="C715">
        <v>7.31</v>
      </c>
      <c r="D715">
        <v>0.19</v>
      </c>
      <c r="E715">
        <v>6</v>
      </c>
      <c r="F715">
        <f t="shared" si="55"/>
        <v>0</v>
      </c>
      <c r="G715">
        <f t="shared" si="56"/>
        <v>0</v>
      </c>
      <c r="H715">
        <f t="shared" si="57"/>
        <v>0</v>
      </c>
      <c r="I715">
        <f t="shared" si="58"/>
        <v>0</v>
      </c>
      <c r="J715">
        <f t="shared" si="59"/>
        <v>1</v>
      </c>
    </row>
    <row r="716" spans="1:10" x14ac:dyDescent="0.3">
      <c r="A716" s="1">
        <v>41935</v>
      </c>
      <c r="B716" s="1">
        <v>41940</v>
      </c>
      <c r="C716">
        <v>3.73</v>
      </c>
      <c r="D716">
        <v>0.1</v>
      </c>
      <c r="E716">
        <v>2</v>
      </c>
      <c r="F716">
        <f t="shared" si="55"/>
        <v>1</v>
      </c>
      <c r="G716">
        <f t="shared" si="56"/>
        <v>0</v>
      </c>
      <c r="H716">
        <f t="shared" si="57"/>
        <v>0</v>
      </c>
      <c r="I716">
        <f t="shared" si="58"/>
        <v>0</v>
      </c>
      <c r="J716">
        <f t="shared" si="59"/>
        <v>0</v>
      </c>
    </row>
    <row r="717" spans="1:10" x14ac:dyDescent="0.3">
      <c r="A717" s="1">
        <v>41935</v>
      </c>
      <c r="B717" s="1">
        <v>41957</v>
      </c>
      <c r="C717">
        <v>9.06</v>
      </c>
      <c r="D717">
        <v>0.24</v>
      </c>
      <c r="E717">
        <v>2</v>
      </c>
      <c r="F717">
        <f t="shared" si="55"/>
        <v>1</v>
      </c>
      <c r="G717">
        <f t="shared" si="56"/>
        <v>0</v>
      </c>
      <c r="H717">
        <f t="shared" si="57"/>
        <v>0</v>
      </c>
      <c r="I717">
        <f t="shared" si="58"/>
        <v>0</v>
      </c>
      <c r="J717">
        <f t="shared" si="59"/>
        <v>0</v>
      </c>
    </row>
    <row r="718" spans="1:10" x14ac:dyDescent="0.3">
      <c r="A718" s="1">
        <v>41935</v>
      </c>
      <c r="B718" s="1">
        <v>41956</v>
      </c>
      <c r="C718">
        <v>11.69</v>
      </c>
      <c r="D718">
        <v>0.31</v>
      </c>
      <c r="E718">
        <v>2</v>
      </c>
      <c r="F718">
        <f t="shared" si="55"/>
        <v>1</v>
      </c>
      <c r="G718">
        <f t="shared" si="56"/>
        <v>0</v>
      </c>
      <c r="H718">
        <f t="shared" si="57"/>
        <v>0</v>
      </c>
      <c r="I718">
        <f t="shared" si="58"/>
        <v>0</v>
      </c>
      <c r="J718">
        <f t="shared" si="59"/>
        <v>0</v>
      </c>
    </row>
    <row r="719" spans="1:10" x14ac:dyDescent="0.3">
      <c r="A719" s="1">
        <v>41935</v>
      </c>
      <c r="B719" s="1">
        <v>41960</v>
      </c>
      <c r="C719">
        <v>10.79</v>
      </c>
      <c r="D719">
        <v>0.28000000000000003</v>
      </c>
      <c r="E719">
        <v>3</v>
      </c>
      <c r="F719">
        <f t="shared" si="55"/>
        <v>0</v>
      </c>
      <c r="G719">
        <f t="shared" si="56"/>
        <v>1</v>
      </c>
      <c r="H719">
        <f t="shared" si="57"/>
        <v>0</v>
      </c>
      <c r="I719">
        <f t="shared" si="58"/>
        <v>0</v>
      </c>
      <c r="J719">
        <f t="shared" si="59"/>
        <v>0</v>
      </c>
    </row>
    <row r="720" spans="1:10" x14ac:dyDescent="0.3">
      <c r="A720" s="1">
        <v>41935</v>
      </c>
      <c r="B720" s="1">
        <v>41946</v>
      </c>
      <c r="C720">
        <v>14.13</v>
      </c>
      <c r="D720">
        <v>0.37</v>
      </c>
      <c r="E720">
        <v>6</v>
      </c>
      <c r="F720">
        <f t="shared" si="55"/>
        <v>0</v>
      </c>
      <c r="G720">
        <f t="shared" si="56"/>
        <v>0</v>
      </c>
      <c r="H720">
        <f t="shared" si="57"/>
        <v>0</v>
      </c>
      <c r="I720">
        <f t="shared" si="58"/>
        <v>0</v>
      </c>
      <c r="J720">
        <f t="shared" si="59"/>
        <v>1</v>
      </c>
    </row>
    <row r="721" spans="1:10" x14ac:dyDescent="0.3">
      <c r="A721" s="1">
        <v>41935</v>
      </c>
      <c r="B721" s="1">
        <v>41959</v>
      </c>
      <c r="C721">
        <v>8.7200000000000006</v>
      </c>
      <c r="D721">
        <v>0.23</v>
      </c>
      <c r="E721">
        <v>2</v>
      </c>
      <c r="F721">
        <f t="shared" si="55"/>
        <v>1</v>
      </c>
      <c r="G721">
        <f t="shared" si="56"/>
        <v>0</v>
      </c>
      <c r="H721">
        <f t="shared" si="57"/>
        <v>0</v>
      </c>
      <c r="I721">
        <f t="shared" si="58"/>
        <v>0</v>
      </c>
      <c r="J721">
        <f t="shared" si="59"/>
        <v>0</v>
      </c>
    </row>
    <row r="722" spans="1:10" x14ac:dyDescent="0.3">
      <c r="A722" s="1">
        <v>41936</v>
      </c>
      <c r="B722" s="1">
        <v>41951</v>
      </c>
      <c r="C722">
        <v>3.94</v>
      </c>
      <c r="D722">
        <v>0.1</v>
      </c>
      <c r="E722">
        <v>5</v>
      </c>
      <c r="F722">
        <f t="shared" si="55"/>
        <v>0</v>
      </c>
      <c r="G722">
        <f t="shared" si="56"/>
        <v>0</v>
      </c>
      <c r="H722">
        <f t="shared" si="57"/>
        <v>0</v>
      </c>
      <c r="I722">
        <f t="shared" si="58"/>
        <v>1</v>
      </c>
      <c r="J722">
        <f t="shared" si="59"/>
        <v>0</v>
      </c>
    </row>
    <row r="723" spans="1:10" x14ac:dyDescent="0.3">
      <c r="A723" s="1">
        <v>41936</v>
      </c>
      <c r="B723" s="1">
        <v>41964</v>
      </c>
      <c r="C723">
        <v>3.73</v>
      </c>
      <c r="D723">
        <v>0.1</v>
      </c>
      <c r="E723">
        <v>3</v>
      </c>
      <c r="F723">
        <f t="shared" si="55"/>
        <v>0</v>
      </c>
      <c r="G723">
        <f t="shared" si="56"/>
        <v>1</v>
      </c>
      <c r="H723">
        <f t="shared" si="57"/>
        <v>0</v>
      </c>
      <c r="I723">
        <f t="shared" si="58"/>
        <v>0</v>
      </c>
      <c r="J723">
        <f t="shared" si="59"/>
        <v>0</v>
      </c>
    </row>
    <row r="724" spans="1:10" x14ac:dyDescent="0.3">
      <c r="A724" s="1">
        <v>41937</v>
      </c>
      <c r="B724" s="1">
        <v>41963</v>
      </c>
      <c r="C724">
        <v>3.94</v>
      </c>
      <c r="D724">
        <v>0.1</v>
      </c>
      <c r="E724">
        <v>4</v>
      </c>
      <c r="F724">
        <f t="shared" si="55"/>
        <v>0</v>
      </c>
      <c r="G724">
        <f t="shared" si="56"/>
        <v>0</v>
      </c>
      <c r="H724">
        <f t="shared" si="57"/>
        <v>1</v>
      </c>
      <c r="I724">
        <f t="shared" si="58"/>
        <v>0</v>
      </c>
      <c r="J724">
        <f t="shared" si="59"/>
        <v>0</v>
      </c>
    </row>
    <row r="725" spans="1:10" x14ac:dyDescent="0.3">
      <c r="A725" s="1">
        <v>41937</v>
      </c>
      <c r="B725" s="1">
        <v>41964</v>
      </c>
      <c r="C725">
        <v>3.57</v>
      </c>
      <c r="D725">
        <v>0.09</v>
      </c>
      <c r="E725">
        <v>2</v>
      </c>
      <c r="F725">
        <f t="shared" si="55"/>
        <v>1</v>
      </c>
      <c r="G725">
        <f t="shared" si="56"/>
        <v>0</v>
      </c>
      <c r="H725">
        <f t="shared" si="57"/>
        <v>0</v>
      </c>
      <c r="I725">
        <f t="shared" si="58"/>
        <v>0</v>
      </c>
      <c r="J725">
        <f t="shared" si="59"/>
        <v>0</v>
      </c>
    </row>
    <row r="726" spans="1:10" x14ac:dyDescent="0.3">
      <c r="A726" s="1">
        <v>41937</v>
      </c>
      <c r="B726" s="1">
        <v>41943</v>
      </c>
      <c r="C726">
        <v>7.31</v>
      </c>
      <c r="D726">
        <v>0.19</v>
      </c>
      <c r="E726">
        <v>3</v>
      </c>
      <c r="F726">
        <f t="shared" si="55"/>
        <v>0</v>
      </c>
      <c r="G726">
        <f t="shared" si="56"/>
        <v>1</v>
      </c>
      <c r="H726">
        <f t="shared" si="57"/>
        <v>0</v>
      </c>
      <c r="I726">
        <f t="shared" si="58"/>
        <v>0</v>
      </c>
      <c r="J726">
        <f t="shared" si="59"/>
        <v>0</v>
      </c>
    </row>
    <row r="727" spans="1:10" x14ac:dyDescent="0.3">
      <c r="A727" s="1">
        <v>41938</v>
      </c>
      <c r="B727" s="1">
        <v>41964</v>
      </c>
      <c r="C727">
        <v>6.58</v>
      </c>
      <c r="D727">
        <v>0.17</v>
      </c>
      <c r="E727">
        <v>5</v>
      </c>
      <c r="F727">
        <f t="shared" si="55"/>
        <v>0</v>
      </c>
      <c r="G727">
        <f t="shared" si="56"/>
        <v>0</v>
      </c>
      <c r="H727">
        <f t="shared" si="57"/>
        <v>0</v>
      </c>
      <c r="I727">
        <f t="shared" si="58"/>
        <v>1</v>
      </c>
      <c r="J727">
        <f t="shared" si="59"/>
        <v>0</v>
      </c>
    </row>
    <row r="728" spans="1:10" x14ac:dyDescent="0.3">
      <c r="A728" s="1">
        <v>41939</v>
      </c>
      <c r="B728" s="1">
        <v>41964</v>
      </c>
      <c r="C728">
        <v>3.94</v>
      </c>
      <c r="D728">
        <v>0.1</v>
      </c>
      <c r="E728">
        <v>5</v>
      </c>
      <c r="F728">
        <f t="shared" si="55"/>
        <v>0</v>
      </c>
      <c r="G728">
        <f t="shared" si="56"/>
        <v>0</v>
      </c>
      <c r="H728">
        <f t="shared" si="57"/>
        <v>0</v>
      </c>
      <c r="I728">
        <f t="shared" si="58"/>
        <v>1</v>
      </c>
      <c r="J728">
        <f t="shared" si="59"/>
        <v>0</v>
      </c>
    </row>
    <row r="729" spans="1:10" x14ac:dyDescent="0.3">
      <c r="A729" s="1">
        <v>41940</v>
      </c>
      <c r="B729" s="1">
        <v>41946</v>
      </c>
      <c r="C729">
        <v>5.47</v>
      </c>
      <c r="D729">
        <v>0.14000000000000001</v>
      </c>
      <c r="E729">
        <v>5</v>
      </c>
      <c r="F729">
        <f t="shared" si="55"/>
        <v>0</v>
      </c>
      <c r="G729">
        <f t="shared" si="56"/>
        <v>0</v>
      </c>
      <c r="H729">
        <f t="shared" si="57"/>
        <v>0</v>
      </c>
      <c r="I729">
        <f t="shared" si="58"/>
        <v>1</v>
      </c>
      <c r="J729">
        <f t="shared" si="59"/>
        <v>0</v>
      </c>
    </row>
    <row r="730" spans="1:10" x14ac:dyDescent="0.3">
      <c r="A730" s="1">
        <v>41941</v>
      </c>
      <c r="B730" s="1">
        <v>41958</v>
      </c>
      <c r="C730">
        <v>5.23</v>
      </c>
      <c r="D730">
        <v>0.14000000000000001</v>
      </c>
      <c r="E730">
        <v>3</v>
      </c>
      <c r="F730">
        <f t="shared" si="55"/>
        <v>0</v>
      </c>
      <c r="G730">
        <f t="shared" si="56"/>
        <v>1</v>
      </c>
      <c r="H730">
        <f t="shared" si="57"/>
        <v>0</v>
      </c>
      <c r="I730">
        <f t="shared" si="58"/>
        <v>0</v>
      </c>
      <c r="J730">
        <f t="shared" si="59"/>
        <v>0</v>
      </c>
    </row>
    <row r="731" spans="1:10" x14ac:dyDescent="0.3">
      <c r="A731" s="1">
        <v>41941</v>
      </c>
      <c r="B731" s="1">
        <v>41962</v>
      </c>
      <c r="C731">
        <v>6.58</v>
      </c>
      <c r="D731">
        <v>0.17</v>
      </c>
      <c r="E731">
        <v>5</v>
      </c>
      <c r="F731">
        <f t="shared" si="55"/>
        <v>0</v>
      </c>
      <c r="G731">
        <f t="shared" si="56"/>
        <v>0</v>
      </c>
      <c r="H731">
        <f t="shared" si="57"/>
        <v>0</v>
      </c>
      <c r="I731">
        <f t="shared" si="58"/>
        <v>1</v>
      </c>
      <c r="J731">
        <f t="shared" si="59"/>
        <v>0</v>
      </c>
    </row>
    <row r="732" spans="1:10" x14ac:dyDescent="0.3">
      <c r="A732" s="1">
        <v>41941</v>
      </c>
      <c r="B732" s="1">
        <v>41957</v>
      </c>
      <c r="C732">
        <v>3.79</v>
      </c>
      <c r="D732">
        <v>0.1</v>
      </c>
      <c r="E732">
        <v>4</v>
      </c>
      <c r="F732">
        <f t="shared" si="55"/>
        <v>0</v>
      </c>
      <c r="G732">
        <f t="shared" si="56"/>
        <v>0</v>
      </c>
      <c r="H732">
        <f t="shared" si="57"/>
        <v>1</v>
      </c>
      <c r="I732">
        <f t="shared" si="58"/>
        <v>0</v>
      </c>
      <c r="J732">
        <f t="shared" si="59"/>
        <v>0</v>
      </c>
    </row>
    <row r="733" spans="1:10" x14ac:dyDescent="0.3">
      <c r="A733" s="1">
        <v>41941</v>
      </c>
      <c r="B733" s="1">
        <v>41953</v>
      </c>
      <c r="C733">
        <v>5.64</v>
      </c>
      <c r="D733">
        <v>0.15</v>
      </c>
      <c r="E733">
        <v>6</v>
      </c>
      <c r="F733">
        <f t="shared" si="55"/>
        <v>0</v>
      </c>
      <c r="G733">
        <f t="shared" si="56"/>
        <v>0</v>
      </c>
      <c r="H733">
        <f t="shared" si="57"/>
        <v>0</v>
      </c>
      <c r="I733">
        <f t="shared" si="58"/>
        <v>0</v>
      </c>
      <c r="J733">
        <f t="shared" si="59"/>
        <v>1</v>
      </c>
    </row>
    <row r="734" spans="1:10" x14ac:dyDescent="0.3">
      <c r="A734" s="1">
        <v>41941</v>
      </c>
      <c r="B734" s="1">
        <v>41944</v>
      </c>
      <c r="C734">
        <v>11.37</v>
      </c>
      <c r="D734">
        <v>0.3</v>
      </c>
      <c r="E734">
        <v>2</v>
      </c>
      <c r="F734">
        <f t="shared" si="55"/>
        <v>1</v>
      </c>
      <c r="G734">
        <f t="shared" si="56"/>
        <v>0</v>
      </c>
      <c r="H734">
        <f t="shared" si="57"/>
        <v>0</v>
      </c>
      <c r="I734">
        <f t="shared" si="58"/>
        <v>0</v>
      </c>
      <c r="J734">
        <f t="shared" si="59"/>
        <v>0</v>
      </c>
    </row>
    <row r="735" spans="1:10" x14ac:dyDescent="0.3">
      <c r="A735" s="1">
        <v>41941</v>
      </c>
      <c r="B735" s="1">
        <v>41969</v>
      </c>
      <c r="C735">
        <v>8.9499999999999993</v>
      </c>
      <c r="D735">
        <v>0.24</v>
      </c>
      <c r="E735">
        <v>2</v>
      </c>
      <c r="F735">
        <f t="shared" si="55"/>
        <v>1</v>
      </c>
      <c r="G735">
        <f t="shared" si="56"/>
        <v>0</v>
      </c>
      <c r="H735">
        <f t="shared" si="57"/>
        <v>0</v>
      </c>
      <c r="I735">
        <f t="shared" si="58"/>
        <v>0</v>
      </c>
      <c r="J735">
        <f t="shared" si="59"/>
        <v>0</v>
      </c>
    </row>
    <row r="736" spans="1:10" x14ac:dyDescent="0.3">
      <c r="A736" s="1">
        <v>41941</v>
      </c>
      <c r="B736" s="1">
        <v>41961</v>
      </c>
      <c r="C736">
        <v>3.94</v>
      </c>
      <c r="D736">
        <v>0.1</v>
      </c>
      <c r="E736">
        <v>5</v>
      </c>
      <c r="F736">
        <f t="shared" si="55"/>
        <v>0</v>
      </c>
      <c r="G736">
        <f t="shared" si="56"/>
        <v>0</v>
      </c>
      <c r="H736">
        <f t="shared" si="57"/>
        <v>0</v>
      </c>
      <c r="I736">
        <f t="shared" si="58"/>
        <v>1</v>
      </c>
      <c r="J736">
        <f t="shared" si="59"/>
        <v>0</v>
      </c>
    </row>
    <row r="737" spans="1:10" x14ac:dyDescent="0.3">
      <c r="A737" s="1">
        <v>41946</v>
      </c>
      <c r="B737" s="1">
        <v>41962</v>
      </c>
      <c r="C737">
        <v>3.79</v>
      </c>
      <c r="D737">
        <v>0.1</v>
      </c>
      <c r="E737">
        <v>5</v>
      </c>
      <c r="F737">
        <f t="shared" si="55"/>
        <v>0</v>
      </c>
      <c r="G737">
        <f t="shared" si="56"/>
        <v>0</v>
      </c>
      <c r="H737">
        <f t="shared" si="57"/>
        <v>0</v>
      </c>
      <c r="I737">
        <f t="shared" si="58"/>
        <v>1</v>
      </c>
      <c r="J737">
        <f t="shared" si="59"/>
        <v>0</v>
      </c>
    </row>
    <row r="738" spans="1:10" x14ac:dyDescent="0.3">
      <c r="A738" s="1">
        <v>41946</v>
      </c>
      <c r="B738" s="1">
        <v>41971</v>
      </c>
      <c r="C738">
        <v>6.43</v>
      </c>
      <c r="D738">
        <v>0.17</v>
      </c>
      <c r="E738">
        <v>2</v>
      </c>
      <c r="F738">
        <f t="shared" si="55"/>
        <v>1</v>
      </c>
      <c r="G738">
        <f t="shared" si="56"/>
        <v>0</v>
      </c>
      <c r="H738">
        <f t="shared" si="57"/>
        <v>0</v>
      </c>
      <c r="I738">
        <f t="shared" si="58"/>
        <v>0</v>
      </c>
      <c r="J738">
        <f t="shared" si="59"/>
        <v>0</v>
      </c>
    </row>
    <row r="739" spans="1:10" x14ac:dyDescent="0.3">
      <c r="A739" s="1">
        <v>41946</v>
      </c>
      <c r="B739" s="1">
        <v>41948</v>
      </c>
      <c r="C739">
        <v>8.5399999999999991</v>
      </c>
      <c r="D739">
        <v>0.22</v>
      </c>
      <c r="E739">
        <v>6</v>
      </c>
      <c r="F739">
        <f t="shared" si="55"/>
        <v>0</v>
      </c>
      <c r="G739">
        <f t="shared" si="56"/>
        <v>0</v>
      </c>
      <c r="H739">
        <f t="shared" si="57"/>
        <v>0</v>
      </c>
      <c r="I739">
        <f t="shared" si="58"/>
        <v>0</v>
      </c>
      <c r="J739">
        <f t="shared" si="59"/>
        <v>1</v>
      </c>
    </row>
    <row r="740" spans="1:10" x14ac:dyDescent="0.3">
      <c r="A740" s="1">
        <v>41946</v>
      </c>
      <c r="B740" s="1">
        <v>41956</v>
      </c>
      <c r="C740">
        <v>13.02</v>
      </c>
      <c r="D740">
        <v>0.34</v>
      </c>
      <c r="E740">
        <v>3</v>
      </c>
      <c r="F740">
        <f t="shared" si="55"/>
        <v>0</v>
      </c>
      <c r="G740">
        <f t="shared" si="56"/>
        <v>1</v>
      </c>
      <c r="H740">
        <f t="shared" si="57"/>
        <v>0</v>
      </c>
      <c r="I740">
        <f t="shared" si="58"/>
        <v>0</v>
      </c>
      <c r="J740">
        <f t="shared" si="59"/>
        <v>0</v>
      </c>
    </row>
    <row r="741" spans="1:10" x14ac:dyDescent="0.3">
      <c r="A741" s="1">
        <v>41946</v>
      </c>
      <c r="B741" s="1">
        <v>41960</v>
      </c>
      <c r="C741">
        <v>5.64</v>
      </c>
      <c r="D741">
        <v>0.15</v>
      </c>
      <c r="E741">
        <v>4</v>
      </c>
      <c r="F741">
        <f t="shared" si="55"/>
        <v>0</v>
      </c>
      <c r="G741">
        <f t="shared" si="56"/>
        <v>0</v>
      </c>
      <c r="H741">
        <f t="shared" si="57"/>
        <v>1</v>
      </c>
      <c r="I741">
        <f t="shared" si="58"/>
        <v>0</v>
      </c>
      <c r="J741">
        <f t="shared" si="59"/>
        <v>0</v>
      </c>
    </row>
    <row r="742" spans="1:10" x14ac:dyDescent="0.3">
      <c r="A742" s="1">
        <v>41946</v>
      </c>
      <c r="B742" s="1">
        <v>41966</v>
      </c>
      <c r="C742">
        <v>4.66</v>
      </c>
      <c r="D742">
        <v>0.12</v>
      </c>
      <c r="E742">
        <v>6</v>
      </c>
      <c r="F742">
        <f t="shared" si="55"/>
        <v>0</v>
      </c>
      <c r="G742">
        <f t="shared" si="56"/>
        <v>0</v>
      </c>
      <c r="H742">
        <f t="shared" si="57"/>
        <v>0</v>
      </c>
      <c r="I742">
        <f t="shared" si="58"/>
        <v>0</v>
      </c>
      <c r="J742">
        <f t="shared" si="59"/>
        <v>1</v>
      </c>
    </row>
    <row r="743" spans="1:10" x14ac:dyDescent="0.3">
      <c r="A743" s="1">
        <v>41946</v>
      </c>
      <c r="B743" s="1">
        <v>41968</v>
      </c>
      <c r="C743">
        <v>7.71</v>
      </c>
      <c r="D743">
        <v>0.2</v>
      </c>
      <c r="E743">
        <v>5</v>
      </c>
      <c r="F743">
        <f t="shared" si="55"/>
        <v>0</v>
      </c>
      <c r="G743">
        <f t="shared" si="56"/>
        <v>0</v>
      </c>
      <c r="H743">
        <f t="shared" si="57"/>
        <v>0</v>
      </c>
      <c r="I743">
        <f t="shared" si="58"/>
        <v>1</v>
      </c>
      <c r="J743">
        <f t="shared" si="59"/>
        <v>0</v>
      </c>
    </row>
    <row r="744" spans="1:10" x14ac:dyDescent="0.3">
      <c r="A744" s="1">
        <v>41946</v>
      </c>
      <c r="B744" s="1">
        <v>41951</v>
      </c>
      <c r="C744">
        <v>7.71</v>
      </c>
      <c r="D744">
        <v>0.2</v>
      </c>
      <c r="E744">
        <v>6</v>
      </c>
      <c r="F744">
        <f t="shared" si="55"/>
        <v>0</v>
      </c>
      <c r="G744">
        <f t="shared" si="56"/>
        <v>0</v>
      </c>
      <c r="H744">
        <f t="shared" si="57"/>
        <v>0</v>
      </c>
      <c r="I744">
        <f t="shared" si="58"/>
        <v>0</v>
      </c>
      <c r="J744">
        <f t="shared" si="59"/>
        <v>1</v>
      </c>
    </row>
    <row r="745" spans="1:10" x14ac:dyDescent="0.3">
      <c r="A745" s="1">
        <v>41946</v>
      </c>
      <c r="B745" s="1">
        <v>41957</v>
      </c>
      <c r="C745">
        <v>6.34</v>
      </c>
      <c r="D745">
        <v>0.17</v>
      </c>
      <c r="E745">
        <v>3</v>
      </c>
      <c r="F745">
        <f t="shared" si="55"/>
        <v>0</v>
      </c>
      <c r="G745">
        <f t="shared" si="56"/>
        <v>1</v>
      </c>
      <c r="H745">
        <f t="shared" si="57"/>
        <v>0</v>
      </c>
      <c r="I745">
        <f t="shared" si="58"/>
        <v>0</v>
      </c>
      <c r="J745">
        <f t="shared" si="59"/>
        <v>0</v>
      </c>
    </row>
    <row r="746" spans="1:10" x14ac:dyDescent="0.3">
      <c r="A746" s="1">
        <v>41946</v>
      </c>
      <c r="B746" s="1">
        <v>41954</v>
      </c>
      <c r="C746">
        <v>11.37</v>
      </c>
      <c r="D746">
        <v>0.3</v>
      </c>
      <c r="E746">
        <v>2</v>
      </c>
      <c r="F746">
        <f t="shared" si="55"/>
        <v>1</v>
      </c>
      <c r="G746">
        <f t="shared" si="56"/>
        <v>0</v>
      </c>
      <c r="H746">
        <f t="shared" si="57"/>
        <v>0</v>
      </c>
      <c r="I746">
        <f t="shared" si="58"/>
        <v>0</v>
      </c>
      <c r="J746">
        <f t="shared" si="59"/>
        <v>0</v>
      </c>
    </row>
    <row r="747" spans="1:10" x14ac:dyDescent="0.3">
      <c r="A747" s="1">
        <v>41946</v>
      </c>
      <c r="B747" s="1">
        <v>41953</v>
      </c>
      <c r="C747">
        <v>6.34</v>
      </c>
      <c r="D747">
        <v>0.17</v>
      </c>
      <c r="E747">
        <v>2</v>
      </c>
      <c r="F747">
        <f t="shared" si="55"/>
        <v>1</v>
      </c>
      <c r="G747">
        <f t="shared" si="56"/>
        <v>0</v>
      </c>
      <c r="H747">
        <f t="shared" si="57"/>
        <v>0</v>
      </c>
      <c r="I747">
        <f t="shared" si="58"/>
        <v>0</v>
      </c>
      <c r="J747">
        <f t="shared" si="59"/>
        <v>0</v>
      </c>
    </row>
    <row r="748" spans="1:10" x14ac:dyDescent="0.3">
      <c r="A748" s="1">
        <v>41946</v>
      </c>
      <c r="B748" s="1">
        <v>41955</v>
      </c>
      <c r="C748">
        <v>3.57</v>
      </c>
      <c r="D748">
        <v>0.09</v>
      </c>
      <c r="E748">
        <v>6</v>
      </c>
      <c r="F748">
        <f t="shared" si="55"/>
        <v>0</v>
      </c>
      <c r="G748">
        <f t="shared" si="56"/>
        <v>0</v>
      </c>
      <c r="H748">
        <f t="shared" si="57"/>
        <v>0</v>
      </c>
      <c r="I748">
        <f t="shared" si="58"/>
        <v>0</v>
      </c>
      <c r="J748">
        <f t="shared" si="59"/>
        <v>1</v>
      </c>
    </row>
    <row r="749" spans="1:10" x14ac:dyDescent="0.3">
      <c r="A749" s="1">
        <v>41946</v>
      </c>
      <c r="B749" s="1">
        <v>41964</v>
      </c>
      <c r="C749">
        <v>7.31</v>
      </c>
      <c r="D749">
        <v>0.19</v>
      </c>
      <c r="E749">
        <v>3</v>
      </c>
      <c r="F749">
        <f t="shared" si="55"/>
        <v>0</v>
      </c>
      <c r="G749">
        <f t="shared" si="56"/>
        <v>1</v>
      </c>
      <c r="H749">
        <f t="shared" si="57"/>
        <v>0</v>
      </c>
      <c r="I749">
        <f t="shared" si="58"/>
        <v>0</v>
      </c>
      <c r="J749">
        <f t="shared" si="59"/>
        <v>0</v>
      </c>
    </row>
    <row r="750" spans="1:10" x14ac:dyDescent="0.3">
      <c r="A750" s="1">
        <v>41946</v>
      </c>
      <c r="B750" s="1">
        <v>41966</v>
      </c>
      <c r="C750">
        <v>5.64</v>
      </c>
      <c r="D750">
        <v>0.15</v>
      </c>
      <c r="E750">
        <v>6</v>
      </c>
      <c r="F750">
        <f t="shared" si="55"/>
        <v>0</v>
      </c>
      <c r="G750">
        <f t="shared" si="56"/>
        <v>0</v>
      </c>
      <c r="H750">
        <f t="shared" si="57"/>
        <v>0</v>
      </c>
      <c r="I750">
        <f t="shared" si="58"/>
        <v>0</v>
      </c>
      <c r="J750">
        <f t="shared" si="59"/>
        <v>1</v>
      </c>
    </row>
    <row r="751" spans="1:10" x14ac:dyDescent="0.3">
      <c r="A751" s="1">
        <v>41946</v>
      </c>
      <c r="B751" s="1">
        <v>41964</v>
      </c>
      <c r="C751">
        <v>4.25</v>
      </c>
      <c r="D751">
        <v>0.11</v>
      </c>
      <c r="E751">
        <v>6</v>
      </c>
      <c r="F751">
        <f t="shared" si="55"/>
        <v>0</v>
      </c>
      <c r="G751">
        <f t="shared" si="56"/>
        <v>0</v>
      </c>
      <c r="H751">
        <f t="shared" si="57"/>
        <v>0</v>
      </c>
      <c r="I751">
        <f t="shared" si="58"/>
        <v>0</v>
      </c>
      <c r="J751">
        <f t="shared" si="59"/>
        <v>1</v>
      </c>
    </row>
    <row r="752" spans="1:10" x14ac:dyDescent="0.3">
      <c r="A752" s="1">
        <v>41946</v>
      </c>
      <c r="B752" s="1">
        <v>41953</v>
      </c>
      <c r="C752">
        <v>9.1300000000000008</v>
      </c>
      <c r="D752">
        <v>0.24</v>
      </c>
      <c r="E752">
        <v>5</v>
      </c>
      <c r="F752">
        <f t="shared" si="55"/>
        <v>0</v>
      </c>
      <c r="G752">
        <f t="shared" si="56"/>
        <v>0</v>
      </c>
      <c r="H752">
        <f t="shared" si="57"/>
        <v>0</v>
      </c>
      <c r="I752">
        <f t="shared" si="58"/>
        <v>1</v>
      </c>
      <c r="J752">
        <f t="shared" si="59"/>
        <v>0</v>
      </c>
    </row>
    <row r="753" spans="1:10" x14ac:dyDescent="0.3">
      <c r="A753" s="1">
        <v>41946</v>
      </c>
      <c r="B753" s="1">
        <v>41956</v>
      </c>
      <c r="C753">
        <v>3.79</v>
      </c>
      <c r="D753">
        <v>0.1</v>
      </c>
      <c r="E753">
        <v>6</v>
      </c>
      <c r="F753">
        <f t="shared" si="55"/>
        <v>0</v>
      </c>
      <c r="G753">
        <f t="shared" si="56"/>
        <v>0</v>
      </c>
      <c r="H753">
        <f t="shared" si="57"/>
        <v>0</v>
      </c>
      <c r="I753">
        <f t="shared" si="58"/>
        <v>0</v>
      </c>
      <c r="J753">
        <f t="shared" si="59"/>
        <v>1</v>
      </c>
    </row>
    <row r="754" spans="1:10" x14ac:dyDescent="0.3">
      <c r="A754" s="1">
        <v>41946</v>
      </c>
      <c r="B754" s="1">
        <v>41948</v>
      </c>
      <c r="C754">
        <v>9.1300000000000008</v>
      </c>
      <c r="D754">
        <v>0.24</v>
      </c>
      <c r="E754">
        <v>4</v>
      </c>
      <c r="F754">
        <f t="shared" si="55"/>
        <v>0</v>
      </c>
      <c r="G754">
        <f t="shared" si="56"/>
        <v>0</v>
      </c>
      <c r="H754">
        <f t="shared" si="57"/>
        <v>1</v>
      </c>
      <c r="I754">
        <f t="shared" si="58"/>
        <v>0</v>
      </c>
      <c r="J754">
        <f t="shared" si="59"/>
        <v>0</v>
      </c>
    </row>
    <row r="755" spans="1:10" x14ac:dyDescent="0.3">
      <c r="A755" s="1">
        <v>41947</v>
      </c>
      <c r="B755" s="1">
        <v>41960</v>
      </c>
      <c r="C755">
        <v>11.44</v>
      </c>
      <c r="D755">
        <v>0.3</v>
      </c>
      <c r="E755">
        <v>6</v>
      </c>
      <c r="F755">
        <f t="shared" si="55"/>
        <v>0</v>
      </c>
      <c r="G755">
        <f t="shared" si="56"/>
        <v>0</v>
      </c>
      <c r="H755">
        <f t="shared" si="57"/>
        <v>0</v>
      </c>
      <c r="I755">
        <f t="shared" si="58"/>
        <v>0</v>
      </c>
      <c r="J755">
        <f t="shared" si="59"/>
        <v>1</v>
      </c>
    </row>
    <row r="756" spans="1:10" x14ac:dyDescent="0.3">
      <c r="A756" s="1">
        <v>41947</v>
      </c>
      <c r="B756" s="1">
        <v>41972</v>
      </c>
      <c r="C756">
        <v>5.47</v>
      </c>
      <c r="D756">
        <v>0.14000000000000001</v>
      </c>
      <c r="E756">
        <v>6</v>
      </c>
      <c r="F756">
        <f t="shared" si="55"/>
        <v>0</v>
      </c>
      <c r="G756">
        <f t="shared" si="56"/>
        <v>0</v>
      </c>
      <c r="H756">
        <f t="shared" si="57"/>
        <v>0</v>
      </c>
      <c r="I756">
        <f t="shared" si="58"/>
        <v>0</v>
      </c>
      <c r="J756">
        <f t="shared" si="59"/>
        <v>1</v>
      </c>
    </row>
    <row r="757" spans="1:10" x14ac:dyDescent="0.3">
      <c r="A757" s="1">
        <v>41947</v>
      </c>
      <c r="B757" s="1">
        <v>41968</v>
      </c>
      <c r="C757">
        <v>14.13</v>
      </c>
      <c r="D757">
        <v>0.37</v>
      </c>
      <c r="E757">
        <v>2</v>
      </c>
      <c r="F757">
        <f t="shared" si="55"/>
        <v>1</v>
      </c>
      <c r="G757">
        <f t="shared" si="56"/>
        <v>0</v>
      </c>
      <c r="H757">
        <f t="shared" si="57"/>
        <v>0</v>
      </c>
      <c r="I757">
        <f t="shared" si="58"/>
        <v>0</v>
      </c>
      <c r="J757">
        <f t="shared" si="59"/>
        <v>0</v>
      </c>
    </row>
    <row r="758" spans="1:10" x14ac:dyDescent="0.3">
      <c r="A758" s="1">
        <v>41947</v>
      </c>
      <c r="B758" s="1">
        <v>41956</v>
      </c>
      <c r="C758">
        <v>11.69</v>
      </c>
      <c r="D758">
        <v>0.31</v>
      </c>
      <c r="E758">
        <v>3</v>
      </c>
      <c r="F758">
        <f t="shared" si="55"/>
        <v>0</v>
      </c>
      <c r="G758">
        <f t="shared" si="56"/>
        <v>1</v>
      </c>
      <c r="H758">
        <f t="shared" si="57"/>
        <v>0</v>
      </c>
      <c r="I758">
        <f t="shared" si="58"/>
        <v>0</v>
      </c>
      <c r="J758">
        <f t="shared" si="59"/>
        <v>0</v>
      </c>
    </row>
    <row r="759" spans="1:10" x14ac:dyDescent="0.3">
      <c r="A759" s="1">
        <v>41947</v>
      </c>
      <c r="B759" s="1">
        <v>41970</v>
      </c>
      <c r="C759">
        <v>6.75</v>
      </c>
      <c r="D759">
        <v>0.18</v>
      </c>
      <c r="E759">
        <v>2</v>
      </c>
      <c r="F759">
        <f t="shared" si="55"/>
        <v>1</v>
      </c>
      <c r="G759">
        <f t="shared" si="56"/>
        <v>0</v>
      </c>
      <c r="H759">
        <f t="shared" si="57"/>
        <v>0</v>
      </c>
      <c r="I759">
        <f t="shared" si="58"/>
        <v>0</v>
      </c>
      <c r="J759">
        <f t="shared" si="59"/>
        <v>0</v>
      </c>
    </row>
    <row r="760" spans="1:10" x14ac:dyDescent="0.3">
      <c r="A760" s="1">
        <v>41947</v>
      </c>
      <c r="B760" s="1">
        <v>41962</v>
      </c>
      <c r="C760">
        <v>8.65</v>
      </c>
      <c r="D760">
        <v>0.23</v>
      </c>
      <c r="E760">
        <v>6</v>
      </c>
      <c r="F760">
        <f t="shared" si="55"/>
        <v>0</v>
      </c>
      <c r="G760">
        <f t="shared" si="56"/>
        <v>0</v>
      </c>
      <c r="H760">
        <f t="shared" si="57"/>
        <v>0</v>
      </c>
      <c r="I760">
        <f t="shared" si="58"/>
        <v>0</v>
      </c>
      <c r="J760">
        <f t="shared" si="59"/>
        <v>1</v>
      </c>
    </row>
    <row r="761" spans="1:10" x14ac:dyDescent="0.3">
      <c r="A761" s="1">
        <v>41947</v>
      </c>
      <c r="B761" s="1">
        <v>41975</v>
      </c>
      <c r="C761">
        <v>10.93</v>
      </c>
      <c r="D761">
        <v>0.28999999999999998</v>
      </c>
      <c r="E761">
        <v>5</v>
      </c>
      <c r="F761">
        <f t="shared" si="55"/>
        <v>0</v>
      </c>
      <c r="G761">
        <f t="shared" si="56"/>
        <v>0</v>
      </c>
      <c r="H761">
        <f t="shared" si="57"/>
        <v>0</v>
      </c>
      <c r="I761">
        <f t="shared" si="58"/>
        <v>1</v>
      </c>
      <c r="J761">
        <f t="shared" si="59"/>
        <v>0</v>
      </c>
    </row>
    <row r="762" spans="1:10" x14ac:dyDescent="0.3">
      <c r="A762" s="1">
        <v>41947</v>
      </c>
      <c r="B762" s="1">
        <v>41962</v>
      </c>
      <c r="C762">
        <v>16.55</v>
      </c>
      <c r="D762">
        <v>0.44</v>
      </c>
      <c r="E762">
        <v>6</v>
      </c>
      <c r="F762">
        <f t="shared" si="55"/>
        <v>0</v>
      </c>
      <c r="G762">
        <f t="shared" si="56"/>
        <v>0</v>
      </c>
      <c r="H762">
        <f t="shared" si="57"/>
        <v>0</v>
      </c>
      <c r="I762">
        <f t="shared" si="58"/>
        <v>0</v>
      </c>
      <c r="J762">
        <f t="shared" si="59"/>
        <v>1</v>
      </c>
    </row>
    <row r="763" spans="1:10" x14ac:dyDescent="0.3">
      <c r="A763" s="1">
        <v>41947</v>
      </c>
      <c r="B763" s="1">
        <v>41960</v>
      </c>
      <c r="C763">
        <v>9.06</v>
      </c>
      <c r="D763">
        <v>0.24</v>
      </c>
      <c r="E763">
        <v>4</v>
      </c>
      <c r="F763">
        <f t="shared" si="55"/>
        <v>0</v>
      </c>
      <c r="G763">
        <f t="shared" si="56"/>
        <v>0</v>
      </c>
      <c r="H763">
        <f t="shared" si="57"/>
        <v>1</v>
      </c>
      <c r="I763">
        <f t="shared" si="58"/>
        <v>0</v>
      </c>
      <c r="J763">
        <f t="shared" si="59"/>
        <v>0</v>
      </c>
    </row>
    <row r="764" spans="1:10" x14ac:dyDescent="0.3">
      <c r="A764" s="1">
        <v>41947</v>
      </c>
      <c r="B764" s="1">
        <v>41974</v>
      </c>
      <c r="C764">
        <v>9.06</v>
      </c>
      <c r="D764">
        <v>0.24</v>
      </c>
      <c r="E764">
        <v>4</v>
      </c>
      <c r="F764">
        <f t="shared" si="55"/>
        <v>0</v>
      </c>
      <c r="G764">
        <f t="shared" si="56"/>
        <v>0</v>
      </c>
      <c r="H764">
        <f t="shared" si="57"/>
        <v>1</v>
      </c>
      <c r="I764">
        <f t="shared" si="58"/>
        <v>0</v>
      </c>
      <c r="J764">
        <f t="shared" si="59"/>
        <v>0</v>
      </c>
    </row>
    <row r="765" spans="1:10" x14ac:dyDescent="0.3">
      <c r="A765" s="1">
        <v>41947</v>
      </c>
      <c r="B765" s="1">
        <v>41969</v>
      </c>
      <c r="C765">
        <v>6.43</v>
      </c>
      <c r="D765">
        <v>0.17</v>
      </c>
      <c r="E765">
        <v>2</v>
      </c>
      <c r="F765">
        <f t="shared" si="55"/>
        <v>1</v>
      </c>
      <c r="G765">
        <f t="shared" si="56"/>
        <v>0</v>
      </c>
      <c r="H765">
        <f t="shared" si="57"/>
        <v>0</v>
      </c>
      <c r="I765">
        <f t="shared" si="58"/>
        <v>0</v>
      </c>
      <c r="J765">
        <f t="shared" si="59"/>
        <v>0</v>
      </c>
    </row>
    <row r="766" spans="1:10" x14ac:dyDescent="0.3">
      <c r="A766" s="1">
        <v>41947</v>
      </c>
      <c r="B766" s="1">
        <v>41954</v>
      </c>
      <c r="C766">
        <v>6.23</v>
      </c>
      <c r="D766">
        <v>0.16</v>
      </c>
      <c r="E766">
        <v>3</v>
      </c>
      <c r="F766">
        <f t="shared" si="55"/>
        <v>0</v>
      </c>
      <c r="G766">
        <f t="shared" si="56"/>
        <v>1</v>
      </c>
      <c r="H766">
        <f t="shared" si="57"/>
        <v>0</v>
      </c>
      <c r="I766">
        <f t="shared" si="58"/>
        <v>0</v>
      </c>
      <c r="J766">
        <f t="shared" si="59"/>
        <v>0</v>
      </c>
    </row>
    <row r="767" spans="1:10" x14ac:dyDescent="0.3">
      <c r="A767" s="1">
        <v>41947</v>
      </c>
      <c r="B767" s="1">
        <v>41952</v>
      </c>
      <c r="C767">
        <v>6.75</v>
      </c>
      <c r="D767">
        <v>0.18</v>
      </c>
      <c r="E767">
        <v>3</v>
      </c>
      <c r="F767">
        <f t="shared" si="55"/>
        <v>0</v>
      </c>
      <c r="G767">
        <f t="shared" si="56"/>
        <v>1</v>
      </c>
      <c r="H767">
        <f t="shared" si="57"/>
        <v>0</v>
      </c>
      <c r="I767">
        <f t="shared" si="58"/>
        <v>0</v>
      </c>
      <c r="J767">
        <f t="shared" si="59"/>
        <v>0</v>
      </c>
    </row>
    <row r="768" spans="1:10" x14ac:dyDescent="0.3">
      <c r="A768" s="1">
        <v>41947</v>
      </c>
      <c r="B768" s="1">
        <v>41953</v>
      </c>
      <c r="C768">
        <v>10.79</v>
      </c>
      <c r="D768">
        <v>0.28000000000000003</v>
      </c>
      <c r="E768">
        <v>6</v>
      </c>
      <c r="F768">
        <f t="shared" si="55"/>
        <v>0</v>
      </c>
      <c r="G768">
        <f t="shared" si="56"/>
        <v>0</v>
      </c>
      <c r="H768">
        <f t="shared" si="57"/>
        <v>0</v>
      </c>
      <c r="I768">
        <f t="shared" si="58"/>
        <v>0</v>
      </c>
      <c r="J768">
        <f t="shared" si="59"/>
        <v>1</v>
      </c>
    </row>
    <row r="769" spans="1:10" x14ac:dyDescent="0.3">
      <c r="A769" s="1">
        <v>41949</v>
      </c>
      <c r="B769" s="1">
        <v>41956</v>
      </c>
      <c r="C769">
        <v>5.67</v>
      </c>
      <c r="D769">
        <v>0.15</v>
      </c>
      <c r="E769">
        <v>4</v>
      </c>
      <c r="F769">
        <f t="shared" si="55"/>
        <v>0</v>
      </c>
      <c r="G769">
        <f t="shared" si="56"/>
        <v>0</v>
      </c>
      <c r="H769">
        <f t="shared" si="57"/>
        <v>1</v>
      </c>
      <c r="I769">
        <f t="shared" si="58"/>
        <v>0</v>
      </c>
      <c r="J769">
        <f t="shared" si="59"/>
        <v>0</v>
      </c>
    </row>
    <row r="770" spans="1:10" x14ac:dyDescent="0.3">
      <c r="A770" s="1">
        <v>41949</v>
      </c>
      <c r="B770" s="1">
        <v>41959</v>
      </c>
      <c r="C770">
        <v>11.44</v>
      </c>
      <c r="D770">
        <v>0.3</v>
      </c>
      <c r="E770">
        <v>4</v>
      </c>
      <c r="F770">
        <f t="shared" si="55"/>
        <v>0</v>
      </c>
      <c r="G770">
        <f t="shared" si="56"/>
        <v>0</v>
      </c>
      <c r="H770">
        <f t="shared" si="57"/>
        <v>1</v>
      </c>
      <c r="I770">
        <f t="shared" si="58"/>
        <v>0</v>
      </c>
      <c r="J770">
        <f t="shared" si="59"/>
        <v>0</v>
      </c>
    </row>
    <row r="771" spans="1:10" x14ac:dyDescent="0.3">
      <c r="A771" s="1">
        <v>41950</v>
      </c>
      <c r="B771" s="1">
        <v>41977</v>
      </c>
      <c r="C771">
        <v>4.25</v>
      </c>
      <c r="D771">
        <v>0.11</v>
      </c>
      <c r="E771">
        <v>5</v>
      </c>
      <c r="F771">
        <f t="shared" ref="F771:F834" si="60">IF(EXACT(E771,2),1,0)</f>
        <v>0</v>
      </c>
      <c r="G771">
        <f t="shared" ref="G771:G834" si="61">IF(EXACT(E771,3),1,0)</f>
        <v>0</v>
      </c>
      <c r="H771">
        <f t="shared" ref="H771:H834" si="62">IF(EXACT(E771,4),1,0)</f>
        <v>0</v>
      </c>
      <c r="I771">
        <f t="shared" ref="I771:I834" si="63">IF(EXACT(E771,5),1,0)</f>
        <v>1</v>
      </c>
      <c r="J771">
        <f t="shared" ref="J771:J834" si="64">IF(EXACT(E771,6),1,0)</f>
        <v>0</v>
      </c>
    </row>
    <row r="772" spans="1:10" x14ac:dyDescent="0.3">
      <c r="A772" s="1">
        <v>41950</v>
      </c>
      <c r="B772" s="1">
        <v>41953</v>
      </c>
      <c r="C772">
        <v>3.94</v>
      </c>
      <c r="D772">
        <v>0.1</v>
      </c>
      <c r="E772">
        <v>2</v>
      </c>
      <c r="F772">
        <f t="shared" si="60"/>
        <v>1</v>
      </c>
      <c r="G772">
        <f t="shared" si="61"/>
        <v>0</v>
      </c>
      <c r="H772">
        <f t="shared" si="62"/>
        <v>0</v>
      </c>
      <c r="I772">
        <f t="shared" si="63"/>
        <v>0</v>
      </c>
      <c r="J772">
        <f t="shared" si="64"/>
        <v>0</v>
      </c>
    </row>
    <row r="773" spans="1:10" x14ac:dyDescent="0.3">
      <c r="A773" s="1">
        <v>41950</v>
      </c>
      <c r="B773" s="1">
        <v>41972</v>
      </c>
      <c r="C773">
        <v>3.57</v>
      </c>
      <c r="D773">
        <v>0.09</v>
      </c>
      <c r="E773">
        <v>4</v>
      </c>
      <c r="F773">
        <f t="shared" si="60"/>
        <v>0</v>
      </c>
      <c r="G773">
        <f t="shared" si="61"/>
        <v>0</v>
      </c>
      <c r="H773">
        <f t="shared" si="62"/>
        <v>1</v>
      </c>
      <c r="I773">
        <f t="shared" si="63"/>
        <v>0</v>
      </c>
      <c r="J773">
        <f t="shared" si="64"/>
        <v>0</v>
      </c>
    </row>
    <row r="774" spans="1:10" x14ac:dyDescent="0.3">
      <c r="A774" s="1">
        <v>41950</v>
      </c>
      <c r="B774" s="1">
        <v>41952</v>
      </c>
      <c r="C774">
        <v>5.67</v>
      </c>
      <c r="D774">
        <v>0.15</v>
      </c>
      <c r="E774">
        <v>6</v>
      </c>
      <c r="F774">
        <f t="shared" si="60"/>
        <v>0</v>
      </c>
      <c r="G774">
        <f t="shared" si="61"/>
        <v>0</v>
      </c>
      <c r="H774">
        <f t="shared" si="62"/>
        <v>0</v>
      </c>
      <c r="I774">
        <f t="shared" si="63"/>
        <v>0</v>
      </c>
      <c r="J774">
        <f t="shared" si="64"/>
        <v>1</v>
      </c>
    </row>
    <row r="775" spans="1:10" x14ac:dyDescent="0.3">
      <c r="A775" s="1">
        <v>41950</v>
      </c>
      <c r="B775" s="1">
        <v>41967</v>
      </c>
      <c r="C775">
        <v>5.67</v>
      </c>
      <c r="D775">
        <v>0.15</v>
      </c>
      <c r="E775">
        <v>4</v>
      </c>
      <c r="F775">
        <f t="shared" si="60"/>
        <v>0</v>
      </c>
      <c r="G775">
        <f t="shared" si="61"/>
        <v>0</v>
      </c>
      <c r="H775">
        <f t="shared" si="62"/>
        <v>1</v>
      </c>
      <c r="I775">
        <f t="shared" si="63"/>
        <v>0</v>
      </c>
      <c r="J775">
        <f t="shared" si="64"/>
        <v>0</v>
      </c>
    </row>
    <row r="776" spans="1:10" x14ac:dyDescent="0.3">
      <c r="A776" s="1">
        <v>41953</v>
      </c>
      <c r="B776" s="1">
        <v>41978</v>
      </c>
      <c r="C776">
        <v>16.829999999999998</v>
      </c>
      <c r="D776">
        <v>0.44</v>
      </c>
      <c r="E776">
        <v>6</v>
      </c>
      <c r="F776">
        <f t="shared" si="60"/>
        <v>0</v>
      </c>
      <c r="G776">
        <f t="shared" si="61"/>
        <v>0</v>
      </c>
      <c r="H776">
        <f t="shared" si="62"/>
        <v>0</v>
      </c>
      <c r="I776">
        <f t="shared" si="63"/>
        <v>0</v>
      </c>
      <c r="J776">
        <f t="shared" si="64"/>
        <v>1</v>
      </c>
    </row>
    <row r="777" spans="1:10" x14ac:dyDescent="0.3">
      <c r="A777" s="1">
        <v>41956</v>
      </c>
      <c r="B777" s="1">
        <v>41958</v>
      </c>
      <c r="C777">
        <v>5.23</v>
      </c>
      <c r="D777">
        <v>0.14000000000000001</v>
      </c>
      <c r="E777">
        <v>4</v>
      </c>
      <c r="F777">
        <f t="shared" si="60"/>
        <v>0</v>
      </c>
      <c r="G777">
        <f t="shared" si="61"/>
        <v>0</v>
      </c>
      <c r="H777">
        <f t="shared" si="62"/>
        <v>1</v>
      </c>
      <c r="I777">
        <f t="shared" si="63"/>
        <v>0</v>
      </c>
      <c r="J777">
        <f t="shared" si="64"/>
        <v>0</v>
      </c>
    </row>
    <row r="778" spans="1:10" x14ac:dyDescent="0.3">
      <c r="A778" s="1">
        <v>41957</v>
      </c>
      <c r="B778" s="1">
        <v>41966</v>
      </c>
      <c r="C778">
        <v>3.73</v>
      </c>
      <c r="D778">
        <v>0.1</v>
      </c>
      <c r="E778">
        <v>3</v>
      </c>
      <c r="F778">
        <f t="shared" si="60"/>
        <v>0</v>
      </c>
      <c r="G778">
        <f t="shared" si="61"/>
        <v>1</v>
      </c>
      <c r="H778">
        <f t="shared" si="62"/>
        <v>0</v>
      </c>
      <c r="I778">
        <f t="shared" si="63"/>
        <v>0</v>
      </c>
      <c r="J778">
        <f t="shared" si="64"/>
        <v>0</v>
      </c>
    </row>
    <row r="779" spans="1:10" x14ac:dyDescent="0.3">
      <c r="A779" s="1">
        <v>41958</v>
      </c>
      <c r="B779" s="1">
        <v>41985</v>
      </c>
      <c r="C779">
        <v>8.7200000000000006</v>
      </c>
      <c r="D779">
        <v>0.23</v>
      </c>
      <c r="E779">
        <v>6</v>
      </c>
      <c r="F779">
        <f t="shared" si="60"/>
        <v>0</v>
      </c>
      <c r="G779">
        <f t="shared" si="61"/>
        <v>0</v>
      </c>
      <c r="H779">
        <f t="shared" si="62"/>
        <v>0</v>
      </c>
      <c r="I779">
        <f t="shared" si="63"/>
        <v>0</v>
      </c>
      <c r="J779">
        <f t="shared" si="64"/>
        <v>1</v>
      </c>
    </row>
    <row r="780" spans="1:10" x14ac:dyDescent="0.3">
      <c r="A780" s="1">
        <v>41958</v>
      </c>
      <c r="B780" s="1">
        <v>41975</v>
      </c>
      <c r="C780">
        <v>19.54</v>
      </c>
      <c r="D780">
        <v>0.51</v>
      </c>
      <c r="E780">
        <v>2</v>
      </c>
      <c r="F780">
        <f t="shared" si="60"/>
        <v>1</v>
      </c>
      <c r="G780">
        <f t="shared" si="61"/>
        <v>0</v>
      </c>
      <c r="H780">
        <f t="shared" si="62"/>
        <v>0</v>
      </c>
      <c r="I780">
        <f t="shared" si="63"/>
        <v>0</v>
      </c>
      <c r="J780">
        <f t="shared" si="64"/>
        <v>0</v>
      </c>
    </row>
    <row r="781" spans="1:10" x14ac:dyDescent="0.3">
      <c r="A781" s="1">
        <v>41958</v>
      </c>
      <c r="B781" s="1">
        <v>41980</v>
      </c>
      <c r="C781">
        <v>2.29</v>
      </c>
      <c r="D781">
        <v>0.06</v>
      </c>
      <c r="E781">
        <v>4</v>
      </c>
      <c r="F781">
        <f t="shared" si="60"/>
        <v>0</v>
      </c>
      <c r="G781">
        <f t="shared" si="61"/>
        <v>0</v>
      </c>
      <c r="H781">
        <f t="shared" si="62"/>
        <v>1</v>
      </c>
      <c r="I781">
        <f t="shared" si="63"/>
        <v>0</v>
      </c>
      <c r="J781">
        <f t="shared" si="64"/>
        <v>0</v>
      </c>
    </row>
    <row r="782" spans="1:10" x14ac:dyDescent="0.3">
      <c r="A782" s="1">
        <v>41958</v>
      </c>
      <c r="B782" s="1">
        <v>41986</v>
      </c>
      <c r="C782">
        <v>8.9499999999999993</v>
      </c>
      <c r="D782">
        <v>0.24</v>
      </c>
      <c r="E782">
        <v>6</v>
      </c>
      <c r="F782">
        <f t="shared" si="60"/>
        <v>0</v>
      </c>
      <c r="G782">
        <f t="shared" si="61"/>
        <v>0</v>
      </c>
      <c r="H782">
        <f t="shared" si="62"/>
        <v>0</v>
      </c>
      <c r="I782">
        <f t="shared" si="63"/>
        <v>0</v>
      </c>
      <c r="J782">
        <f t="shared" si="64"/>
        <v>1</v>
      </c>
    </row>
    <row r="783" spans="1:10" x14ac:dyDescent="0.3">
      <c r="A783" s="1">
        <v>41958</v>
      </c>
      <c r="B783" s="1">
        <v>41969</v>
      </c>
      <c r="C783">
        <v>5.67</v>
      </c>
      <c r="D783">
        <v>0.15</v>
      </c>
      <c r="E783">
        <v>6</v>
      </c>
      <c r="F783">
        <f t="shared" si="60"/>
        <v>0</v>
      </c>
      <c r="G783">
        <f t="shared" si="61"/>
        <v>0</v>
      </c>
      <c r="H783">
        <f t="shared" si="62"/>
        <v>0</v>
      </c>
      <c r="I783">
        <f t="shared" si="63"/>
        <v>0</v>
      </c>
      <c r="J783">
        <f t="shared" si="64"/>
        <v>1</v>
      </c>
    </row>
    <row r="784" spans="1:10" x14ac:dyDescent="0.3">
      <c r="A784" s="1">
        <v>41958</v>
      </c>
      <c r="B784" s="1">
        <v>41982</v>
      </c>
      <c r="C784">
        <v>8.83</v>
      </c>
      <c r="D784">
        <v>0.23</v>
      </c>
      <c r="E784">
        <v>4</v>
      </c>
      <c r="F784">
        <f t="shared" si="60"/>
        <v>0</v>
      </c>
      <c r="G784">
        <f t="shared" si="61"/>
        <v>0</v>
      </c>
      <c r="H784">
        <f t="shared" si="62"/>
        <v>1</v>
      </c>
      <c r="I784">
        <f t="shared" si="63"/>
        <v>0</v>
      </c>
      <c r="J784">
        <f t="shared" si="64"/>
        <v>0</v>
      </c>
    </row>
    <row r="785" spans="1:10" x14ac:dyDescent="0.3">
      <c r="A785" s="1">
        <v>41958</v>
      </c>
      <c r="B785" s="1">
        <v>41963</v>
      </c>
      <c r="C785">
        <v>10.79</v>
      </c>
      <c r="D785">
        <v>0.28000000000000003</v>
      </c>
      <c r="E785">
        <v>4</v>
      </c>
      <c r="F785">
        <f t="shared" si="60"/>
        <v>0</v>
      </c>
      <c r="G785">
        <f t="shared" si="61"/>
        <v>0</v>
      </c>
      <c r="H785">
        <f t="shared" si="62"/>
        <v>1</v>
      </c>
      <c r="I785">
        <f t="shared" si="63"/>
        <v>0</v>
      </c>
      <c r="J785">
        <f t="shared" si="64"/>
        <v>0</v>
      </c>
    </row>
    <row r="786" spans="1:10" x14ac:dyDescent="0.3">
      <c r="A786" s="1">
        <v>41958</v>
      </c>
      <c r="B786" s="1">
        <v>41961</v>
      </c>
      <c r="C786">
        <v>5.67</v>
      </c>
      <c r="D786">
        <v>0.15</v>
      </c>
      <c r="E786">
        <v>6</v>
      </c>
      <c r="F786">
        <f t="shared" si="60"/>
        <v>0</v>
      </c>
      <c r="G786">
        <f t="shared" si="61"/>
        <v>0</v>
      </c>
      <c r="H786">
        <f t="shared" si="62"/>
        <v>0</v>
      </c>
      <c r="I786">
        <f t="shared" si="63"/>
        <v>0</v>
      </c>
      <c r="J786">
        <f t="shared" si="64"/>
        <v>1</v>
      </c>
    </row>
    <row r="787" spans="1:10" x14ac:dyDescent="0.3">
      <c r="A787" s="1">
        <v>41958</v>
      </c>
      <c r="B787" s="1">
        <v>41972</v>
      </c>
      <c r="C787">
        <v>14.31</v>
      </c>
      <c r="D787">
        <v>0.38</v>
      </c>
      <c r="E787">
        <v>5</v>
      </c>
      <c r="F787">
        <f t="shared" si="60"/>
        <v>0</v>
      </c>
      <c r="G787">
        <f t="shared" si="61"/>
        <v>0</v>
      </c>
      <c r="H787">
        <f t="shared" si="62"/>
        <v>0</v>
      </c>
      <c r="I787">
        <f t="shared" si="63"/>
        <v>1</v>
      </c>
      <c r="J787">
        <f t="shared" si="64"/>
        <v>0</v>
      </c>
    </row>
    <row r="788" spans="1:10" x14ac:dyDescent="0.3">
      <c r="A788" s="1">
        <v>41958</v>
      </c>
      <c r="B788" s="1">
        <v>41976</v>
      </c>
      <c r="C788">
        <v>5.67</v>
      </c>
      <c r="D788">
        <v>0.15</v>
      </c>
      <c r="E788">
        <v>6</v>
      </c>
      <c r="F788">
        <f t="shared" si="60"/>
        <v>0</v>
      </c>
      <c r="G788">
        <f t="shared" si="61"/>
        <v>0</v>
      </c>
      <c r="H788">
        <f t="shared" si="62"/>
        <v>0</v>
      </c>
      <c r="I788">
        <f t="shared" si="63"/>
        <v>0</v>
      </c>
      <c r="J788">
        <f t="shared" si="64"/>
        <v>1</v>
      </c>
    </row>
    <row r="789" spans="1:10" x14ac:dyDescent="0.3">
      <c r="A789" s="1">
        <v>41958</v>
      </c>
      <c r="B789" s="1">
        <v>41961</v>
      </c>
      <c r="C789">
        <v>6.75</v>
      </c>
      <c r="D789">
        <v>0.18</v>
      </c>
      <c r="E789">
        <v>6</v>
      </c>
      <c r="F789">
        <f t="shared" si="60"/>
        <v>0</v>
      </c>
      <c r="G789">
        <f t="shared" si="61"/>
        <v>0</v>
      </c>
      <c r="H789">
        <f t="shared" si="62"/>
        <v>0</v>
      </c>
      <c r="I789">
        <f t="shared" si="63"/>
        <v>0</v>
      </c>
      <c r="J789">
        <f t="shared" si="64"/>
        <v>1</v>
      </c>
    </row>
    <row r="790" spans="1:10" x14ac:dyDescent="0.3">
      <c r="A790" s="1">
        <v>41958</v>
      </c>
      <c r="B790" s="1">
        <v>41964</v>
      </c>
      <c r="C790">
        <v>12.01</v>
      </c>
      <c r="D790">
        <v>0.32</v>
      </c>
      <c r="E790">
        <v>4</v>
      </c>
      <c r="F790">
        <f t="shared" si="60"/>
        <v>0</v>
      </c>
      <c r="G790">
        <f t="shared" si="61"/>
        <v>0</v>
      </c>
      <c r="H790">
        <f t="shared" si="62"/>
        <v>1</v>
      </c>
      <c r="I790">
        <f t="shared" si="63"/>
        <v>0</v>
      </c>
      <c r="J790">
        <f t="shared" si="64"/>
        <v>0</v>
      </c>
    </row>
    <row r="791" spans="1:10" x14ac:dyDescent="0.3">
      <c r="A791" s="1">
        <v>41958</v>
      </c>
      <c r="B791" s="1">
        <v>41973</v>
      </c>
      <c r="C791">
        <v>5.23</v>
      </c>
      <c r="D791">
        <v>0.14000000000000001</v>
      </c>
      <c r="E791">
        <v>6</v>
      </c>
      <c r="F791">
        <f t="shared" si="60"/>
        <v>0</v>
      </c>
      <c r="G791">
        <f t="shared" si="61"/>
        <v>0</v>
      </c>
      <c r="H791">
        <f t="shared" si="62"/>
        <v>0</v>
      </c>
      <c r="I791">
        <f t="shared" si="63"/>
        <v>0</v>
      </c>
      <c r="J791">
        <f t="shared" si="64"/>
        <v>1</v>
      </c>
    </row>
    <row r="792" spans="1:10" x14ac:dyDescent="0.3">
      <c r="A792" s="1">
        <v>41958</v>
      </c>
      <c r="B792" s="1">
        <v>41978</v>
      </c>
      <c r="C792">
        <v>13.81</v>
      </c>
      <c r="D792">
        <v>0.36</v>
      </c>
      <c r="E792">
        <v>4</v>
      </c>
      <c r="F792">
        <f t="shared" si="60"/>
        <v>0</v>
      </c>
      <c r="G792">
        <f t="shared" si="61"/>
        <v>0</v>
      </c>
      <c r="H792">
        <f t="shared" si="62"/>
        <v>1</v>
      </c>
      <c r="I792">
        <f t="shared" si="63"/>
        <v>0</v>
      </c>
      <c r="J792">
        <f t="shared" si="64"/>
        <v>0</v>
      </c>
    </row>
    <row r="793" spans="1:10" x14ac:dyDescent="0.3">
      <c r="A793" s="1">
        <v>41958</v>
      </c>
      <c r="B793" s="1">
        <v>41970</v>
      </c>
      <c r="C793">
        <v>5.23</v>
      </c>
      <c r="D793">
        <v>0.14000000000000001</v>
      </c>
      <c r="E793">
        <v>3</v>
      </c>
      <c r="F793">
        <f t="shared" si="60"/>
        <v>0</v>
      </c>
      <c r="G793">
        <f t="shared" si="61"/>
        <v>1</v>
      </c>
      <c r="H793">
        <f t="shared" si="62"/>
        <v>0</v>
      </c>
      <c r="I793">
        <f t="shared" si="63"/>
        <v>0</v>
      </c>
      <c r="J793">
        <f t="shared" si="64"/>
        <v>0</v>
      </c>
    </row>
    <row r="794" spans="1:10" x14ac:dyDescent="0.3">
      <c r="A794" s="1">
        <v>41959</v>
      </c>
      <c r="B794" s="1">
        <v>41968</v>
      </c>
      <c r="C794">
        <v>4.25</v>
      </c>
      <c r="D794">
        <v>0.11</v>
      </c>
      <c r="E794">
        <v>6</v>
      </c>
      <c r="F794">
        <f t="shared" si="60"/>
        <v>0</v>
      </c>
      <c r="G794">
        <f t="shared" si="61"/>
        <v>0</v>
      </c>
      <c r="H794">
        <f t="shared" si="62"/>
        <v>0</v>
      </c>
      <c r="I794">
        <f t="shared" si="63"/>
        <v>0</v>
      </c>
      <c r="J794">
        <f t="shared" si="64"/>
        <v>1</v>
      </c>
    </row>
    <row r="795" spans="1:10" x14ac:dyDescent="0.3">
      <c r="A795" s="1">
        <v>41959</v>
      </c>
      <c r="B795" s="1">
        <v>41984</v>
      </c>
      <c r="C795">
        <v>5.23</v>
      </c>
      <c r="D795">
        <v>0.14000000000000001</v>
      </c>
      <c r="E795">
        <v>4</v>
      </c>
      <c r="F795">
        <f t="shared" si="60"/>
        <v>0</v>
      </c>
      <c r="G795">
        <f t="shared" si="61"/>
        <v>0</v>
      </c>
      <c r="H795">
        <f t="shared" si="62"/>
        <v>1</v>
      </c>
      <c r="I795">
        <f t="shared" si="63"/>
        <v>0</v>
      </c>
      <c r="J795">
        <f t="shared" si="64"/>
        <v>0</v>
      </c>
    </row>
    <row r="796" spans="1:10" x14ac:dyDescent="0.3">
      <c r="A796" s="1">
        <v>41959</v>
      </c>
      <c r="B796" s="1">
        <v>41983</v>
      </c>
      <c r="C796">
        <v>6.23</v>
      </c>
      <c r="D796">
        <v>0.16</v>
      </c>
      <c r="E796">
        <v>2</v>
      </c>
      <c r="F796">
        <f t="shared" si="60"/>
        <v>1</v>
      </c>
      <c r="G796">
        <f t="shared" si="61"/>
        <v>0</v>
      </c>
      <c r="H796">
        <f t="shared" si="62"/>
        <v>0</v>
      </c>
      <c r="I796">
        <f t="shared" si="63"/>
        <v>0</v>
      </c>
      <c r="J796">
        <f t="shared" si="64"/>
        <v>0</v>
      </c>
    </row>
    <row r="797" spans="1:10" x14ac:dyDescent="0.3">
      <c r="A797" s="1">
        <v>41959</v>
      </c>
      <c r="B797" s="1">
        <v>41971</v>
      </c>
      <c r="C797">
        <v>16.55</v>
      </c>
      <c r="D797">
        <v>0.44</v>
      </c>
      <c r="E797">
        <v>5</v>
      </c>
      <c r="F797">
        <f t="shared" si="60"/>
        <v>0</v>
      </c>
      <c r="G797">
        <f t="shared" si="61"/>
        <v>0</v>
      </c>
      <c r="H797">
        <f t="shared" si="62"/>
        <v>0</v>
      </c>
      <c r="I797">
        <f t="shared" si="63"/>
        <v>1</v>
      </c>
      <c r="J797">
        <f t="shared" si="64"/>
        <v>0</v>
      </c>
    </row>
    <row r="798" spans="1:10" x14ac:dyDescent="0.3">
      <c r="A798" s="1">
        <v>41959</v>
      </c>
      <c r="B798" s="1">
        <v>41966</v>
      </c>
      <c r="C798">
        <v>5.78</v>
      </c>
      <c r="D798">
        <v>0.15</v>
      </c>
      <c r="E798">
        <v>6</v>
      </c>
      <c r="F798">
        <f t="shared" si="60"/>
        <v>0</v>
      </c>
      <c r="G798">
        <f t="shared" si="61"/>
        <v>0</v>
      </c>
      <c r="H798">
        <f t="shared" si="62"/>
        <v>0</v>
      </c>
      <c r="I798">
        <f t="shared" si="63"/>
        <v>0</v>
      </c>
      <c r="J798">
        <f t="shared" si="64"/>
        <v>1</v>
      </c>
    </row>
    <row r="799" spans="1:10" x14ac:dyDescent="0.3">
      <c r="A799" s="1">
        <v>41959</v>
      </c>
      <c r="B799" s="1">
        <v>41978</v>
      </c>
      <c r="C799">
        <v>11.69</v>
      </c>
      <c r="D799">
        <v>0.31</v>
      </c>
      <c r="E799">
        <v>5</v>
      </c>
      <c r="F799">
        <f t="shared" si="60"/>
        <v>0</v>
      </c>
      <c r="G799">
        <f t="shared" si="61"/>
        <v>0</v>
      </c>
      <c r="H799">
        <f t="shared" si="62"/>
        <v>0</v>
      </c>
      <c r="I799">
        <f t="shared" si="63"/>
        <v>1</v>
      </c>
      <c r="J799">
        <f t="shared" si="64"/>
        <v>0</v>
      </c>
    </row>
    <row r="800" spans="1:10" x14ac:dyDescent="0.3">
      <c r="A800" s="1">
        <v>41959</v>
      </c>
      <c r="B800" s="1">
        <v>41985</v>
      </c>
      <c r="C800">
        <v>11.78</v>
      </c>
      <c r="D800">
        <v>0.31</v>
      </c>
      <c r="E800">
        <v>2</v>
      </c>
      <c r="F800">
        <f t="shared" si="60"/>
        <v>1</v>
      </c>
      <c r="G800">
        <f t="shared" si="61"/>
        <v>0</v>
      </c>
      <c r="H800">
        <f t="shared" si="62"/>
        <v>0</v>
      </c>
      <c r="I800">
        <f t="shared" si="63"/>
        <v>0</v>
      </c>
      <c r="J800">
        <f t="shared" si="64"/>
        <v>0</v>
      </c>
    </row>
    <row r="801" spans="1:10" x14ac:dyDescent="0.3">
      <c r="A801" s="1">
        <v>41959</v>
      </c>
      <c r="B801" s="1">
        <v>41974</v>
      </c>
      <c r="C801">
        <v>8.39</v>
      </c>
      <c r="D801">
        <v>0.22</v>
      </c>
      <c r="E801">
        <v>6</v>
      </c>
      <c r="F801">
        <f t="shared" si="60"/>
        <v>0</v>
      </c>
      <c r="G801">
        <f t="shared" si="61"/>
        <v>0</v>
      </c>
      <c r="H801">
        <f t="shared" si="62"/>
        <v>0</v>
      </c>
      <c r="I801">
        <f t="shared" si="63"/>
        <v>0</v>
      </c>
      <c r="J801">
        <f t="shared" si="64"/>
        <v>1</v>
      </c>
    </row>
    <row r="802" spans="1:10" x14ac:dyDescent="0.3">
      <c r="A802" s="1">
        <v>41959</v>
      </c>
      <c r="B802" s="1">
        <v>41976</v>
      </c>
      <c r="C802">
        <v>6.75</v>
      </c>
      <c r="D802">
        <v>0.18</v>
      </c>
      <c r="E802">
        <v>6</v>
      </c>
      <c r="F802">
        <f t="shared" si="60"/>
        <v>0</v>
      </c>
      <c r="G802">
        <f t="shared" si="61"/>
        <v>0</v>
      </c>
      <c r="H802">
        <f t="shared" si="62"/>
        <v>0</v>
      </c>
      <c r="I802">
        <f t="shared" si="63"/>
        <v>0</v>
      </c>
      <c r="J802">
        <f t="shared" si="64"/>
        <v>1</v>
      </c>
    </row>
    <row r="803" spans="1:10" x14ac:dyDescent="0.3">
      <c r="A803" s="1">
        <v>41960</v>
      </c>
      <c r="B803" s="1">
        <v>41964</v>
      </c>
      <c r="C803">
        <v>3.94</v>
      </c>
      <c r="D803">
        <v>0.1</v>
      </c>
      <c r="E803">
        <v>6</v>
      </c>
      <c r="F803">
        <f t="shared" si="60"/>
        <v>0</v>
      </c>
      <c r="G803">
        <f t="shared" si="61"/>
        <v>0</v>
      </c>
      <c r="H803">
        <f t="shared" si="62"/>
        <v>0</v>
      </c>
      <c r="I803">
        <f t="shared" si="63"/>
        <v>0</v>
      </c>
      <c r="J803">
        <f t="shared" si="64"/>
        <v>1</v>
      </c>
    </row>
    <row r="804" spans="1:10" x14ac:dyDescent="0.3">
      <c r="A804" s="1">
        <v>41960</v>
      </c>
      <c r="B804" s="1">
        <v>41980</v>
      </c>
      <c r="C804">
        <v>3.57</v>
      </c>
      <c r="D804">
        <v>0.09</v>
      </c>
      <c r="E804">
        <v>6</v>
      </c>
      <c r="F804">
        <f t="shared" si="60"/>
        <v>0</v>
      </c>
      <c r="G804">
        <f t="shared" si="61"/>
        <v>0</v>
      </c>
      <c r="H804">
        <f t="shared" si="62"/>
        <v>0</v>
      </c>
      <c r="I804">
        <f t="shared" si="63"/>
        <v>0</v>
      </c>
      <c r="J804">
        <f t="shared" si="64"/>
        <v>1</v>
      </c>
    </row>
    <row r="805" spans="1:10" x14ac:dyDescent="0.3">
      <c r="A805" s="1">
        <v>41960</v>
      </c>
      <c r="B805" s="1">
        <v>41980</v>
      </c>
      <c r="C805">
        <v>14.13</v>
      </c>
      <c r="D805">
        <v>0.37</v>
      </c>
      <c r="E805">
        <v>5</v>
      </c>
      <c r="F805">
        <f t="shared" si="60"/>
        <v>0</v>
      </c>
      <c r="G805">
        <f t="shared" si="61"/>
        <v>0</v>
      </c>
      <c r="H805">
        <f t="shared" si="62"/>
        <v>0</v>
      </c>
      <c r="I805">
        <f t="shared" si="63"/>
        <v>1</v>
      </c>
      <c r="J805">
        <f t="shared" si="64"/>
        <v>0</v>
      </c>
    </row>
    <row r="806" spans="1:10" x14ac:dyDescent="0.3">
      <c r="A806" s="1">
        <v>41960</v>
      </c>
      <c r="B806" s="1">
        <v>41967</v>
      </c>
      <c r="C806">
        <v>5.57</v>
      </c>
      <c r="D806">
        <v>0.15</v>
      </c>
      <c r="E806">
        <v>2</v>
      </c>
      <c r="F806">
        <f t="shared" si="60"/>
        <v>1</v>
      </c>
      <c r="G806">
        <f t="shared" si="61"/>
        <v>0</v>
      </c>
      <c r="H806">
        <f t="shared" si="62"/>
        <v>0</v>
      </c>
      <c r="I806">
        <f t="shared" si="63"/>
        <v>0</v>
      </c>
      <c r="J806">
        <f t="shared" si="64"/>
        <v>0</v>
      </c>
    </row>
    <row r="807" spans="1:10" x14ac:dyDescent="0.3">
      <c r="A807" s="1">
        <v>41960</v>
      </c>
      <c r="B807" s="1">
        <v>41979</v>
      </c>
      <c r="C807">
        <v>8.7200000000000006</v>
      </c>
      <c r="D807">
        <v>0.23</v>
      </c>
      <c r="E807">
        <v>2</v>
      </c>
      <c r="F807">
        <f t="shared" si="60"/>
        <v>1</v>
      </c>
      <c r="G807">
        <f t="shared" si="61"/>
        <v>0</v>
      </c>
      <c r="H807">
        <f t="shared" si="62"/>
        <v>0</v>
      </c>
      <c r="I807">
        <f t="shared" si="63"/>
        <v>0</v>
      </c>
      <c r="J807">
        <f t="shared" si="64"/>
        <v>0</v>
      </c>
    </row>
    <row r="808" spans="1:10" x14ac:dyDescent="0.3">
      <c r="A808" s="1">
        <v>41961</v>
      </c>
      <c r="B808" s="1">
        <v>41987</v>
      </c>
      <c r="C808">
        <v>5.67</v>
      </c>
      <c r="D808">
        <v>0.15</v>
      </c>
      <c r="E808">
        <v>3</v>
      </c>
      <c r="F808">
        <f t="shared" si="60"/>
        <v>0</v>
      </c>
      <c r="G808">
        <f t="shared" si="61"/>
        <v>1</v>
      </c>
      <c r="H808">
        <f t="shared" si="62"/>
        <v>0</v>
      </c>
      <c r="I808">
        <f t="shared" si="63"/>
        <v>0</v>
      </c>
      <c r="J808">
        <f t="shared" si="64"/>
        <v>0</v>
      </c>
    </row>
    <row r="809" spans="1:10" x14ac:dyDescent="0.3">
      <c r="A809" s="1">
        <v>41961</v>
      </c>
      <c r="B809" s="1">
        <v>41972</v>
      </c>
      <c r="C809">
        <v>3.94</v>
      </c>
      <c r="D809">
        <v>0.1</v>
      </c>
      <c r="E809">
        <v>4</v>
      </c>
      <c r="F809">
        <f t="shared" si="60"/>
        <v>0</v>
      </c>
      <c r="G809">
        <f t="shared" si="61"/>
        <v>0</v>
      </c>
      <c r="H809">
        <f t="shared" si="62"/>
        <v>1</v>
      </c>
      <c r="I809">
        <f t="shared" si="63"/>
        <v>0</v>
      </c>
      <c r="J809">
        <f t="shared" si="64"/>
        <v>0</v>
      </c>
    </row>
    <row r="810" spans="1:10" x14ac:dyDescent="0.3">
      <c r="A810" s="1">
        <v>41961</v>
      </c>
      <c r="B810" s="1">
        <v>41966</v>
      </c>
      <c r="C810">
        <v>5.67</v>
      </c>
      <c r="D810">
        <v>0.15</v>
      </c>
      <c r="E810">
        <v>3</v>
      </c>
      <c r="F810">
        <f t="shared" si="60"/>
        <v>0</v>
      </c>
      <c r="G810">
        <f t="shared" si="61"/>
        <v>1</v>
      </c>
      <c r="H810">
        <f t="shared" si="62"/>
        <v>0</v>
      </c>
      <c r="I810">
        <f t="shared" si="63"/>
        <v>0</v>
      </c>
      <c r="J810">
        <f t="shared" si="64"/>
        <v>0</v>
      </c>
    </row>
    <row r="811" spans="1:10" x14ac:dyDescent="0.3">
      <c r="A811" s="1">
        <v>41962</v>
      </c>
      <c r="B811" s="1">
        <v>41984</v>
      </c>
      <c r="C811">
        <v>6.34</v>
      </c>
      <c r="D811">
        <v>0.17</v>
      </c>
      <c r="E811">
        <v>6</v>
      </c>
      <c r="F811">
        <f t="shared" si="60"/>
        <v>0</v>
      </c>
      <c r="G811">
        <f t="shared" si="61"/>
        <v>0</v>
      </c>
      <c r="H811">
        <f t="shared" si="62"/>
        <v>0</v>
      </c>
      <c r="I811">
        <f t="shared" si="63"/>
        <v>0</v>
      </c>
      <c r="J811">
        <f t="shared" si="64"/>
        <v>1</v>
      </c>
    </row>
    <row r="812" spans="1:10" x14ac:dyDescent="0.3">
      <c r="A812" s="1">
        <v>41962</v>
      </c>
      <c r="B812" s="1">
        <v>41970</v>
      </c>
      <c r="C812">
        <v>2.0099999999999998</v>
      </c>
      <c r="D812">
        <v>0.05</v>
      </c>
      <c r="E812">
        <v>4</v>
      </c>
      <c r="F812">
        <f t="shared" si="60"/>
        <v>0</v>
      </c>
      <c r="G812">
        <f t="shared" si="61"/>
        <v>0</v>
      </c>
      <c r="H812">
        <f t="shared" si="62"/>
        <v>1</v>
      </c>
      <c r="I812">
        <f t="shared" si="63"/>
        <v>0</v>
      </c>
      <c r="J812">
        <f t="shared" si="64"/>
        <v>0</v>
      </c>
    </row>
    <row r="813" spans="1:10" x14ac:dyDescent="0.3">
      <c r="A813" s="1">
        <v>41962</v>
      </c>
      <c r="B813" s="1">
        <v>41972</v>
      </c>
      <c r="C813">
        <v>5.67</v>
      </c>
      <c r="D813">
        <v>0.15</v>
      </c>
      <c r="E813">
        <v>3</v>
      </c>
      <c r="F813">
        <f t="shared" si="60"/>
        <v>0</v>
      </c>
      <c r="G813">
        <f t="shared" si="61"/>
        <v>1</v>
      </c>
      <c r="H813">
        <f t="shared" si="62"/>
        <v>0</v>
      </c>
      <c r="I813">
        <f t="shared" si="63"/>
        <v>0</v>
      </c>
      <c r="J813">
        <f t="shared" si="64"/>
        <v>0</v>
      </c>
    </row>
    <row r="814" spans="1:10" x14ac:dyDescent="0.3">
      <c r="A814" s="1">
        <v>41962</v>
      </c>
      <c r="B814" s="1">
        <v>41969</v>
      </c>
      <c r="C814">
        <v>6.43</v>
      </c>
      <c r="D814">
        <v>0.17</v>
      </c>
      <c r="E814">
        <v>5</v>
      </c>
      <c r="F814">
        <f t="shared" si="60"/>
        <v>0</v>
      </c>
      <c r="G814">
        <f t="shared" si="61"/>
        <v>0</v>
      </c>
      <c r="H814">
        <f t="shared" si="62"/>
        <v>0</v>
      </c>
      <c r="I814">
        <f t="shared" si="63"/>
        <v>1</v>
      </c>
      <c r="J814">
        <f t="shared" si="64"/>
        <v>0</v>
      </c>
    </row>
    <row r="815" spans="1:10" x14ac:dyDescent="0.3">
      <c r="A815" s="1">
        <v>41963</v>
      </c>
      <c r="B815" s="1">
        <v>41971</v>
      </c>
      <c r="C815">
        <v>8.39</v>
      </c>
      <c r="D815">
        <v>0.22</v>
      </c>
      <c r="E815">
        <v>6</v>
      </c>
      <c r="F815">
        <f t="shared" si="60"/>
        <v>0</v>
      </c>
      <c r="G815">
        <f t="shared" si="61"/>
        <v>0</v>
      </c>
      <c r="H815">
        <f t="shared" si="62"/>
        <v>0</v>
      </c>
      <c r="I815">
        <f t="shared" si="63"/>
        <v>0</v>
      </c>
      <c r="J815">
        <f t="shared" si="64"/>
        <v>1</v>
      </c>
    </row>
    <row r="816" spans="1:10" x14ac:dyDescent="0.3">
      <c r="A816" s="1">
        <v>41963</v>
      </c>
      <c r="B816" s="1">
        <v>41968</v>
      </c>
      <c r="C816">
        <v>5.67</v>
      </c>
      <c r="D816">
        <v>0.15</v>
      </c>
      <c r="E816">
        <v>5</v>
      </c>
      <c r="F816">
        <f t="shared" si="60"/>
        <v>0</v>
      </c>
      <c r="G816">
        <f t="shared" si="61"/>
        <v>0</v>
      </c>
      <c r="H816">
        <f t="shared" si="62"/>
        <v>0</v>
      </c>
      <c r="I816">
        <f t="shared" si="63"/>
        <v>1</v>
      </c>
      <c r="J816">
        <f t="shared" si="64"/>
        <v>0</v>
      </c>
    </row>
    <row r="817" spans="1:10" x14ac:dyDescent="0.3">
      <c r="A817" s="1">
        <v>41963</v>
      </c>
      <c r="B817" s="1">
        <v>41965</v>
      </c>
      <c r="C817">
        <v>2.72</v>
      </c>
      <c r="D817">
        <v>7.0000000000000007E-2</v>
      </c>
      <c r="E817">
        <v>2</v>
      </c>
      <c r="F817">
        <f t="shared" si="60"/>
        <v>1</v>
      </c>
      <c r="G817">
        <f t="shared" si="61"/>
        <v>0</v>
      </c>
      <c r="H817">
        <f t="shared" si="62"/>
        <v>0</v>
      </c>
      <c r="I817">
        <f t="shared" si="63"/>
        <v>0</v>
      </c>
      <c r="J817">
        <f t="shared" si="64"/>
        <v>0</v>
      </c>
    </row>
    <row r="818" spans="1:10" x14ac:dyDescent="0.3">
      <c r="A818" s="1">
        <v>41964</v>
      </c>
      <c r="B818" s="1">
        <v>41980</v>
      </c>
      <c r="C818">
        <v>7.31</v>
      </c>
      <c r="D818">
        <v>0.19</v>
      </c>
      <c r="E818">
        <v>4</v>
      </c>
      <c r="F818">
        <f t="shared" si="60"/>
        <v>0</v>
      </c>
      <c r="G818">
        <f t="shared" si="61"/>
        <v>0</v>
      </c>
      <c r="H818">
        <f t="shared" si="62"/>
        <v>1</v>
      </c>
      <c r="I818">
        <f t="shared" si="63"/>
        <v>0</v>
      </c>
      <c r="J818">
        <f t="shared" si="64"/>
        <v>0</v>
      </c>
    </row>
    <row r="819" spans="1:10" x14ac:dyDescent="0.3">
      <c r="A819" s="1">
        <v>41964</v>
      </c>
      <c r="B819" s="1">
        <v>41990</v>
      </c>
      <c r="C819">
        <v>5.23</v>
      </c>
      <c r="D819">
        <v>0.14000000000000001</v>
      </c>
      <c r="E819">
        <v>6</v>
      </c>
      <c r="F819">
        <f t="shared" si="60"/>
        <v>0</v>
      </c>
      <c r="G819">
        <f t="shared" si="61"/>
        <v>0</v>
      </c>
      <c r="H819">
        <f t="shared" si="62"/>
        <v>0</v>
      </c>
      <c r="I819">
        <f t="shared" si="63"/>
        <v>0</v>
      </c>
      <c r="J819">
        <f t="shared" si="64"/>
        <v>1</v>
      </c>
    </row>
    <row r="820" spans="1:10" x14ac:dyDescent="0.3">
      <c r="A820" s="1">
        <v>41965</v>
      </c>
      <c r="B820" s="1">
        <v>41968</v>
      </c>
      <c r="C820">
        <v>8.83</v>
      </c>
      <c r="D820">
        <v>0.23</v>
      </c>
      <c r="E820">
        <v>6</v>
      </c>
      <c r="F820">
        <f t="shared" si="60"/>
        <v>0</v>
      </c>
      <c r="G820">
        <f t="shared" si="61"/>
        <v>0</v>
      </c>
      <c r="H820">
        <f t="shared" si="62"/>
        <v>0</v>
      </c>
      <c r="I820">
        <f t="shared" si="63"/>
        <v>0</v>
      </c>
      <c r="J820">
        <f t="shared" si="64"/>
        <v>1</v>
      </c>
    </row>
    <row r="821" spans="1:10" x14ac:dyDescent="0.3">
      <c r="A821" s="1">
        <v>41965</v>
      </c>
      <c r="B821" s="1">
        <v>41971</v>
      </c>
      <c r="C821">
        <v>2.0099999999999998</v>
      </c>
      <c r="D821">
        <v>0.05</v>
      </c>
      <c r="E821">
        <v>5</v>
      </c>
      <c r="F821">
        <f t="shared" si="60"/>
        <v>0</v>
      </c>
      <c r="G821">
        <f t="shared" si="61"/>
        <v>0</v>
      </c>
      <c r="H821">
        <f t="shared" si="62"/>
        <v>0</v>
      </c>
      <c r="I821">
        <f t="shared" si="63"/>
        <v>1</v>
      </c>
      <c r="J821">
        <f t="shared" si="64"/>
        <v>0</v>
      </c>
    </row>
    <row r="822" spans="1:10" x14ac:dyDescent="0.3">
      <c r="A822" s="1">
        <v>41965</v>
      </c>
      <c r="B822" s="1">
        <v>41983</v>
      </c>
      <c r="C822">
        <v>8.89</v>
      </c>
      <c r="D822">
        <v>0.23</v>
      </c>
      <c r="E822">
        <v>6</v>
      </c>
      <c r="F822">
        <f t="shared" si="60"/>
        <v>0</v>
      </c>
      <c r="G822">
        <f t="shared" si="61"/>
        <v>0</v>
      </c>
      <c r="H822">
        <f t="shared" si="62"/>
        <v>0</v>
      </c>
      <c r="I822">
        <f t="shared" si="63"/>
        <v>0</v>
      </c>
      <c r="J822">
        <f t="shared" si="64"/>
        <v>1</v>
      </c>
    </row>
    <row r="823" spans="1:10" x14ac:dyDescent="0.3">
      <c r="A823" s="1">
        <v>41965</v>
      </c>
      <c r="B823" s="1">
        <v>41984</v>
      </c>
      <c r="C823">
        <v>6.34</v>
      </c>
      <c r="D823">
        <v>0.17</v>
      </c>
      <c r="E823">
        <v>6</v>
      </c>
      <c r="F823">
        <f t="shared" si="60"/>
        <v>0</v>
      </c>
      <c r="G823">
        <f t="shared" si="61"/>
        <v>0</v>
      </c>
      <c r="H823">
        <f t="shared" si="62"/>
        <v>0</v>
      </c>
      <c r="I823">
        <f t="shared" si="63"/>
        <v>0</v>
      </c>
      <c r="J823">
        <f t="shared" si="64"/>
        <v>1</v>
      </c>
    </row>
    <row r="824" spans="1:10" x14ac:dyDescent="0.3">
      <c r="A824" s="1">
        <v>41965</v>
      </c>
      <c r="B824" s="1">
        <v>41968</v>
      </c>
      <c r="C824">
        <v>14.31</v>
      </c>
      <c r="D824">
        <v>0.38</v>
      </c>
      <c r="E824">
        <v>3</v>
      </c>
      <c r="F824">
        <f t="shared" si="60"/>
        <v>0</v>
      </c>
      <c r="G824">
        <f t="shared" si="61"/>
        <v>1</v>
      </c>
      <c r="H824">
        <f t="shared" si="62"/>
        <v>0</v>
      </c>
      <c r="I824">
        <f t="shared" si="63"/>
        <v>0</v>
      </c>
      <c r="J824">
        <f t="shared" si="64"/>
        <v>0</v>
      </c>
    </row>
    <row r="825" spans="1:10" x14ac:dyDescent="0.3">
      <c r="A825" s="1">
        <v>41965</v>
      </c>
      <c r="B825" s="1">
        <v>41973</v>
      </c>
      <c r="C825">
        <v>11.42</v>
      </c>
      <c r="D825">
        <v>0.3</v>
      </c>
      <c r="E825">
        <v>6</v>
      </c>
      <c r="F825">
        <f t="shared" si="60"/>
        <v>0</v>
      </c>
      <c r="G825">
        <f t="shared" si="61"/>
        <v>0</v>
      </c>
      <c r="H825">
        <f t="shared" si="62"/>
        <v>0</v>
      </c>
      <c r="I825">
        <f t="shared" si="63"/>
        <v>0</v>
      </c>
      <c r="J825">
        <f t="shared" si="64"/>
        <v>1</v>
      </c>
    </row>
    <row r="826" spans="1:10" x14ac:dyDescent="0.3">
      <c r="A826" s="1">
        <v>41965</v>
      </c>
      <c r="B826" s="1">
        <v>41969</v>
      </c>
      <c r="C826">
        <v>9.4600000000000009</v>
      </c>
      <c r="D826">
        <v>0.25</v>
      </c>
      <c r="E826">
        <v>4</v>
      </c>
      <c r="F826">
        <f t="shared" si="60"/>
        <v>0</v>
      </c>
      <c r="G826">
        <f t="shared" si="61"/>
        <v>0</v>
      </c>
      <c r="H826">
        <f t="shared" si="62"/>
        <v>1</v>
      </c>
      <c r="I826">
        <f t="shared" si="63"/>
        <v>0</v>
      </c>
      <c r="J826">
        <f t="shared" si="64"/>
        <v>0</v>
      </c>
    </row>
    <row r="827" spans="1:10" x14ac:dyDescent="0.3">
      <c r="A827" s="1">
        <v>41966</v>
      </c>
      <c r="B827" s="1">
        <v>41984</v>
      </c>
      <c r="C827">
        <v>6.58</v>
      </c>
      <c r="D827">
        <v>0.17</v>
      </c>
      <c r="E827">
        <v>5</v>
      </c>
      <c r="F827">
        <f t="shared" si="60"/>
        <v>0</v>
      </c>
      <c r="G827">
        <f t="shared" si="61"/>
        <v>0</v>
      </c>
      <c r="H827">
        <f t="shared" si="62"/>
        <v>0</v>
      </c>
      <c r="I827">
        <f t="shared" si="63"/>
        <v>1</v>
      </c>
      <c r="J827">
        <f t="shared" si="64"/>
        <v>0</v>
      </c>
    </row>
    <row r="828" spans="1:10" x14ac:dyDescent="0.3">
      <c r="A828" s="1">
        <v>41967</v>
      </c>
      <c r="B828" s="1">
        <v>41991</v>
      </c>
      <c r="C828">
        <v>11.42</v>
      </c>
      <c r="D828">
        <v>0.3</v>
      </c>
      <c r="E828">
        <v>4</v>
      </c>
      <c r="F828">
        <f t="shared" si="60"/>
        <v>0</v>
      </c>
      <c r="G828">
        <f t="shared" si="61"/>
        <v>0</v>
      </c>
      <c r="H828">
        <f t="shared" si="62"/>
        <v>1</v>
      </c>
      <c r="I828">
        <f t="shared" si="63"/>
        <v>0</v>
      </c>
      <c r="J828">
        <f t="shared" si="64"/>
        <v>0</v>
      </c>
    </row>
    <row r="829" spans="1:10" x14ac:dyDescent="0.3">
      <c r="A829" s="1">
        <v>41967</v>
      </c>
      <c r="B829" s="1">
        <v>41988</v>
      </c>
      <c r="C829">
        <v>2.29</v>
      </c>
      <c r="D829">
        <v>0.06</v>
      </c>
      <c r="E829">
        <v>6</v>
      </c>
      <c r="F829">
        <f t="shared" si="60"/>
        <v>0</v>
      </c>
      <c r="G829">
        <f t="shared" si="61"/>
        <v>0</v>
      </c>
      <c r="H829">
        <f t="shared" si="62"/>
        <v>0</v>
      </c>
      <c r="I829">
        <f t="shared" si="63"/>
        <v>0</v>
      </c>
      <c r="J829">
        <f t="shared" si="64"/>
        <v>1</v>
      </c>
    </row>
    <row r="830" spans="1:10" x14ac:dyDescent="0.3">
      <c r="A830" s="1">
        <v>41968</v>
      </c>
      <c r="B830" s="1">
        <v>41993</v>
      </c>
      <c r="C830">
        <v>8.7200000000000006</v>
      </c>
      <c r="D830">
        <v>0.23</v>
      </c>
      <c r="E830">
        <v>3</v>
      </c>
      <c r="F830">
        <f t="shared" si="60"/>
        <v>0</v>
      </c>
      <c r="G830">
        <f t="shared" si="61"/>
        <v>1</v>
      </c>
      <c r="H830">
        <f t="shared" si="62"/>
        <v>0</v>
      </c>
      <c r="I830">
        <f t="shared" si="63"/>
        <v>0</v>
      </c>
      <c r="J830">
        <f t="shared" si="64"/>
        <v>0</v>
      </c>
    </row>
    <row r="831" spans="1:10" x14ac:dyDescent="0.3">
      <c r="A831" s="1">
        <v>41968</v>
      </c>
      <c r="B831" s="1">
        <v>41974</v>
      </c>
      <c r="C831">
        <v>2.29</v>
      </c>
      <c r="D831">
        <v>0.06</v>
      </c>
      <c r="E831">
        <v>3</v>
      </c>
      <c r="F831">
        <f t="shared" si="60"/>
        <v>0</v>
      </c>
      <c r="G831">
        <f t="shared" si="61"/>
        <v>1</v>
      </c>
      <c r="H831">
        <f t="shared" si="62"/>
        <v>0</v>
      </c>
      <c r="I831">
        <f t="shared" si="63"/>
        <v>0</v>
      </c>
      <c r="J831">
        <f t="shared" si="64"/>
        <v>0</v>
      </c>
    </row>
    <row r="832" spans="1:10" x14ac:dyDescent="0.3">
      <c r="A832" s="1">
        <v>41968</v>
      </c>
      <c r="B832" s="1">
        <v>41975</v>
      </c>
      <c r="C832">
        <v>6.58</v>
      </c>
      <c r="D832">
        <v>0.17</v>
      </c>
      <c r="E832">
        <v>3</v>
      </c>
      <c r="F832">
        <f t="shared" si="60"/>
        <v>0</v>
      </c>
      <c r="G832">
        <f t="shared" si="61"/>
        <v>1</v>
      </c>
      <c r="H832">
        <f t="shared" si="62"/>
        <v>0</v>
      </c>
      <c r="I832">
        <f t="shared" si="63"/>
        <v>0</v>
      </c>
      <c r="J832">
        <f t="shared" si="64"/>
        <v>0</v>
      </c>
    </row>
    <row r="833" spans="1:10" x14ac:dyDescent="0.3">
      <c r="A833" s="1">
        <v>41970</v>
      </c>
      <c r="B833" s="1">
        <v>41972</v>
      </c>
      <c r="C833">
        <v>7.35</v>
      </c>
      <c r="D833">
        <v>0.19</v>
      </c>
      <c r="E833">
        <v>6</v>
      </c>
      <c r="F833">
        <f t="shared" si="60"/>
        <v>0</v>
      </c>
      <c r="G833">
        <f t="shared" si="61"/>
        <v>0</v>
      </c>
      <c r="H833">
        <f t="shared" si="62"/>
        <v>0</v>
      </c>
      <c r="I833">
        <f t="shared" si="63"/>
        <v>0</v>
      </c>
      <c r="J833">
        <f t="shared" si="64"/>
        <v>1</v>
      </c>
    </row>
    <row r="834" spans="1:10" x14ac:dyDescent="0.3">
      <c r="A834" s="1">
        <v>41970</v>
      </c>
      <c r="B834" s="1">
        <v>41982</v>
      </c>
      <c r="C834">
        <v>6.43</v>
      </c>
      <c r="D834">
        <v>0.17</v>
      </c>
      <c r="E834">
        <v>4</v>
      </c>
      <c r="F834">
        <f t="shared" si="60"/>
        <v>0</v>
      </c>
      <c r="G834">
        <f t="shared" si="61"/>
        <v>0</v>
      </c>
      <c r="H834">
        <f t="shared" si="62"/>
        <v>1</v>
      </c>
      <c r="I834">
        <f t="shared" si="63"/>
        <v>0</v>
      </c>
      <c r="J834">
        <f t="shared" si="64"/>
        <v>0</v>
      </c>
    </row>
    <row r="835" spans="1:10" x14ac:dyDescent="0.3">
      <c r="A835" s="1">
        <v>41970</v>
      </c>
      <c r="B835" s="1">
        <v>41987</v>
      </c>
      <c r="C835">
        <v>8.65</v>
      </c>
      <c r="D835">
        <v>0.23</v>
      </c>
      <c r="E835">
        <v>3</v>
      </c>
      <c r="F835">
        <f t="shared" ref="F835:F898" si="65">IF(EXACT(E835,2),1,0)</f>
        <v>0</v>
      </c>
      <c r="G835">
        <f t="shared" ref="G835:G898" si="66">IF(EXACT(E835,3),1,0)</f>
        <v>1</v>
      </c>
      <c r="H835">
        <f t="shared" ref="H835:H898" si="67">IF(EXACT(E835,4),1,0)</f>
        <v>0</v>
      </c>
      <c r="I835">
        <f t="shared" ref="I835:I898" si="68">IF(EXACT(E835,5),1,0)</f>
        <v>0</v>
      </c>
      <c r="J835">
        <f t="shared" ref="J835:J898" si="69">IF(EXACT(E835,6),1,0)</f>
        <v>0</v>
      </c>
    </row>
    <row r="836" spans="1:10" x14ac:dyDescent="0.3">
      <c r="A836" s="1">
        <v>41970</v>
      </c>
      <c r="B836" s="1">
        <v>41994</v>
      </c>
      <c r="C836">
        <v>13.82</v>
      </c>
      <c r="D836">
        <v>0.36</v>
      </c>
      <c r="E836">
        <v>3</v>
      </c>
      <c r="F836">
        <f t="shared" si="65"/>
        <v>0</v>
      </c>
      <c r="G836">
        <f t="shared" si="66"/>
        <v>1</v>
      </c>
      <c r="H836">
        <f t="shared" si="67"/>
        <v>0</v>
      </c>
      <c r="I836">
        <f t="shared" si="68"/>
        <v>0</v>
      </c>
      <c r="J836">
        <f t="shared" si="69"/>
        <v>0</v>
      </c>
    </row>
    <row r="837" spans="1:10" x14ac:dyDescent="0.3">
      <c r="A837" s="1">
        <v>41970</v>
      </c>
      <c r="B837" s="1">
        <v>41992</v>
      </c>
      <c r="C837">
        <v>5.67</v>
      </c>
      <c r="D837">
        <v>0.15</v>
      </c>
      <c r="E837">
        <v>4</v>
      </c>
      <c r="F837">
        <f t="shared" si="65"/>
        <v>0</v>
      </c>
      <c r="G837">
        <f t="shared" si="66"/>
        <v>0</v>
      </c>
      <c r="H837">
        <f t="shared" si="67"/>
        <v>1</v>
      </c>
      <c r="I837">
        <f t="shared" si="68"/>
        <v>0</v>
      </c>
      <c r="J837">
        <f t="shared" si="69"/>
        <v>0</v>
      </c>
    </row>
    <row r="838" spans="1:10" x14ac:dyDescent="0.3">
      <c r="A838" s="1">
        <v>41970</v>
      </c>
      <c r="B838" s="1">
        <v>41986</v>
      </c>
      <c r="C838">
        <v>6.75</v>
      </c>
      <c r="D838">
        <v>0.18</v>
      </c>
      <c r="E838">
        <v>2</v>
      </c>
      <c r="F838">
        <f t="shared" si="65"/>
        <v>1</v>
      </c>
      <c r="G838">
        <f t="shared" si="66"/>
        <v>0</v>
      </c>
      <c r="H838">
        <f t="shared" si="67"/>
        <v>0</v>
      </c>
      <c r="I838">
        <f t="shared" si="68"/>
        <v>0</v>
      </c>
      <c r="J838">
        <f t="shared" si="69"/>
        <v>0</v>
      </c>
    </row>
    <row r="839" spans="1:10" x14ac:dyDescent="0.3">
      <c r="A839" s="1">
        <v>41970</v>
      </c>
      <c r="B839" s="1">
        <v>41992</v>
      </c>
      <c r="C839">
        <v>5.67</v>
      </c>
      <c r="D839">
        <v>0.15</v>
      </c>
      <c r="E839">
        <v>5</v>
      </c>
      <c r="F839">
        <f t="shared" si="65"/>
        <v>0</v>
      </c>
      <c r="G839">
        <f t="shared" si="66"/>
        <v>0</v>
      </c>
      <c r="H839">
        <f t="shared" si="67"/>
        <v>0</v>
      </c>
      <c r="I839">
        <f t="shared" si="68"/>
        <v>1</v>
      </c>
      <c r="J839">
        <f t="shared" si="69"/>
        <v>0</v>
      </c>
    </row>
    <row r="840" spans="1:10" x14ac:dyDescent="0.3">
      <c r="A840" s="1">
        <v>41970</v>
      </c>
      <c r="B840" s="1">
        <v>41987</v>
      </c>
      <c r="C840">
        <v>14.31</v>
      </c>
      <c r="D840">
        <v>0.38</v>
      </c>
      <c r="E840">
        <v>3</v>
      </c>
      <c r="F840">
        <f t="shared" si="65"/>
        <v>0</v>
      </c>
      <c r="G840">
        <f t="shared" si="66"/>
        <v>1</v>
      </c>
      <c r="H840">
        <f t="shared" si="67"/>
        <v>0</v>
      </c>
      <c r="I840">
        <f t="shared" si="68"/>
        <v>0</v>
      </c>
      <c r="J840">
        <f t="shared" si="69"/>
        <v>0</v>
      </c>
    </row>
    <row r="841" spans="1:10" x14ac:dyDescent="0.3">
      <c r="A841" s="1">
        <v>41970</v>
      </c>
      <c r="B841" s="1">
        <v>41979</v>
      </c>
      <c r="C841">
        <v>16.55</v>
      </c>
      <c r="D841">
        <v>0.44</v>
      </c>
      <c r="E841">
        <v>4</v>
      </c>
      <c r="F841">
        <f t="shared" si="65"/>
        <v>0</v>
      </c>
      <c r="G841">
        <f t="shared" si="66"/>
        <v>0</v>
      </c>
      <c r="H841">
        <f t="shared" si="67"/>
        <v>1</v>
      </c>
      <c r="I841">
        <f t="shared" si="68"/>
        <v>0</v>
      </c>
      <c r="J841">
        <f t="shared" si="69"/>
        <v>0</v>
      </c>
    </row>
    <row r="842" spans="1:10" x14ac:dyDescent="0.3">
      <c r="A842" s="1">
        <v>41970</v>
      </c>
      <c r="B842" s="1">
        <v>41974</v>
      </c>
      <c r="C842">
        <v>11.44</v>
      </c>
      <c r="D842">
        <v>0.3</v>
      </c>
      <c r="E842">
        <v>4</v>
      </c>
      <c r="F842">
        <f t="shared" si="65"/>
        <v>0</v>
      </c>
      <c r="G842">
        <f t="shared" si="66"/>
        <v>0</v>
      </c>
      <c r="H842">
        <f t="shared" si="67"/>
        <v>1</v>
      </c>
      <c r="I842">
        <f t="shared" si="68"/>
        <v>0</v>
      </c>
      <c r="J842">
        <f t="shared" si="69"/>
        <v>0</v>
      </c>
    </row>
    <row r="843" spans="1:10" x14ac:dyDescent="0.3">
      <c r="A843" s="1">
        <v>41970</v>
      </c>
      <c r="B843" s="1">
        <v>41992</v>
      </c>
      <c r="C843">
        <v>4.66</v>
      </c>
      <c r="D843">
        <v>0.12</v>
      </c>
      <c r="E843">
        <v>4</v>
      </c>
      <c r="F843">
        <f t="shared" si="65"/>
        <v>0</v>
      </c>
      <c r="G843">
        <f t="shared" si="66"/>
        <v>0</v>
      </c>
      <c r="H843">
        <f t="shared" si="67"/>
        <v>1</v>
      </c>
      <c r="I843">
        <f t="shared" si="68"/>
        <v>0</v>
      </c>
      <c r="J843">
        <f t="shared" si="69"/>
        <v>0</v>
      </c>
    </row>
    <row r="844" spans="1:10" x14ac:dyDescent="0.3">
      <c r="A844" s="1">
        <v>41970</v>
      </c>
      <c r="B844" s="1">
        <v>41995</v>
      </c>
      <c r="C844">
        <v>3.73</v>
      </c>
      <c r="D844">
        <v>0.1</v>
      </c>
      <c r="E844">
        <v>6</v>
      </c>
      <c r="F844">
        <f t="shared" si="65"/>
        <v>0</v>
      </c>
      <c r="G844">
        <f t="shared" si="66"/>
        <v>0</v>
      </c>
      <c r="H844">
        <f t="shared" si="67"/>
        <v>0</v>
      </c>
      <c r="I844">
        <f t="shared" si="68"/>
        <v>0</v>
      </c>
      <c r="J844">
        <f t="shared" si="69"/>
        <v>1</v>
      </c>
    </row>
    <row r="845" spans="1:10" x14ac:dyDescent="0.3">
      <c r="A845" s="1">
        <v>41970</v>
      </c>
      <c r="B845" s="1">
        <v>41982</v>
      </c>
      <c r="C845">
        <v>6.75</v>
      </c>
      <c r="D845">
        <v>0.18</v>
      </c>
      <c r="E845">
        <v>3</v>
      </c>
      <c r="F845">
        <f t="shared" si="65"/>
        <v>0</v>
      </c>
      <c r="G845">
        <f t="shared" si="66"/>
        <v>1</v>
      </c>
      <c r="H845">
        <f t="shared" si="67"/>
        <v>0</v>
      </c>
      <c r="I845">
        <f t="shared" si="68"/>
        <v>0</v>
      </c>
      <c r="J845">
        <f t="shared" si="69"/>
        <v>0</v>
      </c>
    </row>
    <row r="846" spans="1:10" x14ac:dyDescent="0.3">
      <c r="A846" s="1">
        <v>41970</v>
      </c>
      <c r="B846" s="1">
        <v>41981</v>
      </c>
      <c r="C846">
        <v>2.72</v>
      </c>
      <c r="D846">
        <v>7.0000000000000007E-2</v>
      </c>
      <c r="E846">
        <v>6</v>
      </c>
      <c r="F846">
        <f t="shared" si="65"/>
        <v>0</v>
      </c>
      <c r="G846">
        <f t="shared" si="66"/>
        <v>0</v>
      </c>
      <c r="H846">
        <f t="shared" si="67"/>
        <v>0</v>
      </c>
      <c r="I846">
        <f t="shared" si="68"/>
        <v>0</v>
      </c>
      <c r="J846">
        <f t="shared" si="69"/>
        <v>1</v>
      </c>
    </row>
    <row r="847" spans="1:10" x14ac:dyDescent="0.3">
      <c r="A847" s="1">
        <v>41970</v>
      </c>
      <c r="B847" s="1">
        <v>41990</v>
      </c>
      <c r="C847">
        <v>7.71</v>
      </c>
      <c r="D847">
        <v>0.2</v>
      </c>
      <c r="E847">
        <v>6</v>
      </c>
      <c r="F847">
        <f t="shared" si="65"/>
        <v>0</v>
      </c>
      <c r="G847">
        <f t="shared" si="66"/>
        <v>0</v>
      </c>
      <c r="H847">
        <f t="shared" si="67"/>
        <v>0</v>
      </c>
      <c r="I847">
        <f t="shared" si="68"/>
        <v>0</v>
      </c>
      <c r="J847">
        <f t="shared" si="69"/>
        <v>1</v>
      </c>
    </row>
    <row r="848" spans="1:10" x14ac:dyDescent="0.3">
      <c r="A848" s="1">
        <v>41970</v>
      </c>
      <c r="B848" s="1">
        <v>41972</v>
      </c>
      <c r="C848">
        <v>6.58</v>
      </c>
      <c r="D848">
        <v>0.17</v>
      </c>
      <c r="E848">
        <v>6</v>
      </c>
      <c r="F848">
        <f t="shared" si="65"/>
        <v>0</v>
      </c>
      <c r="G848">
        <f t="shared" si="66"/>
        <v>0</v>
      </c>
      <c r="H848">
        <f t="shared" si="67"/>
        <v>0</v>
      </c>
      <c r="I848">
        <f t="shared" si="68"/>
        <v>0</v>
      </c>
      <c r="J848">
        <f t="shared" si="69"/>
        <v>1</v>
      </c>
    </row>
    <row r="849" spans="1:10" x14ac:dyDescent="0.3">
      <c r="A849" s="1">
        <v>41970</v>
      </c>
      <c r="B849" s="1">
        <v>41986</v>
      </c>
      <c r="C849">
        <v>8.89</v>
      </c>
      <c r="D849">
        <v>0.23</v>
      </c>
      <c r="E849">
        <v>2</v>
      </c>
      <c r="F849">
        <f t="shared" si="65"/>
        <v>1</v>
      </c>
      <c r="G849">
        <f t="shared" si="66"/>
        <v>0</v>
      </c>
      <c r="H849">
        <f t="shared" si="67"/>
        <v>0</v>
      </c>
      <c r="I849">
        <f t="shared" si="68"/>
        <v>0</v>
      </c>
      <c r="J849">
        <f t="shared" si="69"/>
        <v>0</v>
      </c>
    </row>
    <row r="850" spans="1:10" x14ac:dyDescent="0.3">
      <c r="A850" s="1">
        <v>41970</v>
      </c>
      <c r="B850" s="1">
        <v>41986</v>
      </c>
      <c r="C850">
        <v>5.47</v>
      </c>
      <c r="D850">
        <v>0.14000000000000001</v>
      </c>
      <c r="E850">
        <v>4</v>
      </c>
      <c r="F850">
        <f t="shared" si="65"/>
        <v>0</v>
      </c>
      <c r="G850">
        <f t="shared" si="66"/>
        <v>0</v>
      </c>
      <c r="H850">
        <f t="shared" si="67"/>
        <v>1</v>
      </c>
      <c r="I850">
        <f t="shared" si="68"/>
        <v>0</v>
      </c>
      <c r="J850">
        <f t="shared" si="69"/>
        <v>0</v>
      </c>
    </row>
    <row r="851" spans="1:10" x14ac:dyDescent="0.3">
      <c r="A851" s="1">
        <v>41971</v>
      </c>
      <c r="B851" s="1">
        <v>41987</v>
      </c>
      <c r="C851">
        <v>12.01</v>
      </c>
      <c r="D851">
        <v>0.32</v>
      </c>
      <c r="E851">
        <v>2</v>
      </c>
      <c r="F851">
        <f t="shared" si="65"/>
        <v>1</v>
      </c>
      <c r="G851">
        <f t="shared" si="66"/>
        <v>0</v>
      </c>
      <c r="H851">
        <f t="shared" si="67"/>
        <v>0</v>
      </c>
      <c r="I851">
        <f t="shared" si="68"/>
        <v>0</v>
      </c>
      <c r="J851">
        <f t="shared" si="69"/>
        <v>0</v>
      </c>
    </row>
    <row r="852" spans="1:10" x14ac:dyDescent="0.3">
      <c r="A852" s="1">
        <v>41971</v>
      </c>
      <c r="B852" s="1">
        <v>41976</v>
      </c>
      <c r="C852">
        <v>11.44</v>
      </c>
      <c r="D852">
        <v>0.3</v>
      </c>
      <c r="E852">
        <v>3</v>
      </c>
      <c r="F852">
        <f t="shared" si="65"/>
        <v>0</v>
      </c>
      <c r="G852">
        <f t="shared" si="66"/>
        <v>1</v>
      </c>
      <c r="H852">
        <f t="shared" si="67"/>
        <v>0</v>
      </c>
      <c r="I852">
        <f t="shared" si="68"/>
        <v>0</v>
      </c>
      <c r="J852">
        <f t="shared" si="69"/>
        <v>0</v>
      </c>
    </row>
    <row r="853" spans="1:10" x14ac:dyDescent="0.3">
      <c r="A853" s="1">
        <v>41971</v>
      </c>
      <c r="B853" s="1">
        <v>41986</v>
      </c>
      <c r="C853">
        <v>14.13</v>
      </c>
      <c r="D853">
        <v>0.37</v>
      </c>
      <c r="E853">
        <v>3</v>
      </c>
      <c r="F853">
        <f t="shared" si="65"/>
        <v>0</v>
      </c>
      <c r="G853">
        <f t="shared" si="66"/>
        <v>1</v>
      </c>
      <c r="H853">
        <f t="shared" si="67"/>
        <v>0</v>
      </c>
      <c r="I853">
        <f t="shared" si="68"/>
        <v>0</v>
      </c>
      <c r="J853">
        <f t="shared" si="69"/>
        <v>0</v>
      </c>
    </row>
    <row r="854" spans="1:10" x14ac:dyDescent="0.3">
      <c r="A854" s="1">
        <v>41971</v>
      </c>
      <c r="B854" s="1">
        <v>41983</v>
      </c>
      <c r="C854">
        <v>8.9499999999999993</v>
      </c>
      <c r="D854">
        <v>0.24</v>
      </c>
      <c r="E854">
        <v>6</v>
      </c>
      <c r="F854">
        <f t="shared" si="65"/>
        <v>0</v>
      </c>
      <c r="G854">
        <f t="shared" si="66"/>
        <v>0</v>
      </c>
      <c r="H854">
        <f t="shared" si="67"/>
        <v>0</v>
      </c>
      <c r="I854">
        <f t="shared" si="68"/>
        <v>0</v>
      </c>
      <c r="J854">
        <f t="shared" si="69"/>
        <v>1</v>
      </c>
    </row>
    <row r="855" spans="1:10" x14ac:dyDescent="0.3">
      <c r="A855" s="1">
        <v>41971</v>
      </c>
      <c r="B855" s="1">
        <v>41973</v>
      </c>
      <c r="C855">
        <v>8.89</v>
      </c>
      <c r="D855">
        <v>0.23</v>
      </c>
      <c r="E855">
        <v>2</v>
      </c>
      <c r="F855">
        <f t="shared" si="65"/>
        <v>1</v>
      </c>
      <c r="G855">
        <f t="shared" si="66"/>
        <v>0</v>
      </c>
      <c r="H855">
        <f t="shared" si="67"/>
        <v>0</v>
      </c>
      <c r="I855">
        <f t="shared" si="68"/>
        <v>0</v>
      </c>
      <c r="J855">
        <f t="shared" si="69"/>
        <v>0</v>
      </c>
    </row>
    <row r="856" spans="1:10" x14ac:dyDescent="0.3">
      <c r="A856" s="1">
        <v>41971</v>
      </c>
      <c r="B856" s="1">
        <v>41975</v>
      </c>
      <c r="C856">
        <v>6.43</v>
      </c>
      <c r="D856">
        <v>0.17</v>
      </c>
      <c r="E856">
        <v>5</v>
      </c>
      <c r="F856">
        <f t="shared" si="65"/>
        <v>0</v>
      </c>
      <c r="G856">
        <f t="shared" si="66"/>
        <v>0</v>
      </c>
      <c r="H856">
        <f t="shared" si="67"/>
        <v>0</v>
      </c>
      <c r="I856">
        <f t="shared" si="68"/>
        <v>1</v>
      </c>
      <c r="J856">
        <f t="shared" si="69"/>
        <v>0</v>
      </c>
    </row>
    <row r="857" spans="1:10" x14ac:dyDescent="0.3">
      <c r="A857" s="1">
        <v>41971</v>
      </c>
      <c r="B857" s="1">
        <v>41974</v>
      </c>
      <c r="C857">
        <v>3.94</v>
      </c>
      <c r="D857">
        <v>0.1</v>
      </c>
      <c r="E857">
        <v>3</v>
      </c>
      <c r="F857">
        <f t="shared" si="65"/>
        <v>0</v>
      </c>
      <c r="G857">
        <f t="shared" si="66"/>
        <v>1</v>
      </c>
      <c r="H857">
        <f t="shared" si="67"/>
        <v>0</v>
      </c>
      <c r="I857">
        <f t="shared" si="68"/>
        <v>0</v>
      </c>
      <c r="J857">
        <f t="shared" si="69"/>
        <v>0</v>
      </c>
    </row>
    <row r="858" spans="1:10" x14ac:dyDescent="0.3">
      <c r="A858" s="1">
        <v>41971</v>
      </c>
      <c r="B858" s="1">
        <v>41973</v>
      </c>
      <c r="C858">
        <v>6.23</v>
      </c>
      <c r="D858">
        <v>0.16</v>
      </c>
      <c r="E858">
        <v>3</v>
      </c>
      <c r="F858">
        <f t="shared" si="65"/>
        <v>0</v>
      </c>
      <c r="G858">
        <f t="shared" si="66"/>
        <v>1</v>
      </c>
      <c r="H858">
        <f t="shared" si="67"/>
        <v>0</v>
      </c>
      <c r="I858">
        <f t="shared" si="68"/>
        <v>0</v>
      </c>
      <c r="J858">
        <f t="shared" si="69"/>
        <v>0</v>
      </c>
    </row>
    <row r="859" spans="1:10" x14ac:dyDescent="0.3">
      <c r="A859" s="1">
        <v>41971</v>
      </c>
      <c r="B859" s="1">
        <v>41999</v>
      </c>
      <c r="C859">
        <v>13.82</v>
      </c>
      <c r="D859">
        <v>0.36</v>
      </c>
      <c r="E859">
        <v>3</v>
      </c>
      <c r="F859">
        <f t="shared" si="65"/>
        <v>0</v>
      </c>
      <c r="G859">
        <f t="shared" si="66"/>
        <v>1</v>
      </c>
      <c r="H859">
        <f t="shared" si="67"/>
        <v>0</v>
      </c>
      <c r="I859">
        <f t="shared" si="68"/>
        <v>0</v>
      </c>
      <c r="J859">
        <f t="shared" si="69"/>
        <v>0</v>
      </c>
    </row>
    <row r="860" spans="1:10" x14ac:dyDescent="0.3">
      <c r="A860" s="1">
        <v>41971</v>
      </c>
      <c r="B860" s="1">
        <v>41987</v>
      </c>
      <c r="C860">
        <v>4.66</v>
      </c>
      <c r="D860">
        <v>0.12</v>
      </c>
      <c r="E860">
        <v>4</v>
      </c>
      <c r="F860">
        <f t="shared" si="65"/>
        <v>0</v>
      </c>
      <c r="G860">
        <f t="shared" si="66"/>
        <v>0</v>
      </c>
      <c r="H860">
        <f t="shared" si="67"/>
        <v>1</v>
      </c>
      <c r="I860">
        <f t="shared" si="68"/>
        <v>0</v>
      </c>
      <c r="J860">
        <f t="shared" si="69"/>
        <v>0</v>
      </c>
    </row>
    <row r="861" spans="1:10" x14ac:dyDescent="0.3">
      <c r="A861" s="1">
        <v>41971</v>
      </c>
      <c r="B861" s="1">
        <v>41998</v>
      </c>
      <c r="C861">
        <v>6.58</v>
      </c>
      <c r="D861">
        <v>0.17</v>
      </c>
      <c r="E861">
        <v>6</v>
      </c>
      <c r="F861">
        <f t="shared" si="65"/>
        <v>0</v>
      </c>
      <c r="G861">
        <f t="shared" si="66"/>
        <v>0</v>
      </c>
      <c r="H861">
        <f t="shared" si="67"/>
        <v>0</v>
      </c>
      <c r="I861">
        <f t="shared" si="68"/>
        <v>0</v>
      </c>
      <c r="J861">
        <f t="shared" si="69"/>
        <v>1</v>
      </c>
    </row>
    <row r="862" spans="1:10" x14ac:dyDescent="0.3">
      <c r="A862" s="1">
        <v>41971</v>
      </c>
      <c r="B862" s="1">
        <v>41987</v>
      </c>
      <c r="C862">
        <v>5.23</v>
      </c>
      <c r="D862">
        <v>0.14000000000000001</v>
      </c>
      <c r="E862">
        <v>2</v>
      </c>
      <c r="F862">
        <f t="shared" si="65"/>
        <v>1</v>
      </c>
      <c r="G862">
        <f t="shared" si="66"/>
        <v>0</v>
      </c>
      <c r="H862">
        <f t="shared" si="67"/>
        <v>0</v>
      </c>
      <c r="I862">
        <f t="shared" si="68"/>
        <v>0</v>
      </c>
      <c r="J862">
        <f t="shared" si="69"/>
        <v>0</v>
      </c>
    </row>
    <row r="863" spans="1:10" x14ac:dyDescent="0.3">
      <c r="A863" s="1">
        <v>41971</v>
      </c>
      <c r="B863" s="1">
        <v>41999</v>
      </c>
      <c r="C863">
        <v>14</v>
      </c>
      <c r="D863">
        <v>0.37</v>
      </c>
      <c r="E863">
        <v>6</v>
      </c>
      <c r="F863">
        <f t="shared" si="65"/>
        <v>0</v>
      </c>
      <c r="G863">
        <f t="shared" si="66"/>
        <v>0</v>
      </c>
      <c r="H863">
        <f t="shared" si="67"/>
        <v>0</v>
      </c>
      <c r="I863">
        <f t="shared" si="68"/>
        <v>0</v>
      </c>
      <c r="J863">
        <f t="shared" si="69"/>
        <v>1</v>
      </c>
    </row>
    <row r="864" spans="1:10" x14ac:dyDescent="0.3">
      <c r="A864" s="1">
        <v>41971</v>
      </c>
      <c r="B864" s="1">
        <v>41993</v>
      </c>
      <c r="C864">
        <v>8.65</v>
      </c>
      <c r="D864">
        <v>0.23</v>
      </c>
      <c r="E864">
        <v>2</v>
      </c>
      <c r="F864">
        <f t="shared" si="65"/>
        <v>1</v>
      </c>
      <c r="G864">
        <f t="shared" si="66"/>
        <v>0</v>
      </c>
      <c r="H864">
        <f t="shared" si="67"/>
        <v>0</v>
      </c>
      <c r="I864">
        <f t="shared" si="68"/>
        <v>0</v>
      </c>
      <c r="J864">
        <f t="shared" si="69"/>
        <v>0</v>
      </c>
    </row>
    <row r="865" spans="1:10" x14ac:dyDescent="0.3">
      <c r="A865" s="1">
        <v>41971</v>
      </c>
      <c r="B865" s="1">
        <v>41988</v>
      </c>
      <c r="C865">
        <v>19.54</v>
      </c>
      <c r="D865">
        <v>0.51</v>
      </c>
      <c r="E865">
        <v>6</v>
      </c>
      <c r="F865">
        <f t="shared" si="65"/>
        <v>0</v>
      </c>
      <c r="G865">
        <f t="shared" si="66"/>
        <v>0</v>
      </c>
      <c r="H865">
        <f t="shared" si="67"/>
        <v>0</v>
      </c>
      <c r="I865">
        <f t="shared" si="68"/>
        <v>0</v>
      </c>
      <c r="J865">
        <f t="shared" si="69"/>
        <v>1</v>
      </c>
    </row>
    <row r="866" spans="1:10" x14ac:dyDescent="0.3">
      <c r="A866" s="1">
        <v>41971</v>
      </c>
      <c r="B866" s="1">
        <v>41994</v>
      </c>
      <c r="C866">
        <v>8.83</v>
      </c>
      <c r="D866">
        <v>0.23</v>
      </c>
      <c r="E866">
        <v>2</v>
      </c>
      <c r="F866">
        <f t="shared" si="65"/>
        <v>1</v>
      </c>
      <c r="G866">
        <f t="shared" si="66"/>
        <v>0</v>
      </c>
      <c r="H866">
        <f t="shared" si="67"/>
        <v>0</v>
      </c>
      <c r="I866">
        <f t="shared" si="68"/>
        <v>0</v>
      </c>
      <c r="J866">
        <f t="shared" si="69"/>
        <v>0</v>
      </c>
    </row>
    <row r="867" spans="1:10" x14ac:dyDescent="0.3">
      <c r="A867" s="1">
        <v>41971</v>
      </c>
      <c r="B867" s="1">
        <v>41994</v>
      </c>
      <c r="C867">
        <v>5.64</v>
      </c>
      <c r="D867">
        <v>0.15</v>
      </c>
      <c r="E867">
        <v>3</v>
      </c>
      <c r="F867">
        <f t="shared" si="65"/>
        <v>0</v>
      </c>
      <c r="G867">
        <f t="shared" si="66"/>
        <v>1</v>
      </c>
      <c r="H867">
        <f t="shared" si="67"/>
        <v>0</v>
      </c>
      <c r="I867">
        <f t="shared" si="68"/>
        <v>0</v>
      </c>
      <c r="J867">
        <f t="shared" si="69"/>
        <v>0</v>
      </c>
    </row>
    <row r="868" spans="1:10" x14ac:dyDescent="0.3">
      <c r="A868" s="1">
        <v>41971</v>
      </c>
      <c r="B868" s="1">
        <v>41995</v>
      </c>
      <c r="C868">
        <v>8.89</v>
      </c>
      <c r="D868">
        <v>0.23</v>
      </c>
      <c r="E868">
        <v>4</v>
      </c>
      <c r="F868">
        <f t="shared" si="65"/>
        <v>0</v>
      </c>
      <c r="G868">
        <f t="shared" si="66"/>
        <v>0</v>
      </c>
      <c r="H868">
        <f t="shared" si="67"/>
        <v>1</v>
      </c>
      <c r="I868">
        <f t="shared" si="68"/>
        <v>0</v>
      </c>
      <c r="J868">
        <f t="shared" si="69"/>
        <v>0</v>
      </c>
    </row>
    <row r="869" spans="1:10" x14ac:dyDescent="0.3">
      <c r="A869" s="1">
        <v>41971</v>
      </c>
      <c r="B869" s="1">
        <v>41981</v>
      </c>
      <c r="C869">
        <v>16.829999999999998</v>
      </c>
      <c r="D869">
        <v>0.44</v>
      </c>
      <c r="E869">
        <v>2</v>
      </c>
      <c r="F869">
        <f t="shared" si="65"/>
        <v>1</v>
      </c>
      <c r="G869">
        <f t="shared" si="66"/>
        <v>0</v>
      </c>
      <c r="H869">
        <f t="shared" si="67"/>
        <v>0</v>
      </c>
      <c r="I869">
        <f t="shared" si="68"/>
        <v>0</v>
      </c>
      <c r="J869">
        <f t="shared" si="69"/>
        <v>0</v>
      </c>
    </row>
    <row r="870" spans="1:10" x14ac:dyDescent="0.3">
      <c r="A870" s="1">
        <v>41971</v>
      </c>
      <c r="B870" s="1">
        <v>41982</v>
      </c>
      <c r="C870">
        <v>11.42</v>
      </c>
      <c r="D870">
        <v>0.3</v>
      </c>
      <c r="E870">
        <v>2</v>
      </c>
      <c r="F870">
        <f t="shared" si="65"/>
        <v>1</v>
      </c>
      <c r="G870">
        <f t="shared" si="66"/>
        <v>0</v>
      </c>
      <c r="H870">
        <f t="shared" si="67"/>
        <v>0</v>
      </c>
      <c r="I870">
        <f t="shared" si="68"/>
        <v>0</v>
      </c>
      <c r="J870">
        <f t="shared" si="69"/>
        <v>0</v>
      </c>
    </row>
    <row r="871" spans="1:10" x14ac:dyDescent="0.3">
      <c r="A871" s="1">
        <v>41972</v>
      </c>
      <c r="B871" s="1">
        <v>41979</v>
      </c>
      <c r="C871">
        <v>5.64</v>
      </c>
      <c r="D871">
        <v>0.15</v>
      </c>
      <c r="E871">
        <v>3</v>
      </c>
      <c r="F871">
        <f t="shared" si="65"/>
        <v>0</v>
      </c>
      <c r="G871">
        <f t="shared" si="66"/>
        <v>1</v>
      </c>
      <c r="H871">
        <f t="shared" si="67"/>
        <v>0</v>
      </c>
      <c r="I871">
        <f t="shared" si="68"/>
        <v>0</v>
      </c>
      <c r="J871">
        <f t="shared" si="69"/>
        <v>0</v>
      </c>
    </row>
    <row r="872" spans="1:10" x14ac:dyDescent="0.3">
      <c r="A872" s="1">
        <v>41974</v>
      </c>
      <c r="B872" s="1">
        <v>41985</v>
      </c>
      <c r="C872">
        <v>8.7200000000000006</v>
      </c>
      <c r="D872">
        <v>0.23</v>
      </c>
      <c r="E872">
        <v>6</v>
      </c>
      <c r="F872">
        <f t="shared" si="65"/>
        <v>0</v>
      </c>
      <c r="G872">
        <f t="shared" si="66"/>
        <v>0</v>
      </c>
      <c r="H872">
        <f t="shared" si="67"/>
        <v>0</v>
      </c>
      <c r="I872">
        <f t="shared" si="68"/>
        <v>0</v>
      </c>
      <c r="J872">
        <f t="shared" si="69"/>
        <v>1</v>
      </c>
    </row>
    <row r="873" spans="1:10" x14ac:dyDescent="0.3">
      <c r="A873" s="1">
        <v>41974</v>
      </c>
      <c r="B873" s="1">
        <v>41994</v>
      </c>
      <c r="C873">
        <v>5.67</v>
      </c>
      <c r="D873">
        <v>0.15</v>
      </c>
      <c r="E873">
        <v>5</v>
      </c>
      <c r="F873">
        <f t="shared" si="65"/>
        <v>0</v>
      </c>
      <c r="G873">
        <f t="shared" si="66"/>
        <v>0</v>
      </c>
      <c r="H873">
        <f t="shared" si="67"/>
        <v>0</v>
      </c>
      <c r="I873">
        <f t="shared" si="68"/>
        <v>1</v>
      </c>
      <c r="J873">
        <f t="shared" si="69"/>
        <v>0</v>
      </c>
    </row>
    <row r="874" spans="1:10" x14ac:dyDescent="0.3">
      <c r="A874" s="1">
        <v>41974</v>
      </c>
      <c r="B874" s="1">
        <v>41995</v>
      </c>
      <c r="C874">
        <v>3.88</v>
      </c>
      <c r="D874">
        <v>0.1</v>
      </c>
      <c r="E874">
        <v>5</v>
      </c>
      <c r="F874">
        <f t="shared" si="65"/>
        <v>0</v>
      </c>
      <c r="G874">
        <f t="shared" si="66"/>
        <v>0</v>
      </c>
      <c r="H874">
        <f t="shared" si="67"/>
        <v>0</v>
      </c>
      <c r="I874">
        <f t="shared" si="68"/>
        <v>1</v>
      </c>
      <c r="J874">
        <f t="shared" si="69"/>
        <v>0</v>
      </c>
    </row>
    <row r="875" spans="1:10" x14ac:dyDescent="0.3">
      <c r="A875" s="1">
        <v>41974</v>
      </c>
      <c r="B875" s="1">
        <v>41989</v>
      </c>
      <c r="C875">
        <v>6.58</v>
      </c>
      <c r="D875">
        <v>0.17</v>
      </c>
      <c r="E875">
        <v>5</v>
      </c>
      <c r="F875">
        <f t="shared" si="65"/>
        <v>0</v>
      </c>
      <c r="G875">
        <f t="shared" si="66"/>
        <v>0</v>
      </c>
      <c r="H875">
        <f t="shared" si="67"/>
        <v>0</v>
      </c>
      <c r="I875">
        <f t="shared" si="68"/>
        <v>1</v>
      </c>
      <c r="J875">
        <f t="shared" si="69"/>
        <v>0</v>
      </c>
    </row>
    <row r="876" spans="1:10" x14ac:dyDescent="0.3">
      <c r="A876" s="1">
        <v>41974</v>
      </c>
      <c r="B876" s="1">
        <v>41994</v>
      </c>
      <c r="C876">
        <v>5.67</v>
      </c>
      <c r="D876">
        <v>0.15</v>
      </c>
      <c r="E876">
        <v>2</v>
      </c>
      <c r="F876">
        <f t="shared" si="65"/>
        <v>1</v>
      </c>
      <c r="G876">
        <f t="shared" si="66"/>
        <v>0</v>
      </c>
      <c r="H876">
        <f t="shared" si="67"/>
        <v>0</v>
      </c>
      <c r="I876">
        <f t="shared" si="68"/>
        <v>0</v>
      </c>
      <c r="J876">
        <f t="shared" si="69"/>
        <v>0</v>
      </c>
    </row>
    <row r="877" spans="1:10" x14ac:dyDescent="0.3">
      <c r="A877" s="1">
        <v>41974</v>
      </c>
      <c r="B877" s="1">
        <v>41994</v>
      </c>
      <c r="C877">
        <v>6.34</v>
      </c>
      <c r="D877">
        <v>0.17</v>
      </c>
      <c r="E877">
        <v>6</v>
      </c>
      <c r="F877">
        <f t="shared" si="65"/>
        <v>0</v>
      </c>
      <c r="G877">
        <f t="shared" si="66"/>
        <v>0</v>
      </c>
      <c r="H877">
        <f t="shared" si="67"/>
        <v>0</v>
      </c>
      <c r="I877">
        <f t="shared" si="68"/>
        <v>0</v>
      </c>
      <c r="J877">
        <f t="shared" si="69"/>
        <v>1</v>
      </c>
    </row>
    <row r="878" spans="1:10" x14ac:dyDescent="0.3">
      <c r="A878" s="1">
        <v>41974</v>
      </c>
      <c r="B878" s="1">
        <v>41985</v>
      </c>
      <c r="C878">
        <v>6.58</v>
      </c>
      <c r="D878">
        <v>0.17</v>
      </c>
      <c r="E878">
        <v>6</v>
      </c>
      <c r="F878">
        <f t="shared" si="65"/>
        <v>0</v>
      </c>
      <c r="G878">
        <f t="shared" si="66"/>
        <v>0</v>
      </c>
      <c r="H878">
        <f t="shared" si="67"/>
        <v>0</v>
      </c>
      <c r="I878">
        <f t="shared" si="68"/>
        <v>0</v>
      </c>
      <c r="J878">
        <f t="shared" si="69"/>
        <v>1</v>
      </c>
    </row>
    <row r="879" spans="1:10" x14ac:dyDescent="0.3">
      <c r="A879" s="1">
        <v>41975</v>
      </c>
      <c r="B879" s="1">
        <v>41977</v>
      </c>
      <c r="C879">
        <v>5.67</v>
      </c>
      <c r="D879">
        <v>0.15</v>
      </c>
      <c r="E879">
        <v>3</v>
      </c>
      <c r="F879">
        <f t="shared" si="65"/>
        <v>0</v>
      </c>
      <c r="G879">
        <f t="shared" si="66"/>
        <v>1</v>
      </c>
      <c r="H879">
        <f t="shared" si="67"/>
        <v>0</v>
      </c>
      <c r="I879">
        <f t="shared" si="68"/>
        <v>0</v>
      </c>
      <c r="J879">
        <f t="shared" si="69"/>
        <v>0</v>
      </c>
    </row>
    <row r="880" spans="1:10" x14ac:dyDescent="0.3">
      <c r="A880" s="1">
        <v>41975</v>
      </c>
      <c r="B880" s="1">
        <v>41981</v>
      </c>
      <c r="C880">
        <v>4.25</v>
      </c>
      <c r="D880">
        <v>0.11</v>
      </c>
      <c r="E880">
        <v>3</v>
      </c>
      <c r="F880">
        <f t="shared" si="65"/>
        <v>0</v>
      </c>
      <c r="G880">
        <f t="shared" si="66"/>
        <v>1</v>
      </c>
      <c r="H880">
        <f t="shared" si="67"/>
        <v>0</v>
      </c>
      <c r="I880">
        <f t="shared" si="68"/>
        <v>0</v>
      </c>
      <c r="J880">
        <f t="shared" si="69"/>
        <v>0</v>
      </c>
    </row>
    <row r="881" spans="1:10" x14ac:dyDescent="0.3">
      <c r="A881" s="1">
        <v>41975</v>
      </c>
      <c r="B881" s="1">
        <v>41992</v>
      </c>
      <c r="C881">
        <v>8.84</v>
      </c>
      <c r="D881">
        <v>0.23</v>
      </c>
      <c r="E881">
        <v>3</v>
      </c>
      <c r="F881">
        <f t="shared" si="65"/>
        <v>0</v>
      </c>
      <c r="G881">
        <f t="shared" si="66"/>
        <v>1</v>
      </c>
      <c r="H881">
        <f t="shared" si="67"/>
        <v>0</v>
      </c>
      <c r="I881">
        <f t="shared" si="68"/>
        <v>0</v>
      </c>
      <c r="J881">
        <f t="shared" si="69"/>
        <v>0</v>
      </c>
    </row>
    <row r="882" spans="1:10" x14ac:dyDescent="0.3">
      <c r="A882" s="1">
        <v>41975</v>
      </c>
      <c r="B882" s="1">
        <v>41990</v>
      </c>
      <c r="C882">
        <v>3.57</v>
      </c>
      <c r="D882">
        <v>0.09</v>
      </c>
      <c r="E882">
        <v>5</v>
      </c>
      <c r="F882">
        <f t="shared" si="65"/>
        <v>0</v>
      </c>
      <c r="G882">
        <f t="shared" si="66"/>
        <v>0</v>
      </c>
      <c r="H882">
        <f t="shared" si="67"/>
        <v>0</v>
      </c>
      <c r="I882">
        <f t="shared" si="68"/>
        <v>1</v>
      </c>
      <c r="J882">
        <f t="shared" si="69"/>
        <v>0</v>
      </c>
    </row>
    <row r="883" spans="1:10" x14ac:dyDescent="0.3">
      <c r="A883" s="1">
        <v>41975</v>
      </c>
      <c r="B883" s="1">
        <v>41990</v>
      </c>
      <c r="C883">
        <v>2.0099999999999998</v>
      </c>
      <c r="D883">
        <v>0.05</v>
      </c>
      <c r="E883">
        <v>2</v>
      </c>
      <c r="F883">
        <f t="shared" si="65"/>
        <v>1</v>
      </c>
      <c r="G883">
        <f t="shared" si="66"/>
        <v>0</v>
      </c>
      <c r="H883">
        <f t="shared" si="67"/>
        <v>0</v>
      </c>
      <c r="I883">
        <f t="shared" si="68"/>
        <v>0</v>
      </c>
      <c r="J883">
        <f t="shared" si="69"/>
        <v>0</v>
      </c>
    </row>
    <row r="884" spans="1:10" x14ac:dyDescent="0.3">
      <c r="A884" s="1">
        <v>41975</v>
      </c>
      <c r="B884" s="1">
        <v>41992</v>
      </c>
      <c r="C884">
        <v>3.73</v>
      </c>
      <c r="D884">
        <v>0.1</v>
      </c>
      <c r="E884">
        <v>3</v>
      </c>
      <c r="F884">
        <f t="shared" si="65"/>
        <v>0</v>
      </c>
      <c r="G884">
        <f t="shared" si="66"/>
        <v>1</v>
      </c>
      <c r="H884">
        <f t="shared" si="67"/>
        <v>0</v>
      </c>
      <c r="I884">
        <f t="shared" si="68"/>
        <v>0</v>
      </c>
      <c r="J884">
        <f t="shared" si="69"/>
        <v>0</v>
      </c>
    </row>
    <row r="885" spans="1:10" x14ac:dyDescent="0.3">
      <c r="A885" s="1">
        <v>41976</v>
      </c>
      <c r="B885" s="1">
        <v>41978</v>
      </c>
      <c r="C885">
        <v>3.57</v>
      </c>
      <c r="D885">
        <v>0.09</v>
      </c>
      <c r="E885">
        <v>5</v>
      </c>
      <c r="F885">
        <f t="shared" si="65"/>
        <v>0</v>
      </c>
      <c r="G885">
        <f t="shared" si="66"/>
        <v>0</v>
      </c>
      <c r="H885">
        <f t="shared" si="67"/>
        <v>0</v>
      </c>
      <c r="I885">
        <f t="shared" si="68"/>
        <v>1</v>
      </c>
      <c r="J885">
        <f t="shared" si="69"/>
        <v>0</v>
      </c>
    </row>
    <row r="886" spans="1:10" x14ac:dyDescent="0.3">
      <c r="A886" s="1">
        <v>41977</v>
      </c>
      <c r="B886" s="1">
        <v>41993</v>
      </c>
      <c r="C886">
        <v>6.58</v>
      </c>
      <c r="D886">
        <v>0.17</v>
      </c>
      <c r="E886">
        <v>4</v>
      </c>
      <c r="F886">
        <f t="shared" si="65"/>
        <v>0</v>
      </c>
      <c r="G886">
        <f t="shared" si="66"/>
        <v>0</v>
      </c>
      <c r="H886">
        <f t="shared" si="67"/>
        <v>1</v>
      </c>
      <c r="I886">
        <f t="shared" si="68"/>
        <v>0</v>
      </c>
      <c r="J886">
        <f t="shared" si="69"/>
        <v>0</v>
      </c>
    </row>
    <row r="887" spans="1:10" x14ac:dyDescent="0.3">
      <c r="A887" s="1">
        <v>41977</v>
      </c>
      <c r="B887" s="1">
        <v>42005</v>
      </c>
      <c r="C887">
        <v>5.64</v>
      </c>
      <c r="D887">
        <v>0.15</v>
      </c>
      <c r="E887">
        <v>6</v>
      </c>
      <c r="F887">
        <f t="shared" si="65"/>
        <v>0</v>
      </c>
      <c r="G887">
        <f t="shared" si="66"/>
        <v>0</v>
      </c>
      <c r="H887">
        <f t="shared" si="67"/>
        <v>0</v>
      </c>
      <c r="I887">
        <f t="shared" si="68"/>
        <v>0</v>
      </c>
      <c r="J887">
        <f t="shared" si="69"/>
        <v>1</v>
      </c>
    </row>
    <row r="888" spans="1:10" x14ac:dyDescent="0.3">
      <c r="A888" s="1">
        <v>41977</v>
      </c>
      <c r="B888" s="1">
        <v>41989</v>
      </c>
      <c r="C888">
        <v>3.88</v>
      </c>
      <c r="D888">
        <v>0.1</v>
      </c>
      <c r="E888">
        <v>2</v>
      </c>
      <c r="F888">
        <f t="shared" si="65"/>
        <v>1</v>
      </c>
      <c r="G888">
        <f t="shared" si="66"/>
        <v>0</v>
      </c>
      <c r="H888">
        <f t="shared" si="67"/>
        <v>0</v>
      </c>
      <c r="I888">
        <f t="shared" si="68"/>
        <v>0</v>
      </c>
      <c r="J888">
        <f t="shared" si="69"/>
        <v>0</v>
      </c>
    </row>
    <row r="889" spans="1:10" x14ac:dyDescent="0.3">
      <c r="A889" s="1">
        <v>41977</v>
      </c>
      <c r="B889" s="1">
        <v>42000</v>
      </c>
      <c r="C889">
        <v>3.79</v>
      </c>
      <c r="D889">
        <v>0.1</v>
      </c>
      <c r="E889">
        <v>6</v>
      </c>
      <c r="F889">
        <f t="shared" si="65"/>
        <v>0</v>
      </c>
      <c r="G889">
        <f t="shared" si="66"/>
        <v>0</v>
      </c>
      <c r="H889">
        <f t="shared" si="67"/>
        <v>0</v>
      </c>
      <c r="I889">
        <f t="shared" si="68"/>
        <v>0</v>
      </c>
      <c r="J889">
        <f t="shared" si="69"/>
        <v>1</v>
      </c>
    </row>
    <row r="890" spans="1:10" x14ac:dyDescent="0.3">
      <c r="A890" s="1">
        <v>41977</v>
      </c>
      <c r="B890" s="1">
        <v>41984</v>
      </c>
      <c r="C890">
        <v>11.37</v>
      </c>
      <c r="D890">
        <v>0.3</v>
      </c>
      <c r="E890">
        <v>2</v>
      </c>
      <c r="F890">
        <f t="shared" si="65"/>
        <v>1</v>
      </c>
      <c r="G890">
        <f t="shared" si="66"/>
        <v>0</v>
      </c>
      <c r="H890">
        <f t="shared" si="67"/>
        <v>0</v>
      </c>
      <c r="I890">
        <f t="shared" si="68"/>
        <v>0</v>
      </c>
      <c r="J890">
        <f t="shared" si="69"/>
        <v>0</v>
      </c>
    </row>
    <row r="891" spans="1:10" x14ac:dyDescent="0.3">
      <c r="A891" s="1">
        <v>41977</v>
      </c>
      <c r="B891" s="1">
        <v>41994</v>
      </c>
      <c r="C891">
        <v>16.55</v>
      </c>
      <c r="D891">
        <v>0.44</v>
      </c>
      <c r="E891">
        <v>6</v>
      </c>
      <c r="F891">
        <f t="shared" si="65"/>
        <v>0</v>
      </c>
      <c r="G891">
        <f t="shared" si="66"/>
        <v>0</v>
      </c>
      <c r="H891">
        <f t="shared" si="67"/>
        <v>0</v>
      </c>
      <c r="I891">
        <f t="shared" si="68"/>
        <v>0</v>
      </c>
      <c r="J891">
        <f t="shared" si="69"/>
        <v>1</v>
      </c>
    </row>
    <row r="892" spans="1:10" x14ac:dyDescent="0.3">
      <c r="A892" s="1">
        <v>41977</v>
      </c>
      <c r="B892" s="1">
        <v>42001</v>
      </c>
      <c r="C892">
        <v>6.88</v>
      </c>
      <c r="D892">
        <v>0.18</v>
      </c>
      <c r="E892">
        <v>4</v>
      </c>
      <c r="F892">
        <f t="shared" si="65"/>
        <v>0</v>
      </c>
      <c r="G892">
        <f t="shared" si="66"/>
        <v>0</v>
      </c>
      <c r="H892">
        <f t="shared" si="67"/>
        <v>1</v>
      </c>
      <c r="I892">
        <f t="shared" si="68"/>
        <v>0</v>
      </c>
      <c r="J892">
        <f t="shared" si="69"/>
        <v>0</v>
      </c>
    </row>
    <row r="893" spans="1:10" x14ac:dyDescent="0.3">
      <c r="A893" s="1">
        <v>41982</v>
      </c>
      <c r="B893" s="1">
        <v>42001</v>
      </c>
      <c r="C893">
        <v>5.64</v>
      </c>
      <c r="D893">
        <v>0.15</v>
      </c>
      <c r="E893">
        <v>4</v>
      </c>
      <c r="F893">
        <f t="shared" si="65"/>
        <v>0</v>
      </c>
      <c r="G893">
        <f t="shared" si="66"/>
        <v>0</v>
      </c>
      <c r="H893">
        <f t="shared" si="67"/>
        <v>1</v>
      </c>
      <c r="I893">
        <f t="shared" si="68"/>
        <v>0</v>
      </c>
      <c r="J893">
        <f t="shared" si="69"/>
        <v>0</v>
      </c>
    </row>
    <row r="894" spans="1:10" x14ac:dyDescent="0.3">
      <c r="A894" s="1">
        <v>41982</v>
      </c>
      <c r="B894" s="1">
        <v>42004</v>
      </c>
      <c r="C894">
        <v>3.57</v>
      </c>
      <c r="D894">
        <v>0.09</v>
      </c>
      <c r="E894">
        <v>4</v>
      </c>
      <c r="F894">
        <f t="shared" si="65"/>
        <v>0</v>
      </c>
      <c r="G894">
        <f t="shared" si="66"/>
        <v>0</v>
      </c>
      <c r="H894">
        <f t="shared" si="67"/>
        <v>1</v>
      </c>
      <c r="I894">
        <f t="shared" si="68"/>
        <v>0</v>
      </c>
      <c r="J894">
        <f t="shared" si="69"/>
        <v>0</v>
      </c>
    </row>
    <row r="895" spans="1:10" x14ac:dyDescent="0.3">
      <c r="A895" s="1">
        <v>41982</v>
      </c>
      <c r="B895" s="1">
        <v>42007</v>
      </c>
      <c r="C895">
        <v>9.4600000000000009</v>
      </c>
      <c r="D895">
        <v>0.25</v>
      </c>
      <c r="E895">
        <v>6</v>
      </c>
      <c r="F895">
        <f t="shared" si="65"/>
        <v>0</v>
      </c>
      <c r="G895">
        <f t="shared" si="66"/>
        <v>0</v>
      </c>
      <c r="H895">
        <f t="shared" si="67"/>
        <v>0</v>
      </c>
      <c r="I895">
        <f t="shared" si="68"/>
        <v>0</v>
      </c>
      <c r="J895">
        <f t="shared" si="69"/>
        <v>1</v>
      </c>
    </row>
    <row r="896" spans="1:10" x14ac:dyDescent="0.3">
      <c r="A896" s="1">
        <v>41982</v>
      </c>
      <c r="B896" s="1">
        <v>41992</v>
      </c>
      <c r="C896">
        <v>4.25</v>
      </c>
      <c r="D896">
        <v>0.11</v>
      </c>
      <c r="E896">
        <v>5</v>
      </c>
      <c r="F896">
        <f t="shared" si="65"/>
        <v>0</v>
      </c>
      <c r="G896">
        <f t="shared" si="66"/>
        <v>0</v>
      </c>
      <c r="H896">
        <f t="shared" si="67"/>
        <v>0</v>
      </c>
      <c r="I896">
        <f t="shared" si="68"/>
        <v>1</v>
      </c>
      <c r="J896">
        <f t="shared" si="69"/>
        <v>0</v>
      </c>
    </row>
    <row r="897" spans="1:10" x14ac:dyDescent="0.3">
      <c r="A897" s="1">
        <v>41982</v>
      </c>
      <c r="B897" s="1">
        <v>41988</v>
      </c>
      <c r="C897">
        <v>5.67</v>
      </c>
      <c r="D897">
        <v>0.15</v>
      </c>
      <c r="E897">
        <v>5</v>
      </c>
      <c r="F897">
        <f t="shared" si="65"/>
        <v>0</v>
      </c>
      <c r="G897">
        <f t="shared" si="66"/>
        <v>0</v>
      </c>
      <c r="H897">
        <f t="shared" si="67"/>
        <v>0</v>
      </c>
      <c r="I897">
        <f t="shared" si="68"/>
        <v>1</v>
      </c>
      <c r="J897">
        <f t="shared" si="69"/>
        <v>0</v>
      </c>
    </row>
    <row r="898" spans="1:10" x14ac:dyDescent="0.3">
      <c r="A898" s="1">
        <v>41982</v>
      </c>
      <c r="B898" s="1">
        <v>41999</v>
      </c>
      <c r="C898">
        <v>6.34</v>
      </c>
      <c r="D898">
        <v>0.17</v>
      </c>
      <c r="E898">
        <v>2</v>
      </c>
      <c r="F898">
        <f t="shared" si="65"/>
        <v>1</v>
      </c>
      <c r="G898">
        <f t="shared" si="66"/>
        <v>0</v>
      </c>
      <c r="H898">
        <f t="shared" si="67"/>
        <v>0</v>
      </c>
      <c r="I898">
        <f t="shared" si="68"/>
        <v>0</v>
      </c>
      <c r="J898">
        <f t="shared" si="69"/>
        <v>0</v>
      </c>
    </row>
    <row r="899" spans="1:10" x14ac:dyDescent="0.3">
      <c r="A899" s="1">
        <v>41982</v>
      </c>
      <c r="B899" s="1">
        <v>41991</v>
      </c>
      <c r="C899">
        <v>14.13</v>
      </c>
      <c r="D899">
        <v>0.37</v>
      </c>
      <c r="E899">
        <v>6</v>
      </c>
      <c r="F899">
        <f t="shared" ref="F899:F962" si="70">IF(EXACT(E899,2),1,0)</f>
        <v>0</v>
      </c>
      <c r="G899">
        <f t="shared" ref="G899:G962" si="71">IF(EXACT(E899,3),1,0)</f>
        <v>0</v>
      </c>
      <c r="H899">
        <f t="shared" ref="H899:H962" si="72">IF(EXACT(E899,4),1,0)</f>
        <v>0</v>
      </c>
      <c r="I899">
        <f t="shared" ref="I899:I962" si="73">IF(EXACT(E899,5),1,0)</f>
        <v>0</v>
      </c>
      <c r="J899">
        <f t="shared" ref="J899:J962" si="74">IF(EXACT(E899,6),1,0)</f>
        <v>1</v>
      </c>
    </row>
    <row r="900" spans="1:10" x14ac:dyDescent="0.3">
      <c r="A900" s="1">
        <v>41982</v>
      </c>
      <c r="B900" s="1">
        <v>42007</v>
      </c>
      <c r="C900">
        <v>8.83</v>
      </c>
      <c r="D900">
        <v>0.23</v>
      </c>
      <c r="E900">
        <v>5</v>
      </c>
      <c r="F900">
        <f t="shared" si="70"/>
        <v>0</v>
      </c>
      <c r="G900">
        <f t="shared" si="71"/>
        <v>0</v>
      </c>
      <c r="H900">
        <f t="shared" si="72"/>
        <v>0</v>
      </c>
      <c r="I900">
        <f t="shared" si="73"/>
        <v>1</v>
      </c>
      <c r="J900">
        <f t="shared" si="74"/>
        <v>0</v>
      </c>
    </row>
    <row r="901" spans="1:10" x14ac:dyDescent="0.3">
      <c r="A901" s="1">
        <v>41982</v>
      </c>
      <c r="B901" s="1">
        <v>42003</v>
      </c>
      <c r="C901">
        <v>7.31</v>
      </c>
      <c r="D901">
        <v>0.19</v>
      </c>
      <c r="E901">
        <v>2</v>
      </c>
      <c r="F901">
        <f t="shared" si="70"/>
        <v>1</v>
      </c>
      <c r="G901">
        <f t="shared" si="71"/>
        <v>0</v>
      </c>
      <c r="H901">
        <f t="shared" si="72"/>
        <v>0</v>
      </c>
      <c r="I901">
        <f t="shared" si="73"/>
        <v>0</v>
      </c>
      <c r="J901">
        <f t="shared" si="74"/>
        <v>0</v>
      </c>
    </row>
    <row r="902" spans="1:10" x14ac:dyDescent="0.3">
      <c r="A902" s="1">
        <v>41982</v>
      </c>
      <c r="B902" s="1">
        <v>41997</v>
      </c>
      <c r="C902">
        <v>9.74</v>
      </c>
      <c r="D902">
        <v>0.26</v>
      </c>
      <c r="E902">
        <v>6</v>
      </c>
      <c r="F902">
        <f t="shared" si="70"/>
        <v>0</v>
      </c>
      <c r="G902">
        <f t="shared" si="71"/>
        <v>0</v>
      </c>
      <c r="H902">
        <f t="shared" si="72"/>
        <v>0</v>
      </c>
      <c r="I902">
        <f t="shared" si="73"/>
        <v>0</v>
      </c>
      <c r="J902">
        <f t="shared" si="74"/>
        <v>1</v>
      </c>
    </row>
    <row r="903" spans="1:10" x14ac:dyDescent="0.3">
      <c r="A903" s="1">
        <v>41982</v>
      </c>
      <c r="B903" s="1">
        <v>42006</v>
      </c>
      <c r="C903">
        <v>11.42</v>
      </c>
      <c r="D903">
        <v>0.3</v>
      </c>
      <c r="E903">
        <v>4</v>
      </c>
      <c r="F903">
        <f t="shared" si="70"/>
        <v>0</v>
      </c>
      <c r="G903">
        <f t="shared" si="71"/>
        <v>0</v>
      </c>
      <c r="H903">
        <f t="shared" si="72"/>
        <v>1</v>
      </c>
      <c r="I903">
        <f t="shared" si="73"/>
        <v>0</v>
      </c>
      <c r="J903">
        <f t="shared" si="74"/>
        <v>0</v>
      </c>
    </row>
    <row r="904" spans="1:10" x14ac:dyDescent="0.3">
      <c r="A904" s="1">
        <v>41982</v>
      </c>
      <c r="B904" s="1">
        <v>41995</v>
      </c>
      <c r="C904">
        <v>11.44</v>
      </c>
      <c r="D904">
        <v>0.3</v>
      </c>
      <c r="E904">
        <v>4</v>
      </c>
      <c r="F904">
        <f t="shared" si="70"/>
        <v>0</v>
      </c>
      <c r="G904">
        <f t="shared" si="71"/>
        <v>0</v>
      </c>
      <c r="H904">
        <f t="shared" si="72"/>
        <v>1</v>
      </c>
      <c r="I904">
        <f t="shared" si="73"/>
        <v>0</v>
      </c>
      <c r="J904">
        <f t="shared" si="74"/>
        <v>0</v>
      </c>
    </row>
    <row r="905" spans="1:10" x14ac:dyDescent="0.3">
      <c r="A905" s="1">
        <v>41982</v>
      </c>
      <c r="B905" s="1">
        <v>41988</v>
      </c>
      <c r="C905">
        <v>7.35</v>
      </c>
      <c r="D905">
        <v>0.19</v>
      </c>
      <c r="E905">
        <v>3</v>
      </c>
      <c r="F905">
        <f t="shared" si="70"/>
        <v>0</v>
      </c>
      <c r="G905">
        <f t="shared" si="71"/>
        <v>1</v>
      </c>
      <c r="H905">
        <f t="shared" si="72"/>
        <v>0</v>
      </c>
      <c r="I905">
        <f t="shared" si="73"/>
        <v>0</v>
      </c>
      <c r="J905">
        <f t="shared" si="74"/>
        <v>0</v>
      </c>
    </row>
    <row r="906" spans="1:10" x14ac:dyDescent="0.3">
      <c r="A906" s="1">
        <v>41982</v>
      </c>
      <c r="B906" s="1">
        <v>41993</v>
      </c>
      <c r="C906">
        <v>7.3</v>
      </c>
      <c r="D906">
        <v>0.19</v>
      </c>
      <c r="E906">
        <v>2</v>
      </c>
      <c r="F906">
        <f t="shared" si="70"/>
        <v>1</v>
      </c>
      <c r="G906">
        <f t="shared" si="71"/>
        <v>0</v>
      </c>
      <c r="H906">
        <f t="shared" si="72"/>
        <v>0</v>
      </c>
      <c r="I906">
        <f t="shared" si="73"/>
        <v>0</v>
      </c>
      <c r="J906">
        <f t="shared" si="74"/>
        <v>0</v>
      </c>
    </row>
    <row r="907" spans="1:10" x14ac:dyDescent="0.3">
      <c r="A907" s="1">
        <v>41982</v>
      </c>
      <c r="B907" s="1">
        <v>41989</v>
      </c>
      <c r="C907">
        <v>8.65</v>
      </c>
      <c r="D907">
        <v>0.23</v>
      </c>
      <c r="E907">
        <v>4</v>
      </c>
      <c r="F907">
        <f t="shared" si="70"/>
        <v>0</v>
      </c>
      <c r="G907">
        <f t="shared" si="71"/>
        <v>0</v>
      </c>
      <c r="H907">
        <f t="shared" si="72"/>
        <v>1</v>
      </c>
      <c r="I907">
        <f t="shared" si="73"/>
        <v>0</v>
      </c>
      <c r="J907">
        <f t="shared" si="74"/>
        <v>0</v>
      </c>
    </row>
    <row r="908" spans="1:10" x14ac:dyDescent="0.3">
      <c r="A908" s="1">
        <v>41982</v>
      </c>
      <c r="B908" s="1">
        <v>41991</v>
      </c>
      <c r="C908">
        <v>8.39</v>
      </c>
      <c r="D908">
        <v>0.22</v>
      </c>
      <c r="E908">
        <v>2</v>
      </c>
      <c r="F908">
        <f t="shared" si="70"/>
        <v>1</v>
      </c>
      <c r="G908">
        <f t="shared" si="71"/>
        <v>0</v>
      </c>
      <c r="H908">
        <f t="shared" si="72"/>
        <v>0</v>
      </c>
      <c r="I908">
        <f t="shared" si="73"/>
        <v>0</v>
      </c>
      <c r="J908">
        <f t="shared" si="74"/>
        <v>0</v>
      </c>
    </row>
    <row r="909" spans="1:10" x14ac:dyDescent="0.3">
      <c r="A909" s="1">
        <v>41982</v>
      </c>
      <c r="B909" s="1">
        <v>41993</v>
      </c>
      <c r="C909">
        <v>11.42</v>
      </c>
      <c r="D909">
        <v>0.3</v>
      </c>
      <c r="E909">
        <v>3</v>
      </c>
      <c r="F909">
        <f t="shared" si="70"/>
        <v>0</v>
      </c>
      <c r="G909">
        <f t="shared" si="71"/>
        <v>1</v>
      </c>
      <c r="H909">
        <f t="shared" si="72"/>
        <v>0</v>
      </c>
      <c r="I909">
        <f t="shared" si="73"/>
        <v>0</v>
      </c>
      <c r="J909">
        <f t="shared" si="74"/>
        <v>0</v>
      </c>
    </row>
    <row r="910" spans="1:10" x14ac:dyDescent="0.3">
      <c r="A910" s="1">
        <v>41982</v>
      </c>
      <c r="B910" s="1">
        <v>41994</v>
      </c>
      <c r="C910">
        <v>9.74</v>
      </c>
      <c r="D910">
        <v>0.26</v>
      </c>
      <c r="E910">
        <v>2</v>
      </c>
      <c r="F910">
        <f t="shared" si="70"/>
        <v>1</v>
      </c>
      <c r="G910">
        <f t="shared" si="71"/>
        <v>0</v>
      </c>
      <c r="H910">
        <f t="shared" si="72"/>
        <v>0</v>
      </c>
      <c r="I910">
        <f t="shared" si="73"/>
        <v>0</v>
      </c>
      <c r="J910">
        <f t="shared" si="74"/>
        <v>0</v>
      </c>
    </row>
    <row r="911" spans="1:10" x14ac:dyDescent="0.3">
      <c r="A911" s="1">
        <v>41982</v>
      </c>
      <c r="B911" s="1">
        <v>42002</v>
      </c>
      <c r="C911">
        <v>13.07</v>
      </c>
      <c r="D911">
        <v>0.34</v>
      </c>
      <c r="E911">
        <v>2</v>
      </c>
      <c r="F911">
        <f t="shared" si="70"/>
        <v>1</v>
      </c>
      <c r="G911">
        <f t="shared" si="71"/>
        <v>0</v>
      </c>
      <c r="H911">
        <f t="shared" si="72"/>
        <v>0</v>
      </c>
      <c r="I911">
        <f t="shared" si="73"/>
        <v>0</v>
      </c>
      <c r="J911">
        <f t="shared" si="74"/>
        <v>0</v>
      </c>
    </row>
    <row r="912" spans="1:10" x14ac:dyDescent="0.3">
      <c r="A912" s="1">
        <v>41982</v>
      </c>
      <c r="B912" s="1">
        <v>42006</v>
      </c>
      <c r="C912">
        <v>6.75</v>
      </c>
      <c r="D912">
        <v>0.18</v>
      </c>
      <c r="E912">
        <v>4</v>
      </c>
      <c r="F912">
        <f t="shared" si="70"/>
        <v>0</v>
      </c>
      <c r="G912">
        <f t="shared" si="71"/>
        <v>0</v>
      </c>
      <c r="H912">
        <f t="shared" si="72"/>
        <v>1</v>
      </c>
      <c r="I912">
        <f t="shared" si="73"/>
        <v>0</v>
      </c>
      <c r="J912">
        <f t="shared" si="74"/>
        <v>0</v>
      </c>
    </row>
    <row r="913" spans="1:10" x14ac:dyDescent="0.3">
      <c r="A913" s="1">
        <v>41982</v>
      </c>
      <c r="B913" s="1">
        <v>42010</v>
      </c>
      <c r="C913">
        <v>6.75</v>
      </c>
      <c r="D913">
        <v>0.18</v>
      </c>
      <c r="E913">
        <v>2</v>
      </c>
      <c r="F913">
        <f t="shared" si="70"/>
        <v>1</v>
      </c>
      <c r="G913">
        <f t="shared" si="71"/>
        <v>0</v>
      </c>
      <c r="H913">
        <f t="shared" si="72"/>
        <v>0</v>
      </c>
      <c r="I913">
        <f t="shared" si="73"/>
        <v>0</v>
      </c>
      <c r="J913">
        <f t="shared" si="74"/>
        <v>0</v>
      </c>
    </row>
    <row r="914" spans="1:10" x14ac:dyDescent="0.3">
      <c r="A914" s="1">
        <v>41983</v>
      </c>
      <c r="B914" s="1">
        <v>41990</v>
      </c>
      <c r="C914">
        <v>9.06</v>
      </c>
      <c r="D914">
        <v>0.24</v>
      </c>
      <c r="E914">
        <v>4</v>
      </c>
      <c r="F914">
        <f t="shared" si="70"/>
        <v>0</v>
      </c>
      <c r="G914">
        <f t="shared" si="71"/>
        <v>0</v>
      </c>
      <c r="H914">
        <f t="shared" si="72"/>
        <v>1</v>
      </c>
      <c r="I914">
        <f t="shared" si="73"/>
        <v>0</v>
      </c>
      <c r="J914">
        <f t="shared" si="74"/>
        <v>0</v>
      </c>
    </row>
    <row r="915" spans="1:10" x14ac:dyDescent="0.3">
      <c r="A915" s="1">
        <v>41983</v>
      </c>
      <c r="B915" s="1">
        <v>42004</v>
      </c>
      <c r="C915">
        <v>4.25</v>
      </c>
      <c r="D915">
        <v>0.11</v>
      </c>
      <c r="E915">
        <v>5</v>
      </c>
      <c r="F915">
        <f t="shared" si="70"/>
        <v>0</v>
      </c>
      <c r="G915">
        <f t="shared" si="71"/>
        <v>0</v>
      </c>
      <c r="H915">
        <f t="shared" si="72"/>
        <v>0</v>
      </c>
      <c r="I915">
        <f t="shared" si="73"/>
        <v>1</v>
      </c>
      <c r="J915">
        <f t="shared" si="74"/>
        <v>0</v>
      </c>
    </row>
    <row r="916" spans="1:10" x14ac:dyDescent="0.3">
      <c r="A916" s="1">
        <v>41983</v>
      </c>
      <c r="B916" s="1">
        <v>41993</v>
      </c>
      <c r="C916">
        <v>7.06</v>
      </c>
      <c r="D916">
        <v>0.19</v>
      </c>
      <c r="E916">
        <v>2</v>
      </c>
      <c r="F916">
        <f t="shared" si="70"/>
        <v>1</v>
      </c>
      <c r="G916">
        <f t="shared" si="71"/>
        <v>0</v>
      </c>
      <c r="H916">
        <f t="shared" si="72"/>
        <v>0</v>
      </c>
      <c r="I916">
        <f t="shared" si="73"/>
        <v>0</v>
      </c>
      <c r="J916">
        <f t="shared" si="74"/>
        <v>0</v>
      </c>
    </row>
    <row r="917" spans="1:10" x14ac:dyDescent="0.3">
      <c r="A917" s="1">
        <v>41983</v>
      </c>
      <c r="B917" s="1">
        <v>41992</v>
      </c>
      <c r="C917">
        <v>14.31</v>
      </c>
      <c r="D917">
        <v>0.38</v>
      </c>
      <c r="E917">
        <v>4</v>
      </c>
      <c r="F917">
        <f t="shared" si="70"/>
        <v>0</v>
      </c>
      <c r="G917">
        <f t="shared" si="71"/>
        <v>0</v>
      </c>
      <c r="H917">
        <f t="shared" si="72"/>
        <v>1</v>
      </c>
      <c r="I917">
        <f t="shared" si="73"/>
        <v>0</v>
      </c>
      <c r="J917">
        <f t="shared" si="74"/>
        <v>0</v>
      </c>
    </row>
    <row r="918" spans="1:10" x14ac:dyDescent="0.3">
      <c r="A918" s="1">
        <v>41983</v>
      </c>
      <c r="B918" s="1">
        <v>42011</v>
      </c>
      <c r="C918">
        <v>5.64</v>
      </c>
      <c r="D918">
        <v>0.15</v>
      </c>
      <c r="E918">
        <v>5</v>
      </c>
      <c r="F918">
        <f t="shared" si="70"/>
        <v>0</v>
      </c>
      <c r="G918">
        <f t="shared" si="71"/>
        <v>0</v>
      </c>
      <c r="H918">
        <f t="shared" si="72"/>
        <v>0</v>
      </c>
      <c r="I918">
        <f t="shared" si="73"/>
        <v>1</v>
      </c>
      <c r="J918">
        <f t="shared" si="74"/>
        <v>0</v>
      </c>
    </row>
    <row r="919" spans="1:10" x14ac:dyDescent="0.3">
      <c r="A919" s="1">
        <v>41983</v>
      </c>
      <c r="B919" s="1">
        <v>41996</v>
      </c>
      <c r="C919">
        <v>5.67</v>
      </c>
      <c r="D919">
        <v>0.15</v>
      </c>
      <c r="E919">
        <v>3</v>
      </c>
      <c r="F919">
        <f t="shared" si="70"/>
        <v>0</v>
      </c>
      <c r="G919">
        <f t="shared" si="71"/>
        <v>1</v>
      </c>
      <c r="H919">
        <f t="shared" si="72"/>
        <v>0</v>
      </c>
      <c r="I919">
        <f t="shared" si="73"/>
        <v>0</v>
      </c>
      <c r="J919">
        <f t="shared" si="74"/>
        <v>0</v>
      </c>
    </row>
    <row r="920" spans="1:10" x14ac:dyDescent="0.3">
      <c r="A920" s="1">
        <v>41983</v>
      </c>
      <c r="B920" s="1">
        <v>41990</v>
      </c>
      <c r="C920">
        <v>11.69</v>
      </c>
      <c r="D920">
        <v>0.31</v>
      </c>
      <c r="E920">
        <v>2</v>
      </c>
      <c r="F920">
        <f t="shared" si="70"/>
        <v>1</v>
      </c>
      <c r="G920">
        <f t="shared" si="71"/>
        <v>0</v>
      </c>
      <c r="H920">
        <f t="shared" si="72"/>
        <v>0</v>
      </c>
      <c r="I920">
        <f t="shared" si="73"/>
        <v>0</v>
      </c>
      <c r="J920">
        <f t="shared" si="74"/>
        <v>0</v>
      </c>
    </row>
    <row r="921" spans="1:10" x14ac:dyDescent="0.3">
      <c r="A921" s="1">
        <v>41983</v>
      </c>
      <c r="B921" s="1">
        <v>42002</v>
      </c>
      <c r="C921">
        <v>13.02</v>
      </c>
      <c r="D921">
        <v>0.34</v>
      </c>
      <c r="E921">
        <v>3</v>
      </c>
      <c r="F921">
        <f t="shared" si="70"/>
        <v>0</v>
      </c>
      <c r="G921">
        <f t="shared" si="71"/>
        <v>1</v>
      </c>
      <c r="H921">
        <f t="shared" si="72"/>
        <v>0</v>
      </c>
      <c r="I921">
        <f t="shared" si="73"/>
        <v>0</v>
      </c>
      <c r="J921">
        <f t="shared" si="74"/>
        <v>0</v>
      </c>
    </row>
    <row r="922" spans="1:10" x14ac:dyDescent="0.3">
      <c r="A922" s="1">
        <v>41983</v>
      </c>
      <c r="B922" s="1">
        <v>41986</v>
      </c>
      <c r="C922">
        <v>4.25</v>
      </c>
      <c r="D922">
        <v>0.11</v>
      </c>
      <c r="E922">
        <v>3</v>
      </c>
      <c r="F922">
        <f t="shared" si="70"/>
        <v>0</v>
      </c>
      <c r="G922">
        <f t="shared" si="71"/>
        <v>1</v>
      </c>
      <c r="H922">
        <f t="shared" si="72"/>
        <v>0</v>
      </c>
      <c r="I922">
        <f t="shared" si="73"/>
        <v>0</v>
      </c>
      <c r="J922">
        <f t="shared" si="74"/>
        <v>0</v>
      </c>
    </row>
    <row r="923" spans="1:10" x14ac:dyDescent="0.3">
      <c r="A923" s="1">
        <v>41983</v>
      </c>
      <c r="B923" s="1">
        <v>41995</v>
      </c>
      <c r="C923">
        <v>12.23</v>
      </c>
      <c r="D923">
        <v>0.32</v>
      </c>
      <c r="E923">
        <v>3</v>
      </c>
      <c r="F923">
        <f t="shared" si="70"/>
        <v>0</v>
      </c>
      <c r="G923">
        <f t="shared" si="71"/>
        <v>1</v>
      </c>
      <c r="H923">
        <f t="shared" si="72"/>
        <v>0</v>
      </c>
      <c r="I923">
        <f t="shared" si="73"/>
        <v>0</v>
      </c>
      <c r="J923">
        <f t="shared" si="74"/>
        <v>0</v>
      </c>
    </row>
    <row r="924" spans="1:10" x14ac:dyDescent="0.3">
      <c r="A924" s="1">
        <v>41983</v>
      </c>
      <c r="B924" s="1">
        <v>42009</v>
      </c>
      <c r="C924">
        <v>14.13</v>
      </c>
      <c r="D924">
        <v>0.37</v>
      </c>
      <c r="E924">
        <v>5</v>
      </c>
      <c r="F924">
        <f t="shared" si="70"/>
        <v>0</v>
      </c>
      <c r="G924">
        <f t="shared" si="71"/>
        <v>0</v>
      </c>
      <c r="H924">
        <f t="shared" si="72"/>
        <v>0</v>
      </c>
      <c r="I924">
        <f t="shared" si="73"/>
        <v>1</v>
      </c>
      <c r="J924">
        <f t="shared" si="74"/>
        <v>0</v>
      </c>
    </row>
    <row r="925" spans="1:10" x14ac:dyDescent="0.3">
      <c r="A925" s="1">
        <v>41983</v>
      </c>
      <c r="B925" s="1">
        <v>42008</v>
      </c>
      <c r="C925">
        <v>6.23</v>
      </c>
      <c r="D925">
        <v>0.16</v>
      </c>
      <c r="E925">
        <v>3</v>
      </c>
      <c r="F925">
        <f t="shared" si="70"/>
        <v>0</v>
      </c>
      <c r="G925">
        <f t="shared" si="71"/>
        <v>1</v>
      </c>
      <c r="H925">
        <f t="shared" si="72"/>
        <v>0</v>
      </c>
      <c r="I925">
        <f t="shared" si="73"/>
        <v>0</v>
      </c>
      <c r="J925">
        <f t="shared" si="74"/>
        <v>0</v>
      </c>
    </row>
    <row r="926" spans="1:10" x14ac:dyDescent="0.3">
      <c r="A926" s="1">
        <v>41983</v>
      </c>
      <c r="B926" s="1">
        <v>42006</v>
      </c>
      <c r="C926">
        <v>8.5399999999999991</v>
      </c>
      <c r="D926">
        <v>0.22</v>
      </c>
      <c r="E926">
        <v>2</v>
      </c>
      <c r="F926">
        <f t="shared" si="70"/>
        <v>1</v>
      </c>
      <c r="G926">
        <f t="shared" si="71"/>
        <v>0</v>
      </c>
      <c r="H926">
        <f t="shared" si="72"/>
        <v>0</v>
      </c>
      <c r="I926">
        <f t="shared" si="73"/>
        <v>0</v>
      </c>
      <c r="J926">
        <f t="shared" si="74"/>
        <v>0</v>
      </c>
    </row>
    <row r="927" spans="1:10" x14ac:dyDescent="0.3">
      <c r="A927" s="1">
        <v>41983</v>
      </c>
      <c r="B927" s="1">
        <v>42001</v>
      </c>
      <c r="C927">
        <v>7.55</v>
      </c>
      <c r="D927">
        <v>0.2</v>
      </c>
      <c r="E927">
        <v>2</v>
      </c>
      <c r="F927">
        <f t="shared" si="70"/>
        <v>1</v>
      </c>
      <c r="G927">
        <f t="shared" si="71"/>
        <v>0</v>
      </c>
      <c r="H927">
        <f t="shared" si="72"/>
        <v>0</v>
      </c>
      <c r="I927">
        <f t="shared" si="73"/>
        <v>0</v>
      </c>
      <c r="J927">
        <f t="shared" si="74"/>
        <v>0</v>
      </c>
    </row>
    <row r="928" spans="1:10" x14ac:dyDescent="0.3">
      <c r="A928" s="1">
        <v>41983</v>
      </c>
      <c r="B928" s="1">
        <v>41989</v>
      </c>
      <c r="C928">
        <v>14</v>
      </c>
      <c r="D928">
        <v>0.37</v>
      </c>
      <c r="E928">
        <v>4</v>
      </c>
      <c r="F928">
        <f t="shared" si="70"/>
        <v>0</v>
      </c>
      <c r="G928">
        <f t="shared" si="71"/>
        <v>0</v>
      </c>
      <c r="H928">
        <f t="shared" si="72"/>
        <v>1</v>
      </c>
      <c r="I928">
        <f t="shared" si="73"/>
        <v>0</v>
      </c>
      <c r="J928">
        <f t="shared" si="74"/>
        <v>0</v>
      </c>
    </row>
    <row r="929" spans="1:10" x14ac:dyDescent="0.3">
      <c r="A929" s="1">
        <v>41983</v>
      </c>
      <c r="B929" s="1">
        <v>41986</v>
      </c>
      <c r="C929">
        <v>13.02</v>
      </c>
      <c r="D929">
        <v>0.34</v>
      </c>
      <c r="E929">
        <v>2</v>
      </c>
      <c r="F929">
        <f t="shared" si="70"/>
        <v>1</v>
      </c>
      <c r="G929">
        <f t="shared" si="71"/>
        <v>0</v>
      </c>
      <c r="H929">
        <f t="shared" si="72"/>
        <v>0</v>
      </c>
      <c r="I929">
        <f t="shared" si="73"/>
        <v>0</v>
      </c>
      <c r="J929">
        <f t="shared" si="74"/>
        <v>0</v>
      </c>
    </row>
    <row r="930" spans="1:10" x14ac:dyDescent="0.3">
      <c r="A930" s="1">
        <v>41983</v>
      </c>
      <c r="B930" s="1">
        <v>42009</v>
      </c>
      <c r="C930">
        <v>8.39</v>
      </c>
      <c r="D930">
        <v>0.22</v>
      </c>
      <c r="E930">
        <v>6</v>
      </c>
      <c r="F930">
        <f t="shared" si="70"/>
        <v>0</v>
      </c>
      <c r="G930">
        <f t="shared" si="71"/>
        <v>0</v>
      </c>
      <c r="H930">
        <f t="shared" si="72"/>
        <v>0</v>
      </c>
      <c r="I930">
        <f t="shared" si="73"/>
        <v>0</v>
      </c>
      <c r="J930">
        <f t="shared" si="74"/>
        <v>1</v>
      </c>
    </row>
    <row r="931" spans="1:10" x14ac:dyDescent="0.3">
      <c r="A931" s="1">
        <v>41983</v>
      </c>
      <c r="B931" s="1">
        <v>41990</v>
      </c>
      <c r="C931">
        <v>5.23</v>
      </c>
      <c r="D931">
        <v>0.14000000000000001</v>
      </c>
      <c r="E931">
        <v>4</v>
      </c>
      <c r="F931">
        <f t="shared" si="70"/>
        <v>0</v>
      </c>
      <c r="G931">
        <f t="shared" si="71"/>
        <v>0</v>
      </c>
      <c r="H931">
        <f t="shared" si="72"/>
        <v>1</v>
      </c>
      <c r="I931">
        <f t="shared" si="73"/>
        <v>0</v>
      </c>
      <c r="J931">
        <f t="shared" si="74"/>
        <v>0</v>
      </c>
    </row>
    <row r="932" spans="1:10" x14ac:dyDescent="0.3">
      <c r="A932" s="1">
        <v>41983</v>
      </c>
      <c r="B932" s="1">
        <v>41988</v>
      </c>
      <c r="C932">
        <v>2.0099999999999998</v>
      </c>
      <c r="D932">
        <v>0.05</v>
      </c>
      <c r="E932">
        <v>2</v>
      </c>
      <c r="F932">
        <f t="shared" si="70"/>
        <v>1</v>
      </c>
      <c r="G932">
        <f t="shared" si="71"/>
        <v>0</v>
      </c>
      <c r="H932">
        <f t="shared" si="72"/>
        <v>0</v>
      </c>
      <c r="I932">
        <f t="shared" si="73"/>
        <v>0</v>
      </c>
      <c r="J932">
        <f t="shared" si="74"/>
        <v>0</v>
      </c>
    </row>
    <row r="933" spans="1:10" x14ac:dyDescent="0.3">
      <c r="A933" s="1">
        <v>41983</v>
      </c>
      <c r="B933" s="1">
        <v>42008</v>
      </c>
      <c r="C933">
        <v>7.06</v>
      </c>
      <c r="D933">
        <v>0.19</v>
      </c>
      <c r="E933">
        <v>5</v>
      </c>
      <c r="F933">
        <f t="shared" si="70"/>
        <v>0</v>
      </c>
      <c r="G933">
        <f t="shared" si="71"/>
        <v>0</v>
      </c>
      <c r="H933">
        <f t="shared" si="72"/>
        <v>0</v>
      </c>
      <c r="I933">
        <f t="shared" si="73"/>
        <v>1</v>
      </c>
      <c r="J933">
        <f t="shared" si="74"/>
        <v>0</v>
      </c>
    </row>
    <row r="934" spans="1:10" x14ac:dyDescent="0.3">
      <c r="A934" s="1">
        <v>41983</v>
      </c>
      <c r="B934" s="1">
        <v>42004</v>
      </c>
      <c r="C934">
        <v>19.54</v>
      </c>
      <c r="D934">
        <v>0.51</v>
      </c>
      <c r="E934">
        <v>3</v>
      </c>
      <c r="F934">
        <f t="shared" si="70"/>
        <v>0</v>
      </c>
      <c r="G934">
        <f t="shared" si="71"/>
        <v>1</v>
      </c>
      <c r="H934">
        <f t="shared" si="72"/>
        <v>0</v>
      </c>
      <c r="I934">
        <f t="shared" si="73"/>
        <v>0</v>
      </c>
      <c r="J934">
        <f t="shared" si="74"/>
        <v>0</v>
      </c>
    </row>
    <row r="935" spans="1:10" x14ac:dyDescent="0.3">
      <c r="A935" s="1">
        <v>41983</v>
      </c>
      <c r="B935" s="1">
        <v>41993</v>
      </c>
      <c r="C935">
        <v>5.23</v>
      </c>
      <c r="D935">
        <v>0.14000000000000001</v>
      </c>
      <c r="E935">
        <v>4</v>
      </c>
      <c r="F935">
        <f t="shared" si="70"/>
        <v>0</v>
      </c>
      <c r="G935">
        <f t="shared" si="71"/>
        <v>0</v>
      </c>
      <c r="H935">
        <f t="shared" si="72"/>
        <v>1</v>
      </c>
      <c r="I935">
        <f t="shared" si="73"/>
        <v>0</v>
      </c>
      <c r="J935">
        <f t="shared" si="74"/>
        <v>0</v>
      </c>
    </row>
    <row r="936" spans="1:10" x14ac:dyDescent="0.3">
      <c r="A936" s="1">
        <v>41984</v>
      </c>
      <c r="B936" s="1">
        <v>42002</v>
      </c>
      <c r="C936">
        <v>9.06</v>
      </c>
      <c r="D936">
        <v>0.24</v>
      </c>
      <c r="E936">
        <v>4</v>
      </c>
      <c r="F936">
        <f t="shared" si="70"/>
        <v>0</v>
      </c>
      <c r="G936">
        <f t="shared" si="71"/>
        <v>0</v>
      </c>
      <c r="H936">
        <f t="shared" si="72"/>
        <v>1</v>
      </c>
      <c r="I936">
        <f t="shared" si="73"/>
        <v>0</v>
      </c>
      <c r="J936">
        <f t="shared" si="74"/>
        <v>0</v>
      </c>
    </row>
    <row r="937" spans="1:10" x14ac:dyDescent="0.3">
      <c r="A937" s="1">
        <v>41984</v>
      </c>
      <c r="B937" s="1">
        <v>41988</v>
      </c>
      <c r="C937">
        <v>3.73</v>
      </c>
      <c r="D937">
        <v>0.1</v>
      </c>
      <c r="E937">
        <v>6</v>
      </c>
      <c r="F937">
        <f t="shared" si="70"/>
        <v>0</v>
      </c>
      <c r="G937">
        <f t="shared" si="71"/>
        <v>0</v>
      </c>
      <c r="H937">
        <f t="shared" si="72"/>
        <v>0</v>
      </c>
      <c r="I937">
        <f t="shared" si="73"/>
        <v>0</v>
      </c>
      <c r="J937">
        <f t="shared" si="74"/>
        <v>1</v>
      </c>
    </row>
    <row r="938" spans="1:10" x14ac:dyDescent="0.3">
      <c r="A938" s="1">
        <v>41985</v>
      </c>
      <c r="B938" s="1">
        <v>42012</v>
      </c>
      <c r="C938">
        <v>5.67</v>
      </c>
      <c r="D938">
        <v>0.15</v>
      </c>
      <c r="E938">
        <v>2</v>
      </c>
      <c r="F938">
        <f t="shared" si="70"/>
        <v>1</v>
      </c>
      <c r="G938">
        <f t="shared" si="71"/>
        <v>0</v>
      </c>
      <c r="H938">
        <f t="shared" si="72"/>
        <v>0</v>
      </c>
      <c r="I938">
        <f t="shared" si="73"/>
        <v>0</v>
      </c>
      <c r="J938">
        <f t="shared" si="74"/>
        <v>0</v>
      </c>
    </row>
    <row r="939" spans="1:10" x14ac:dyDescent="0.3">
      <c r="A939" s="1">
        <v>41985</v>
      </c>
      <c r="B939" s="1">
        <v>41989</v>
      </c>
      <c r="C939">
        <v>5.67</v>
      </c>
      <c r="D939">
        <v>0.15</v>
      </c>
      <c r="E939">
        <v>4</v>
      </c>
      <c r="F939">
        <f t="shared" si="70"/>
        <v>0</v>
      </c>
      <c r="G939">
        <f t="shared" si="71"/>
        <v>0</v>
      </c>
      <c r="H939">
        <f t="shared" si="72"/>
        <v>1</v>
      </c>
      <c r="I939">
        <f t="shared" si="73"/>
        <v>0</v>
      </c>
      <c r="J939">
        <f t="shared" si="74"/>
        <v>0</v>
      </c>
    </row>
    <row r="940" spans="1:10" x14ac:dyDescent="0.3">
      <c r="A940" s="1">
        <v>41985</v>
      </c>
      <c r="B940" s="1">
        <v>41995</v>
      </c>
      <c r="C940">
        <v>3.57</v>
      </c>
      <c r="D940">
        <v>0.09</v>
      </c>
      <c r="E940">
        <v>2</v>
      </c>
      <c r="F940">
        <f t="shared" si="70"/>
        <v>1</v>
      </c>
      <c r="G940">
        <f t="shared" si="71"/>
        <v>0</v>
      </c>
      <c r="H940">
        <f t="shared" si="72"/>
        <v>0</v>
      </c>
      <c r="I940">
        <f t="shared" si="73"/>
        <v>0</v>
      </c>
      <c r="J940">
        <f t="shared" si="74"/>
        <v>0</v>
      </c>
    </row>
    <row r="941" spans="1:10" x14ac:dyDescent="0.3">
      <c r="A941" s="1">
        <v>41985</v>
      </c>
      <c r="B941" s="1">
        <v>41995</v>
      </c>
      <c r="C941">
        <v>3.57</v>
      </c>
      <c r="D941">
        <v>0.09</v>
      </c>
      <c r="E941">
        <v>3</v>
      </c>
      <c r="F941">
        <f t="shared" si="70"/>
        <v>0</v>
      </c>
      <c r="G941">
        <f t="shared" si="71"/>
        <v>1</v>
      </c>
      <c r="H941">
        <f t="shared" si="72"/>
        <v>0</v>
      </c>
      <c r="I941">
        <f t="shared" si="73"/>
        <v>0</v>
      </c>
      <c r="J941">
        <f t="shared" si="74"/>
        <v>0</v>
      </c>
    </row>
    <row r="942" spans="1:10" x14ac:dyDescent="0.3">
      <c r="A942" s="1">
        <v>41985</v>
      </c>
      <c r="B942" s="1">
        <v>42013</v>
      </c>
      <c r="C942">
        <v>2.29</v>
      </c>
      <c r="D942">
        <v>0.06</v>
      </c>
      <c r="E942">
        <v>2</v>
      </c>
      <c r="F942">
        <f t="shared" si="70"/>
        <v>1</v>
      </c>
      <c r="G942">
        <f t="shared" si="71"/>
        <v>0</v>
      </c>
      <c r="H942">
        <f t="shared" si="72"/>
        <v>0</v>
      </c>
      <c r="I942">
        <f t="shared" si="73"/>
        <v>0</v>
      </c>
      <c r="J942">
        <f t="shared" si="74"/>
        <v>0</v>
      </c>
    </row>
    <row r="943" spans="1:10" x14ac:dyDescent="0.3">
      <c r="A943" s="1">
        <v>41985</v>
      </c>
      <c r="B943" s="1">
        <v>42003</v>
      </c>
      <c r="C943">
        <v>7.35</v>
      </c>
      <c r="D943">
        <v>0.19</v>
      </c>
      <c r="E943">
        <v>5</v>
      </c>
      <c r="F943">
        <f t="shared" si="70"/>
        <v>0</v>
      </c>
      <c r="G943">
        <f t="shared" si="71"/>
        <v>0</v>
      </c>
      <c r="H943">
        <f t="shared" si="72"/>
        <v>0</v>
      </c>
      <c r="I943">
        <f t="shared" si="73"/>
        <v>1</v>
      </c>
      <c r="J943">
        <f t="shared" si="74"/>
        <v>0</v>
      </c>
    </row>
    <row r="944" spans="1:10" x14ac:dyDescent="0.3">
      <c r="A944" s="1">
        <v>41985</v>
      </c>
      <c r="B944" s="1">
        <v>42011</v>
      </c>
      <c r="C944">
        <v>3.94</v>
      </c>
      <c r="D944">
        <v>0.1</v>
      </c>
      <c r="E944">
        <v>4</v>
      </c>
      <c r="F944">
        <f t="shared" si="70"/>
        <v>0</v>
      </c>
      <c r="G944">
        <f t="shared" si="71"/>
        <v>0</v>
      </c>
      <c r="H944">
        <f t="shared" si="72"/>
        <v>1</v>
      </c>
      <c r="I944">
        <f t="shared" si="73"/>
        <v>0</v>
      </c>
      <c r="J944">
        <f t="shared" si="74"/>
        <v>0</v>
      </c>
    </row>
    <row r="945" spans="1:10" x14ac:dyDescent="0.3">
      <c r="A945" s="1">
        <v>41985</v>
      </c>
      <c r="B945" s="1">
        <v>41995</v>
      </c>
      <c r="C945">
        <v>3.94</v>
      </c>
      <c r="D945">
        <v>0.1</v>
      </c>
      <c r="E945">
        <v>2</v>
      </c>
      <c r="F945">
        <f t="shared" si="70"/>
        <v>1</v>
      </c>
      <c r="G945">
        <f t="shared" si="71"/>
        <v>0</v>
      </c>
      <c r="H945">
        <f t="shared" si="72"/>
        <v>0</v>
      </c>
      <c r="I945">
        <f t="shared" si="73"/>
        <v>0</v>
      </c>
      <c r="J945">
        <f t="shared" si="74"/>
        <v>0</v>
      </c>
    </row>
    <row r="946" spans="1:10" x14ac:dyDescent="0.3">
      <c r="A946" s="1">
        <v>41985</v>
      </c>
      <c r="B946" s="1">
        <v>42006</v>
      </c>
      <c r="C946">
        <v>13.07</v>
      </c>
      <c r="D946">
        <v>0.34</v>
      </c>
      <c r="E946">
        <v>3</v>
      </c>
      <c r="F946">
        <f t="shared" si="70"/>
        <v>0</v>
      </c>
      <c r="G946">
        <f t="shared" si="71"/>
        <v>1</v>
      </c>
      <c r="H946">
        <f t="shared" si="72"/>
        <v>0</v>
      </c>
      <c r="I946">
        <f t="shared" si="73"/>
        <v>0</v>
      </c>
      <c r="J946">
        <f t="shared" si="74"/>
        <v>0</v>
      </c>
    </row>
    <row r="947" spans="1:10" x14ac:dyDescent="0.3">
      <c r="A947" s="1">
        <v>41986</v>
      </c>
      <c r="B947" s="1">
        <v>41990</v>
      </c>
      <c r="C947">
        <v>6.43</v>
      </c>
      <c r="D947">
        <v>0.17</v>
      </c>
      <c r="E947">
        <v>5</v>
      </c>
      <c r="F947">
        <f t="shared" si="70"/>
        <v>0</v>
      </c>
      <c r="G947">
        <f t="shared" si="71"/>
        <v>0</v>
      </c>
      <c r="H947">
        <f t="shared" si="72"/>
        <v>0</v>
      </c>
      <c r="I947">
        <f t="shared" si="73"/>
        <v>1</v>
      </c>
      <c r="J947">
        <f t="shared" si="74"/>
        <v>0</v>
      </c>
    </row>
    <row r="948" spans="1:10" x14ac:dyDescent="0.3">
      <c r="A948" s="1">
        <v>41986</v>
      </c>
      <c r="B948" s="1">
        <v>42005</v>
      </c>
      <c r="C948">
        <v>6.43</v>
      </c>
      <c r="D948">
        <v>0.17</v>
      </c>
      <c r="E948">
        <v>3</v>
      </c>
      <c r="F948">
        <f t="shared" si="70"/>
        <v>0</v>
      </c>
      <c r="G948">
        <f t="shared" si="71"/>
        <v>1</v>
      </c>
      <c r="H948">
        <f t="shared" si="72"/>
        <v>0</v>
      </c>
      <c r="I948">
        <f t="shared" si="73"/>
        <v>0</v>
      </c>
      <c r="J948">
        <f t="shared" si="74"/>
        <v>0</v>
      </c>
    </row>
    <row r="949" spans="1:10" x14ac:dyDescent="0.3">
      <c r="A949" s="1">
        <v>41987</v>
      </c>
      <c r="B949" s="1">
        <v>42012</v>
      </c>
      <c r="C949">
        <v>2.72</v>
      </c>
      <c r="D949">
        <v>7.0000000000000007E-2</v>
      </c>
      <c r="E949">
        <v>4</v>
      </c>
      <c r="F949">
        <f t="shared" si="70"/>
        <v>0</v>
      </c>
      <c r="G949">
        <f t="shared" si="71"/>
        <v>0</v>
      </c>
      <c r="H949">
        <f t="shared" si="72"/>
        <v>1</v>
      </c>
      <c r="I949">
        <f t="shared" si="73"/>
        <v>0</v>
      </c>
      <c r="J949">
        <f t="shared" si="74"/>
        <v>0</v>
      </c>
    </row>
    <row r="950" spans="1:10" x14ac:dyDescent="0.3">
      <c r="A950" s="1">
        <v>41987</v>
      </c>
      <c r="B950" s="1">
        <v>42007</v>
      </c>
      <c r="C950">
        <v>6.43</v>
      </c>
      <c r="D950">
        <v>0.17</v>
      </c>
      <c r="E950">
        <v>6</v>
      </c>
      <c r="F950">
        <f t="shared" si="70"/>
        <v>0</v>
      </c>
      <c r="G950">
        <f t="shared" si="71"/>
        <v>0</v>
      </c>
      <c r="H950">
        <f t="shared" si="72"/>
        <v>0</v>
      </c>
      <c r="I950">
        <f t="shared" si="73"/>
        <v>0</v>
      </c>
      <c r="J950">
        <f t="shared" si="74"/>
        <v>1</v>
      </c>
    </row>
    <row r="951" spans="1:10" x14ac:dyDescent="0.3">
      <c r="A951" s="1">
        <v>41988</v>
      </c>
      <c r="B951" s="1">
        <v>42014</v>
      </c>
      <c r="C951">
        <v>2.0099999999999998</v>
      </c>
      <c r="D951">
        <v>0.05</v>
      </c>
      <c r="E951">
        <v>3</v>
      </c>
      <c r="F951">
        <f t="shared" si="70"/>
        <v>0</v>
      </c>
      <c r="G951">
        <f t="shared" si="71"/>
        <v>1</v>
      </c>
      <c r="H951">
        <f t="shared" si="72"/>
        <v>0</v>
      </c>
      <c r="I951">
        <f t="shared" si="73"/>
        <v>0</v>
      </c>
      <c r="J951">
        <f t="shared" si="74"/>
        <v>0</v>
      </c>
    </row>
    <row r="952" spans="1:10" x14ac:dyDescent="0.3">
      <c r="A952" s="1">
        <v>41988</v>
      </c>
      <c r="B952" s="1">
        <v>42005</v>
      </c>
      <c r="C952">
        <v>2.72</v>
      </c>
      <c r="D952">
        <v>7.0000000000000007E-2</v>
      </c>
      <c r="E952">
        <v>2</v>
      </c>
      <c r="F952">
        <f t="shared" si="70"/>
        <v>1</v>
      </c>
      <c r="G952">
        <f t="shared" si="71"/>
        <v>0</v>
      </c>
      <c r="H952">
        <f t="shared" si="72"/>
        <v>0</v>
      </c>
      <c r="I952">
        <f t="shared" si="73"/>
        <v>0</v>
      </c>
      <c r="J952">
        <f t="shared" si="74"/>
        <v>0</v>
      </c>
    </row>
    <row r="953" spans="1:10" x14ac:dyDescent="0.3">
      <c r="A953" s="1">
        <v>41988</v>
      </c>
      <c r="B953" s="1">
        <v>41996</v>
      </c>
      <c r="C953">
        <v>2.0099999999999998</v>
      </c>
      <c r="D953">
        <v>0.05</v>
      </c>
      <c r="E953">
        <v>5</v>
      </c>
      <c r="F953">
        <f t="shared" si="70"/>
        <v>0</v>
      </c>
      <c r="G953">
        <f t="shared" si="71"/>
        <v>0</v>
      </c>
      <c r="H953">
        <f t="shared" si="72"/>
        <v>0</v>
      </c>
      <c r="I953">
        <f t="shared" si="73"/>
        <v>1</v>
      </c>
      <c r="J953">
        <f t="shared" si="74"/>
        <v>0</v>
      </c>
    </row>
    <row r="954" spans="1:10" x14ac:dyDescent="0.3">
      <c r="A954" s="1">
        <v>41989</v>
      </c>
      <c r="B954" s="1">
        <v>41991</v>
      </c>
      <c r="C954">
        <v>11.42</v>
      </c>
      <c r="D954">
        <v>0.3</v>
      </c>
      <c r="E954">
        <v>5</v>
      </c>
      <c r="F954">
        <f t="shared" si="70"/>
        <v>0</v>
      </c>
      <c r="G954">
        <f t="shared" si="71"/>
        <v>0</v>
      </c>
      <c r="H954">
        <f t="shared" si="72"/>
        <v>0</v>
      </c>
      <c r="I954">
        <f t="shared" si="73"/>
        <v>1</v>
      </c>
      <c r="J954">
        <f t="shared" si="74"/>
        <v>0</v>
      </c>
    </row>
    <row r="955" spans="1:10" x14ac:dyDescent="0.3">
      <c r="A955" s="1">
        <v>41989</v>
      </c>
      <c r="B955" s="1">
        <v>42003</v>
      </c>
      <c r="C955">
        <v>10.93</v>
      </c>
      <c r="D955">
        <v>0.28999999999999998</v>
      </c>
      <c r="E955">
        <v>3</v>
      </c>
      <c r="F955">
        <f t="shared" si="70"/>
        <v>0</v>
      </c>
      <c r="G955">
        <f t="shared" si="71"/>
        <v>1</v>
      </c>
      <c r="H955">
        <f t="shared" si="72"/>
        <v>0</v>
      </c>
      <c r="I955">
        <f t="shared" si="73"/>
        <v>0</v>
      </c>
      <c r="J955">
        <f t="shared" si="74"/>
        <v>0</v>
      </c>
    </row>
    <row r="956" spans="1:10" x14ac:dyDescent="0.3">
      <c r="A956" s="1">
        <v>41989</v>
      </c>
      <c r="B956" s="1">
        <v>41997</v>
      </c>
      <c r="C956">
        <v>9.06</v>
      </c>
      <c r="D956">
        <v>0.24</v>
      </c>
      <c r="E956">
        <v>2</v>
      </c>
      <c r="F956">
        <f t="shared" si="70"/>
        <v>1</v>
      </c>
      <c r="G956">
        <f t="shared" si="71"/>
        <v>0</v>
      </c>
      <c r="H956">
        <f t="shared" si="72"/>
        <v>0</v>
      </c>
      <c r="I956">
        <f t="shared" si="73"/>
        <v>0</v>
      </c>
      <c r="J956">
        <f t="shared" si="74"/>
        <v>0</v>
      </c>
    </row>
    <row r="957" spans="1:10" x14ac:dyDescent="0.3">
      <c r="A957" s="1">
        <v>41989</v>
      </c>
      <c r="B957" s="1">
        <v>41998</v>
      </c>
      <c r="C957">
        <v>5.67</v>
      </c>
      <c r="D957">
        <v>0.15</v>
      </c>
      <c r="E957">
        <v>3</v>
      </c>
      <c r="F957">
        <f t="shared" si="70"/>
        <v>0</v>
      </c>
      <c r="G957">
        <f t="shared" si="71"/>
        <v>1</v>
      </c>
      <c r="H957">
        <f t="shared" si="72"/>
        <v>0</v>
      </c>
      <c r="I957">
        <f t="shared" si="73"/>
        <v>0</v>
      </c>
      <c r="J957">
        <f t="shared" si="74"/>
        <v>0</v>
      </c>
    </row>
    <row r="958" spans="1:10" x14ac:dyDescent="0.3">
      <c r="A958" s="1">
        <v>41989</v>
      </c>
      <c r="B958" s="1">
        <v>42015</v>
      </c>
      <c r="C958">
        <v>3.57</v>
      </c>
      <c r="D958">
        <v>0.09</v>
      </c>
      <c r="E958">
        <v>4</v>
      </c>
      <c r="F958">
        <f t="shared" si="70"/>
        <v>0</v>
      </c>
      <c r="G958">
        <f t="shared" si="71"/>
        <v>0</v>
      </c>
      <c r="H958">
        <f t="shared" si="72"/>
        <v>1</v>
      </c>
      <c r="I958">
        <f t="shared" si="73"/>
        <v>0</v>
      </c>
      <c r="J958">
        <f t="shared" si="74"/>
        <v>0</v>
      </c>
    </row>
    <row r="959" spans="1:10" x14ac:dyDescent="0.3">
      <c r="A959" s="1">
        <v>41989</v>
      </c>
      <c r="B959" s="1">
        <v>42011</v>
      </c>
      <c r="C959">
        <v>3.79</v>
      </c>
      <c r="D959">
        <v>0.1</v>
      </c>
      <c r="E959">
        <v>5</v>
      </c>
      <c r="F959">
        <f t="shared" si="70"/>
        <v>0</v>
      </c>
      <c r="G959">
        <f t="shared" si="71"/>
        <v>0</v>
      </c>
      <c r="H959">
        <f t="shared" si="72"/>
        <v>0</v>
      </c>
      <c r="I959">
        <f t="shared" si="73"/>
        <v>1</v>
      </c>
      <c r="J959">
        <f t="shared" si="74"/>
        <v>0</v>
      </c>
    </row>
    <row r="960" spans="1:10" x14ac:dyDescent="0.3">
      <c r="A960" s="1">
        <v>41990</v>
      </c>
      <c r="B960" s="1">
        <v>41996</v>
      </c>
      <c r="C960">
        <v>4.66</v>
      </c>
      <c r="D960">
        <v>0.12</v>
      </c>
      <c r="E960">
        <v>3</v>
      </c>
      <c r="F960">
        <f t="shared" si="70"/>
        <v>0</v>
      </c>
      <c r="G960">
        <f t="shared" si="71"/>
        <v>1</v>
      </c>
      <c r="H960">
        <f t="shared" si="72"/>
        <v>0</v>
      </c>
      <c r="I960">
        <f t="shared" si="73"/>
        <v>0</v>
      </c>
      <c r="J960">
        <f t="shared" si="74"/>
        <v>0</v>
      </c>
    </row>
    <row r="961" spans="1:10" x14ac:dyDescent="0.3">
      <c r="A961" s="1">
        <v>41990</v>
      </c>
      <c r="B961" s="1">
        <v>42004</v>
      </c>
      <c r="C961">
        <v>6.43</v>
      </c>
      <c r="D961">
        <v>0.17</v>
      </c>
      <c r="E961">
        <v>6</v>
      </c>
      <c r="F961">
        <f t="shared" si="70"/>
        <v>0</v>
      </c>
      <c r="G961">
        <f t="shared" si="71"/>
        <v>0</v>
      </c>
      <c r="H961">
        <f t="shared" si="72"/>
        <v>0</v>
      </c>
      <c r="I961">
        <f t="shared" si="73"/>
        <v>0</v>
      </c>
      <c r="J961">
        <f t="shared" si="74"/>
        <v>1</v>
      </c>
    </row>
    <row r="962" spans="1:10" x14ac:dyDescent="0.3">
      <c r="A962" s="1">
        <v>41990</v>
      </c>
      <c r="B962" s="1">
        <v>41998</v>
      </c>
      <c r="C962">
        <v>6.58</v>
      </c>
      <c r="D962">
        <v>0.17</v>
      </c>
      <c r="E962">
        <v>4</v>
      </c>
      <c r="F962">
        <f t="shared" si="70"/>
        <v>0</v>
      </c>
      <c r="G962">
        <f t="shared" si="71"/>
        <v>0</v>
      </c>
      <c r="H962">
        <f t="shared" si="72"/>
        <v>1</v>
      </c>
      <c r="I962">
        <f t="shared" si="73"/>
        <v>0</v>
      </c>
      <c r="J962">
        <f t="shared" si="74"/>
        <v>0</v>
      </c>
    </row>
    <row r="963" spans="1:10" x14ac:dyDescent="0.3">
      <c r="A963" s="1">
        <v>41991</v>
      </c>
      <c r="B963" s="1">
        <v>41998</v>
      </c>
      <c r="C963">
        <v>4.66</v>
      </c>
      <c r="D963">
        <v>0.12</v>
      </c>
      <c r="E963">
        <v>6</v>
      </c>
      <c r="F963">
        <f t="shared" ref="F963:F1001" si="75">IF(EXACT(E963,2),1,0)</f>
        <v>0</v>
      </c>
      <c r="G963">
        <f t="shared" ref="G963:G1001" si="76">IF(EXACT(E963,3),1,0)</f>
        <v>0</v>
      </c>
      <c r="H963">
        <f t="shared" ref="H963:H1001" si="77">IF(EXACT(E963,4),1,0)</f>
        <v>0</v>
      </c>
      <c r="I963">
        <f t="shared" ref="I963:I1001" si="78">IF(EXACT(E963,5),1,0)</f>
        <v>0</v>
      </c>
      <c r="J963">
        <f t="shared" ref="J963:J1001" si="79">IF(EXACT(E963,6),1,0)</f>
        <v>1</v>
      </c>
    </row>
    <row r="964" spans="1:10" x14ac:dyDescent="0.3">
      <c r="A964" s="1">
        <v>41991</v>
      </c>
      <c r="B964" s="1">
        <v>42003</v>
      </c>
      <c r="C964">
        <v>4.66</v>
      </c>
      <c r="D964">
        <v>0.12</v>
      </c>
      <c r="E964">
        <v>5</v>
      </c>
      <c r="F964">
        <f t="shared" si="75"/>
        <v>0</v>
      </c>
      <c r="G964">
        <f t="shared" si="76"/>
        <v>0</v>
      </c>
      <c r="H964">
        <f t="shared" si="77"/>
        <v>0</v>
      </c>
      <c r="I964">
        <f t="shared" si="78"/>
        <v>1</v>
      </c>
      <c r="J964">
        <f t="shared" si="79"/>
        <v>0</v>
      </c>
    </row>
    <row r="965" spans="1:10" x14ac:dyDescent="0.3">
      <c r="A965" s="1">
        <v>41991</v>
      </c>
      <c r="B965" s="1">
        <v>41999</v>
      </c>
      <c r="C965">
        <v>3.73</v>
      </c>
      <c r="D965">
        <v>0.1</v>
      </c>
      <c r="E965">
        <v>5</v>
      </c>
      <c r="F965">
        <f t="shared" si="75"/>
        <v>0</v>
      </c>
      <c r="G965">
        <f t="shared" si="76"/>
        <v>0</v>
      </c>
      <c r="H965">
        <f t="shared" si="77"/>
        <v>0</v>
      </c>
      <c r="I965">
        <f t="shared" si="78"/>
        <v>1</v>
      </c>
      <c r="J965">
        <f t="shared" si="79"/>
        <v>0</v>
      </c>
    </row>
    <row r="966" spans="1:10" x14ac:dyDescent="0.3">
      <c r="A966" s="1">
        <v>41991</v>
      </c>
      <c r="B966" s="1">
        <v>41995</v>
      </c>
      <c r="C966">
        <v>4.25</v>
      </c>
      <c r="D966">
        <v>0.11</v>
      </c>
      <c r="E966">
        <v>4</v>
      </c>
      <c r="F966">
        <f t="shared" si="75"/>
        <v>0</v>
      </c>
      <c r="G966">
        <f t="shared" si="76"/>
        <v>0</v>
      </c>
      <c r="H966">
        <f t="shared" si="77"/>
        <v>1</v>
      </c>
      <c r="I966">
        <f t="shared" si="78"/>
        <v>0</v>
      </c>
      <c r="J966">
        <f t="shared" si="79"/>
        <v>0</v>
      </c>
    </row>
    <row r="967" spans="1:10" x14ac:dyDescent="0.3">
      <c r="A967" s="1">
        <v>41991</v>
      </c>
      <c r="B967" s="1">
        <v>42014</v>
      </c>
      <c r="C967">
        <v>6.34</v>
      </c>
      <c r="D967">
        <v>0.17</v>
      </c>
      <c r="E967">
        <v>5</v>
      </c>
      <c r="F967">
        <f t="shared" si="75"/>
        <v>0</v>
      </c>
      <c r="G967">
        <f t="shared" si="76"/>
        <v>0</v>
      </c>
      <c r="H967">
        <f t="shared" si="77"/>
        <v>0</v>
      </c>
      <c r="I967">
        <f t="shared" si="78"/>
        <v>1</v>
      </c>
      <c r="J967">
        <f t="shared" si="79"/>
        <v>0</v>
      </c>
    </row>
    <row r="968" spans="1:10" x14ac:dyDescent="0.3">
      <c r="A968" s="1">
        <v>41992</v>
      </c>
      <c r="B968" s="1">
        <v>42016</v>
      </c>
      <c r="C968">
        <v>2.0099999999999998</v>
      </c>
      <c r="D968">
        <v>0.05</v>
      </c>
      <c r="E968">
        <v>6</v>
      </c>
      <c r="F968">
        <f t="shared" si="75"/>
        <v>0</v>
      </c>
      <c r="G968">
        <f t="shared" si="76"/>
        <v>0</v>
      </c>
      <c r="H968">
        <f t="shared" si="77"/>
        <v>0</v>
      </c>
      <c r="I968">
        <f t="shared" si="78"/>
        <v>0</v>
      </c>
      <c r="J968">
        <f t="shared" si="79"/>
        <v>1</v>
      </c>
    </row>
    <row r="969" spans="1:10" x14ac:dyDescent="0.3">
      <c r="A969" s="1">
        <v>41992</v>
      </c>
      <c r="B969" s="1">
        <v>42007</v>
      </c>
      <c r="C969">
        <v>6.34</v>
      </c>
      <c r="D969">
        <v>0.17</v>
      </c>
      <c r="E969">
        <v>6</v>
      </c>
      <c r="F969">
        <f t="shared" si="75"/>
        <v>0</v>
      </c>
      <c r="G969">
        <f t="shared" si="76"/>
        <v>0</v>
      </c>
      <c r="H969">
        <f t="shared" si="77"/>
        <v>0</v>
      </c>
      <c r="I969">
        <f t="shared" si="78"/>
        <v>0</v>
      </c>
      <c r="J969">
        <f t="shared" si="79"/>
        <v>1</v>
      </c>
    </row>
    <row r="970" spans="1:10" x14ac:dyDescent="0.3">
      <c r="A970" s="1">
        <v>41993</v>
      </c>
      <c r="B970" s="1">
        <v>42014</v>
      </c>
      <c r="C970">
        <v>3.94</v>
      </c>
      <c r="D970">
        <v>0.1</v>
      </c>
      <c r="E970">
        <v>4</v>
      </c>
      <c r="F970">
        <f t="shared" si="75"/>
        <v>0</v>
      </c>
      <c r="G970">
        <f t="shared" si="76"/>
        <v>0</v>
      </c>
      <c r="H970">
        <f t="shared" si="77"/>
        <v>1</v>
      </c>
      <c r="I970">
        <f t="shared" si="78"/>
        <v>0</v>
      </c>
      <c r="J970">
        <f t="shared" si="79"/>
        <v>0</v>
      </c>
    </row>
    <row r="971" spans="1:10" x14ac:dyDescent="0.3">
      <c r="A971" s="1">
        <v>41993</v>
      </c>
      <c r="B971" s="1">
        <v>42021</v>
      </c>
      <c r="C971">
        <v>8.7200000000000006</v>
      </c>
      <c r="D971">
        <v>0.23</v>
      </c>
      <c r="E971">
        <v>4</v>
      </c>
      <c r="F971">
        <f t="shared" si="75"/>
        <v>0</v>
      </c>
      <c r="G971">
        <f t="shared" si="76"/>
        <v>0</v>
      </c>
      <c r="H971">
        <f t="shared" si="77"/>
        <v>1</v>
      </c>
      <c r="I971">
        <f t="shared" si="78"/>
        <v>0</v>
      </c>
      <c r="J971">
        <f t="shared" si="79"/>
        <v>0</v>
      </c>
    </row>
    <row r="972" spans="1:10" x14ac:dyDescent="0.3">
      <c r="A972" s="1">
        <v>41994</v>
      </c>
      <c r="B972" s="1">
        <v>42012</v>
      </c>
      <c r="C972">
        <v>5.67</v>
      </c>
      <c r="D972">
        <v>0.15</v>
      </c>
      <c r="E972">
        <v>6</v>
      </c>
      <c r="F972">
        <f t="shared" si="75"/>
        <v>0</v>
      </c>
      <c r="G972">
        <f t="shared" si="76"/>
        <v>0</v>
      </c>
      <c r="H972">
        <f t="shared" si="77"/>
        <v>0</v>
      </c>
      <c r="I972">
        <f t="shared" si="78"/>
        <v>0</v>
      </c>
      <c r="J972">
        <f t="shared" si="79"/>
        <v>1</v>
      </c>
    </row>
    <row r="973" spans="1:10" x14ac:dyDescent="0.3">
      <c r="A973" s="1">
        <v>41994</v>
      </c>
      <c r="B973" s="1">
        <v>42021</v>
      </c>
      <c r="C973">
        <v>6.58</v>
      </c>
      <c r="D973">
        <v>0.17</v>
      </c>
      <c r="E973">
        <v>5</v>
      </c>
      <c r="F973">
        <f t="shared" si="75"/>
        <v>0</v>
      </c>
      <c r="G973">
        <f t="shared" si="76"/>
        <v>0</v>
      </c>
      <c r="H973">
        <f t="shared" si="77"/>
        <v>0</v>
      </c>
      <c r="I973">
        <f t="shared" si="78"/>
        <v>1</v>
      </c>
      <c r="J973">
        <f t="shared" si="79"/>
        <v>0</v>
      </c>
    </row>
    <row r="974" spans="1:10" x14ac:dyDescent="0.3">
      <c r="A974" s="1">
        <v>41994</v>
      </c>
      <c r="B974" s="1">
        <v>42022</v>
      </c>
      <c r="C974">
        <v>8.7200000000000006</v>
      </c>
      <c r="D974">
        <v>0.23</v>
      </c>
      <c r="E974">
        <v>6</v>
      </c>
      <c r="F974">
        <f t="shared" si="75"/>
        <v>0</v>
      </c>
      <c r="G974">
        <f t="shared" si="76"/>
        <v>0</v>
      </c>
      <c r="H974">
        <f t="shared" si="77"/>
        <v>0</v>
      </c>
      <c r="I974">
        <f t="shared" si="78"/>
        <v>0</v>
      </c>
      <c r="J974">
        <f t="shared" si="79"/>
        <v>1</v>
      </c>
    </row>
    <row r="975" spans="1:10" x14ac:dyDescent="0.3">
      <c r="A975" s="1">
        <v>41994</v>
      </c>
      <c r="B975" s="1">
        <v>42000</v>
      </c>
      <c r="C975">
        <v>6.43</v>
      </c>
      <c r="D975">
        <v>0.17</v>
      </c>
      <c r="E975">
        <v>2</v>
      </c>
      <c r="F975">
        <f t="shared" si="75"/>
        <v>1</v>
      </c>
      <c r="G975">
        <f t="shared" si="76"/>
        <v>0</v>
      </c>
      <c r="H975">
        <f t="shared" si="77"/>
        <v>0</v>
      </c>
      <c r="I975">
        <f t="shared" si="78"/>
        <v>0</v>
      </c>
      <c r="J975">
        <f t="shared" si="79"/>
        <v>0</v>
      </c>
    </row>
    <row r="976" spans="1:10" x14ac:dyDescent="0.3">
      <c r="A976" s="1">
        <v>41994</v>
      </c>
      <c r="B976" s="1">
        <v>42001</v>
      </c>
      <c r="C976">
        <v>3.73</v>
      </c>
      <c r="D976">
        <v>0.1</v>
      </c>
      <c r="E976">
        <v>2</v>
      </c>
      <c r="F976">
        <f t="shared" si="75"/>
        <v>1</v>
      </c>
      <c r="G976">
        <f t="shared" si="76"/>
        <v>0</v>
      </c>
      <c r="H976">
        <f t="shared" si="77"/>
        <v>0</v>
      </c>
      <c r="I976">
        <f t="shared" si="78"/>
        <v>0</v>
      </c>
      <c r="J976">
        <f t="shared" si="79"/>
        <v>0</v>
      </c>
    </row>
    <row r="977" spans="1:10" x14ac:dyDescent="0.3">
      <c r="A977" s="1">
        <v>41994</v>
      </c>
      <c r="B977" s="1">
        <v>42015</v>
      </c>
      <c r="C977">
        <v>7.71</v>
      </c>
      <c r="D977">
        <v>0.2</v>
      </c>
      <c r="E977">
        <v>6</v>
      </c>
      <c r="F977">
        <f t="shared" si="75"/>
        <v>0</v>
      </c>
      <c r="G977">
        <f t="shared" si="76"/>
        <v>0</v>
      </c>
      <c r="H977">
        <f t="shared" si="77"/>
        <v>0</v>
      </c>
      <c r="I977">
        <f t="shared" si="78"/>
        <v>0</v>
      </c>
      <c r="J977">
        <f t="shared" si="79"/>
        <v>1</v>
      </c>
    </row>
    <row r="978" spans="1:10" x14ac:dyDescent="0.3">
      <c r="A978" s="1">
        <v>41994</v>
      </c>
      <c r="B978" s="1">
        <v>42007</v>
      </c>
      <c r="C978">
        <v>7.31</v>
      </c>
      <c r="D978">
        <v>0.19</v>
      </c>
      <c r="E978">
        <v>5</v>
      </c>
      <c r="F978">
        <f t="shared" si="75"/>
        <v>0</v>
      </c>
      <c r="G978">
        <f t="shared" si="76"/>
        <v>0</v>
      </c>
      <c r="H978">
        <f t="shared" si="77"/>
        <v>0</v>
      </c>
      <c r="I978">
        <f t="shared" si="78"/>
        <v>1</v>
      </c>
      <c r="J978">
        <f t="shared" si="79"/>
        <v>0</v>
      </c>
    </row>
    <row r="979" spans="1:10" x14ac:dyDescent="0.3">
      <c r="A979" s="1">
        <v>41994</v>
      </c>
      <c r="B979" s="1">
        <v>42016</v>
      </c>
      <c r="C979">
        <v>4.25</v>
      </c>
      <c r="D979">
        <v>0.11</v>
      </c>
      <c r="E979">
        <v>4</v>
      </c>
      <c r="F979">
        <f t="shared" si="75"/>
        <v>0</v>
      </c>
      <c r="G979">
        <f t="shared" si="76"/>
        <v>0</v>
      </c>
      <c r="H979">
        <f t="shared" si="77"/>
        <v>1</v>
      </c>
      <c r="I979">
        <f t="shared" si="78"/>
        <v>0</v>
      </c>
      <c r="J979">
        <f t="shared" si="79"/>
        <v>0</v>
      </c>
    </row>
    <row r="980" spans="1:10" x14ac:dyDescent="0.3">
      <c r="A980" s="1">
        <v>41995</v>
      </c>
      <c r="B980" s="1">
        <v>42018</v>
      </c>
      <c r="C980">
        <v>6.43</v>
      </c>
      <c r="D980">
        <v>0.17</v>
      </c>
      <c r="E980">
        <v>2</v>
      </c>
      <c r="F980">
        <f t="shared" si="75"/>
        <v>1</v>
      </c>
      <c r="G980">
        <f t="shared" si="76"/>
        <v>0</v>
      </c>
      <c r="H980">
        <f t="shared" si="77"/>
        <v>0</v>
      </c>
      <c r="I980">
        <f t="shared" si="78"/>
        <v>0</v>
      </c>
      <c r="J980">
        <f t="shared" si="79"/>
        <v>0</v>
      </c>
    </row>
    <row r="981" spans="1:10" x14ac:dyDescent="0.3">
      <c r="A981" s="1">
        <v>41995</v>
      </c>
      <c r="B981" s="1">
        <v>42017</v>
      </c>
      <c r="C981">
        <v>4.66</v>
      </c>
      <c r="D981">
        <v>0.12</v>
      </c>
      <c r="E981">
        <v>5</v>
      </c>
      <c r="F981">
        <f t="shared" si="75"/>
        <v>0</v>
      </c>
      <c r="G981">
        <f t="shared" si="76"/>
        <v>0</v>
      </c>
      <c r="H981">
        <f t="shared" si="77"/>
        <v>0</v>
      </c>
      <c r="I981">
        <f t="shared" si="78"/>
        <v>1</v>
      </c>
      <c r="J981">
        <f t="shared" si="79"/>
        <v>0</v>
      </c>
    </row>
    <row r="982" spans="1:10" x14ac:dyDescent="0.3">
      <c r="A982" s="1">
        <v>41995</v>
      </c>
      <c r="B982" s="1">
        <v>42006</v>
      </c>
      <c r="C982">
        <v>6.23</v>
      </c>
      <c r="D982">
        <v>0.16</v>
      </c>
      <c r="E982">
        <v>5</v>
      </c>
      <c r="F982">
        <f t="shared" si="75"/>
        <v>0</v>
      </c>
      <c r="G982">
        <f t="shared" si="76"/>
        <v>0</v>
      </c>
      <c r="H982">
        <f t="shared" si="77"/>
        <v>0</v>
      </c>
      <c r="I982">
        <f t="shared" si="78"/>
        <v>1</v>
      </c>
      <c r="J982">
        <f t="shared" si="79"/>
        <v>0</v>
      </c>
    </row>
    <row r="983" spans="1:10" x14ac:dyDescent="0.3">
      <c r="A983" s="1">
        <v>41995</v>
      </c>
      <c r="B983" s="1">
        <v>42018</v>
      </c>
      <c r="C983">
        <v>3.73</v>
      </c>
      <c r="D983">
        <v>0.1</v>
      </c>
      <c r="E983">
        <v>3</v>
      </c>
      <c r="F983">
        <f t="shared" si="75"/>
        <v>0</v>
      </c>
      <c r="G983">
        <f t="shared" si="76"/>
        <v>1</v>
      </c>
      <c r="H983">
        <f t="shared" si="77"/>
        <v>0</v>
      </c>
      <c r="I983">
        <f t="shared" si="78"/>
        <v>0</v>
      </c>
      <c r="J983">
        <f t="shared" si="79"/>
        <v>0</v>
      </c>
    </row>
    <row r="984" spans="1:10" x14ac:dyDescent="0.3">
      <c r="A984" s="1">
        <v>41995</v>
      </c>
      <c r="B984" s="1">
        <v>42006</v>
      </c>
      <c r="C984">
        <v>3.79</v>
      </c>
      <c r="D984">
        <v>0.1</v>
      </c>
      <c r="E984">
        <v>2</v>
      </c>
      <c r="F984">
        <f t="shared" si="75"/>
        <v>1</v>
      </c>
      <c r="G984">
        <f t="shared" si="76"/>
        <v>0</v>
      </c>
      <c r="H984">
        <f t="shared" si="77"/>
        <v>0</v>
      </c>
      <c r="I984">
        <f t="shared" si="78"/>
        <v>0</v>
      </c>
      <c r="J984">
        <f t="shared" si="79"/>
        <v>0</v>
      </c>
    </row>
    <row r="985" spans="1:10" x14ac:dyDescent="0.3">
      <c r="A985" s="1">
        <v>41995</v>
      </c>
      <c r="B985" s="1">
        <v>42000</v>
      </c>
      <c r="C985">
        <v>2.0099999999999998</v>
      </c>
      <c r="D985">
        <v>0.05</v>
      </c>
      <c r="E985">
        <v>6</v>
      </c>
      <c r="F985">
        <f t="shared" si="75"/>
        <v>0</v>
      </c>
      <c r="G985">
        <f t="shared" si="76"/>
        <v>0</v>
      </c>
      <c r="H985">
        <f t="shared" si="77"/>
        <v>0</v>
      </c>
      <c r="I985">
        <f t="shared" si="78"/>
        <v>0</v>
      </c>
      <c r="J985">
        <f t="shared" si="79"/>
        <v>1</v>
      </c>
    </row>
    <row r="986" spans="1:10" x14ac:dyDescent="0.3">
      <c r="A986" s="1">
        <v>41995</v>
      </c>
      <c r="B986" s="1">
        <v>42003</v>
      </c>
      <c r="C986">
        <v>6.43</v>
      </c>
      <c r="D986">
        <v>0.17</v>
      </c>
      <c r="E986">
        <v>3</v>
      </c>
      <c r="F986">
        <f t="shared" si="75"/>
        <v>0</v>
      </c>
      <c r="G986">
        <f t="shared" si="76"/>
        <v>1</v>
      </c>
      <c r="H986">
        <f t="shared" si="77"/>
        <v>0</v>
      </c>
      <c r="I986">
        <f t="shared" si="78"/>
        <v>0</v>
      </c>
      <c r="J986">
        <f t="shared" si="79"/>
        <v>0</v>
      </c>
    </row>
    <row r="987" spans="1:10" x14ac:dyDescent="0.3">
      <c r="A987" s="1">
        <v>41995</v>
      </c>
      <c r="B987" s="1">
        <v>42022</v>
      </c>
      <c r="C987">
        <v>2.72</v>
      </c>
      <c r="D987">
        <v>7.0000000000000007E-2</v>
      </c>
      <c r="E987">
        <v>3</v>
      </c>
      <c r="F987">
        <f t="shared" si="75"/>
        <v>0</v>
      </c>
      <c r="G987">
        <f t="shared" si="76"/>
        <v>1</v>
      </c>
      <c r="H987">
        <f t="shared" si="77"/>
        <v>0</v>
      </c>
      <c r="I987">
        <f t="shared" si="78"/>
        <v>0</v>
      </c>
      <c r="J987">
        <f t="shared" si="79"/>
        <v>0</v>
      </c>
    </row>
    <row r="988" spans="1:10" x14ac:dyDescent="0.3">
      <c r="A988" s="1">
        <v>41995</v>
      </c>
      <c r="B988" s="1">
        <v>42005</v>
      </c>
      <c r="C988">
        <v>9.06</v>
      </c>
      <c r="D988">
        <v>0.24</v>
      </c>
      <c r="E988">
        <v>3</v>
      </c>
      <c r="F988">
        <f t="shared" si="75"/>
        <v>0</v>
      </c>
      <c r="G988">
        <f t="shared" si="76"/>
        <v>1</v>
      </c>
      <c r="H988">
        <f t="shared" si="77"/>
        <v>0</v>
      </c>
      <c r="I988">
        <f t="shared" si="78"/>
        <v>0</v>
      </c>
      <c r="J988">
        <f t="shared" si="79"/>
        <v>0</v>
      </c>
    </row>
    <row r="989" spans="1:10" x14ac:dyDescent="0.3">
      <c r="A989" s="1">
        <v>41995</v>
      </c>
      <c r="B989" s="1">
        <v>42007</v>
      </c>
      <c r="C989">
        <v>5.67</v>
      </c>
      <c r="D989">
        <v>0.15</v>
      </c>
      <c r="E989">
        <v>3</v>
      </c>
      <c r="F989">
        <f t="shared" si="75"/>
        <v>0</v>
      </c>
      <c r="G989">
        <f t="shared" si="76"/>
        <v>1</v>
      </c>
      <c r="H989">
        <f t="shared" si="77"/>
        <v>0</v>
      </c>
      <c r="I989">
        <f t="shared" si="78"/>
        <v>0</v>
      </c>
      <c r="J989">
        <f t="shared" si="79"/>
        <v>0</v>
      </c>
    </row>
    <row r="990" spans="1:10" x14ac:dyDescent="0.3">
      <c r="A990" s="1">
        <v>41995</v>
      </c>
      <c r="B990" s="1">
        <v>42009</v>
      </c>
      <c r="C990">
        <v>4.25</v>
      </c>
      <c r="D990">
        <v>0.11</v>
      </c>
      <c r="E990">
        <v>6</v>
      </c>
      <c r="F990">
        <f t="shared" si="75"/>
        <v>0</v>
      </c>
      <c r="G990">
        <f t="shared" si="76"/>
        <v>0</v>
      </c>
      <c r="H990">
        <f t="shared" si="77"/>
        <v>0</v>
      </c>
      <c r="I990">
        <f t="shared" si="78"/>
        <v>0</v>
      </c>
      <c r="J990">
        <f t="shared" si="79"/>
        <v>1</v>
      </c>
    </row>
    <row r="991" spans="1:10" x14ac:dyDescent="0.3">
      <c r="A991" s="1">
        <v>41995</v>
      </c>
      <c r="B991" s="1">
        <v>42009</v>
      </c>
      <c r="C991">
        <v>3.57</v>
      </c>
      <c r="D991">
        <v>0.09</v>
      </c>
      <c r="E991">
        <v>2</v>
      </c>
      <c r="F991">
        <f t="shared" si="75"/>
        <v>1</v>
      </c>
      <c r="G991">
        <f t="shared" si="76"/>
        <v>0</v>
      </c>
      <c r="H991">
        <f t="shared" si="77"/>
        <v>0</v>
      </c>
      <c r="I991">
        <f t="shared" si="78"/>
        <v>0</v>
      </c>
      <c r="J991">
        <f t="shared" si="79"/>
        <v>0</v>
      </c>
    </row>
    <row r="992" spans="1:10" x14ac:dyDescent="0.3">
      <c r="A992" s="1">
        <v>41995</v>
      </c>
      <c r="B992" s="1">
        <v>42008</v>
      </c>
      <c r="C992">
        <v>8.39</v>
      </c>
      <c r="D992">
        <v>0.22</v>
      </c>
      <c r="E992">
        <v>5</v>
      </c>
      <c r="F992">
        <f t="shared" si="75"/>
        <v>0</v>
      </c>
      <c r="G992">
        <f t="shared" si="76"/>
        <v>0</v>
      </c>
      <c r="H992">
        <f t="shared" si="77"/>
        <v>0</v>
      </c>
      <c r="I992">
        <f t="shared" si="78"/>
        <v>1</v>
      </c>
      <c r="J992">
        <f t="shared" si="79"/>
        <v>0</v>
      </c>
    </row>
    <row r="993" spans="1:10" x14ac:dyDescent="0.3">
      <c r="A993" s="1">
        <v>41995</v>
      </c>
      <c r="B993" s="1">
        <v>42021</v>
      </c>
      <c r="C993">
        <v>2.29</v>
      </c>
      <c r="D993">
        <v>0.06</v>
      </c>
      <c r="E993">
        <v>5</v>
      </c>
      <c r="F993">
        <f t="shared" si="75"/>
        <v>0</v>
      </c>
      <c r="G993">
        <f t="shared" si="76"/>
        <v>0</v>
      </c>
      <c r="H993">
        <f t="shared" si="77"/>
        <v>0</v>
      </c>
      <c r="I993">
        <f t="shared" si="78"/>
        <v>1</v>
      </c>
      <c r="J993">
        <f t="shared" si="79"/>
        <v>0</v>
      </c>
    </row>
    <row r="994" spans="1:10" x14ac:dyDescent="0.3">
      <c r="A994" s="1">
        <v>42001</v>
      </c>
      <c r="B994" s="1">
        <v>42010</v>
      </c>
      <c r="C994">
        <v>3.79</v>
      </c>
      <c r="D994">
        <v>0.1</v>
      </c>
      <c r="E994">
        <v>4</v>
      </c>
      <c r="F994">
        <f t="shared" si="75"/>
        <v>0</v>
      </c>
      <c r="G994">
        <f t="shared" si="76"/>
        <v>0</v>
      </c>
      <c r="H994">
        <f t="shared" si="77"/>
        <v>1</v>
      </c>
      <c r="I994">
        <f t="shared" si="78"/>
        <v>0</v>
      </c>
      <c r="J994">
        <f t="shared" si="79"/>
        <v>0</v>
      </c>
    </row>
    <row r="995" spans="1:10" x14ac:dyDescent="0.3">
      <c r="A995" s="1">
        <v>42001</v>
      </c>
      <c r="B995" s="1">
        <v>42006</v>
      </c>
      <c r="C995">
        <v>7.55</v>
      </c>
      <c r="D995">
        <v>0.2</v>
      </c>
      <c r="E995">
        <v>3</v>
      </c>
      <c r="F995">
        <f t="shared" si="75"/>
        <v>0</v>
      </c>
      <c r="G995">
        <f t="shared" si="76"/>
        <v>1</v>
      </c>
      <c r="H995">
        <f t="shared" si="77"/>
        <v>0</v>
      </c>
      <c r="I995">
        <f t="shared" si="78"/>
        <v>0</v>
      </c>
      <c r="J995">
        <f t="shared" si="79"/>
        <v>0</v>
      </c>
    </row>
    <row r="996" spans="1:10" x14ac:dyDescent="0.3">
      <c r="A996" s="1">
        <v>42002</v>
      </c>
      <c r="B996" s="1">
        <v>42028</v>
      </c>
      <c r="C996">
        <v>7.71</v>
      </c>
      <c r="D996">
        <v>0.2</v>
      </c>
      <c r="E996">
        <v>6</v>
      </c>
      <c r="F996">
        <f t="shared" si="75"/>
        <v>0</v>
      </c>
      <c r="G996">
        <f t="shared" si="76"/>
        <v>0</v>
      </c>
      <c r="H996">
        <f t="shared" si="77"/>
        <v>0</v>
      </c>
      <c r="I996">
        <f t="shared" si="78"/>
        <v>0</v>
      </c>
      <c r="J996">
        <f t="shared" si="79"/>
        <v>1</v>
      </c>
    </row>
    <row r="997" spans="1:10" x14ac:dyDescent="0.3">
      <c r="A997" s="1">
        <v>42002</v>
      </c>
      <c r="B997" s="1">
        <v>42004</v>
      </c>
      <c r="C997">
        <v>6.34</v>
      </c>
      <c r="D997">
        <v>0.17</v>
      </c>
      <c r="E997">
        <v>4</v>
      </c>
      <c r="F997">
        <f t="shared" si="75"/>
        <v>0</v>
      </c>
      <c r="G997">
        <f t="shared" si="76"/>
        <v>0</v>
      </c>
      <c r="H997">
        <f t="shared" si="77"/>
        <v>1</v>
      </c>
      <c r="I997">
        <f t="shared" si="78"/>
        <v>0</v>
      </c>
      <c r="J997">
        <f t="shared" si="79"/>
        <v>0</v>
      </c>
    </row>
    <row r="998" spans="1:10" x14ac:dyDescent="0.3">
      <c r="A998" s="1">
        <v>42002</v>
      </c>
      <c r="B998" s="1">
        <v>42012</v>
      </c>
      <c r="C998">
        <v>6.58</v>
      </c>
      <c r="D998">
        <v>0.17</v>
      </c>
      <c r="E998">
        <v>2</v>
      </c>
      <c r="F998">
        <f t="shared" si="75"/>
        <v>1</v>
      </c>
      <c r="G998">
        <f t="shared" si="76"/>
        <v>0</v>
      </c>
      <c r="H998">
        <f t="shared" si="77"/>
        <v>0</v>
      </c>
      <c r="I998">
        <f t="shared" si="78"/>
        <v>0</v>
      </c>
      <c r="J998">
        <f t="shared" si="79"/>
        <v>0</v>
      </c>
    </row>
    <row r="999" spans="1:10" x14ac:dyDescent="0.3">
      <c r="A999" s="1">
        <v>42002</v>
      </c>
      <c r="B999" s="1">
        <v>42028</v>
      </c>
      <c r="C999">
        <v>6.34</v>
      </c>
      <c r="D999">
        <v>0.17</v>
      </c>
      <c r="E999">
        <v>6</v>
      </c>
      <c r="F999">
        <f t="shared" si="75"/>
        <v>0</v>
      </c>
      <c r="G999">
        <f t="shared" si="76"/>
        <v>0</v>
      </c>
      <c r="H999">
        <f t="shared" si="77"/>
        <v>0</v>
      </c>
      <c r="I999">
        <f t="shared" si="78"/>
        <v>0</v>
      </c>
      <c r="J999">
        <f t="shared" si="79"/>
        <v>1</v>
      </c>
    </row>
    <row r="1000" spans="1:10" x14ac:dyDescent="0.3">
      <c r="A1000" s="1">
        <v>42002</v>
      </c>
      <c r="B1000" s="1">
        <v>42019</v>
      </c>
      <c r="C1000">
        <v>5.67</v>
      </c>
      <c r="D1000">
        <v>0.15</v>
      </c>
      <c r="E1000">
        <v>4</v>
      </c>
      <c r="F1000">
        <f t="shared" si="75"/>
        <v>0</v>
      </c>
      <c r="G1000">
        <f t="shared" si="76"/>
        <v>0</v>
      </c>
      <c r="H1000">
        <f t="shared" si="77"/>
        <v>1</v>
      </c>
      <c r="I1000">
        <f t="shared" si="78"/>
        <v>0</v>
      </c>
      <c r="J1000">
        <f t="shared" si="79"/>
        <v>0</v>
      </c>
    </row>
    <row r="1001" spans="1:10" x14ac:dyDescent="0.3">
      <c r="A1001" s="1">
        <v>42002</v>
      </c>
      <c r="B1001" s="1">
        <v>42009</v>
      </c>
      <c r="C1001">
        <v>4.25</v>
      </c>
      <c r="D1001">
        <v>0.11</v>
      </c>
      <c r="E1001">
        <v>4</v>
      </c>
      <c r="F1001">
        <f t="shared" si="75"/>
        <v>0</v>
      </c>
      <c r="G1001">
        <f t="shared" si="76"/>
        <v>0</v>
      </c>
      <c r="H1001">
        <f t="shared" si="77"/>
        <v>1</v>
      </c>
      <c r="I1001">
        <f t="shared" si="78"/>
        <v>0</v>
      </c>
      <c r="J1001">
        <f t="shared" si="79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workbookViewId="0">
      <selection activeCell="M8" sqref="M8"/>
    </sheetView>
  </sheetViews>
  <sheetFormatPr defaultRowHeight="14.4" x14ac:dyDescent="0.3"/>
  <cols>
    <col min="1" max="1" width="13.33203125" bestFit="1" customWidth="1"/>
    <col min="2" max="2" width="12.21875" bestFit="1" customWidth="1"/>
    <col min="3" max="3" width="7" bestFit="1" customWidth="1"/>
    <col min="4" max="4" width="5.5546875" bestFit="1" customWidth="1"/>
    <col min="5" max="5" width="3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</row>
    <row r="2" spans="1:13" x14ac:dyDescent="0.3">
      <c r="A2" s="1">
        <v>41641</v>
      </c>
      <c r="B2" s="1">
        <v>41650</v>
      </c>
      <c r="C2">
        <v>39.35</v>
      </c>
      <c r="D2">
        <v>1.04</v>
      </c>
      <c r="E2">
        <v>5</v>
      </c>
      <c r="F2">
        <f>IF(EXACT(E2,2),B2-A2,0)</f>
        <v>0</v>
      </c>
      <c r="G2">
        <f>IF(EXACT(E2,3),B2-A2,0)</f>
        <v>0</v>
      </c>
      <c r="H2">
        <f>IF(EXACT(E2,4),B2-A2,0)</f>
        <v>0</v>
      </c>
      <c r="I2">
        <f>IF(EXACT(E2,5),B2-A2,0)</f>
        <v>9</v>
      </c>
      <c r="J2">
        <f>IF(EXACT(E2,6),B2-A2,0)</f>
        <v>0</v>
      </c>
      <c r="L2" s="4" t="s">
        <v>5</v>
      </c>
      <c r="M2" s="4">
        <f>SUM(F:F)</f>
        <v>2985</v>
      </c>
    </row>
    <row r="3" spans="1:13" x14ac:dyDescent="0.3">
      <c r="A3" s="1">
        <v>41641</v>
      </c>
      <c r="B3" s="1">
        <v>41662</v>
      </c>
      <c r="C3">
        <v>3.79</v>
      </c>
      <c r="D3">
        <v>0.1</v>
      </c>
      <c r="E3">
        <v>6</v>
      </c>
      <c r="F3">
        <f t="shared" ref="F3:F66" si="0">IF(EXACT(E3,2),B3-A3,0)</f>
        <v>0</v>
      </c>
      <c r="G3">
        <f t="shared" ref="G3:G66" si="1">IF(EXACT(E3,3),B3-A3,0)</f>
        <v>0</v>
      </c>
      <c r="H3">
        <f t="shared" ref="H3:H66" si="2">IF(EXACT(E3,4),B3-A3,0)</f>
        <v>0</v>
      </c>
      <c r="I3">
        <f t="shared" ref="I3:I66" si="3">IF(EXACT(E3,5),B3-A3,0)</f>
        <v>0</v>
      </c>
      <c r="J3">
        <f t="shared" ref="J3:J66" si="4">IF(EXACT(E3,6),B3-A3,0)</f>
        <v>21</v>
      </c>
      <c r="L3" s="4" t="s">
        <v>6</v>
      </c>
      <c r="M3" s="4">
        <f>SUM(G:G)</f>
        <v>2816</v>
      </c>
    </row>
    <row r="4" spans="1:13" x14ac:dyDescent="0.3">
      <c r="A4" s="1">
        <v>41641</v>
      </c>
      <c r="B4" s="1">
        <v>41653</v>
      </c>
      <c r="C4">
        <v>3.88</v>
      </c>
      <c r="D4">
        <v>0.1</v>
      </c>
      <c r="E4">
        <v>6</v>
      </c>
      <c r="F4">
        <f t="shared" si="0"/>
        <v>0</v>
      </c>
      <c r="G4">
        <f t="shared" si="1"/>
        <v>0</v>
      </c>
      <c r="H4">
        <f t="shared" si="2"/>
        <v>0</v>
      </c>
      <c r="I4">
        <f t="shared" si="3"/>
        <v>0</v>
      </c>
      <c r="J4">
        <f t="shared" si="4"/>
        <v>12</v>
      </c>
      <c r="L4" s="4" t="s">
        <v>7</v>
      </c>
      <c r="M4" s="4">
        <f>SUM(H:H)</f>
        <v>2944</v>
      </c>
    </row>
    <row r="5" spans="1:13" x14ac:dyDescent="0.3">
      <c r="A5" s="1">
        <v>41641</v>
      </c>
      <c r="B5" s="1">
        <v>41661</v>
      </c>
      <c r="C5">
        <v>6.43</v>
      </c>
      <c r="D5">
        <v>0.17</v>
      </c>
      <c r="E5">
        <v>5</v>
      </c>
      <c r="F5">
        <f t="shared" si="0"/>
        <v>0</v>
      </c>
      <c r="G5">
        <f t="shared" si="1"/>
        <v>0</v>
      </c>
      <c r="H5">
        <f t="shared" si="2"/>
        <v>0</v>
      </c>
      <c r="I5">
        <f t="shared" si="3"/>
        <v>20</v>
      </c>
      <c r="J5">
        <f t="shared" si="4"/>
        <v>0</v>
      </c>
      <c r="L5" s="4" t="s">
        <v>8</v>
      </c>
      <c r="M5" s="4">
        <f>SUM(I:I)</f>
        <v>2997</v>
      </c>
    </row>
    <row r="6" spans="1:13" x14ac:dyDescent="0.3">
      <c r="A6" s="1">
        <v>41641</v>
      </c>
      <c r="B6" s="1">
        <v>41666</v>
      </c>
      <c r="C6">
        <v>8.39</v>
      </c>
      <c r="D6">
        <v>0.22</v>
      </c>
      <c r="E6">
        <v>2</v>
      </c>
      <c r="F6">
        <f t="shared" si="0"/>
        <v>25</v>
      </c>
      <c r="G6">
        <f t="shared" si="1"/>
        <v>0</v>
      </c>
      <c r="H6">
        <f t="shared" si="2"/>
        <v>0</v>
      </c>
      <c r="I6">
        <f t="shared" si="3"/>
        <v>0</v>
      </c>
      <c r="J6">
        <f t="shared" si="4"/>
        <v>0</v>
      </c>
      <c r="L6" s="4" t="s">
        <v>9</v>
      </c>
      <c r="M6" s="4">
        <f>SUM(J:J)</f>
        <v>3244</v>
      </c>
    </row>
    <row r="7" spans="1:13" x14ac:dyDescent="0.3">
      <c r="A7" s="1">
        <v>41641</v>
      </c>
      <c r="B7" s="1">
        <v>41669</v>
      </c>
      <c r="C7">
        <v>11.42</v>
      </c>
      <c r="D7">
        <v>0.3</v>
      </c>
      <c r="E7">
        <v>2</v>
      </c>
      <c r="F7">
        <f t="shared" si="0"/>
        <v>28</v>
      </c>
      <c r="G7">
        <f t="shared" si="1"/>
        <v>0</v>
      </c>
      <c r="H7">
        <f t="shared" si="2"/>
        <v>0</v>
      </c>
      <c r="I7">
        <f t="shared" si="3"/>
        <v>0</v>
      </c>
      <c r="J7">
        <f t="shared" si="4"/>
        <v>0</v>
      </c>
    </row>
    <row r="8" spans="1:13" x14ac:dyDescent="0.3">
      <c r="A8" s="1">
        <v>41642</v>
      </c>
      <c r="B8" s="1">
        <v>41670</v>
      </c>
      <c r="C8">
        <v>5.64</v>
      </c>
      <c r="D8">
        <v>0.15</v>
      </c>
      <c r="E8">
        <v>5</v>
      </c>
      <c r="F8">
        <f t="shared" si="0"/>
        <v>0</v>
      </c>
      <c r="G8">
        <f t="shared" si="1"/>
        <v>0</v>
      </c>
      <c r="H8">
        <f t="shared" si="2"/>
        <v>0</v>
      </c>
      <c r="I8">
        <f t="shared" si="3"/>
        <v>28</v>
      </c>
      <c r="J8">
        <f t="shared" si="4"/>
        <v>0</v>
      </c>
    </row>
    <row r="9" spans="1:13" x14ac:dyDescent="0.3">
      <c r="A9" s="1">
        <v>41642</v>
      </c>
      <c r="B9" s="1">
        <v>41645</v>
      </c>
      <c r="C9">
        <v>10.59</v>
      </c>
      <c r="D9">
        <v>0.28000000000000003</v>
      </c>
      <c r="E9">
        <v>5</v>
      </c>
      <c r="F9">
        <f t="shared" si="0"/>
        <v>0</v>
      </c>
      <c r="G9">
        <f t="shared" si="1"/>
        <v>0</v>
      </c>
      <c r="H9">
        <f t="shared" si="2"/>
        <v>0</v>
      </c>
      <c r="I9">
        <f t="shared" si="3"/>
        <v>3</v>
      </c>
      <c r="J9">
        <f t="shared" si="4"/>
        <v>0</v>
      </c>
    </row>
    <row r="10" spans="1:13" x14ac:dyDescent="0.3">
      <c r="A10" s="1">
        <v>41642</v>
      </c>
      <c r="B10" s="1">
        <v>41669</v>
      </c>
      <c r="C10">
        <v>4.25</v>
      </c>
      <c r="D10">
        <v>0.11</v>
      </c>
      <c r="E10">
        <v>2</v>
      </c>
      <c r="F10">
        <f t="shared" si="0"/>
        <v>27</v>
      </c>
      <c r="G10">
        <f t="shared" si="1"/>
        <v>0</v>
      </c>
      <c r="H10">
        <f t="shared" si="2"/>
        <v>0</v>
      </c>
      <c r="I10">
        <f t="shared" si="3"/>
        <v>0</v>
      </c>
      <c r="J10">
        <f t="shared" si="4"/>
        <v>0</v>
      </c>
    </row>
    <row r="11" spans="1:13" x14ac:dyDescent="0.3">
      <c r="A11" s="1">
        <v>41642</v>
      </c>
      <c r="B11" s="1">
        <v>41660</v>
      </c>
      <c r="C11">
        <v>5.64</v>
      </c>
      <c r="D11">
        <v>0.15</v>
      </c>
      <c r="E11">
        <v>4</v>
      </c>
      <c r="F11">
        <f t="shared" si="0"/>
        <v>0</v>
      </c>
      <c r="G11">
        <f t="shared" si="1"/>
        <v>0</v>
      </c>
      <c r="H11">
        <f t="shared" si="2"/>
        <v>18</v>
      </c>
      <c r="I11">
        <f t="shared" si="3"/>
        <v>0</v>
      </c>
      <c r="J11">
        <f t="shared" si="4"/>
        <v>0</v>
      </c>
    </row>
    <row r="12" spans="1:13" x14ac:dyDescent="0.3">
      <c r="A12" s="1">
        <v>41642</v>
      </c>
      <c r="B12" s="1">
        <v>41669</v>
      </c>
      <c r="C12">
        <v>5.78</v>
      </c>
      <c r="D12">
        <v>0.15</v>
      </c>
      <c r="E12">
        <v>5</v>
      </c>
      <c r="F12">
        <f t="shared" si="0"/>
        <v>0</v>
      </c>
      <c r="G12">
        <f t="shared" si="1"/>
        <v>0</v>
      </c>
      <c r="H12">
        <f t="shared" si="2"/>
        <v>0</v>
      </c>
      <c r="I12">
        <f t="shared" si="3"/>
        <v>27</v>
      </c>
      <c r="J12">
        <f t="shared" si="4"/>
        <v>0</v>
      </c>
    </row>
    <row r="13" spans="1:13" x14ac:dyDescent="0.3">
      <c r="A13" s="1">
        <v>41642</v>
      </c>
      <c r="B13" s="1">
        <v>41669</v>
      </c>
      <c r="C13">
        <v>2.29</v>
      </c>
      <c r="D13">
        <v>0.06</v>
      </c>
      <c r="E13">
        <v>4</v>
      </c>
      <c r="F13">
        <f t="shared" si="0"/>
        <v>0</v>
      </c>
      <c r="G13">
        <f t="shared" si="1"/>
        <v>0</v>
      </c>
      <c r="H13">
        <f t="shared" si="2"/>
        <v>27</v>
      </c>
      <c r="I13">
        <f t="shared" si="3"/>
        <v>0</v>
      </c>
      <c r="J13">
        <f t="shared" si="4"/>
        <v>0</v>
      </c>
    </row>
    <row r="14" spans="1:13" x14ac:dyDescent="0.3">
      <c r="A14" s="1">
        <v>41642</v>
      </c>
      <c r="B14" s="1">
        <v>41665</v>
      </c>
      <c r="C14">
        <v>5.23</v>
      </c>
      <c r="D14">
        <v>0.14000000000000001</v>
      </c>
      <c r="E14">
        <v>2</v>
      </c>
      <c r="F14">
        <f t="shared" si="0"/>
        <v>23</v>
      </c>
      <c r="G14">
        <f t="shared" si="1"/>
        <v>0</v>
      </c>
      <c r="H14">
        <f t="shared" si="2"/>
        <v>0</v>
      </c>
      <c r="I14">
        <f t="shared" si="3"/>
        <v>0</v>
      </c>
      <c r="J14">
        <f t="shared" si="4"/>
        <v>0</v>
      </c>
    </row>
    <row r="15" spans="1:13" x14ac:dyDescent="0.3">
      <c r="A15" s="1">
        <v>41642</v>
      </c>
      <c r="B15" s="1">
        <v>41649</v>
      </c>
      <c r="C15">
        <v>5.67</v>
      </c>
      <c r="D15">
        <v>0.15</v>
      </c>
      <c r="E15">
        <v>2</v>
      </c>
      <c r="F15">
        <f t="shared" si="0"/>
        <v>7</v>
      </c>
      <c r="G15">
        <f t="shared" si="1"/>
        <v>0</v>
      </c>
      <c r="H15">
        <f t="shared" si="2"/>
        <v>0</v>
      </c>
      <c r="I15">
        <f t="shared" si="3"/>
        <v>0</v>
      </c>
      <c r="J15">
        <f t="shared" si="4"/>
        <v>0</v>
      </c>
    </row>
    <row r="16" spans="1:13" x14ac:dyDescent="0.3">
      <c r="A16" s="1">
        <v>41643</v>
      </c>
      <c r="B16" s="1">
        <v>41649</v>
      </c>
      <c r="C16">
        <v>5.64</v>
      </c>
      <c r="D16">
        <v>0.15</v>
      </c>
      <c r="E16">
        <v>2</v>
      </c>
      <c r="F16">
        <f t="shared" si="0"/>
        <v>6</v>
      </c>
      <c r="G16">
        <f t="shared" si="1"/>
        <v>0</v>
      </c>
      <c r="H16">
        <f t="shared" si="2"/>
        <v>0</v>
      </c>
      <c r="I16">
        <f t="shared" si="3"/>
        <v>0</v>
      </c>
      <c r="J16">
        <f t="shared" si="4"/>
        <v>0</v>
      </c>
    </row>
    <row r="17" spans="1:10" x14ac:dyDescent="0.3">
      <c r="A17" s="1">
        <v>41643</v>
      </c>
      <c r="B17" s="1">
        <v>41650</v>
      </c>
      <c r="C17">
        <v>4.25</v>
      </c>
      <c r="D17">
        <v>0.11</v>
      </c>
      <c r="E17">
        <v>4</v>
      </c>
      <c r="F17">
        <f t="shared" si="0"/>
        <v>0</v>
      </c>
      <c r="G17">
        <f t="shared" si="1"/>
        <v>0</v>
      </c>
      <c r="H17">
        <f t="shared" si="2"/>
        <v>7</v>
      </c>
      <c r="I17">
        <f t="shared" si="3"/>
        <v>0</v>
      </c>
      <c r="J17">
        <f t="shared" si="4"/>
        <v>0</v>
      </c>
    </row>
    <row r="18" spans="1:10" x14ac:dyDescent="0.3">
      <c r="A18" s="1">
        <v>41643</v>
      </c>
      <c r="B18" s="1">
        <v>41660</v>
      </c>
      <c r="C18">
        <v>6.58</v>
      </c>
      <c r="D18">
        <v>0.17</v>
      </c>
      <c r="E18">
        <v>6</v>
      </c>
      <c r="F18">
        <f t="shared" si="0"/>
        <v>0</v>
      </c>
      <c r="G18">
        <f t="shared" si="1"/>
        <v>0</v>
      </c>
      <c r="H18">
        <f t="shared" si="2"/>
        <v>0</v>
      </c>
      <c r="I18">
        <f t="shared" si="3"/>
        <v>0</v>
      </c>
      <c r="J18">
        <f t="shared" si="4"/>
        <v>17</v>
      </c>
    </row>
    <row r="19" spans="1:10" x14ac:dyDescent="0.3">
      <c r="A19" s="1">
        <v>41644</v>
      </c>
      <c r="B19" s="1">
        <v>41661</v>
      </c>
      <c r="C19">
        <v>6.43</v>
      </c>
      <c r="D19">
        <v>0.17</v>
      </c>
      <c r="E19">
        <v>3</v>
      </c>
      <c r="F19">
        <f t="shared" si="0"/>
        <v>0</v>
      </c>
      <c r="G19">
        <f t="shared" si="1"/>
        <v>17</v>
      </c>
      <c r="H19">
        <f t="shared" si="2"/>
        <v>0</v>
      </c>
      <c r="I19">
        <f t="shared" si="3"/>
        <v>0</v>
      </c>
      <c r="J19">
        <f t="shared" si="4"/>
        <v>0</v>
      </c>
    </row>
    <row r="20" spans="1:10" x14ac:dyDescent="0.3">
      <c r="A20" s="1">
        <v>41644</v>
      </c>
      <c r="B20" s="1">
        <v>41662</v>
      </c>
      <c r="C20">
        <v>5.67</v>
      </c>
      <c r="D20">
        <v>0.15</v>
      </c>
      <c r="E20">
        <v>5</v>
      </c>
      <c r="F20">
        <f t="shared" si="0"/>
        <v>0</v>
      </c>
      <c r="G20">
        <f t="shared" si="1"/>
        <v>0</v>
      </c>
      <c r="H20">
        <f t="shared" si="2"/>
        <v>0</v>
      </c>
      <c r="I20">
        <f t="shared" si="3"/>
        <v>18</v>
      </c>
      <c r="J20">
        <f t="shared" si="4"/>
        <v>0</v>
      </c>
    </row>
    <row r="21" spans="1:10" x14ac:dyDescent="0.3">
      <c r="A21" s="1">
        <v>41645</v>
      </c>
      <c r="B21" s="1">
        <v>41654</v>
      </c>
      <c r="C21">
        <v>4.66</v>
      </c>
      <c r="D21">
        <v>0.12</v>
      </c>
      <c r="E21">
        <v>2</v>
      </c>
      <c r="F21">
        <f t="shared" si="0"/>
        <v>9</v>
      </c>
      <c r="G21">
        <f t="shared" si="1"/>
        <v>0</v>
      </c>
      <c r="H21">
        <f t="shared" si="2"/>
        <v>0</v>
      </c>
      <c r="I21">
        <f t="shared" si="3"/>
        <v>0</v>
      </c>
      <c r="J21">
        <f t="shared" si="4"/>
        <v>0</v>
      </c>
    </row>
    <row r="22" spans="1:10" x14ac:dyDescent="0.3">
      <c r="A22" s="1">
        <v>41646</v>
      </c>
      <c r="B22" s="1">
        <v>41663</v>
      </c>
      <c r="C22">
        <v>2.0099999999999998</v>
      </c>
      <c r="D22">
        <v>0.05</v>
      </c>
      <c r="E22">
        <v>4</v>
      </c>
      <c r="F22">
        <f t="shared" si="0"/>
        <v>0</v>
      </c>
      <c r="G22">
        <f t="shared" si="1"/>
        <v>0</v>
      </c>
      <c r="H22">
        <f t="shared" si="2"/>
        <v>17</v>
      </c>
      <c r="I22">
        <f t="shared" si="3"/>
        <v>0</v>
      </c>
      <c r="J22">
        <f t="shared" si="4"/>
        <v>0</v>
      </c>
    </row>
    <row r="23" spans="1:10" x14ac:dyDescent="0.3">
      <c r="A23" s="1">
        <v>41646</v>
      </c>
      <c r="B23" s="1">
        <v>41670</v>
      </c>
      <c r="C23">
        <v>3.57</v>
      </c>
      <c r="D23">
        <v>0.09</v>
      </c>
      <c r="E23">
        <v>3</v>
      </c>
      <c r="F23">
        <f t="shared" si="0"/>
        <v>0</v>
      </c>
      <c r="G23">
        <f t="shared" si="1"/>
        <v>24</v>
      </c>
      <c r="H23">
        <f t="shared" si="2"/>
        <v>0</v>
      </c>
      <c r="I23">
        <f t="shared" si="3"/>
        <v>0</v>
      </c>
      <c r="J23">
        <f t="shared" si="4"/>
        <v>0</v>
      </c>
    </row>
    <row r="24" spans="1:10" x14ac:dyDescent="0.3">
      <c r="A24" s="1">
        <v>41646</v>
      </c>
      <c r="B24" s="1">
        <v>41649</v>
      </c>
      <c r="C24">
        <v>2.29</v>
      </c>
      <c r="D24">
        <v>0.06</v>
      </c>
      <c r="E24">
        <v>5</v>
      </c>
      <c r="F24">
        <f t="shared" si="0"/>
        <v>0</v>
      </c>
      <c r="G24">
        <f t="shared" si="1"/>
        <v>0</v>
      </c>
      <c r="H24">
        <f t="shared" si="2"/>
        <v>0</v>
      </c>
      <c r="I24">
        <f t="shared" si="3"/>
        <v>3</v>
      </c>
      <c r="J24">
        <f t="shared" si="4"/>
        <v>0</v>
      </c>
    </row>
    <row r="25" spans="1:10" x14ac:dyDescent="0.3">
      <c r="A25" s="1">
        <v>41646</v>
      </c>
      <c r="B25" s="1">
        <v>41649</v>
      </c>
      <c r="C25">
        <v>2.72</v>
      </c>
      <c r="D25">
        <v>7.0000000000000007E-2</v>
      </c>
      <c r="E25">
        <v>4</v>
      </c>
      <c r="F25">
        <f t="shared" si="0"/>
        <v>0</v>
      </c>
      <c r="G25">
        <f t="shared" si="1"/>
        <v>0</v>
      </c>
      <c r="H25">
        <f t="shared" si="2"/>
        <v>3</v>
      </c>
      <c r="I25">
        <f t="shared" si="3"/>
        <v>0</v>
      </c>
      <c r="J25">
        <f t="shared" si="4"/>
        <v>0</v>
      </c>
    </row>
    <row r="26" spans="1:10" x14ac:dyDescent="0.3">
      <c r="A26" s="1">
        <v>41646</v>
      </c>
      <c r="B26" s="1">
        <v>41651</v>
      </c>
      <c r="C26">
        <v>3.73</v>
      </c>
      <c r="D26">
        <v>0.1</v>
      </c>
      <c r="E26">
        <v>3</v>
      </c>
      <c r="F26">
        <f t="shared" si="0"/>
        <v>0</v>
      </c>
      <c r="G26">
        <f t="shared" si="1"/>
        <v>5</v>
      </c>
      <c r="H26">
        <f t="shared" si="2"/>
        <v>0</v>
      </c>
      <c r="I26">
        <f t="shared" si="3"/>
        <v>0</v>
      </c>
      <c r="J26">
        <f t="shared" si="4"/>
        <v>0</v>
      </c>
    </row>
    <row r="27" spans="1:10" x14ac:dyDescent="0.3">
      <c r="A27" s="1">
        <v>41647</v>
      </c>
      <c r="B27" s="1">
        <v>41665</v>
      </c>
      <c r="C27">
        <v>6.58</v>
      </c>
      <c r="D27">
        <v>0.17</v>
      </c>
      <c r="E27">
        <v>3</v>
      </c>
      <c r="F27">
        <f t="shared" si="0"/>
        <v>0</v>
      </c>
      <c r="G27">
        <f t="shared" si="1"/>
        <v>18</v>
      </c>
      <c r="H27">
        <f t="shared" si="2"/>
        <v>0</v>
      </c>
      <c r="I27">
        <f t="shared" si="3"/>
        <v>0</v>
      </c>
      <c r="J27">
        <f t="shared" si="4"/>
        <v>0</v>
      </c>
    </row>
    <row r="28" spans="1:10" x14ac:dyDescent="0.3">
      <c r="A28" s="1">
        <v>41647</v>
      </c>
      <c r="B28" s="1">
        <v>41664</v>
      </c>
      <c r="C28">
        <v>6.58</v>
      </c>
      <c r="D28">
        <v>0.17</v>
      </c>
      <c r="E28">
        <v>2</v>
      </c>
      <c r="F28">
        <f t="shared" si="0"/>
        <v>17</v>
      </c>
      <c r="G28">
        <f t="shared" si="1"/>
        <v>0</v>
      </c>
      <c r="H28">
        <f t="shared" si="2"/>
        <v>0</v>
      </c>
      <c r="I28">
        <f t="shared" si="3"/>
        <v>0</v>
      </c>
      <c r="J28">
        <f t="shared" si="4"/>
        <v>0</v>
      </c>
    </row>
    <row r="29" spans="1:10" x14ac:dyDescent="0.3">
      <c r="A29" s="1">
        <v>41647</v>
      </c>
      <c r="B29" s="1">
        <v>41658</v>
      </c>
      <c r="C29">
        <v>5.67</v>
      </c>
      <c r="D29">
        <v>0.15</v>
      </c>
      <c r="E29">
        <v>5</v>
      </c>
      <c r="F29">
        <f t="shared" si="0"/>
        <v>0</v>
      </c>
      <c r="G29">
        <f t="shared" si="1"/>
        <v>0</v>
      </c>
      <c r="H29">
        <f t="shared" si="2"/>
        <v>0</v>
      </c>
      <c r="I29">
        <f t="shared" si="3"/>
        <v>11</v>
      </c>
      <c r="J29">
        <f t="shared" si="4"/>
        <v>0</v>
      </c>
    </row>
    <row r="30" spans="1:10" x14ac:dyDescent="0.3">
      <c r="A30" s="1">
        <v>41648</v>
      </c>
      <c r="B30" s="1">
        <v>41674</v>
      </c>
      <c r="C30">
        <v>9.1300000000000008</v>
      </c>
      <c r="D30">
        <v>0.24</v>
      </c>
      <c r="E30">
        <v>2</v>
      </c>
      <c r="F30">
        <f t="shared" si="0"/>
        <v>26</v>
      </c>
      <c r="G30">
        <f t="shared" si="1"/>
        <v>0</v>
      </c>
      <c r="H30">
        <f t="shared" si="2"/>
        <v>0</v>
      </c>
      <c r="I30">
        <f t="shared" si="3"/>
        <v>0</v>
      </c>
      <c r="J30">
        <f t="shared" si="4"/>
        <v>0</v>
      </c>
    </row>
    <row r="31" spans="1:10" x14ac:dyDescent="0.3">
      <c r="A31" s="1">
        <v>41648</v>
      </c>
      <c r="B31" s="1">
        <v>41658</v>
      </c>
      <c r="C31">
        <v>14.31</v>
      </c>
      <c r="D31">
        <v>0.38</v>
      </c>
      <c r="E31">
        <v>6</v>
      </c>
      <c r="F31">
        <f t="shared" si="0"/>
        <v>0</v>
      </c>
      <c r="G31">
        <f t="shared" si="1"/>
        <v>0</v>
      </c>
      <c r="H31">
        <f t="shared" si="2"/>
        <v>0</v>
      </c>
      <c r="I31">
        <f t="shared" si="3"/>
        <v>0</v>
      </c>
      <c r="J31">
        <f t="shared" si="4"/>
        <v>10</v>
      </c>
    </row>
    <row r="32" spans="1:10" x14ac:dyDescent="0.3">
      <c r="A32" s="1">
        <v>41648</v>
      </c>
      <c r="B32" s="1">
        <v>41675</v>
      </c>
      <c r="C32">
        <v>3.79</v>
      </c>
      <c r="D32">
        <v>0.1</v>
      </c>
      <c r="E32">
        <v>5</v>
      </c>
      <c r="F32">
        <f t="shared" si="0"/>
        <v>0</v>
      </c>
      <c r="G32">
        <f t="shared" si="1"/>
        <v>0</v>
      </c>
      <c r="H32">
        <f t="shared" si="2"/>
        <v>0</v>
      </c>
      <c r="I32">
        <f t="shared" si="3"/>
        <v>27</v>
      </c>
      <c r="J32">
        <f t="shared" si="4"/>
        <v>0</v>
      </c>
    </row>
    <row r="33" spans="1:10" x14ac:dyDescent="0.3">
      <c r="A33" s="1">
        <v>41648</v>
      </c>
      <c r="B33" s="1">
        <v>41666</v>
      </c>
      <c r="C33">
        <v>6.23</v>
      </c>
      <c r="D33">
        <v>0.16</v>
      </c>
      <c r="E33">
        <v>5</v>
      </c>
      <c r="F33">
        <f t="shared" si="0"/>
        <v>0</v>
      </c>
      <c r="G33">
        <f t="shared" si="1"/>
        <v>0</v>
      </c>
      <c r="H33">
        <f t="shared" si="2"/>
        <v>0</v>
      </c>
      <c r="I33">
        <f t="shared" si="3"/>
        <v>18</v>
      </c>
      <c r="J33">
        <f t="shared" si="4"/>
        <v>0</v>
      </c>
    </row>
    <row r="34" spans="1:10" x14ac:dyDescent="0.3">
      <c r="A34" s="1">
        <v>41649</v>
      </c>
      <c r="B34" s="1">
        <v>41659</v>
      </c>
      <c r="C34">
        <v>3.57</v>
      </c>
      <c r="D34">
        <v>0.09</v>
      </c>
      <c r="E34">
        <v>6</v>
      </c>
      <c r="F34">
        <f t="shared" si="0"/>
        <v>0</v>
      </c>
      <c r="G34">
        <f t="shared" si="1"/>
        <v>0</v>
      </c>
      <c r="H34">
        <f t="shared" si="2"/>
        <v>0</v>
      </c>
      <c r="I34">
        <f t="shared" si="3"/>
        <v>0</v>
      </c>
      <c r="J34">
        <f t="shared" si="4"/>
        <v>10</v>
      </c>
    </row>
    <row r="35" spans="1:10" x14ac:dyDescent="0.3">
      <c r="A35" s="1">
        <v>41649</v>
      </c>
      <c r="B35" s="1">
        <v>41652</v>
      </c>
      <c r="C35">
        <v>5.67</v>
      </c>
      <c r="D35">
        <v>0.15</v>
      </c>
      <c r="E35">
        <v>6</v>
      </c>
      <c r="F35">
        <f t="shared" si="0"/>
        <v>0</v>
      </c>
      <c r="G35">
        <f t="shared" si="1"/>
        <v>0</v>
      </c>
      <c r="H35">
        <f t="shared" si="2"/>
        <v>0</v>
      </c>
      <c r="I35">
        <f t="shared" si="3"/>
        <v>0</v>
      </c>
      <c r="J35">
        <f t="shared" si="4"/>
        <v>3</v>
      </c>
    </row>
    <row r="36" spans="1:10" x14ac:dyDescent="0.3">
      <c r="A36" s="1">
        <v>41649</v>
      </c>
      <c r="B36" s="1">
        <v>41667</v>
      </c>
      <c r="C36">
        <v>8.7200000000000006</v>
      </c>
      <c r="D36">
        <v>0.23</v>
      </c>
      <c r="E36">
        <v>5</v>
      </c>
      <c r="F36">
        <f t="shared" si="0"/>
        <v>0</v>
      </c>
      <c r="G36">
        <f t="shared" si="1"/>
        <v>0</v>
      </c>
      <c r="H36">
        <f t="shared" si="2"/>
        <v>0</v>
      </c>
      <c r="I36">
        <f t="shared" si="3"/>
        <v>18</v>
      </c>
      <c r="J36">
        <f t="shared" si="4"/>
        <v>0</v>
      </c>
    </row>
    <row r="37" spans="1:10" x14ac:dyDescent="0.3">
      <c r="A37" s="1">
        <v>41649</v>
      </c>
      <c r="B37" s="1">
        <v>41654</v>
      </c>
      <c r="C37">
        <v>4.66</v>
      </c>
      <c r="D37">
        <v>0.12</v>
      </c>
      <c r="E37">
        <v>3</v>
      </c>
      <c r="F37">
        <f t="shared" si="0"/>
        <v>0</v>
      </c>
      <c r="G37">
        <f t="shared" si="1"/>
        <v>5</v>
      </c>
      <c r="H37">
        <f t="shared" si="2"/>
        <v>0</v>
      </c>
      <c r="I37">
        <f t="shared" si="3"/>
        <v>0</v>
      </c>
      <c r="J37">
        <f t="shared" si="4"/>
        <v>0</v>
      </c>
    </row>
    <row r="38" spans="1:10" x14ac:dyDescent="0.3">
      <c r="A38" s="1">
        <v>41651</v>
      </c>
      <c r="B38" s="1">
        <v>41659</v>
      </c>
      <c r="C38">
        <v>5.67</v>
      </c>
      <c r="D38">
        <v>0.15</v>
      </c>
      <c r="E38">
        <v>3</v>
      </c>
      <c r="F38">
        <f t="shared" si="0"/>
        <v>0</v>
      </c>
      <c r="G38">
        <f t="shared" si="1"/>
        <v>8</v>
      </c>
      <c r="H38">
        <f t="shared" si="2"/>
        <v>0</v>
      </c>
      <c r="I38">
        <f t="shared" si="3"/>
        <v>0</v>
      </c>
      <c r="J38">
        <f t="shared" si="4"/>
        <v>0</v>
      </c>
    </row>
    <row r="39" spans="1:10" x14ac:dyDescent="0.3">
      <c r="A39" s="1">
        <v>41652</v>
      </c>
      <c r="B39" s="1">
        <v>41654</v>
      </c>
      <c r="C39">
        <v>7.06</v>
      </c>
      <c r="D39">
        <v>0.19</v>
      </c>
      <c r="E39">
        <v>2</v>
      </c>
      <c r="F39">
        <f t="shared" si="0"/>
        <v>2</v>
      </c>
      <c r="G39">
        <f t="shared" si="1"/>
        <v>0</v>
      </c>
      <c r="H39">
        <f t="shared" si="2"/>
        <v>0</v>
      </c>
      <c r="I39">
        <f t="shared" si="3"/>
        <v>0</v>
      </c>
      <c r="J39">
        <f t="shared" si="4"/>
        <v>0</v>
      </c>
    </row>
    <row r="40" spans="1:10" x14ac:dyDescent="0.3">
      <c r="A40" s="1">
        <v>41652</v>
      </c>
      <c r="B40" s="1">
        <v>41661</v>
      </c>
      <c r="C40">
        <v>5.67</v>
      </c>
      <c r="D40">
        <v>0.15</v>
      </c>
      <c r="E40">
        <v>5</v>
      </c>
      <c r="F40">
        <f t="shared" si="0"/>
        <v>0</v>
      </c>
      <c r="G40">
        <f t="shared" si="1"/>
        <v>0</v>
      </c>
      <c r="H40">
        <f t="shared" si="2"/>
        <v>0</v>
      </c>
      <c r="I40">
        <f t="shared" si="3"/>
        <v>9</v>
      </c>
      <c r="J40">
        <f t="shared" si="4"/>
        <v>0</v>
      </c>
    </row>
    <row r="41" spans="1:10" x14ac:dyDescent="0.3">
      <c r="A41" s="1">
        <v>41652</v>
      </c>
      <c r="B41" s="1">
        <v>41671</v>
      </c>
      <c r="C41">
        <v>6.34</v>
      </c>
      <c r="D41">
        <v>0.17</v>
      </c>
      <c r="E41">
        <v>3</v>
      </c>
      <c r="F41">
        <f t="shared" si="0"/>
        <v>0</v>
      </c>
      <c r="G41">
        <f t="shared" si="1"/>
        <v>19</v>
      </c>
      <c r="H41">
        <f t="shared" si="2"/>
        <v>0</v>
      </c>
      <c r="I41">
        <f t="shared" si="3"/>
        <v>0</v>
      </c>
      <c r="J41">
        <f t="shared" si="4"/>
        <v>0</v>
      </c>
    </row>
    <row r="42" spans="1:10" x14ac:dyDescent="0.3">
      <c r="A42" s="1">
        <v>41652</v>
      </c>
      <c r="B42" s="1">
        <v>41656</v>
      </c>
      <c r="C42">
        <v>7.31</v>
      </c>
      <c r="D42">
        <v>0.19</v>
      </c>
      <c r="E42">
        <v>3</v>
      </c>
      <c r="F42">
        <f t="shared" si="0"/>
        <v>0</v>
      </c>
      <c r="G42">
        <f t="shared" si="1"/>
        <v>4</v>
      </c>
      <c r="H42">
        <f t="shared" si="2"/>
        <v>0</v>
      </c>
      <c r="I42">
        <f t="shared" si="3"/>
        <v>0</v>
      </c>
      <c r="J42">
        <f t="shared" si="4"/>
        <v>0</v>
      </c>
    </row>
    <row r="43" spans="1:10" x14ac:dyDescent="0.3">
      <c r="A43" s="1">
        <v>41652</v>
      </c>
      <c r="B43" s="1">
        <v>41668</v>
      </c>
      <c r="C43">
        <v>6.75</v>
      </c>
      <c r="D43">
        <v>0.18</v>
      </c>
      <c r="E43">
        <v>3</v>
      </c>
      <c r="F43">
        <f t="shared" si="0"/>
        <v>0</v>
      </c>
      <c r="G43">
        <f t="shared" si="1"/>
        <v>16</v>
      </c>
      <c r="H43">
        <f t="shared" si="2"/>
        <v>0</v>
      </c>
      <c r="I43">
        <f t="shared" si="3"/>
        <v>0</v>
      </c>
      <c r="J43">
        <f t="shared" si="4"/>
        <v>0</v>
      </c>
    </row>
    <row r="44" spans="1:10" x14ac:dyDescent="0.3">
      <c r="A44" s="1">
        <v>41652</v>
      </c>
      <c r="B44" s="1">
        <v>41680</v>
      </c>
      <c r="C44">
        <v>3.57</v>
      </c>
      <c r="D44">
        <v>0.09</v>
      </c>
      <c r="E44">
        <v>2</v>
      </c>
      <c r="F44">
        <f t="shared" si="0"/>
        <v>28</v>
      </c>
      <c r="G44">
        <f t="shared" si="1"/>
        <v>0</v>
      </c>
      <c r="H44">
        <f t="shared" si="2"/>
        <v>0</v>
      </c>
      <c r="I44">
        <f t="shared" si="3"/>
        <v>0</v>
      </c>
      <c r="J44">
        <f t="shared" si="4"/>
        <v>0</v>
      </c>
    </row>
    <row r="45" spans="1:10" x14ac:dyDescent="0.3">
      <c r="A45" s="1">
        <v>41653</v>
      </c>
      <c r="B45" s="1">
        <v>41664</v>
      </c>
      <c r="C45">
        <v>8.5399999999999991</v>
      </c>
      <c r="D45">
        <v>0.22</v>
      </c>
      <c r="E45">
        <v>2</v>
      </c>
      <c r="F45">
        <f t="shared" si="0"/>
        <v>11</v>
      </c>
      <c r="G45">
        <f t="shared" si="1"/>
        <v>0</v>
      </c>
      <c r="H45">
        <f t="shared" si="2"/>
        <v>0</v>
      </c>
      <c r="I45">
        <f t="shared" si="3"/>
        <v>0</v>
      </c>
      <c r="J45">
        <f t="shared" si="4"/>
        <v>0</v>
      </c>
    </row>
    <row r="46" spans="1:10" x14ac:dyDescent="0.3">
      <c r="A46" s="1">
        <v>41653</v>
      </c>
      <c r="B46" s="1">
        <v>41655</v>
      </c>
      <c r="C46">
        <v>8.9499999999999993</v>
      </c>
      <c r="D46">
        <v>0.24</v>
      </c>
      <c r="E46">
        <v>4</v>
      </c>
      <c r="F46">
        <f t="shared" si="0"/>
        <v>0</v>
      </c>
      <c r="G46">
        <f t="shared" si="1"/>
        <v>0</v>
      </c>
      <c r="H46">
        <f t="shared" si="2"/>
        <v>2</v>
      </c>
      <c r="I46">
        <f t="shared" si="3"/>
        <v>0</v>
      </c>
      <c r="J46">
        <f t="shared" si="4"/>
        <v>0</v>
      </c>
    </row>
    <row r="47" spans="1:10" x14ac:dyDescent="0.3">
      <c r="A47" s="1">
        <v>41653</v>
      </c>
      <c r="B47" s="1">
        <v>41677</v>
      </c>
      <c r="C47">
        <v>6.34</v>
      </c>
      <c r="D47">
        <v>0.17</v>
      </c>
      <c r="E47">
        <v>6</v>
      </c>
      <c r="F47">
        <f t="shared" si="0"/>
        <v>0</v>
      </c>
      <c r="G47">
        <f t="shared" si="1"/>
        <v>0</v>
      </c>
      <c r="H47">
        <f t="shared" si="2"/>
        <v>0</v>
      </c>
      <c r="I47">
        <f t="shared" si="3"/>
        <v>0</v>
      </c>
      <c r="J47">
        <f t="shared" si="4"/>
        <v>24</v>
      </c>
    </row>
    <row r="48" spans="1:10" x14ac:dyDescent="0.3">
      <c r="A48" s="1">
        <v>41653</v>
      </c>
      <c r="B48" s="1">
        <v>41672</v>
      </c>
      <c r="C48">
        <v>12.23</v>
      </c>
      <c r="D48">
        <v>0.32</v>
      </c>
      <c r="E48">
        <v>3</v>
      </c>
      <c r="F48">
        <f t="shared" si="0"/>
        <v>0</v>
      </c>
      <c r="G48">
        <f t="shared" si="1"/>
        <v>19</v>
      </c>
      <c r="H48">
        <f t="shared" si="2"/>
        <v>0</v>
      </c>
      <c r="I48">
        <f t="shared" si="3"/>
        <v>0</v>
      </c>
      <c r="J48">
        <f t="shared" si="4"/>
        <v>0</v>
      </c>
    </row>
    <row r="49" spans="1:10" x14ac:dyDescent="0.3">
      <c r="A49" s="1">
        <v>41653</v>
      </c>
      <c r="B49" s="1">
        <v>41668</v>
      </c>
      <c r="C49">
        <v>8.7200000000000006</v>
      </c>
      <c r="D49">
        <v>0.23</v>
      </c>
      <c r="E49">
        <v>5</v>
      </c>
      <c r="F49">
        <f t="shared" si="0"/>
        <v>0</v>
      </c>
      <c r="G49">
        <f t="shared" si="1"/>
        <v>0</v>
      </c>
      <c r="H49">
        <f t="shared" si="2"/>
        <v>0</v>
      </c>
      <c r="I49">
        <f t="shared" si="3"/>
        <v>15</v>
      </c>
      <c r="J49">
        <f t="shared" si="4"/>
        <v>0</v>
      </c>
    </row>
    <row r="50" spans="1:10" x14ac:dyDescent="0.3">
      <c r="A50" s="1">
        <v>41653</v>
      </c>
      <c r="B50" s="1">
        <v>41671</v>
      </c>
      <c r="C50">
        <v>16.55</v>
      </c>
      <c r="D50">
        <v>0.44</v>
      </c>
      <c r="E50">
        <v>6</v>
      </c>
      <c r="F50">
        <f t="shared" si="0"/>
        <v>0</v>
      </c>
      <c r="G50">
        <f t="shared" si="1"/>
        <v>0</v>
      </c>
      <c r="H50">
        <f t="shared" si="2"/>
        <v>0</v>
      </c>
      <c r="I50">
        <f t="shared" si="3"/>
        <v>0</v>
      </c>
      <c r="J50">
        <f t="shared" si="4"/>
        <v>18</v>
      </c>
    </row>
    <row r="51" spans="1:10" x14ac:dyDescent="0.3">
      <c r="A51" s="1">
        <v>41653</v>
      </c>
      <c r="B51" s="1">
        <v>41656</v>
      </c>
      <c r="C51">
        <v>7.55</v>
      </c>
      <c r="D51">
        <v>0.2</v>
      </c>
      <c r="E51">
        <v>2</v>
      </c>
      <c r="F51">
        <f t="shared" si="0"/>
        <v>3</v>
      </c>
      <c r="G51">
        <f t="shared" si="1"/>
        <v>0</v>
      </c>
      <c r="H51">
        <f t="shared" si="2"/>
        <v>0</v>
      </c>
      <c r="I51">
        <f t="shared" si="3"/>
        <v>0</v>
      </c>
      <c r="J51">
        <f t="shared" si="4"/>
        <v>0</v>
      </c>
    </row>
    <row r="52" spans="1:10" x14ac:dyDescent="0.3">
      <c r="A52" s="1">
        <v>41653</v>
      </c>
      <c r="B52" s="1">
        <v>41668</v>
      </c>
      <c r="C52">
        <v>5.78</v>
      </c>
      <c r="D52">
        <v>0.15</v>
      </c>
      <c r="E52">
        <v>2</v>
      </c>
      <c r="F52">
        <f t="shared" si="0"/>
        <v>15</v>
      </c>
      <c r="G52">
        <f t="shared" si="1"/>
        <v>0</v>
      </c>
      <c r="H52">
        <f t="shared" si="2"/>
        <v>0</v>
      </c>
      <c r="I52">
        <f t="shared" si="3"/>
        <v>0</v>
      </c>
      <c r="J52">
        <f t="shared" si="4"/>
        <v>0</v>
      </c>
    </row>
    <row r="53" spans="1:10" x14ac:dyDescent="0.3">
      <c r="A53" s="1">
        <v>41653</v>
      </c>
      <c r="B53" s="1">
        <v>41658</v>
      </c>
      <c r="C53">
        <v>8.83</v>
      </c>
      <c r="D53">
        <v>0.23</v>
      </c>
      <c r="E53">
        <v>3</v>
      </c>
      <c r="F53">
        <f t="shared" si="0"/>
        <v>0</v>
      </c>
      <c r="G53">
        <f t="shared" si="1"/>
        <v>5</v>
      </c>
      <c r="H53">
        <f t="shared" si="2"/>
        <v>0</v>
      </c>
      <c r="I53">
        <f t="shared" si="3"/>
        <v>0</v>
      </c>
      <c r="J53">
        <f t="shared" si="4"/>
        <v>0</v>
      </c>
    </row>
    <row r="54" spans="1:10" x14ac:dyDescent="0.3">
      <c r="A54" s="1">
        <v>41653</v>
      </c>
      <c r="B54" s="1">
        <v>41655</v>
      </c>
      <c r="C54">
        <v>8.89</v>
      </c>
      <c r="D54">
        <v>0.23</v>
      </c>
      <c r="E54">
        <v>4</v>
      </c>
      <c r="F54">
        <f t="shared" si="0"/>
        <v>0</v>
      </c>
      <c r="G54">
        <f t="shared" si="1"/>
        <v>0</v>
      </c>
      <c r="H54">
        <f t="shared" si="2"/>
        <v>2</v>
      </c>
      <c r="I54">
        <f t="shared" si="3"/>
        <v>0</v>
      </c>
      <c r="J54">
        <f t="shared" si="4"/>
        <v>0</v>
      </c>
    </row>
    <row r="55" spans="1:10" x14ac:dyDescent="0.3">
      <c r="A55" s="1">
        <v>41653</v>
      </c>
      <c r="B55" s="1">
        <v>41657</v>
      </c>
      <c r="C55">
        <v>2.72</v>
      </c>
      <c r="D55">
        <v>7.0000000000000007E-2</v>
      </c>
      <c r="E55">
        <v>6</v>
      </c>
      <c r="F55">
        <f t="shared" si="0"/>
        <v>0</v>
      </c>
      <c r="G55">
        <f t="shared" si="1"/>
        <v>0</v>
      </c>
      <c r="H55">
        <f t="shared" si="2"/>
        <v>0</v>
      </c>
      <c r="I55">
        <f t="shared" si="3"/>
        <v>0</v>
      </c>
      <c r="J55">
        <f t="shared" si="4"/>
        <v>4</v>
      </c>
    </row>
    <row r="56" spans="1:10" x14ac:dyDescent="0.3">
      <c r="A56" s="1">
        <v>41653</v>
      </c>
      <c r="B56" s="1">
        <v>41675</v>
      </c>
      <c r="C56">
        <v>11.42</v>
      </c>
      <c r="D56">
        <v>0.3</v>
      </c>
      <c r="E56">
        <v>2</v>
      </c>
      <c r="F56">
        <f t="shared" si="0"/>
        <v>22</v>
      </c>
      <c r="G56">
        <f t="shared" si="1"/>
        <v>0</v>
      </c>
      <c r="H56">
        <f t="shared" si="2"/>
        <v>0</v>
      </c>
      <c r="I56">
        <f t="shared" si="3"/>
        <v>0</v>
      </c>
      <c r="J56">
        <f t="shared" si="4"/>
        <v>0</v>
      </c>
    </row>
    <row r="57" spans="1:10" x14ac:dyDescent="0.3">
      <c r="A57" s="1">
        <v>41653</v>
      </c>
      <c r="B57" s="1">
        <v>41675</v>
      </c>
      <c r="C57">
        <v>5.23</v>
      </c>
      <c r="D57">
        <v>0.14000000000000001</v>
      </c>
      <c r="E57">
        <v>2</v>
      </c>
      <c r="F57">
        <f t="shared" si="0"/>
        <v>22</v>
      </c>
      <c r="G57">
        <f t="shared" si="1"/>
        <v>0</v>
      </c>
      <c r="H57">
        <f t="shared" si="2"/>
        <v>0</v>
      </c>
      <c r="I57">
        <f t="shared" si="3"/>
        <v>0</v>
      </c>
      <c r="J57">
        <f t="shared" si="4"/>
        <v>0</v>
      </c>
    </row>
    <row r="58" spans="1:10" x14ac:dyDescent="0.3">
      <c r="A58" s="1">
        <v>41653</v>
      </c>
      <c r="B58" s="1">
        <v>41657</v>
      </c>
      <c r="C58">
        <v>6.58</v>
      </c>
      <c r="D58">
        <v>0.17</v>
      </c>
      <c r="E58">
        <v>4</v>
      </c>
      <c r="F58">
        <f t="shared" si="0"/>
        <v>0</v>
      </c>
      <c r="G58">
        <f t="shared" si="1"/>
        <v>0</v>
      </c>
      <c r="H58">
        <f t="shared" si="2"/>
        <v>4</v>
      </c>
      <c r="I58">
        <f t="shared" si="3"/>
        <v>0</v>
      </c>
      <c r="J58">
        <f t="shared" si="4"/>
        <v>0</v>
      </c>
    </row>
    <row r="59" spans="1:10" x14ac:dyDescent="0.3">
      <c r="A59" s="1">
        <v>41653</v>
      </c>
      <c r="B59" s="1">
        <v>41679</v>
      </c>
      <c r="C59">
        <v>9.74</v>
      </c>
      <c r="D59">
        <v>0.26</v>
      </c>
      <c r="E59">
        <v>4</v>
      </c>
      <c r="F59">
        <f t="shared" si="0"/>
        <v>0</v>
      </c>
      <c r="G59">
        <f t="shared" si="1"/>
        <v>0</v>
      </c>
      <c r="H59">
        <f t="shared" si="2"/>
        <v>26</v>
      </c>
      <c r="I59">
        <f t="shared" si="3"/>
        <v>0</v>
      </c>
      <c r="J59">
        <f t="shared" si="4"/>
        <v>0</v>
      </c>
    </row>
    <row r="60" spans="1:10" x14ac:dyDescent="0.3">
      <c r="A60" s="1">
        <v>41653</v>
      </c>
      <c r="B60" s="1">
        <v>41659</v>
      </c>
      <c r="C60">
        <v>6.75</v>
      </c>
      <c r="D60">
        <v>0.18</v>
      </c>
      <c r="E60">
        <v>6</v>
      </c>
      <c r="F60">
        <f t="shared" si="0"/>
        <v>0</v>
      </c>
      <c r="G60">
        <f t="shared" si="1"/>
        <v>0</v>
      </c>
      <c r="H60">
        <f t="shared" si="2"/>
        <v>0</v>
      </c>
      <c r="I60">
        <f t="shared" si="3"/>
        <v>0</v>
      </c>
      <c r="J60">
        <f t="shared" si="4"/>
        <v>6</v>
      </c>
    </row>
    <row r="61" spans="1:10" x14ac:dyDescent="0.3">
      <c r="A61" s="1">
        <v>41653</v>
      </c>
      <c r="B61" s="1">
        <v>41671</v>
      </c>
      <c r="C61">
        <v>16.829999999999998</v>
      </c>
      <c r="D61">
        <v>0.44</v>
      </c>
      <c r="E61">
        <v>4</v>
      </c>
      <c r="F61">
        <f t="shared" si="0"/>
        <v>0</v>
      </c>
      <c r="G61">
        <f t="shared" si="1"/>
        <v>0</v>
      </c>
      <c r="H61">
        <f t="shared" si="2"/>
        <v>18</v>
      </c>
      <c r="I61">
        <f t="shared" si="3"/>
        <v>0</v>
      </c>
      <c r="J61">
        <f t="shared" si="4"/>
        <v>0</v>
      </c>
    </row>
    <row r="62" spans="1:10" x14ac:dyDescent="0.3">
      <c r="A62" s="1">
        <v>41653</v>
      </c>
      <c r="B62" s="1">
        <v>41676</v>
      </c>
      <c r="C62">
        <v>10.79</v>
      </c>
      <c r="D62">
        <v>0.28000000000000003</v>
      </c>
      <c r="E62">
        <v>3</v>
      </c>
      <c r="F62">
        <f t="shared" si="0"/>
        <v>0</v>
      </c>
      <c r="G62">
        <f t="shared" si="1"/>
        <v>23</v>
      </c>
      <c r="H62">
        <f t="shared" si="2"/>
        <v>0</v>
      </c>
      <c r="I62">
        <f t="shared" si="3"/>
        <v>0</v>
      </c>
      <c r="J62">
        <f t="shared" si="4"/>
        <v>0</v>
      </c>
    </row>
    <row r="63" spans="1:10" x14ac:dyDescent="0.3">
      <c r="A63" s="1">
        <v>41653</v>
      </c>
      <c r="B63" s="1">
        <v>41669</v>
      </c>
      <c r="C63">
        <v>10.19</v>
      </c>
      <c r="D63">
        <v>0.27</v>
      </c>
      <c r="E63">
        <v>5</v>
      </c>
      <c r="F63">
        <f t="shared" si="0"/>
        <v>0</v>
      </c>
      <c r="G63">
        <f t="shared" si="1"/>
        <v>0</v>
      </c>
      <c r="H63">
        <f t="shared" si="2"/>
        <v>0</v>
      </c>
      <c r="I63">
        <f t="shared" si="3"/>
        <v>16</v>
      </c>
      <c r="J63">
        <f t="shared" si="4"/>
        <v>0</v>
      </c>
    </row>
    <row r="64" spans="1:10" x14ac:dyDescent="0.3">
      <c r="A64" s="1">
        <v>41653</v>
      </c>
      <c r="B64" s="1">
        <v>41678</v>
      </c>
      <c r="C64">
        <v>10.93</v>
      </c>
      <c r="D64">
        <v>0.28999999999999998</v>
      </c>
      <c r="E64">
        <v>6</v>
      </c>
      <c r="F64">
        <f t="shared" si="0"/>
        <v>0</v>
      </c>
      <c r="G64">
        <f t="shared" si="1"/>
        <v>0</v>
      </c>
      <c r="H64">
        <f t="shared" si="2"/>
        <v>0</v>
      </c>
      <c r="I64">
        <f t="shared" si="3"/>
        <v>0</v>
      </c>
      <c r="J64">
        <f t="shared" si="4"/>
        <v>25</v>
      </c>
    </row>
    <row r="65" spans="1:10" x14ac:dyDescent="0.3">
      <c r="A65" s="1">
        <v>41654</v>
      </c>
      <c r="B65" s="1">
        <v>41661</v>
      </c>
      <c r="C65">
        <v>9.74</v>
      </c>
      <c r="D65">
        <v>0.26</v>
      </c>
      <c r="E65">
        <v>5</v>
      </c>
      <c r="F65">
        <f t="shared" si="0"/>
        <v>0</v>
      </c>
      <c r="G65">
        <f t="shared" si="1"/>
        <v>0</v>
      </c>
      <c r="H65">
        <f t="shared" si="2"/>
        <v>0</v>
      </c>
      <c r="I65">
        <f t="shared" si="3"/>
        <v>7</v>
      </c>
      <c r="J65">
        <f t="shared" si="4"/>
        <v>0</v>
      </c>
    </row>
    <row r="66" spans="1:10" x14ac:dyDescent="0.3">
      <c r="A66" s="1">
        <v>41654</v>
      </c>
      <c r="B66" s="1">
        <v>41669</v>
      </c>
      <c r="C66">
        <v>14.31</v>
      </c>
      <c r="D66">
        <v>0.38</v>
      </c>
      <c r="E66">
        <v>6</v>
      </c>
      <c r="F66">
        <f t="shared" si="0"/>
        <v>0</v>
      </c>
      <c r="G66">
        <f t="shared" si="1"/>
        <v>0</v>
      </c>
      <c r="H66">
        <f t="shared" si="2"/>
        <v>0</v>
      </c>
      <c r="I66">
        <f t="shared" si="3"/>
        <v>0</v>
      </c>
      <c r="J66">
        <f t="shared" si="4"/>
        <v>15</v>
      </c>
    </row>
    <row r="67" spans="1:10" x14ac:dyDescent="0.3">
      <c r="A67" s="1">
        <v>41654</v>
      </c>
      <c r="B67" s="1">
        <v>41663</v>
      </c>
      <c r="C67">
        <v>7.35</v>
      </c>
      <c r="D67">
        <v>0.19</v>
      </c>
      <c r="E67">
        <v>4</v>
      </c>
      <c r="F67">
        <f t="shared" ref="F67:F130" si="5">IF(EXACT(E67,2),B67-A67,0)</f>
        <v>0</v>
      </c>
      <c r="G67">
        <f t="shared" ref="G67:G130" si="6">IF(EXACT(E67,3),B67-A67,0)</f>
        <v>0</v>
      </c>
      <c r="H67">
        <f t="shared" ref="H67:H130" si="7">IF(EXACT(E67,4),B67-A67,0)</f>
        <v>9</v>
      </c>
      <c r="I67">
        <f t="shared" ref="I67:I130" si="8">IF(EXACT(E67,5),B67-A67,0)</f>
        <v>0</v>
      </c>
      <c r="J67">
        <f t="shared" ref="J67:J130" si="9">IF(EXACT(E67,6),B67-A67,0)</f>
        <v>0</v>
      </c>
    </row>
    <row r="68" spans="1:10" x14ac:dyDescent="0.3">
      <c r="A68" s="1">
        <v>41654</v>
      </c>
      <c r="B68" s="1">
        <v>41670</v>
      </c>
      <c r="C68">
        <v>9.74</v>
      </c>
      <c r="D68">
        <v>0.26</v>
      </c>
      <c r="E68">
        <v>5</v>
      </c>
      <c r="F68">
        <f t="shared" si="5"/>
        <v>0</v>
      </c>
      <c r="G68">
        <f t="shared" si="6"/>
        <v>0</v>
      </c>
      <c r="H68">
        <f t="shared" si="7"/>
        <v>0</v>
      </c>
      <c r="I68">
        <f t="shared" si="8"/>
        <v>16</v>
      </c>
      <c r="J68">
        <f t="shared" si="9"/>
        <v>0</v>
      </c>
    </row>
    <row r="69" spans="1:10" x14ac:dyDescent="0.3">
      <c r="A69" s="1">
        <v>41654</v>
      </c>
      <c r="B69" s="1">
        <v>41666</v>
      </c>
      <c r="C69">
        <v>14.13</v>
      </c>
      <c r="D69">
        <v>0.37</v>
      </c>
      <c r="E69">
        <v>2</v>
      </c>
      <c r="F69">
        <f t="shared" si="5"/>
        <v>12</v>
      </c>
      <c r="G69">
        <f t="shared" si="6"/>
        <v>0</v>
      </c>
      <c r="H69">
        <f t="shared" si="7"/>
        <v>0</v>
      </c>
      <c r="I69">
        <f t="shared" si="8"/>
        <v>0</v>
      </c>
      <c r="J69">
        <f t="shared" si="9"/>
        <v>0</v>
      </c>
    </row>
    <row r="70" spans="1:10" x14ac:dyDescent="0.3">
      <c r="A70" s="1">
        <v>41654</v>
      </c>
      <c r="B70" s="1">
        <v>41658</v>
      </c>
      <c r="C70">
        <v>12.01</v>
      </c>
      <c r="D70">
        <v>0.32</v>
      </c>
      <c r="E70">
        <v>3</v>
      </c>
      <c r="F70">
        <f t="shared" si="5"/>
        <v>0</v>
      </c>
      <c r="G70">
        <f t="shared" si="6"/>
        <v>4</v>
      </c>
      <c r="H70">
        <f t="shared" si="7"/>
        <v>0</v>
      </c>
      <c r="I70">
        <f t="shared" si="8"/>
        <v>0</v>
      </c>
      <c r="J70">
        <f t="shared" si="9"/>
        <v>0</v>
      </c>
    </row>
    <row r="71" spans="1:10" x14ac:dyDescent="0.3">
      <c r="A71" s="1">
        <v>41654</v>
      </c>
      <c r="B71" s="1">
        <v>41669</v>
      </c>
      <c r="C71">
        <v>13.07</v>
      </c>
      <c r="D71">
        <v>0.34</v>
      </c>
      <c r="E71">
        <v>6</v>
      </c>
      <c r="F71">
        <f t="shared" si="5"/>
        <v>0</v>
      </c>
      <c r="G71">
        <f t="shared" si="6"/>
        <v>0</v>
      </c>
      <c r="H71">
        <f t="shared" si="7"/>
        <v>0</v>
      </c>
      <c r="I71">
        <f t="shared" si="8"/>
        <v>0</v>
      </c>
      <c r="J71">
        <f t="shared" si="9"/>
        <v>15</v>
      </c>
    </row>
    <row r="72" spans="1:10" x14ac:dyDescent="0.3">
      <c r="A72" s="1">
        <v>41654</v>
      </c>
      <c r="B72" s="1">
        <v>41659</v>
      </c>
      <c r="C72">
        <v>14</v>
      </c>
      <c r="D72">
        <v>0.37</v>
      </c>
      <c r="E72">
        <v>5</v>
      </c>
      <c r="F72">
        <f t="shared" si="5"/>
        <v>0</v>
      </c>
      <c r="G72">
        <f t="shared" si="6"/>
        <v>0</v>
      </c>
      <c r="H72">
        <f t="shared" si="7"/>
        <v>0</v>
      </c>
      <c r="I72">
        <f t="shared" si="8"/>
        <v>5</v>
      </c>
      <c r="J72">
        <f t="shared" si="9"/>
        <v>0</v>
      </c>
    </row>
    <row r="73" spans="1:10" x14ac:dyDescent="0.3">
      <c r="A73" s="1">
        <v>41654</v>
      </c>
      <c r="B73" s="1">
        <v>41671</v>
      </c>
      <c r="C73">
        <v>13.02</v>
      </c>
      <c r="D73">
        <v>0.34</v>
      </c>
      <c r="E73">
        <v>2</v>
      </c>
      <c r="F73">
        <f t="shared" si="5"/>
        <v>17</v>
      </c>
      <c r="G73">
        <f t="shared" si="6"/>
        <v>0</v>
      </c>
      <c r="H73">
        <f t="shared" si="7"/>
        <v>0</v>
      </c>
      <c r="I73">
        <f t="shared" si="8"/>
        <v>0</v>
      </c>
      <c r="J73">
        <f t="shared" si="9"/>
        <v>0</v>
      </c>
    </row>
    <row r="74" spans="1:10" x14ac:dyDescent="0.3">
      <c r="A74" s="1">
        <v>41654</v>
      </c>
      <c r="B74" s="1">
        <v>41658</v>
      </c>
      <c r="C74">
        <v>6.75</v>
      </c>
      <c r="D74">
        <v>0.18</v>
      </c>
      <c r="E74">
        <v>5</v>
      </c>
      <c r="F74">
        <f t="shared" si="5"/>
        <v>0</v>
      </c>
      <c r="G74">
        <f t="shared" si="6"/>
        <v>0</v>
      </c>
      <c r="H74">
        <f t="shared" si="7"/>
        <v>0</v>
      </c>
      <c r="I74">
        <f t="shared" si="8"/>
        <v>4</v>
      </c>
      <c r="J74">
        <f t="shared" si="9"/>
        <v>0</v>
      </c>
    </row>
    <row r="75" spans="1:10" x14ac:dyDescent="0.3">
      <c r="A75" s="1">
        <v>41654</v>
      </c>
      <c r="B75" s="1">
        <v>41670</v>
      </c>
      <c r="C75">
        <v>3.88</v>
      </c>
      <c r="D75">
        <v>0.1</v>
      </c>
      <c r="E75">
        <v>2</v>
      </c>
      <c r="F75">
        <f t="shared" si="5"/>
        <v>16</v>
      </c>
      <c r="G75">
        <f t="shared" si="6"/>
        <v>0</v>
      </c>
      <c r="H75">
        <f t="shared" si="7"/>
        <v>0</v>
      </c>
      <c r="I75">
        <f t="shared" si="8"/>
        <v>0</v>
      </c>
      <c r="J75">
        <f t="shared" si="9"/>
        <v>0</v>
      </c>
    </row>
    <row r="76" spans="1:10" x14ac:dyDescent="0.3">
      <c r="A76" s="1">
        <v>41654</v>
      </c>
      <c r="B76" s="1">
        <v>41657</v>
      </c>
      <c r="C76">
        <v>4.66</v>
      </c>
      <c r="D76">
        <v>0.12</v>
      </c>
      <c r="E76">
        <v>6</v>
      </c>
      <c r="F76">
        <f t="shared" si="5"/>
        <v>0</v>
      </c>
      <c r="G76">
        <f t="shared" si="6"/>
        <v>0</v>
      </c>
      <c r="H76">
        <f t="shared" si="7"/>
        <v>0</v>
      </c>
      <c r="I76">
        <f t="shared" si="8"/>
        <v>0</v>
      </c>
      <c r="J76">
        <f t="shared" si="9"/>
        <v>3</v>
      </c>
    </row>
    <row r="77" spans="1:10" x14ac:dyDescent="0.3">
      <c r="A77" s="1">
        <v>41654</v>
      </c>
      <c r="B77" s="1">
        <v>41661</v>
      </c>
      <c r="C77">
        <v>2.29</v>
      </c>
      <c r="D77">
        <v>0.06</v>
      </c>
      <c r="E77">
        <v>4</v>
      </c>
      <c r="F77">
        <f t="shared" si="5"/>
        <v>0</v>
      </c>
      <c r="G77">
        <f t="shared" si="6"/>
        <v>0</v>
      </c>
      <c r="H77">
        <f t="shared" si="7"/>
        <v>7</v>
      </c>
      <c r="I77">
        <f t="shared" si="8"/>
        <v>0</v>
      </c>
      <c r="J77">
        <f t="shared" si="9"/>
        <v>0</v>
      </c>
    </row>
    <row r="78" spans="1:10" x14ac:dyDescent="0.3">
      <c r="A78" s="1">
        <v>41654</v>
      </c>
      <c r="B78" s="1">
        <v>41665</v>
      </c>
      <c r="C78">
        <v>7.31</v>
      </c>
      <c r="D78">
        <v>0.19</v>
      </c>
      <c r="E78">
        <v>6</v>
      </c>
      <c r="F78">
        <f t="shared" si="5"/>
        <v>0</v>
      </c>
      <c r="G78">
        <f t="shared" si="6"/>
        <v>0</v>
      </c>
      <c r="H78">
        <f t="shared" si="7"/>
        <v>0</v>
      </c>
      <c r="I78">
        <f t="shared" si="8"/>
        <v>0</v>
      </c>
      <c r="J78">
        <f t="shared" si="9"/>
        <v>11</v>
      </c>
    </row>
    <row r="79" spans="1:10" x14ac:dyDescent="0.3">
      <c r="A79" s="1">
        <v>41654</v>
      </c>
      <c r="B79" s="1">
        <v>41682</v>
      </c>
      <c r="C79">
        <v>6.23</v>
      </c>
      <c r="D79">
        <v>0.16</v>
      </c>
      <c r="E79">
        <v>6</v>
      </c>
      <c r="F79">
        <f t="shared" si="5"/>
        <v>0</v>
      </c>
      <c r="G79">
        <f t="shared" si="6"/>
        <v>0</v>
      </c>
      <c r="H79">
        <f t="shared" si="7"/>
        <v>0</v>
      </c>
      <c r="I79">
        <f t="shared" si="8"/>
        <v>0</v>
      </c>
      <c r="J79">
        <f t="shared" si="9"/>
        <v>28</v>
      </c>
    </row>
    <row r="80" spans="1:10" x14ac:dyDescent="0.3">
      <c r="A80" s="1">
        <v>41654</v>
      </c>
      <c r="B80" s="1">
        <v>41663</v>
      </c>
      <c r="C80">
        <v>3.88</v>
      </c>
      <c r="D80">
        <v>0.1</v>
      </c>
      <c r="E80">
        <v>2</v>
      </c>
      <c r="F80">
        <f t="shared" si="5"/>
        <v>9</v>
      </c>
      <c r="G80">
        <f t="shared" si="6"/>
        <v>0</v>
      </c>
      <c r="H80">
        <f t="shared" si="7"/>
        <v>0</v>
      </c>
      <c r="I80">
        <f t="shared" si="8"/>
        <v>0</v>
      </c>
      <c r="J80">
        <f t="shared" si="9"/>
        <v>0</v>
      </c>
    </row>
    <row r="81" spans="1:10" x14ac:dyDescent="0.3">
      <c r="A81" s="1">
        <v>41654</v>
      </c>
      <c r="B81" s="1">
        <v>41662</v>
      </c>
      <c r="C81">
        <v>8.51</v>
      </c>
      <c r="D81">
        <v>0.22</v>
      </c>
      <c r="E81">
        <v>2</v>
      </c>
      <c r="F81">
        <f t="shared" si="5"/>
        <v>8</v>
      </c>
      <c r="G81">
        <f t="shared" si="6"/>
        <v>0</v>
      </c>
      <c r="H81">
        <f t="shared" si="7"/>
        <v>0</v>
      </c>
      <c r="I81">
        <f t="shared" si="8"/>
        <v>0</v>
      </c>
      <c r="J81">
        <f t="shared" si="9"/>
        <v>0</v>
      </c>
    </row>
    <row r="82" spans="1:10" x14ac:dyDescent="0.3">
      <c r="A82" s="1">
        <v>41654</v>
      </c>
      <c r="B82" s="1">
        <v>41657</v>
      </c>
      <c r="C82">
        <v>8.51</v>
      </c>
      <c r="D82">
        <v>0.22</v>
      </c>
      <c r="E82">
        <v>4</v>
      </c>
      <c r="F82">
        <f t="shared" si="5"/>
        <v>0</v>
      </c>
      <c r="G82">
        <f t="shared" si="6"/>
        <v>0</v>
      </c>
      <c r="H82">
        <f t="shared" si="7"/>
        <v>3</v>
      </c>
      <c r="I82">
        <f t="shared" si="8"/>
        <v>0</v>
      </c>
      <c r="J82">
        <f t="shared" si="9"/>
        <v>0</v>
      </c>
    </row>
    <row r="83" spans="1:10" x14ac:dyDescent="0.3">
      <c r="A83" s="1">
        <v>41654</v>
      </c>
      <c r="B83" s="1">
        <v>41676</v>
      </c>
      <c r="C83">
        <v>9.1300000000000008</v>
      </c>
      <c r="D83">
        <v>0.24</v>
      </c>
      <c r="E83">
        <v>2</v>
      </c>
      <c r="F83">
        <f t="shared" si="5"/>
        <v>22</v>
      </c>
      <c r="G83">
        <f t="shared" si="6"/>
        <v>0</v>
      </c>
      <c r="H83">
        <f t="shared" si="7"/>
        <v>0</v>
      </c>
      <c r="I83">
        <f t="shared" si="8"/>
        <v>0</v>
      </c>
      <c r="J83">
        <f t="shared" si="9"/>
        <v>0</v>
      </c>
    </row>
    <row r="84" spans="1:10" x14ac:dyDescent="0.3">
      <c r="A84" s="1">
        <v>41654</v>
      </c>
      <c r="B84" s="1">
        <v>41658</v>
      </c>
      <c r="C84">
        <v>3.88</v>
      </c>
      <c r="D84">
        <v>0.1</v>
      </c>
      <c r="E84">
        <v>2</v>
      </c>
      <c r="F84">
        <f t="shared" si="5"/>
        <v>4</v>
      </c>
      <c r="G84">
        <f t="shared" si="6"/>
        <v>0</v>
      </c>
      <c r="H84">
        <f t="shared" si="7"/>
        <v>0</v>
      </c>
      <c r="I84">
        <f t="shared" si="8"/>
        <v>0</v>
      </c>
      <c r="J84">
        <f t="shared" si="9"/>
        <v>0</v>
      </c>
    </row>
    <row r="85" spans="1:10" x14ac:dyDescent="0.3">
      <c r="A85" s="1">
        <v>41654</v>
      </c>
      <c r="B85" s="1">
        <v>41675</v>
      </c>
      <c r="C85">
        <v>11.42</v>
      </c>
      <c r="D85">
        <v>0.3</v>
      </c>
      <c r="E85">
        <v>2</v>
      </c>
      <c r="F85">
        <f t="shared" si="5"/>
        <v>21</v>
      </c>
      <c r="G85">
        <f t="shared" si="6"/>
        <v>0</v>
      </c>
      <c r="H85">
        <f t="shared" si="7"/>
        <v>0</v>
      </c>
      <c r="I85">
        <f t="shared" si="8"/>
        <v>0</v>
      </c>
      <c r="J85">
        <f t="shared" si="9"/>
        <v>0</v>
      </c>
    </row>
    <row r="86" spans="1:10" x14ac:dyDescent="0.3">
      <c r="A86" s="1">
        <v>41654</v>
      </c>
      <c r="B86" s="1">
        <v>41661</v>
      </c>
      <c r="C86">
        <v>16.829999999999998</v>
      </c>
      <c r="D86">
        <v>0.44</v>
      </c>
      <c r="E86">
        <v>4</v>
      </c>
      <c r="F86">
        <f t="shared" si="5"/>
        <v>0</v>
      </c>
      <c r="G86">
        <f t="shared" si="6"/>
        <v>0</v>
      </c>
      <c r="H86">
        <f t="shared" si="7"/>
        <v>7</v>
      </c>
      <c r="I86">
        <f t="shared" si="8"/>
        <v>0</v>
      </c>
      <c r="J86">
        <f t="shared" si="9"/>
        <v>0</v>
      </c>
    </row>
    <row r="87" spans="1:10" x14ac:dyDescent="0.3">
      <c r="A87" s="1">
        <v>41656</v>
      </c>
      <c r="B87" s="1">
        <v>41674</v>
      </c>
      <c r="C87">
        <v>5.67</v>
      </c>
      <c r="D87">
        <v>0.15</v>
      </c>
      <c r="E87">
        <v>2</v>
      </c>
      <c r="F87">
        <f t="shared" si="5"/>
        <v>18</v>
      </c>
      <c r="G87">
        <f t="shared" si="6"/>
        <v>0</v>
      </c>
      <c r="H87">
        <f t="shared" si="7"/>
        <v>0</v>
      </c>
      <c r="I87">
        <f t="shared" si="8"/>
        <v>0</v>
      </c>
      <c r="J87">
        <f t="shared" si="9"/>
        <v>0</v>
      </c>
    </row>
    <row r="88" spans="1:10" x14ac:dyDescent="0.3">
      <c r="A88" s="1">
        <v>41656</v>
      </c>
      <c r="B88" s="1">
        <v>41667</v>
      </c>
      <c r="C88">
        <v>5.67</v>
      </c>
      <c r="D88">
        <v>0.15</v>
      </c>
      <c r="E88">
        <v>3</v>
      </c>
      <c r="F88">
        <f t="shared" si="5"/>
        <v>0</v>
      </c>
      <c r="G88">
        <f t="shared" si="6"/>
        <v>11</v>
      </c>
      <c r="H88">
        <f t="shared" si="7"/>
        <v>0</v>
      </c>
      <c r="I88">
        <f t="shared" si="8"/>
        <v>0</v>
      </c>
      <c r="J88">
        <f t="shared" si="9"/>
        <v>0</v>
      </c>
    </row>
    <row r="89" spans="1:10" x14ac:dyDescent="0.3">
      <c r="A89" s="1">
        <v>41656</v>
      </c>
      <c r="B89" s="1">
        <v>41666</v>
      </c>
      <c r="C89">
        <v>2.0099999999999998</v>
      </c>
      <c r="D89">
        <v>0.05</v>
      </c>
      <c r="E89">
        <v>5</v>
      </c>
      <c r="F89">
        <f t="shared" si="5"/>
        <v>0</v>
      </c>
      <c r="G89">
        <f t="shared" si="6"/>
        <v>0</v>
      </c>
      <c r="H89">
        <f t="shared" si="7"/>
        <v>0</v>
      </c>
      <c r="I89">
        <f t="shared" si="8"/>
        <v>10</v>
      </c>
      <c r="J89">
        <f t="shared" si="9"/>
        <v>0</v>
      </c>
    </row>
    <row r="90" spans="1:10" x14ac:dyDescent="0.3">
      <c r="A90" s="1">
        <v>41656</v>
      </c>
      <c r="B90" s="1">
        <v>41678</v>
      </c>
      <c r="C90">
        <v>2.0099999999999998</v>
      </c>
      <c r="D90">
        <v>0.05</v>
      </c>
      <c r="E90">
        <v>5</v>
      </c>
      <c r="F90">
        <f t="shared" si="5"/>
        <v>0</v>
      </c>
      <c r="G90">
        <f t="shared" si="6"/>
        <v>0</v>
      </c>
      <c r="H90">
        <f t="shared" si="7"/>
        <v>0</v>
      </c>
      <c r="I90">
        <f t="shared" si="8"/>
        <v>22</v>
      </c>
      <c r="J90">
        <f t="shared" si="9"/>
        <v>0</v>
      </c>
    </row>
    <row r="91" spans="1:10" x14ac:dyDescent="0.3">
      <c r="A91" s="1">
        <v>41657</v>
      </c>
      <c r="B91" s="1">
        <v>41669</v>
      </c>
      <c r="C91">
        <v>6.43</v>
      </c>
      <c r="D91">
        <v>0.17</v>
      </c>
      <c r="E91">
        <v>5</v>
      </c>
      <c r="F91">
        <f t="shared" si="5"/>
        <v>0</v>
      </c>
      <c r="G91">
        <f t="shared" si="6"/>
        <v>0</v>
      </c>
      <c r="H91">
        <f t="shared" si="7"/>
        <v>0</v>
      </c>
      <c r="I91">
        <f t="shared" si="8"/>
        <v>12</v>
      </c>
      <c r="J91">
        <f t="shared" si="9"/>
        <v>0</v>
      </c>
    </row>
    <row r="92" spans="1:10" x14ac:dyDescent="0.3">
      <c r="A92" s="1">
        <v>41657</v>
      </c>
      <c r="B92" s="1">
        <v>41666</v>
      </c>
      <c r="C92">
        <v>3.88</v>
      </c>
      <c r="D92">
        <v>0.1</v>
      </c>
      <c r="E92">
        <v>5</v>
      </c>
      <c r="F92">
        <f t="shared" si="5"/>
        <v>0</v>
      </c>
      <c r="G92">
        <f t="shared" si="6"/>
        <v>0</v>
      </c>
      <c r="H92">
        <f t="shared" si="7"/>
        <v>0</v>
      </c>
      <c r="I92">
        <f t="shared" si="8"/>
        <v>9</v>
      </c>
      <c r="J92">
        <f t="shared" si="9"/>
        <v>0</v>
      </c>
    </row>
    <row r="93" spans="1:10" x14ac:dyDescent="0.3">
      <c r="A93" s="1">
        <v>41657</v>
      </c>
      <c r="B93" s="1">
        <v>41661</v>
      </c>
      <c r="C93">
        <v>8.7200000000000006</v>
      </c>
      <c r="D93">
        <v>0.23</v>
      </c>
      <c r="E93">
        <v>4</v>
      </c>
      <c r="F93">
        <f t="shared" si="5"/>
        <v>0</v>
      </c>
      <c r="G93">
        <f t="shared" si="6"/>
        <v>0</v>
      </c>
      <c r="H93">
        <f t="shared" si="7"/>
        <v>4</v>
      </c>
      <c r="I93">
        <f t="shared" si="8"/>
        <v>0</v>
      </c>
      <c r="J93">
        <f t="shared" si="9"/>
        <v>0</v>
      </c>
    </row>
    <row r="94" spans="1:10" x14ac:dyDescent="0.3">
      <c r="A94" s="1">
        <v>41658</v>
      </c>
      <c r="B94" s="1">
        <v>41685</v>
      </c>
      <c r="C94">
        <v>6.58</v>
      </c>
      <c r="D94">
        <v>0.17</v>
      </c>
      <c r="E94">
        <v>5</v>
      </c>
      <c r="F94">
        <f t="shared" si="5"/>
        <v>0</v>
      </c>
      <c r="G94">
        <f t="shared" si="6"/>
        <v>0</v>
      </c>
      <c r="H94">
        <f t="shared" si="7"/>
        <v>0</v>
      </c>
      <c r="I94">
        <f t="shared" si="8"/>
        <v>27</v>
      </c>
      <c r="J94">
        <f t="shared" si="9"/>
        <v>0</v>
      </c>
    </row>
    <row r="95" spans="1:10" x14ac:dyDescent="0.3">
      <c r="A95" s="1">
        <v>41658</v>
      </c>
      <c r="B95" s="1">
        <v>41685</v>
      </c>
      <c r="C95">
        <v>6.43</v>
      </c>
      <c r="D95">
        <v>0.17</v>
      </c>
      <c r="E95">
        <v>2</v>
      </c>
      <c r="F95">
        <f t="shared" si="5"/>
        <v>27</v>
      </c>
      <c r="G95">
        <f t="shared" si="6"/>
        <v>0</v>
      </c>
      <c r="H95">
        <f t="shared" si="7"/>
        <v>0</v>
      </c>
      <c r="I95">
        <f t="shared" si="8"/>
        <v>0</v>
      </c>
      <c r="J95">
        <f t="shared" si="9"/>
        <v>0</v>
      </c>
    </row>
    <row r="96" spans="1:10" x14ac:dyDescent="0.3">
      <c r="A96" s="1">
        <v>41660</v>
      </c>
      <c r="B96" s="1">
        <v>41676</v>
      </c>
      <c r="C96">
        <v>11.44</v>
      </c>
      <c r="D96">
        <v>0.3</v>
      </c>
      <c r="E96">
        <v>3</v>
      </c>
      <c r="F96">
        <f t="shared" si="5"/>
        <v>0</v>
      </c>
      <c r="G96">
        <f t="shared" si="6"/>
        <v>16</v>
      </c>
      <c r="H96">
        <f t="shared" si="7"/>
        <v>0</v>
      </c>
      <c r="I96">
        <f t="shared" si="8"/>
        <v>0</v>
      </c>
      <c r="J96">
        <f t="shared" si="9"/>
        <v>0</v>
      </c>
    </row>
    <row r="97" spans="1:10" x14ac:dyDescent="0.3">
      <c r="A97" s="1">
        <v>41660</v>
      </c>
      <c r="B97" s="1">
        <v>41667</v>
      </c>
      <c r="C97">
        <v>10.59</v>
      </c>
      <c r="D97">
        <v>0.28000000000000003</v>
      </c>
      <c r="E97">
        <v>4</v>
      </c>
      <c r="F97">
        <f t="shared" si="5"/>
        <v>0</v>
      </c>
      <c r="G97">
        <f t="shared" si="6"/>
        <v>0</v>
      </c>
      <c r="H97">
        <f t="shared" si="7"/>
        <v>7</v>
      </c>
      <c r="I97">
        <f t="shared" si="8"/>
        <v>0</v>
      </c>
      <c r="J97">
        <f t="shared" si="9"/>
        <v>0</v>
      </c>
    </row>
    <row r="98" spans="1:10" x14ac:dyDescent="0.3">
      <c r="A98" s="1">
        <v>41660</v>
      </c>
      <c r="B98" s="1">
        <v>41687</v>
      </c>
      <c r="C98">
        <v>11.44</v>
      </c>
      <c r="D98">
        <v>0.3</v>
      </c>
      <c r="E98">
        <v>6</v>
      </c>
      <c r="F98">
        <f t="shared" si="5"/>
        <v>0</v>
      </c>
      <c r="G98">
        <f t="shared" si="6"/>
        <v>0</v>
      </c>
      <c r="H98">
        <f t="shared" si="7"/>
        <v>0</v>
      </c>
      <c r="I98">
        <f t="shared" si="8"/>
        <v>0</v>
      </c>
      <c r="J98">
        <f t="shared" si="9"/>
        <v>27</v>
      </c>
    </row>
    <row r="99" spans="1:10" x14ac:dyDescent="0.3">
      <c r="A99" s="1">
        <v>41660</v>
      </c>
      <c r="B99" s="1">
        <v>41686</v>
      </c>
      <c r="C99">
        <v>10.199999999999999</v>
      </c>
      <c r="D99">
        <v>0.27</v>
      </c>
      <c r="E99">
        <v>6</v>
      </c>
      <c r="F99">
        <f t="shared" si="5"/>
        <v>0</v>
      </c>
      <c r="G99">
        <f t="shared" si="6"/>
        <v>0</v>
      </c>
      <c r="H99">
        <f t="shared" si="7"/>
        <v>0</v>
      </c>
      <c r="I99">
        <f t="shared" si="8"/>
        <v>0</v>
      </c>
      <c r="J99">
        <f t="shared" si="9"/>
        <v>26</v>
      </c>
    </row>
    <row r="100" spans="1:10" x14ac:dyDescent="0.3">
      <c r="A100" s="1">
        <v>41660</v>
      </c>
      <c r="B100" s="1">
        <v>41684</v>
      </c>
      <c r="C100">
        <v>19.54</v>
      </c>
      <c r="D100">
        <v>0.51</v>
      </c>
      <c r="E100">
        <v>5</v>
      </c>
      <c r="F100">
        <f t="shared" si="5"/>
        <v>0</v>
      </c>
      <c r="G100">
        <f t="shared" si="6"/>
        <v>0</v>
      </c>
      <c r="H100">
        <f t="shared" si="7"/>
        <v>0</v>
      </c>
      <c r="I100">
        <f t="shared" si="8"/>
        <v>24</v>
      </c>
      <c r="J100">
        <f t="shared" si="9"/>
        <v>0</v>
      </c>
    </row>
    <row r="101" spans="1:10" x14ac:dyDescent="0.3">
      <c r="A101" s="1">
        <v>41660</v>
      </c>
      <c r="B101" s="1">
        <v>41674</v>
      </c>
      <c r="C101">
        <v>10.93</v>
      </c>
      <c r="D101">
        <v>0.28999999999999998</v>
      </c>
      <c r="E101">
        <v>4</v>
      </c>
      <c r="F101">
        <f t="shared" si="5"/>
        <v>0</v>
      </c>
      <c r="G101">
        <f t="shared" si="6"/>
        <v>0</v>
      </c>
      <c r="H101">
        <f t="shared" si="7"/>
        <v>14</v>
      </c>
      <c r="I101">
        <f t="shared" si="8"/>
        <v>0</v>
      </c>
      <c r="J101">
        <f t="shared" si="9"/>
        <v>0</v>
      </c>
    </row>
    <row r="102" spans="1:10" x14ac:dyDescent="0.3">
      <c r="A102" s="1">
        <v>41661</v>
      </c>
      <c r="B102" s="1">
        <v>41668</v>
      </c>
      <c r="C102">
        <v>6.43</v>
      </c>
      <c r="D102">
        <v>0.17</v>
      </c>
      <c r="E102">
        <v>5</v>
      </c>
      <c r="F102">
        <f t="shared" si="5"/>
        <v>0</v>
      </c>
      <c r="G102">
        <f t="shared" si="6"/>
        <v>0</v>
      </c>
      <c r="H102">
        <f t="shared" si="7"/>
        <v>0</v>
      </c>
      <c r="I102">
        <f t="shared" si="8"/>
        <v>7</v>
      </c>
      <c r="J102">
        <f t="shared" si="9"/>
        <v>0</v>
      </c>
    </row>
    <row r="103" spans="1:10" x14ac:dyDescent="0.3">
      <c r="A103" s="1">
        <v>41661</v>
      </c>
      <c r="B103" s="1">
        <v>41681</v>
      </c>
      <c r="C103">
        <v>5.67</v>
      </c>
      <c r="D103">
        <v>0.15</v>
      </c>
      <c r="E103">
        <v>4</v>
      </c>
      <c r="F103">
        <f t="shared" si="5"/>
        <v>0</v>
      </c>
      <c r="G103">
        <f t="shared" si="6"/>
        <v>0</v>
      </c>
      <c r="H103">
        <f t="shared" si="7"/>
        <v>20</v>
      </c>
      <c r="I103">
        <f t="shared" si="8"/>
        <v>0</v>
      </c>
      <c r="J103">
        <f t="shared" si="9"/>
        <v>0</v>
      </c>
    </row>
    <row r="104" spans="1:10" x14ac:dyDescent="0.3">
      <c r="A104" s="1">
        <v>41661</v>
      </c>
      <c r="B104" s="1">
        <v>41682</v>
      </c>
      <c r="C104">
        <v>14.13</v>
      </c>
      <c r="D104">
        <v>0.37</v>
      </c>
      <c r="E104">
        <v>5</v>
      </c>
      <c r="F104">
        <f t="shared" si="5"/>
        <v>0</v>
      </c>
      <c r="G104">
        <f t="shared" si="6"/>
        <v>0</v>
      </c>
      <c r="H104">
        <f t="shared" si="7"/>
        <v>0</v>
      </c>
      <c r="I104">
        <f t="shared" si="8"/>
        <v>21</v>
      </c>
      <c r="J104">
        <f t="shared" si="9"/>
        <v>0</v>
      </c>
    </row>
    <row r="105" spans="1:10" x14ac:dyDescent="0.3">
      <c r="A105" s="1">
        <v>41661</v>
      </c>
      <c r="B105" s="1">
        <v>41689</v>
      </c>
      <c r="C105">
        <v>5.47</v>
      </c>
      <c r="D105">
        <v>0.14000000000000001</v>
      </c>
      <c r="E105">
        <v>3</v>
      </c>
      <c r="F105">
        <f t="shared" si="5"/>
        <v>0</v>
      </c>
      <c r="G105">
        <f t="shared" si="6"/>
        <v>28</v>
      </c>
      <c r="H105">
        <f t="shared" si="7"/>
        <v>0</v>
      </c>
      <c r="I105">
        <f t="shared" si="8"/>
        <v>0</v>
      </c>
      <c r="J105">
        <f t="shared" si="9"/>
        <v>0</v>
      </c>
    </row>
    <row r="106" spans="1:10" x14ac:dyDescent="0.3">
      <c r="A106" s="1">
        <v>41662</v>
      </c>
      <c r="B106" s="1">
        <v>41686</v>
      </c>
      <c r="C106">
        <v>8.39</v>
      </c>
      <c r="D106">
        <v>0.22</v>
      </c>
      <c r="E106">
        <v>2</v>
      </c>
      <c r="F106">
        <f t="shared" si="5"/>
        <v>24</v>
      </c>
      <c r="G106">
        <f t="shared" si="6"/>
        <v>0</v>
      </c>
      <c r="H106">
        <f t="shared" si="7"/>
        <v>0</v>
      </c>
      <c r="I106">
        <f t="shared" si="8"/>
        <v>0</v>
      </c>
      <c r="J106">
        <f t="shared" si="9"/>
        <v>0</v>
      </c>
    </row>
    <row r="107" spans="1:10" x14ac:dyDescent="0.3">
      <c r="A107" s="1">
        <v>41662</v>
      </c>
      <c r="B107" s="1">
        <v>41688</v>
      </c>
      <c r="C107">
        <v>3.79</v>
      </c>
      <c r="D107">
        <v>0.1</v>
      </c>
      <c r="E107">
        <v>3</v>
      </c>
      <c r="F107">
        <f t="shared" si="5"/>
        <v>0</v>
      </c>
      <c r="G107">
        <f t="shared" si="6"/>
        <v>26</v>
      </c>
      <c r="H107">
        <f t="shared" si="7"/>
        <v>0</v>
      </c>
      <c r="I107">
        <f t="shared" si="8"/>
        <v>0</v>
      </c>
      <c r="J107">
        <f t="shared" si="9"/>
        <v>0</v>
      </c>
    </row>
    <row r="108" spans="1:10" x14ac:dyDescent="0.3">
      <c r="A108" s="1">
        <v>41662</v>
      </c>
      <c r="B108" s="1">
        <v>41664</v>
      </c>
      <c r="C108">
        <v>6.23</v>
      </c>
      <c r="D108">
        <v>0.16</v>
      </c>
      <c r="E108">
        <v>6</v>
      </c>
      <c r="F108">
        <f t="shared" si="5"/>
        <v>0</v>
      </c>
      <c r="G108">
        <f t="shared" si="6"/>
        <v>0</v>
      </c>
      <c r="H108">
        <f t="shared" si="7"/>
        <v>0</v>
      </c>
      <c r="I108">
        <f t="shared" si="8"/>
        <v>0</v>
      </c>
      <c r="J108">
        <f t="shared" si="9"/>
        <v>2</v>
      </c>
    </row>
    <row r="109" spans="1:10" x14ac:dyDescent="0.3">
      <c r="A109" s="1">
        <v>41663</v>
      </c>
      <c r="B109" s="1">
        <v>41675</v>
      </c>
      <c r="C109">
        <v>6.34</v>
      </c>
      <c r="D109">
        <v>0.17</v>
      </c>
      <c r="E109">
        <v>6</v>
      </c>
      <c r="F109">
        <f t="shared" si="5"/>
        <v>0</v>
      </c>
      <c r="G109">
        <f t="shared" si="6"/>
        <v>0</v>
      </c>
      <c r="H109">
        <f t="shared" si="7"/>
        <v>0</v>
      </c>
      <c r="I109">
        <f t="shared" si="8"/>
        <v>0</v>
      </c>
      <c r="J109">
        <f t="shared" si="9"/>
        <v>12</v>
      </c>
    </row>
    <row r="110" spans="1:10" x14ac:dyDescent="0.3">
      <c r="A110" s="1">
        <v>41663</v>
      </c>
      <c r="B110" s="1">
        <v>41684</v>
      </c>
      <c r="C110">
        <v>3.57</v>
      </c>
      <c r="D110">
        <v>0.09</v>
      </c>
      <c r="E110">
        <v>6</v>
      </c>
      <c r="F110">
        <f t="shared" si="5"/>
        <v>0</v>
      </c>
      <c r="G110">
        <f t="shared" si="6"/>
        <v>0</v>
      </c>
      <c r="H110">
        <f t="shared" si="7"/>
        <v>0</v>
      </c>
      <c r="I110">
        <f t="shared" si="8"/>
        <v>0</v>
      </c>
      <c r="J110">
        <f t="shared" si="9"/>
        <v>21</v>
      </c>
    </row>
    <row r="111" spans="1:10" x14ac:dyDescent="0.3">
      <c r="A111" s="1">
        <v>41664</v>
      </c>
      <c r="B111" s="1">
        <v>41681</v>
      </c>
      <c r="C111">
        <v>4.66</v>
      </c>
      <c r="D111">
        <v>0.12</v>
      </c>
      <c r="E111">
        <v>4</v>
      </c>
      <c r="F111">
        <f t="shared" si="5"/>
        <v>0</v>
      </c>
      <c r="G111">
        <f t="shared" si="6"/>
        <v>0</v>
      </c>
      <c r="H111">
        <f t="shared" si="7"/>
        <v>17</v>
      </c>
      <c r="I111">
        <f t="shared" si="8"/>
        <v>0</v>
      </c>
      <c r="J111">
        <f t="shared" si="9"/>
        <v>0</v>
      </c>
    </row>
    <row r="112" spans="1:10" x14ac:dyDescent="0.3">
      <c r="A112" s="1">
        <v>41665</v>
      </c>
      <c r="B112" s="1">
        <v>41692</v>
      </c>
      <c r="C112">
        <v>13.07</v>
      </c>
      <c r="D112">
        <v>0.34</v>
      </c>
      <c r="E112">
        <v>3</v>
      </c>
      <c r="F112">
        <f t="shared" si="5"/>
        <v>0</v>
      </c>
      <c r="G112">
        <f t="shared" si="6"/>
        <v>27</v>
      </c>
      <c r="H112">
        <f t="shared" si="7"/>
        <v>0</v>
      </c>
      <c r="I112">
        <f t="shared" si="8"/>
        <v>0</v>
      </c>
      <c r="J112">
        <f t="shared" si="9"/>
        <v>0</v>
      </c>
    </row>
    <row r="113" spans="1:10" x14ac:dyDescent="0.3">
      <c r="A113" s="1">
        <v>41665</v>
      </c>
      <c r="B113" s="1">
        <v>41691</v>
      </c>
      <c r="C113">
        <v>13.81</v>
      </c>
      <c r="D113">
        <v>0.36</v>
      </c>
      <c r="E113">
        <v>5</v>
      </c>
      <c r="F113">
        <f t="shared" si="5"/>
        <v>0</v>
      </c>
      <c r="G113">
        <f t="shared" si="6"/>
        <v>0</v>
      </c>
      <c r="H113">
        <f t="shared" si="7"/>
        <v>0</v>
      </c>
      <c r="I113">
        <f t="shared" si="8"/>
        <v>26</v>
      </c>
      <c r="J113">
        <f t="shared" si="9"/>
        <v>0</v>
      </c>
    </row>
    <row r="114" spans="1:10" x14ac:dyDescent="0.3">
      <c r="A114" s="1">
        <v>41665</v>
      </c>
      <c r="B114" s="1">
        <v>41673</v>
      </c>
      <c r="C114">
        <v>11.69</v>
      </c>
      <c r="D114">
        <v>0.31</v>
      </c>
      <c r="E114">
        <v>2</v>
      </c>
      <c r="F114">
        <f t="shared" si="5"/>
        <v>8</v>
      </c>
      <c r="G114">
        <f t="shared" si="6"/>
        <v>0</v>
      </c>
      <c r="H114">
        <f t="shared" si="7"/>
        <v>0</v>
      </c>
      <c r="I114">
        <f t="shared" si="8"/>
        <v>0</v>
      </c>
      <c r="J114">
        <f t="shared" si="9"/>
        <v>0</v>
      </c>
    </row>
    <row r="115" spans="1:10" x14ac:dyDescent="0.3">
      <c r="A115" s="1">
        <v>41665</v>
      </c>
      <c r="B115" s="1">
        <v>41683</v>
      </c>
      <c r="C115">
        <v>8.84</v>
      </c>
      <c r="D115">
        <v>0.23</v>
      </c>
      <c r="E115">
        <v>4</v>
      </c>
      <c r="F115">
        <f t="shared" si="5"/>
        <v>0</v>
      </c>
      <c r="G115">
        <f t="shared" si="6"/>
        <v>0</v>
      </c>
      <c r="H115">
        <f t="shared" si="7"/>
        <v>18</v>
      </c>
      <c r="I115">
        <f t="shared" si="8"/>
        <v>0</v>
      </c>
      <c r="J115">
        <f t="shared" si="9"/>
        <v>0</v>
      </c>
    </row>
    <row r="116" spans="1:10" x14ac:dyDescent="0.3">
      <c r="A116" s="1">
        <v>41665</v>
      </c>
      <c r="B116" s="1">
        <v>41690</v>
      </c>
      <c r="C116">
        <v>16.940000000000001</v>
      </c>
      <c r="D116">
        <v>0.45</v>
      </c>
      <c r="E116">
        <v>5</v>
      </c>
      <c r="F116">
        <f t="shared" si="5"/>
        <v>0</v>
      </c>
      <c r="G116">
        <f t="shared" si="6"/>
        <v>0</v>
      </c>
      <c r="H116">
        <f t="shared" si="7"/>
        <v>0</v>
      </c>
      <c r="I116">
        <f t="shared" si="8"/>
        <v>25</v>
      </c>
      <c r="J116">
        <f t="shared" si="9"/>
        <v>0</v>
      </c>
    </row>
    <row r="117" spans="1:10" x14ac:dyDescent="0.3">
      <c r="A117" s="1">
        <v>41665</v>
      </c>
      <c r="B117" s="1">
        <v>41669</v>
      </c>
      <c r="C117">
        <v>13.82</v>
      </c>
      <c r="D117">
        <v>0.36</v>
      </c>
      <c r="E117">
        <v>4</v>
      </c>
      <c r="F117">
        <f t="shared" si="5"/>
        <v>0</v>
      </c>
      <c r="G117">
        <f t="shared" si="6"/>
        <v>0</v>
      </c>
      <c r="H117">
        <f t="shared" si="7"/>
        <v>4</v>
      </c>
      <c r="I117">
        <f t="shared" si="8"/>
        <v>0</v>
      </c>
      <c r="J117">
        <f t="shared" si="9"/>
        <v>0</v>
      </c>
    </row>
    <row r="118" spans="1:10" x14ac:dyDescent="0.3">
      <c r="A118" s="1">
        <v>41665</v>
      </c>
      <c r="B118" s="1">
        <v>41689</v>
      </c>
      <c r="C118">
        <v>9.4600000000000009</v>
      </c>
      <c r="D118">
        <v>0.25</v>
      </c>
      <c r="E118">
        <v>6</v>
      </c>
      <c r="F118">
        <f t="shared" si="5"/>
        <v>0</v>
      </c>
      <c r="G118">
        <f t="shared" si="6"/>
        <v>0</v>
      </c>
      <c r="H118">
        <f t="shared" si="7"/>
        <v>0</v>
      </c>
      <c r="I118">
        <f t="shared" si="8"/>
        <v>0</v>
      </c>
      <c r="J118">
        <f t="shared" si="9"/>
        <v>24</v>
      </c>
    </row>
    <row r="119" spans="1:10" x14ac:dyDescent="0.3">
      <c r="A119" s="1">
        <v>41665</v>
      </c>
      <c r="B119" s="1">
        <v>41684</v>
      </c>
      <c r="C119">
        <v>8.89</v>
      </c>
      <c r="D119">
        <v>0.23</v>
      </c>
      <c r="E119">
        <v>6</v>
      </c>
      <c r="F119">
        <f t="shared" si="5"/>
        <v>0</v>
      </c>
      <c r="G119">
        <f t="shared" si="6"/>
        <v>0</v>
      </c>
      <c r="H119">
        <f t="shared" si="7"/>
        <v>0</v>
      </c>
      <c r="I119">
        <f t="shared" si="8"/>
        <v>0</v>
      </c>
      <c r="J119">
        <f t="shared" si="9"/>
        <v>19</v>
      </c>
    </row>
    <row r="120" spans="1:10" x14ac:dyDescent="0.3">
      <c r="A120" s="1">
        <v>41665</v>
      </c>
      <c r="B120" s="1">
        <v>41673</v>
      </c>
      <c r="C120">
        <v>5.57</v>
      </c>
      <c r="D120">
        <v>0.15</v>
      </c>
      <c r="E120">
        <v>4</v>
      </c>
      <c r="F120">
        <f t="shared" si="5"/>
        <v>0</v>
      </c>
      <c r="G120">
        <f t="shared" si="6"/>
        <v>0</v>
      </c>
      <c r="H120">
        <f t="shared" si="7"/>
        <v>8</v>
      </c>
      <c r="I120">
        <f t="shared" si="8"/>
        <v>0</v>
      </c>
      <c r="J120">
        <f t="shared" si="9"/>
        <v>0</v>
      </c>
    </row>
    <row r="121" spans="1:10" x14ac:dyDescent="0.3">
      <c r="A121" s="1">
        <v>41665</v>
      </c>
      <c r="B121" s="1">
        <v>41669</v>
      </c>
      <c r="C121">
        <v>7.35</v>
      </c>
      <c r="D121">
        <v>0.19</v>
      </c>
      <c r="E121">
        <v>2</v>
      </c>
      <c r="F121">
        <f t="shared" si="5"/>
        <v>4</v>
      </c>
      <c r="G121">
        <f t="shared" si="6"/>
        <v>0</v>
      </c>
      <c r="H121">
        <f t="shared" si="7"/>
        <v>0</v>
      </c>
      <c r="I121">
        <f t="shared" si="8"/>
        <v>0</v>
      </c>
      <c r="J121">
        <f t="shared" si="9"/>
        <v>0</v>
      </c>
    </row>
    <row r="122" spans="1:10" x14ac:dyDescent="0.3">
      <c r="A122" s="1">
        <v>41665</v>
      </c>
      <c r="B122" s="1">
        <v>41681</v>
      </c>
      <c r="C122">
        <v>12.23</v>
      </c>
      <c r="D122">
        <v>0.32</v>
      </c>
      <c r="E122">
        <v>4</v>
      </c>
      <c r="F122">
        <f t="shared" si="5"/>
        <v>0</v>
      </c>
      <c r="G122">
        <f t="shared" si="6"/>
        <v>0</v>
      </c>
      <c r="H122">
        <f t="shared" si="7"/>
        <v>16</v>
      </c>
      <c r="I122">
        <f t="shared" si="8"/>
        <v>0</v>
      </c>
      <c r="J122">
        <f t="shared" si="9"/>
        <v>0</v>
      </c>
    </row>
    <row r="123" spans="1:10" x14ac:dyDescent="0.3">
      <c r="A123" s="1">
        <v>41665</v>
      </c>
      <c r="B123" s="1">
        <v>41690</v>
      </c>
      <c r="C123">
        <v>5.23</v>
      </c>
      <c r="D123">
        <v>0.14000000000000001</v>
      </c>
      <c r="E123">
        <v>6</v>
      </c>
      <c r="F123">
        <f t="shared" si="5"/>
        <v>0</v>
      </c>
      <c r="G123">
        <f t="shared" si="6"/>
        <v>0</v>
      </c>
      <c r="H123">
        <f t="shared" si="7"/>
        <v>0</v>
      </c>
      <c r="I123">
        <f t="shared" si="8"/>
        <v>0</v>
      </c>
      <c r="J123">
        <f t="shared" si="9"/>
        <v>25</v>
      </c>
    </row>
    <row r="124" spans="1:10" x14ac:dyDescent="0.3">
      <c r="A124" s="1">
        <v>41666</v>
      </c>
      <c r="B124" s="1">
        <v>41682</v>
      </c>
      <c r="C124">
        <v>6.43</v>
      </c>
      <c r="D124">
        <v>0.17</v>
      </c>
      <c r="E124">
        <v>4</v>
      </c>
      <c r="F124">
        <f t="shared" si="5"/>
        <v>0</v>
      </c>
      <c r="G124">
        <f t="shared" si="6"/>
        <v>0</v>
      </c>
      <c r="H124">
        <f t="shared" si="7"/>
        <v>16</v>
      </c>
      <c r="I124">
        <f t="shared" si="8"/>
        <v>0</v>
      </c>
      <c r="J124">
        <f t="shared" si="9"/>
        <v>0</v>
      </c>
    </row>
    <row r="125" spans="1:10" x14ac:dyDescent="0.3">
      <c r="A125" s="1">
        <v>41666</v>
      </c>
      <c r="B125" s="1">
        <v>41668</v>
      </c>
      <c r="C125">
        <v>11.44</v>
      </c>
      <c r="D125">
        <v>0.3</v>
      </c>
      <c r="E125">
        <v>5</v>
      </c>
      <c r="F125">
        <f t="shared" si="5"/>
        <v>0</v>
      </c>
      <c r="G125">
        <f t="shared" si="6"/>
        <v>0</v>
      </c>
      <c r="H125">
        <f t="shared" si="7"/>
        <v>0</v>
      </c>
      <c r="I125">
        <f t="shared" si="8"/>
        <v>2</v>
      </c>
      <c r="J125">
        <f t="shared" si="9"/>
        <v>0</v>
      </c>
    </row>
    <row r="126" spans="1:10" x14ac:dyDescent="0.3">
      <c r="A126" s="1">
        <v>41666</v>
      </c>
      <c r="B126" s="1">
        <v>41673</v>
      </c>
      <c r="C126">
        <v>8.7200000000000006</v>
      </c>
      <c r="D126">
        <v>0.23</v>
      </c>
      <c r="E126">
        <v>5</v>
      </c>
      <c r="F126">
        <f t="shared" si="5"/>
        <v>0</v>
      </c>
      <c r="G126">
        <f t="shared" si="6"/>
        <v>0</v>
      </c>
      <c r="H126">
        <f t="shared" si="7"/>
        <v>0</v>
      </c>
      <c r="I126">
        <f t="shared" si="8"/>
        <v>7</v>
      </c>
      <c r="J126">
        <f t="shared" si="9"/>
        <v>0</v>
      </c>
    </row>
    <row r="127" spans="1:10" x14ac:dyDescent="0.3">
      <c r="A127" s="1">
        <v>41666</v>
      </c>
      <c r="B127" s="1">
        <v>41685</v>
      </c>
      <c r="C127">
        <v>10.199999999999999</v>
      </c>
      <c r="D127">
        <v>0.27</v>
      </c>
      <c r="E127">
        <v>4</v>
      </c>
      <c r="F127">
        <f t="shared" si="5"/>
        <v>0</v>
      </c>
      <c r="G127">
        <f t="shared" si="6"/>
        <v>0</v>
      </c>
      <c r="H127">
        <f t="shared" si="7"/>
        <v>19</v>
      </c>
      <c r="I127">
        <f t="shared" si="8"/>
        <v>0</v>
      </c>
      <c r="J127">
        <f t="shared" si="9"/>
        <v>0</v>
      </c>
    </row>
    <row r="128" spans="1:10" x14ac:dyDescent="0.3">
      <c r="A128" s="1">
        <v>41666</v>
      </c>
      <c r="B128" s="1">
        <v>41668</v>
      </c>
      <c r="C128">
        <v>10.199999999999999</v>
      </c>
      <c r="D128">
        <v>0.27</v>
      </c>
      <c r="E128">
        <v>2</v>
      </c>
      <c r="F128">
        <f t="shared" si="5"/>
        <v>2</v>
      </c>
      <c r="G128">
        <f t="shared" si="6"/>
        <v>0</v>
      </c>
      <c r="H128">
        <f t="shared" si="7"/>
        <v>0</v>
      </c>
      <c r="I128">
        <f t="shared" si="8"/>
        <v>0</v>
      </c>
      <c r="J128">
        <f t="shared" si="9"/>
        <v>0</v>
      </c>
    </row>
    <row r="129" spans="1:10" x14ac:dyDescent="0.3">
      <c r="A129" s="1">
        <v>41667</v>
      </c>
      <c r="B129" s="1">
        <v>41693</v>
      </c>
      <c r="C129">
        <v>4.66</v>
      </c>
      <c r="D129">
        <v>0.12</v>
      </c>
      <c r="E129">
        <v>3</v>
      </c>
      <c r="F129">
        <f t="shared" si="5"/>
        <v>0</v>
      </c>
      <c r="G129">
        <f t="shared" si="6"/>
        <v>26</v>
      </c>
      <c r="H129">
        <f t="shared" si="7"/>
        <v>0</v>
      </c>
      <c r="I129">
        <f t="shared" si="8"/>
        <v>0</v>
      </c>
      <c r="J129">
        <f t="shared" si="9"/>
        <v>0</v>
      </c>
    </row>
    <row r="130" spans="1:10" x14ac:dyDescent="0.3">
      <c r="A130" s="1">
        <v>41667</v>
      </c>
      <c r="B130" s="1">
        <v>41675</v>
      </c>
      <c r="C130">
        <v>11.69</v>
      </c>
      <c r="D130">
        <v>0.31</v>
      </c>
      <c r="E130">
        <v>6</v>
      </c>
      <c r="F130">
        <f t="shared" si="5"/>
        <v>0</v>
      </c>
      <c r="G130">
        <f t="shared" si="6"/>
        <v>0</v>
      </c>
      <c r="H130">
        <f t="shared" si="7"/>
        <v>0</v>
      </c>
      <c r="I130">
        <f t="shared" si="8"/>
        <v>0</v>
      </c>
      <c r="J130">
        <f t="shared" si="9"/>
        <v>8</v>
      </c>
    </row>
    <row r="131" spans="1:10" x14ac:dyDescent="0.3">
      <c r="A131" s="1">
        <v>41667</v>
      </c>
      <c r="B131" s="1">
        <v>41673</v>
      </c>
      <c r="C131">
        <v>6.88</v>
      </c>
      <c r="D131">
        <v>0.18</v>
      </c>
      <c r="E131">
        <v>3</v>
      </c>
      <c r="F131">
        <f t="shared" ref="F131:F194" si="10">IF(EXACT(E131,2),B131-A131,0)</f>
        <v>0</v>
      </c>
      <c r="G131">
        <f t="shared" ref="G131:G194" si="11">IF(EXACT(E131,3),B131-A131,0)</f>
        <v>6</v>
      </c>
      <c r="H131">
        <f t="shared" ref="H131:H194" si="12">IF(EXACT(E131,4),B131-A131,0)</f>
        <v>0</v>
      </c>
      <c r="I131">
        <f t="shared" ref="I131:I194" si="13">IF(EXACT(E131,5),B131-A131,0)</f>
        <v>0</v>
      </c>
      <c r="J131">
        <f t="shared" ref="J131:J194" si="14">IF(EXACT(E131,6),B131-A131,0)</f>
        <v>0</v>
      </c>
    </row>
    <row r="132" spans="1:10" x14ac:dyDescent="0.3">
      <c r="A132" s="1">
        <v>41672</v>
      </c>
      <c r="B132" s="1">
        <v>41683</v>
      </c>
      <c r="C132">
        <v>9.74</v>
      </c>
      <c r="D132">
        <v>0.26</v>
      </c>
      <c r="E132">
        <v>2</v>
      </c>
      <c r="F132">
        <f t="shared" si="10"/>
        <v>11</v>
      </c>
      <c r="G132">
        <f t="shared" si="11"/>
        <v>0</v>
      </c>
      <c r="H132">
        <f t="shared" si="12"/>
        <v>0</v>
      </c>
      <c r="I132">
        <f t="shared" si="13"/>
        <v>0</v>
      </c>
      <c r="J132">
        <f t="shared" si="14"/>
        <v>0</v>
      </c>
    </row>
    <row r="133" spans="1:10" x14ac:dyDescent="0.3">
      <c r="A133" s="1">
        <v>41672</v>
      </c>
      <c r="B133" s="1">
        <v>41681</v>
      </c>
      <c r="C133">
        <v>9.06</v>
      </c>
      <c r="D133">
        <v>0.24</v>
      </c>
      <c r="E133">
        <v>2</v>
      </c>
      <c r="F133">
        <f t="shared" si="10"/>
        <v>9</v>
      </c>
      <c r="G133">
        <f t="shared" si="11"/>
        <v>0</v>
      </c>
      <c r="H133">
        <f t="shared" si="12"/>
        <v>0</v>
      </c>
      <c r="I133">
        <f t="shared" si="13"/>
        <v>0</v>
      </c>
      <c r="J133">
        <f t="shared" si="14"/>
        <v>0</v>
      </c>
    </row>
    <row r="134" spans="1:10" x14ac:dyDescent="0.3">
      <c r="A134" s="1">
        <v>41672</v>
      </c>
      <c r="B134" s="1">
        <v>41694</v>
      </c>
      <c r="C134">
        <v>14</v>
      </c>
      <c r="D134">
        <v>0.37</v>
      </c>
      <c r="E134">
        <v>2</v>
      </c>
      <c r="F134">
        <f t="shared" si="10"/>
        <v>22</v>
      </c>
      <c r="G134">
        <f t="shared" si="11"/>
        <v>0</v>
      </c>
      <c r="H134">
        <f t="shared" si="12"/>
        <v>0</v>
      </c>
      <c r="I134">
        <f t="shared" si="13"/>
        <v>0</v>
      </c>
      <c r="J134">
        <f t="shared" si="14"/>
        <v>0</v>
      </c>
    </row>
    <row r="135" spans="1:10" x14ac:dyDescent="0.3">
      <c r="A135" s="1">
        <v>41673</v>
      </c>
      <c r="B135" s="1">
        <v>41697</v>
      </c>
      <c r="C135">
        <v>10.59</v>
      </c>
      <c r="D135">
        <v>0.28000000000000003</v>
      </c>
      <c r="E135">
        <v>3</v>
      </c>
      <c r="F135">
        <f t="shared" si="10"/>
        <v>0</v>
      </c>
      <c r="G135">
        <f t="shared" si="11"/>
        <v>24</v>
      </c>
      <c r="H135">
        <f t="shared" si="12"/>
        <v>0</v>
      </c>
      <c r="I135">
        <f t="shared" si="13"/>
        <v>0</v>
      </c>
      <c r="J135">
        <f t="shared" si="14"/>
        <v>0</v>
      </c>
    </row>
    <row r="136" spans="1:10" x14ac:dyDescent="0.3">
      <c r="A136" s="1">
        <v>41673</v>
      </c>
      <c r="B136" s="1">
        <v>41676</v>
      </c>
      <c r="C136">
        <v>3.94</v>
      </c>
      <c r="D136">
        <v>0.1</v>
      </c>
      <c r="E136">
        <v>6</v>
      </c>
      <c r="F136">
        <f t="shared" si="10"/>
        <v>0</v>
      </c>
      <c r="G136">
        <f t="shared" si="11"/>
        <v>0</v>
      </c>
      <c r="H136">
        <f t="shared" si="12"/>
        <v>0</v>
      </c>
      <c r="I136">
        <f t="shared" si="13"/>
        <v>0</v>
      </c>
      <c r="J136">
        <f t="shared" si="14"/>
        <v>3</v>
      </c>
    </row>
    <row r="137" spans="1:10" x14ac:dyDescent="0.3">
      <c r="A137" s="1">
        <v>41673</v>
      </c>
      <c r="B137" s="1">
        <v>41690</v>
      </c>
      <c r="C137">
        <v>4.66</v>
      </c>
      <c r="D137">
        <v>0.12</v>
      </c>
      <c r="E137">
        <v>3</v>
      </c>
      <c r="F137">
        <f t="shared" si="10"/>
        <v>0</v>
      </c>
      <c r="G137">
        <f t="shared" si="11"/>
        <v>17</v>
      </c>
      <c r="H137">
        <f t="shared" si="12"/>
        <v>0</v>
      </c>
      <c r="I137">
        <f t="shared" si="13"/>
        <v>0</v>
      </c>
      <c r="J137">
        <f t="shared" si="14"/>
        <v>0</v>
      </c>
    </row>
    <row r="138" spans="1:10" x14ac:dyDescent="0.3">
      <c r="A138" s="1">
        <v>41673</v>
      </c>
      <c r="B138" s="1">
        <v>41701</v>
      </c>
      <c r="C138">
        <v>10.199999999999999</v>
      </c>
      <c r="D138">
        <v>0.27</v>
      </c>
      <c r="E138">
        <v>6</v>
      </c>
      <c r="F138">
        <f t="shared" si="10"/>
        <v>0</v>
      </c>
      <c r="G138">
        <f t="shared" si="11"/>
        <v>0</v>
      </c>
      <c r="H138">
        <f t="shared" si="12"/>
        <v>0</v>
      </c>
      <c r="I138">
        <f t="shared" si="13"/>
        <v>0</v>
      </c>
      <c r="J138">
        <f t="shared" si="14"/>
        <v>28</v>
      </c>
    </row>
    <row r="139" spans="1:10" x14ac:dyDescent="0.3">
      <c r="A139" s="1">
        <v>41677</v>
      </c>
      <c r="B139" s="1">
        <v>41682</v>
      </c>
      <c r="C139">
        <v>12.23</v>
      </c>
      <c r="D139">
        <v>0.32</v>
      </c>
      <c r="E139">
        <v>5</v>
      </c>
      <c r="F139">
        <f t="shared" si="10"/>
        <v>0</v>
      </c>
      <c r="G139">
        <f t="shared" si="11"/>
        <v>0</v>
      </c>
      <c r="H139">
        <f t="shared" si="12"/>
        <v>0</v>
      </c>
      <c r="I139">
        <f t="shared" si="13"/>
        <v>5</v>
      </c>
      <c r="J139">
        <f t="shared" si="14"/>
        <v>0</v>
      </c>
    </row>
    <row r="140" spans="1:10" x14ac:dyDescent="0.3">
      <c r="A140" s="1">
        <v>41677</v>
      </c>
      <c r="B140" s="1">
        <v>41698</v>
      </c>
      <c r="C140">
        <v>10.19</v>
      </c>
      <c r="D140">
        <v>0.27</v>
      </c>
      <c r="E140">
        <v>3</v>
      </c>
      <c r="F140">
        <f t="shared" si="10"/>
        <v>0</v>
      </c>
      <c r="G140">
        <f t="shared" si="11"/>
        <v>21</v>
      </c>
      <c r="H140">
        <f t="shared" si="12"/>
        <v>0</v>
      </c>
      <c r="I140">
        <f t="shared" si="13"/>
        <v>0</v>
      </c>
      <c r="J140">
        <f t="shared" si="14"/>
        <v>0</v>
      </c>
    </row>
    <row r="141" spans="1:10" x14ac:dyDescent="0.3">
      <c r="A141" s="1">
        <v>41677</v>
      </c>
      <c r="B141" s="1">
        <v>41701</v>
      </c>
      <c r="C141">
        <v>12.01</v>
      </c>
      <c r="D141">
        <v>0.32</v>
      </c>
      <c r="E141">
        <v>6</v>
      </c>
      <c r="F141">
        <f t="shared" si="10"/>
        <v>0</v>
      </c>
      <c r="G141">
        <f t="shared" si="11"/>
        <v>0</v>
      </c>
      <c r="H141">
        <f t="shared" si="12"/>
        <v>0</v>
      </c>
      <c r="I141">
        <f t="shared" si="13"/>
        <v>0</v>
      </c>
      <c r="J141">
        <f t="shared" si="14"/>
        <v>24</v>
      </c>
    </row>
    <row r="142" spans="1:10" x14ac:dyDescent="0.3">
      <c r="A142" s="1">
        <v>41677</v>
      </c>
      <c r="B142" s="1">
        <v>41681</v>
      </c>
      <c r="C142">
        <v>11.44</v>
      </c>
      <c r="D142">
        <v>0.3</v>
      </c>
      <c r="E142">
        <v>3</v>
      </c>
      <c r="F142">
        <f t="shared" si="10"/>
        <v>0</v>
      </c>
      <c r="G142">
        <f t="shared" si="11"/>
        <v>4</v>
      </c>
      <c r="H142">
        <f t="shared" si="12"/>
        <v>0</v>
      </c>
      <c r="I142">
        <f t="shared" si="13"/>
        <v>0</v>
      </c>
      <c r="J142">
        <f t="shared" si="14"/>
        <v>0</v>
      </c>
    </row>
    <row r="143" spans="1:10" x14ac:dyDescent="0.3">
      <c r="A143" s="1">
        <v>41677</v>
      </c>
      <c r="B143" s="1">
        <v>41700</v>
      </c>
      <c r="C143">
        <v>6.23</v>
      </c>
      <c r="D143">
        <v>0.16</v>
      </c>
      <c r="E143">
        <v>3</v>
      </c>
      <c r="F143">
        <f t="shared" si="10"/>
        <v>0</v>
      </c>
      <c r="G143">
        <f t="shared" si="11"/>
        <v>23</v>
      </c>
      <c r="H143">
        <f t="shared" si="12"/>
        <v>0</v>
      </c>
      <c r="I143">
        <f t="shared" si="13"/>
        <v>0</v>
      </c>
      <c r="J143">
        <f t="shared" si="14"/>
        <v>0</v>
      </c>
    </row>
    <row r="144" spans="1:10" x14ac:dyDescent="0.3">
      <c r="A144" s="1">
        <v>41677</v>
      </c>
      <c r="B144" s="1">
        <v>41686</v>
      </c>
      <c r="C144">
        <v>12.01</v>
      </c>
      <c r="D144">
        <v>0.32</v>
      </c>
      <c r="E144">
        <v>5</v>
      </c>
      <c r="F144">
        <f t="shared" si="10"/>
        <v>0</v>
      </c>
      <c r="G144">
        <f t="shared" si="11"/>
        <v>0</v>
      </c>
      <c r="H144">
        <f t="shared" si="12"/>
        <v>0</v>
      </c>
      <c r="I144">
        <f t="shared" si="13"/>
        <v>9</v>
      </c>
      <c r="J144">
        <f t="shared" si="14"/>
        <v>0</v>
      </c>
    </row>
    <row r="145" spans="1:10" x14ac:dyDescent="0.3">
      <c r="A145" s="1">
        <v>41677</v>
      </c>
      <c r="B145" s="1">
        <v>41681</v>
      </c>
      <c r="C145">
        <v>12.23</v>
      </c>
      <c r="D145">
        <v>0.32</v>
      </c>
      <c r="E145">
        <v>5</v>
      </c>
      <c r="F145">
        <f t="shared" si="10"/>
        <v>0</v>
      </c>
      <c r="G145">
        <f t="shared" si="11"/>
        <v>0</v>
      </c>
      <c r="H145">
        <f t="shared" si="12"/>
        <v>0</v>
      </c>
      <c r="I145">
        <f t="shared" si="13"/>
        <v>4</v>
      </c>
      <c r="J145">
        <f t="shared" si="14"/>
        <v>0</v>
      </c>
    </row>
    <row r="146" spans="1:10" x14ac:dyDescent="0.3">
      <c r="A146" s="1">
        <v>41677</v>
      </c>
      <c r="B146" s="1">
        <v>41695</v>
      </c>
      <c r="C146">
        <v>12.01</v>
      </c>
      <c r="D146">
        <v>0.32</v>
      </c>
      <c r="E146">
        <v>5</v>
      </c>
      <c r="F146">
        <f t="shared" si="10"/>
        <v>0</v>
      </c>
      <c r="G146">
        <f t="shared" si="11"/>
        <v>0</v>
      </c>
      <c r="H146">
        <f t="shared" si="12"/>
        <v>0</v>
      </c>
      <c r="I146">
        <f t="shared" si="13"/>
        <v>18</v>
      </c>
      <c r="J146">
        <f t="shared" si="14"/>
        <v>0</v>
      </c>
    </row>
    <row r="147" spans="1:10" x14ac:dyDescent="0.3">
      <c r="A147" s="1">
        <v>41677</v>
      </c>
      <c r="B147" s="1">
        <v>41692</v>
      </c>
      <c r="C147">
        <v>5.67</v>
      </c>
      <c r="D147">
        <v>0.15</v>
      </c>
      <c r="E147">
        <v>4</v>
      </c>
      <c r="F147">
        <f t="shared" si="10"/>
        <v>0</v>
      </c>
      <c r="G147">
        <f t="shared" si="11"/>
        <v>0</v>
      </c>
      <c r="H147">
        <f t="shared" si="12"/>
        <v>15</v>
      </c>
      <c r="I147">
        <f t="shared" si="13"/>
        <v>0</v>
      </c>
      <c r="J147">
        <f t="shared" si="14"/>
        <v>0</v>
      </c>
    </row>
    <row r="148" spans="1:10" x14ac:dyDescent="0.3">
      <c r="A148" s="1">
        <v>41677</v>
      </c>
      <c r="B148" s="1">
        <v>41702</v>
      </c>
      <c r="C148">
        <v>6.88</v>
      </c>
      <c r="D148">
        <v>0.18</v>
      </c>
      <c r="E148">
        <v>5</v>
      </c>
      <c r="F148">
        <f t="shared" si="10"/>
        <v>0</v>
      </c>
      <c r="G148">
        <f t="shared" si="11"/>
        <v>0</v>
      </c>
      <c r="H148">
        <f t="shared" si="12"/>
        <v>0</v>
      </c>
      <c r="I148">
        <f t="shared" si="13"/>
        <v>25</v>
      </c>
      <c r="J148">
        <f t="shared" si="14"/>
        <v>0</v>
      </c>
    </row>
    <row r="149" spans="1:10" x14ac:dyDescent="0.3">
      <c r="A149" s="1">
        <v>41677</v>
      </c>
      <c r="B149" s="1">
        <v>41705</v>
      </c>
      <c r="C149">
        <v>2.72</v>
      </c>
      <c r="D149">
        <v>7.0000000000000007E-2</v>
      </c>
      <c r="E149">
        <v>6</v>
      </c>
      <c r="F149">
        <f t="shared" si="10"/>
        <v>0</v>
      </c>
      <c r="G149">
        <f t="shared" si="11"/>
        <v>0</v>
      </c>
      <c r="H149">
        <f t="shared" si="12"/>
        <v>0</v>
      </c>
      <c r="I149">
        <f t="shared" si="13"/>
        <v>0</v>
      </c>
      <c r="J149">
        <f t="shared" si="14"/>
        <v>28</v>
      </c>
    </row>
    <row r="150" spans="1:10" x14ac:dyDescent="0.3">
      <c r="A150" s="1">
        <v>41677</v>
      </c>
      <c r="B150" s="1">
        <v>41686</v>
      </c>
      <c r="C150">
        <v>9.74</v>
      </c>
      <c r="D150">
        <v>0.26</v>
      </c>
      <c r="E150">
        <v>6</v>
      </c>
      <c r="F150">
        <f t="shared" si="10"/>
        <v>0</v>
      </c>
      <c r="G150">
        <f t="shared" si="11"/>
        <v>0</v>
      </c>
      <c r="H150">
        <f t="shared" si="12"/>
        <v>0</v>
      </c>
      <c r="I150">
        <f t="shared" si="13"/>
        <v>0</v>
      </c>
      <c r="J150">
        <f t="shared" si="14"/>
        <v>9</v>
      </c>
    </row>
    <row r="151" spans="1:10" x14ac:dyDescent="0.3">
      <c r="A151" s="1">
        <v>41677</v>
      </c>
      <c r="B151" s="1">
        <v>41691</v>
      </c>
      <c r="C151">
        <v>7.31</v>
      </c>
      <c r="D151">
        <v>0.19</v>
      </c>
      <c r="E151">
        <v>3</v>
      </c>
      <c r="F151">
        <f t="shared" si="10"/>
        <v>0</v>
      </c>
      <c r="G151">
        <f t="shared" si="11"/>
        <v>14</v>
      </c>
      <c r="H151">
        <f t="shared" si="12"/>
        <v>0</v>
      </c>
      <c r="I151">
        <f t="shared" si="13"/>
        <v>0</v>
      </c>
      <c r="J151">
        <f t="shared" si="14"/>
        <v>0</v>
      </c>
    </row>
    <row r="152" spans="1:10" x14ac:dyDescent="0.3">
      <c r="A152" s="1">
        <v>41677</v>
      </c>
      <c r="B152" s="1">
        <v>41704</v>
      </c>
      <c r="C152">
        <v>8.84</v>
      </c>
      <c r="D152">
        <v>0.23</v>
      </c>
      <c r="E152">
        <v>6</v>
      </c>
      <c r="F152">
        <f t="shared" si="10"/>
        <v>0</v>
      </c>
      <c r="G152">
        <f t="shared" si="11"/>
        <v>0</v>
      </c>
      <c r="H152">
        <f t="shared" si="12"/>
        <v>0</v>
      </c>
      <c r="I152">
        <f t="shared" si="13"/>
        <v>0</v>
      </c>
      <c r="J152">
        <f t="shared" si="14"/>
        <v>27</v>
      </c>
    </row>
    <row r="153" spans="1:10" x14ac:dyDescent="0.3">
      <c r="A153" s="1">
        <v>41677</v>
      </c>
      <c r="B153" s="1">
        <v>41690</v>
      </c>
      <c r="C153">
        <v>13.07</v>
      </c>
      <c r="D153">
        <v>0.34</v>
      </c>
      <c r="E153">
        <v>2</v>
      </c>
      <c r="F153">
        <f t="shared" si="10"/>
        <v>13</v>
      </c>
      <c r="G153">
        <f t="shared" si="11"/>
        <v>0</v>
      </c>
      <c r="H153">
        <f t="shared" si="12"/>
        <v>0</v>
      </c>
      <c r="I153">
        <f t="shared" si="13"/>
        <v>0</v>
      </c>
      <c r="J153">
        <f t="shared" si="14"/>
        <v>0</v>
      </c>
    </row>
    <row r="154" spans="1:10" x14ac:dyDescent="0.3">
      <c r="A154" s="1">
        <v>41677</v>
      </c>
      <c r="B154" s="1">
        <v>41690</v>
      </c>
      <c r="C154">
        <v>11.42</v>
      </c>
      <c r="D154">
        <v>0.3</v>
      </c>
      <c r="E154">
        <v>6</v>
      </c>
      <c r="F154">
        <f t="shared" si="10"/>
        <v>0</v>
      </c>
      <c r="G154">
        <f t="shared" si="11"/>
        <v>0</v>
      </c>
      <c r="H154">
        <f t="shared" si="12"/>
        <v>0</v>
      </c>
      <c r="I154">
        <f t="shared" si="13"/>
        <v>0</v>
      </c>
      <c r="J154">
        <f t="shared" si="14"/>
        <v>13</v>
      </c>
    </row>
    <row r="155" spans="1:10" x14ac:dyDescent="0.3">
      <c r="A155" s="1">
        <v>41677</v>
      </c>
      <c r="B155" s="1">
        <v>41704</v>
      </c>
      <c r="C155">
        <v>3.79</v>
      </c>
      <c r="D155">
        <v>0.1</v>
      </c>
      <c r="E155">
        <v>3</v>
      </c>
      <c r="F155">
        <f t="shared" si="10"/>
        <v>0</v>
      </c>
      <c r="G155">
        <f t="shared" si="11"/>
        <v>27</v>
      </c>
      <c r="H155">
        <f t="shared" si="12"/>
        <v>0</v>
      </c>
      <c r="I155">
        <f t="shared" si="13"/>
        <v>0</v>
      </c>
      <c r="J155">
        <f t="shared" si="14"/>
        <v>0</v>
      </c>
    </row>
    <row r="156" spans="1:10" x14ac:dyDescent="0.3">
      <c r="A156" s="1">
        <v>41677</v>
      </c>
      <c r="B156" s="1">
        <v>41682</v>
      </c>
      <c r="C156">
        <v>11.42</v>
      </c>
      <c r="D156">
        <v>0.3</v>
      </c>
      <c r="E156">
        <v>6</v>
      </c>
      <c r="F156">
        <f t="shared" si="10"/>
        <v>0</v>
      </c>
      <c r="G156">
        <f t="shared" si="11"/>
        <v>0</v>
      </c>
      <c r="H156">
        <f t="shared" si="12"/>
        <v>0</v>
      </c>
      <c r="I156">
        <f t="shared" si="13"/>
        <v>0</v>
      </c>
      <c r="J156">
        <f t="shared" si="14"/>
        <v>5</v>
      </c>
    </row>
    <row r="157" spans="1:10" x14ac:dyDescent="0.3">
      <c r="A157" s="1">
        <v>41677</v>
      </c>
      <c r="B157" s="1">
        <v>41680</v>
      </c>
      <c r="C157">
        <v>8.83</v>
      </c>
      <c r="D157">
        <v>0.23</v>
      </c>
      <c r="E157">
        <v>4</v>
      </c>
      <c r="F157">
        <f t="shared" si="10"/>
        <v>0</v>
      </c>
      <c r="G157">
        <f t="shared" si="11"/>
        <v>0</v>
      </c>
      <c r="H157">
        <f t="shared" si="12"/>
        <v>3</v>
      </c>
      <c r="I157">
        <f t="shared" si="13"/>
        <v>0</v>
      </c>
      <c r="J157">
        <f t="shared" si="14"/>
        <v>0</v>
      </c>
    </row>
    <row r="158" spans="1:10" x14ac:dyDescent="0.3">
      <c r="A158" s="1">
        <v>41677</v>
      </c>
      <c r="B158" s="1">
        <v>41690</v>
      </c>
      <c r="C158">
        <v>8.51</v>
      </c>
      <c r="D158">
        <v>0.22</v>
      </c>
      <c r="E158">
        <v>5</v>
      </c>
      <c r="F158">
        <f t="shared" si="10"/>
        <v>0</v>
      </c>
      <c r="G158">
        <f t="shared" si="11"/>
        <v>0</v>
      </c>
      <c r="H158">
        <f t="shared" si="12"/>
        <v>0</v>
      </c>
      <c r="I158">
        <f t="shared" si="13"/>
        <v>13</v>
      </c>
      <c r="J158">
        <f t="shared" si="14"/>
        <v>0</v>
      </c>
    </row>
    <row r="159" spans="1:10" x14ac:dyDescent="0.3">
      <c r="A159" s="1">
        <v>41677</v>
      </c>
      <c r="B159" s="1">
        <v>41694</v>
      </c>
      <c r="C159">
        <v>7.3</v>
      </c>
      <c r="D159">
        <v>0.19</v>
      </c>
      <c r="E159">
        <v>5</v>
      </c>
      <c r="F159">
        <f t="shared" si="10"/>
        <v>0</v>
      </c>
      <c r="G159">
        <f t="shared" si="11"/>
        <v>0</v>
      </c>
      <c r="H159">
        <f t="shared" si="12"/>
        <v>0</v>
      </c>
      <c r="I159">
        <f t="shared" si="13"/>
        <v>17</v>
      </c>
      <c r="J159">
        <f t="shared" si="14"/>
        <v>0</v>
      </c>
    </row>
    <row r="160" spans="1:10" x14ac:dyDescent="0.3">
      <c r="A160" s="1">
        <v>41680</v>
      </c>
      <c r="B160" s="1">
        <v>41692</v>
      </c>
      <c r="C160">
        <v>5.67</v>
      </c>
      <c r="D160">
        <v>0.15</v>
      </c>
      <c r="E160">
        <v>4</v>
      </c>
      <c r="F160">
        <f t="shared" si="10"/>
        <v>0</v>
      </c>
      <c r="G160">
        <f t="shared" si="11"/>
        <v>0</v>
      </c>
      <c r="H160">
        <f t="shared" si="12"/>
        <v>12</v>
      </c>
      <c r="I160">
        <f t="shared" si="13"/>
        <v>0</v>
      </c>
      <c r="J160">
        <f t="shared" si="14"/>
        <v>0</v>
      </c>
    </row>
    <row r="161" spans="1:10" x14ac:dyDescent="0.3">
      <c r="A161" s="1">
        <v>41680</v>
      </c>
      <c r="B161" s="1">
        <v>41690</v>
      </c>
      <c r="C161">
        <v>6.58</v>
      </c>
      <c r="D161">
        <v>0.17</v>
      </c>
      <c r="E161">
        <v>3</v>
      </c>
      <c r="F161">
        <f t="shared" si="10"/>
        <v>0</v>
      </c>
      <c r="G161">
        <f t="shared" si="11"/>
        <v>10</v>
      </c>
      <c r="H161">
        <f t="shared" si="12"/>
        <v>0</v>
      </c>
      <c r="I161">
        <f t="shared" si="13"/>
        <v>0</v>
      </c>
      <c r="J161">
        <f t="shared" si="14"/>
        <v>0</v>
      </c>
    </row>
    <row r="162" spans="1:10" x14ac:dyDescent="0.3">
      <c r="A162" s="1">
        <v>41680</v>
      </c>
      <c r="B162" s="1">
        <v>41699</v>
      </c>
      <c r="C162">
        <v>4.25</v>
      </c>
      <c r="D162">
        <v>0.11</v>
      </c>
      <c r="E162">
        <v>3</v>
      </c>
      <c r="F162">
        <f t="shared" si="10"/>
        <v>0</v>
      </c>
      <c r="G162">
        <f t="shared" si="11"/>
        <v>19</v>
      </c>
      <c r="H162">
        <f t="shared" si="12"/>
        <v>0</v>
      </c>
      <c r="I162">
        <f t="shared" si="13"/>
        <v>0</v>
      </c>
      <c r="J162">
        <f t="shared" si="14"/>
        <v>0</v>
      </c>
    </row>
    <row r="163" spans="1:10" x14ac:dyDescent="0.3">
      <c r="A163" s="1">
        <v>41682</v>
      </c>
      <c r="B163" s="1">
        <v>41694</v>
      </c>
      <c r="C163">
        <v>6.58</v>
      </c>
      <c r="D163">
        <v>0.17</v>
      </c>
      <c r="E163">
        <v>6</v>
      </c>
      <c r="F163">
        <f t="shared" si="10"/>
        <v>0</v>
      </c>
      <c r="G163">
        <f t="shared" si="11"/>
        <v>0</v>
      </c>
      <c r="H163">
        <f t="shared" si="12"/>
        <v>0</v>
      </c>
      <c r="I163">
        <f t="shared" si="13"/>
        <v>0</v>
      </c>
      <c r="J163">
        <f t="shared" si="14"/>
        <v>12</v>
      </c>
    </row>
    <row r="164" spans="1:10" x14ac:dyDescent="0.3">
      <c r="A164" s="1">
        <v>41684</v>
      </c>
      <c r="B164" s="1">
        <v>41704</v>
      </c>
      <c r="C164">
        <v>5.78</v>
      </c>
      <c r="D164">
        <v>0.15</v>
      </c>
      <c r="E164">
        <v>2</v>
      </c>
      <c r="F164">
        <f t="shared" si="10"/>
        <v>20</v>
      </c>
      <c r="G164">
        <f t="shared" si="11"/>
        <v>0</v>
      </c>
      <c r="H164">
        <f t="shared" si="12"/>
        <v>0</v>
      </c>
      <c r="I164">
        <f t="shared" si="13"/>
        <v>0</v>
      </c>
      <c r="J164">
        <f t="shared" si="14"/>
        <v>0</v>
      </c>
    </row>
    <row r="165" spans="1:10" x14ac:dyDescent="0.3">
      <c r="A165" s="1">
        <v>41684</v>
      </c>
      <c r="B165" s="1">
        <v>41693</v>
      </c>
      <c r="C165">
        <v>10.199999999999999</v>
      </c>
      <c r="D165">
        <v>0.27</v>
      </c>
      <c r="E165">
        <v>5</v>
      </c>
      <c r="F165">
        <f t="shared" si="10"/>
        <v>0</v>
      </c>
      <c r="G165">
        <f t="shared" si="11"/>
        <v>0</v>
      </c>
      <c r="H165">
        <f t="shared" si="12"/>
        <v>0</v>
      </c>
      <c r="I165">
        <f t="shared" si="13"/>
        <v>9</v>
      </c>
      <c r="J165">
        <f t="shared" si="14"/>
        <v>0</v>
      </c>
    </row>
    <row r="166" spans="1:10" x14ac:dyDescent="0.3">
      <c r="A166" s="1">
        <v>41684</v>
      </c>
      <c r="B166" s="1">
        <v>41692</v>
      </c>
      <c r="C166">
        <v>2.72</v>
      </c>
      <c r="D166">
        <v>7.0000000000000007E-2</v>
      </c>
      <c r="E166">
        <v>6</v>
      </c>
      <c r="F166">
        <f t="shared" si="10"/>
        <v>0</v>
      </c>
      <c r="G166">
        <f t="shared" si="11"/>
        <v>0</v>
      </c>
      <c r="H166">
        <f t="shared" si="12"/>
        <v>0</v>
      </c>
      <c r="I166">
        <f t="shared" si="13"/>
        <v>0</v>
      </c>
      <c r="J166">
        <f t="shared" si="14"/>
        <v>8</v>
      </c>
    </row>
    <row r="167" spans="1:10" x14ac:dyDescent="0.3">
      <c r="A167" s="1">
        <v>41684</v>
      </c>
      <c r="B167" s="1">
        <v>41707</v>
      </c>
      <c r="C167">
        <v>11.44</v>
      </c>
      <c r="D167">
        <v>0.3</v>
      </c>
      <c r="E167">
        <v>6</v>
      </c>
      <c r="F167">
        <f t="shared" si="10"/>
        <v>0</v>
      </c>
      <c r="G167">
        <f t="shared" si="11"/>
        <v>0</v>
      </c>
      <c r="H167">
        <f t="shared" si="12"/>
        <v>0</v>
      </c>
      <c r="I167">
        <f t="shared" si="13"/>
        <v>0</v>
      </c>
      <c r="J167">
        <f t="shared" si="14"/>
        <v>23</v>
      </c>
    </row>
    <row r="168" spans="1:10" x14ac:dyDescent="0.3">
      <c r="A168" s="1">
        <v>41684</v>
      </c>
      <c r="B168" s="1">
        <v>41712</v>
      </c>
      <c r="C168">
        <v>13.07</v>
      </c>
      <c r="D168">
        <v>0.34</v>
      </c>
      <c r="E168">
        <v>6</v>
      </c>
      <c r="F168">
        <f t="shared" si="10"/>
        <v>0</v>
      </c>
      <c r="G168">
        <f t="shared" si="11"/>
        <v>0</v>
      </c>
      <c r="H168">
        <f t="shared" si="12"/>
        <v>0</v>
      </c>
      <c r="I168">
        <f t="shared" si="13"/>
        <v>0</v>
      </c>
      <c r="J168">
        <f t="shared" si="14"/>
        <v>28</v>
      </c>
    </row>
    <row r="169" spans="1:10" x14ac:dyDescent="0.3">
      <c r="A169" s="1">
        <v>41684</v>
      </c>
      <c r="B169" s="1">
        <v>41712</v>
      </c>
      <c r="C169">
        <v>7.35</v>
      </c>
      <c r="D169">
        <v>0.19</v>
      </c>
      <c r="E169">
        <v>4</v>
      </c>
      <c r="F169">
        <f t="shared" si="10"/>
        <v>0</v>
      </c>
      <c r="G169">
        <f t="shared" si="11"/>
        <v>0</v>
      </c>
      <c r="H169">
        <f t="shared" si="12"/>
        <v>28</v>
      </c>
      <c r="I169">
        <f t="shared" si="13"/>
        <v>0</v>
      </c>
      <c r="J169">
        <f t="shared" si="14"/>
        <v>0</v>
      </c>
    </row>
    <row r="170" spans="1:10" x14ac:dyDescent="0.3">
      <c r="A170" s="1">
        <v>41685</v>
      </c>
      <c r="B170" s="1">
        <v>41712</v>
      </c>
      <c r="C170">
        <v>6.88</v>
      </c>
      <c r="D170">
        <v>0.18</v>
      </c>
      <c r="E170">
        <v>3</v>
      </c>
      <c r="F170">
        <f t="shared" si="10"/>
        <v>0</v>
      </c>
      <c r="G170">
        <f t="shared" si="11"/>
        <v>27</v>
      </c>
      <c r="H170">
        <f t="shared" si="12"/>
        <v>0</v>
      </c>
      <c r="I170">
        <f t="shared" si="13"/>
        <v>0</v>
      </c>
      <c r="J170">
        <f t="shared" si="14"/>
        <v>0</v>
      </c>
    </row>
    <row r="171" spans="1:10" x14ac:dyDescent="0.3">
      <c r="A171" s="1">
        <v>41685</v>
      </c>
      <c r="B171" s="1">
        <v>41708</v>
      </c>
      <c r="C171">
        <v>9.06</v>
      </c>
      <c r="D171">
        <v>0.24</v>
      </c>
      <c r="E171">
        <v>2</v>
      </c>
      <c r="F171">
        <f t="shared" si="10"/>
        <v>23</v>
      </c>
      <c r="G171">
        <f t="shared" si="11"/>
        <v>0</v>
      </c>
      <c r="H171">
        <f t="shared" si="12"/>
        <v>0</v>
      </c>
      <c r="I171">
        <f t="shared" si="13"/>
        <v>0</v>
      </c>
      <c r="J171">
        <f t="shared" si="14"/>
        <v>0</v>
      </c>
    </row>
    <row r="172" spans="1:10" x14ac:dyDescent="0.3">
      <c r="A172" s="1">
        <v>41689</v>
      </c>
      <c r="B172" s="1">
        <v>41708</v>
      </c>
      <c r="C172">
        <v>16.55</v>
      </c>
      <c r="D172">
        <v>0.44</v>
      </c>
      <c r="E172">
        <v>2</v>
      </c>
      <c r="F172">
        <f t="shared" si="10"/>
        <v>19</v>
      </c>
      <c r="G172">
        <f t="shared" si="11"/>
        <v>0</v>
      </c>
      <c r="H172">
        <f t="shared" si="12"/>
        <v>0</v>
      </c>
      <c r="I172">
        <f t="shared" si="13"/>
        <v>0</v>
      </c>
      <c r="J172">
        <f t="shared" si="14"/>
        <v>0</v>
      </c>
    </row>
    <row r="173" spans="1:10" x14ac:dyDescent="0.3">
      <c r="A173" s="1">
        <v>41689</v>
      </c>
      <c r="B173" s="1">
        <v>41708</v>
      </c>
      <c r="C173">
        <v>8.83</v>
      </c>
      <c r="D173">
        <v>0.23</v>
      </c>
      <c r="E173">
        <v>3</v>
      </c>
      <c r="F173">
        <f t="shared" si="10"/>
        <v>0</v>
      </c>
      <c r="G173">
        <f t="shared" si="11"/>
        <v>19</v>
      </c>
      <c r="H173">
        <f t="shared" si="12"/>
        <v>0</v>
      </c>
      <c r="I173">
        <f t="shared" si="13"/>
        <v>0</v>
      </c>
      <c r="J173">
        <f t="shared" si="14"/>
        <v>0</v>
      </c>
    </row>
    <row r="174" spans="1:10" x14ac:dyDescent="0.3">
      <c r="A174" s="1">
        <v>41689</v>
      </c>
      <c r="B174" s="1">
        <v>41696</v>
      </c>
      <c r="C174">
        <v>7.31</v>
      </c>
      <c r="D174">
        <v>0.19</v>
      </c>
      <c r="E174">
        <v>2</v>
      </c>
      <c r="F174">
        <f t="shared" si="10"/>
        <v>7</v>
      </c>
      <c r="G174">
        <f t="shared" si="11"/>
        <v>0</v>
      </c>
      <c r="H174">
        <f t="shared" si="12"/>
        <v>0</v>
      </c>
      <c r="I174">
        <f t="shared" si="13"/>
        <v>0</v>
      </c>
      <c r="J174">
        <f t="shared" si="14"/>
        <v>0</v>
      </c>
    </row>
    <row r="175" spans="1:10" x14ac:dyDescent="0.3">
      <c r="A175" s="1">
        <v>41689</v>
      </c>
      <c r="B175" s="1">
        <v>41715</v>
      </c>
      <c r="C175">
        <v>14.31</v>
      </c>
      <c r="D175">
        <v>0.38</v>
      </c>
      <c r="E175">
        <v>5</v>
      </c>
      <c r="F175">
        <f t="shared" si="10"/>
        <v>0</v>
      </c>
      <c r="G175">
        <f t="shared" si="11"/>
        <v>0</v>
      </c>
      <c r="H175">
        <f t="shared" si="12"/>
        <v>0</v>
      </c>
      <c r="I175">
        <f t="shared" si="13"/>
        <v>26</v>
      </c>
      <c r="J175">
        <f t="shared" si="14"/>
        <v>0</v>
      </c>
    </row>
    <row r="176" spans="1:10" x14ac:dyDescent="0.3">
      <c r="A176" s="1">
        <v>41689</v>
      </c>
      <c r="B176" s="1">
        <v>41691</v>
      </c>
      <c r="C176">
        <v>11.42</v>
      </c>
      <c r="D176">
        <v>0.3</v>
      </c>
      <c r="E176">
        <v>5</v>
      </c>
      <c r="F176">
        <f t="shared" si="10"/>
        <v>0</v>
      </c>
      <c r="G176">
        <f t="shared" si="11"/>
        <v>0</v>
      </c>
      <c r="H176">
        <f t="shared" si="12"/>
        <v>0</v>
      </c>
      <c r="I176">
        <f t="shared" si="13"/>
        <v>2</v>
      </c>
      <c r="J176">
        <f t="shared" si="14"/>
        <v>0</v>
      </c>
    </row>
    <row r="177" spans="1:10" x14ac:dyDescent="0.3">
      <c r="A177" s="1">
        <v>41689</v>
      </c>
      <c r="B177" s="1">
        <v>41700</v>
      </c>
      <c r="C177">
        <v>8.5399999999999991</v>
      </c>
      <c r="D177">
        <v>0.22</v>
      </c>
      <c r="E177">
        <v>3</v>
      </c>
      <c r="F177">
        <f t="shared" si="10"/>
        <v>0</v>
      </c>
      <c r="G177">
        <f t="shared" si="11"/>
        <v>11</v>
      </c>
      <c r="H177">
        <f t="shared" si="12"/>
        <v>0</v>
      </c>
      <c r="I177">
        <f t="shared" si="13"/>
        <v>0</v>
      </c>
      <c r="J177">
        <f t="shared" si="14"/>
        <v>0</v>
      </c>
    </row>
    <row r="178" spans="1:10" x14ac:dyDescent="0.3">
      <c r="A178" s="1">
        <v>41689</v>
      </c>
      <c r="B178" s="1">
        <v>41717</v>
      </c>
      <c r="C178">
        <v>5.57</v>
      </c>
      <c r="D178">
        <v>0.15</v>
      </c>
      <c r="E178">
        <v>4</v>
      </c>
      <c r="F178">
        <f t="shared" si="10"/>
        <v>0</v>
      </c>
      <c r="G178">
        <f t="shared" si="11"/>
        <v>0</v>
      </c>
      <c r="H178">
        <f t="shared" si="12"/>
        <v>28</v>
      </c>
      <c r="I178">
        <f t="shared" si="13"/>
        <v>0</v>
      </c>
      <c r="J178">
        <f t="shared" si="14"/>
        <v>0</v>
      </c>
    </row>
    <row r="179" spans="1:10" x14ac:dyDescent="0.3">
      <c r="A179" s="1">
        <v>41689</v>
      </c>
      <c r="B179" s="1">
        <v>41717</v>
      </c>
      <c r="C179">
        <v>7.55</v>
      </c>
      <c r="D179">
        <v>0.2</v>
      </c>
      <c r="E179">
        <v>4</v>
      </c>
      <c r="F179">
        <f t="shared" si="10"/>
        <v>0</v>
      </c>
      <c r="G179">
        <f t="shared" si="11"/>
        <v>0</v>
      </c>
      <c r="H179">
        <f t="shared" si="12"/>
        <v>28</v>
      </c>
      <c r="I179">
        <f t="shared" si="13"/>
        <v>0</v>
      </c>
      <c r="J179">
        <f t="shared" si="14"/>
        <v>0</v>
      </c>
    </row>
    <row r="180" spans="1:10" x14ac:dyDescent="0.3">
      <c r="A180" s="1">
        <v>41689</v>
      </c>
      <c r="B180" s="1">
        <v>41707</v>
      </c>
      <c r="C180">
        <v>10.79</v>
      </c>
      <c r="D180">
        <v>0.28000000000000003</v>
      </c>
      <c r="E180">
        <v>6</v>
      </c>
      <c r="F180">
        <f t="shared" si="10"/>
        <v>0</v>
      </c>
      <c r="G180">
        <f t="shared" si="11"/>
        <v>0</v>
      </c>
      <c r="H180">
        <f t="shared" si="12"/>
        <v>0</v>
      </c>
      <c r="I180">
        <f t="shared" si="13"/>
        <v>0</v>
      </c>
      <c r="J180">
        <f t="shared" si="14"/>
        <v>18</v>
      </c>
    </row>
    <row r="181" spans="1:10" x14ac:dyDescent="0.3">
      <c r="A181" s="1">
        <v>41689</v>
      </c>
      <c r="B181" s="1">
        <v>41706</v>
      </c>
      <c r="C181">
        <v>8.39</v>
      </c>
      <c r="D181">
        <v>0.22</v>
      </c>
      <c r="E181">
        <v>2</v>
      </c>
      <c r="F181">
        <f t="shared" si="10"/>
        <v>17</v>
      </c>
      <c r="G181">
        <f t="shared" si="11"/>
        <v>0</v>
      </c>
      <c r="H181">
        <f t="shared" si="12"/>
        <v>0</v>
      </c>
      <c r="I181">
        <f t="shared" si="13"/>
        <v>0</v>
      </c>
      <c r="J181">
        <f t="shared" si="14"/>
        <v>0</v>
      </c>
    </row>
    <row r="182" spans="1:10" x14ac:dyDescent="0.3">
      <c r="A182" s="1">
        <v>41689</v>
      </c>
      <c r="B182" s="1">
        <v>41711</v>
      </c>
      <c r="C182">
        <v>9.06</v>
      </c>
      <c r="D182">
        <v>0.24</v>
      </c>
      <c r="E182">
        <v>6</v>
      </c>
      <c r="F182">
        <f t="shared" si="10"/>
        <v>0</v>
      </c>
      <c r="G182">
        <f t="shared" si="11"/>
        <v>0</v>
      </c>
      <c r="H182">
        <f t="shared" si="12"/>
        <v>0</v>
      </c>
      <c r="I182">
        <f t="shared" si="13"/>
        <v>0</v>
      </c>
      <c r="J182">
        <f t="shared" si="14"/>
        <v>22</v>
      </c>
    </row>
    <row r="183" spans="1:10" x14ac:dyDescent="0.3">
      <c r="A183" s="1">
        <v>41689</v>
      </c>
      <c r="B183" s="1">
        <v>41700</v>
      </c>
      <c r="C183">
        <v>16.940000000000001</v>
      </c>
      <c r="D183">
        <v>0.45</v>
      </c>
      <c r="E183">
        <v>3</v>
      </c>
      <c r="F183">
        <f t="shared" si="10"/>
        <v>0</v>
      </c>
      <c r="G183">
        <f t="shared" si="11"/>
        <v>11</v>
      </c>
      <c r="H183">
        <f t="shared" si="12"/>
        <v>0</v>
      </c>
      <c r="I183">
        <f t="shared" si="13"/>
        <v>0</v>
      </c>
      <c r="J183">
        <f t="shared" si="14"/>
        <v>0</v>
      </c>
    </row>
    <row r="184" spans="1:10" x14ac:dyDescent="0.3">
      <c r="A184" s="1">
        <v>41689</v>
      </c>
      <c r="B184" s="1">
        <v>41708</v>
      </c>
      <c r="C184">
        <v>11.37</v>
      </c>
      <c r="D184">
        <v>0.3</v>
      </c>
      <c r="E184">
        <v>4</v>
      </c>
      <c r="F184">
        <f t="shared" si="10"/>
        <v>0</v>
      </c>
      <c r="G184">
        <f t="shared" si="11"/>
        <v>0</v>
      </c>
      <c r="H184">
        <f t="shared" si="12"/>
        <v>19</v>
      </c>
      <c r="I184">
        <f t="shared" si="13"/>
        <v>0</v>
      </c>
      <c r="J184">
        <f t="shared" si="14"/>
        <v>0</v>
      </c>
    </row>
    <row r="185" spans="1:10" x14ac:dyDescent="0.3">
      <c r="A185" s="1">
        <v>41689</v>
      </c>
      <c r="B185" s="1">
        <v>41699</v>
      </c>
      <c r="C185">
        <v>4.25</v>
      </c>
      <c r="D185">
        <v>0.11</v>
      </c>
      <c r="E185">
        <v>5</v>
      </c>
      <c r="F185">
        <f t="shared" si="10"/>
        <v>0</v>
      </c>
      <c r="G185">
        <f t="shared" si="11"/>
        <v>0</v>
      </c>
      <c r="H185">
        <f t="shared" si="12"/>
        <v>0</v>
      </c>
      <c r="I185">
        <f t="shared" si="13"/>
        <v>10</v>
      </c>
      <c r="J185">
        <f t="shared" si="14"/>
        <v>0</v>
      </c>
    </row>
    <row r="186" spans="1:10" x14ac:dyDescent="0.3">
      <c r="A186" s="1">
        <v>41689</v>
      </c>
      <c r="B186" s="1">
        <v>41710</v>
      </c>
      <c r="C186">
        <v>11.42</v>
      </c>
      <c r="D186">
        <v>0.3</v>
      </c>
      <c r="E186">
        <v>4</v>
      </c>
      <c r="F186">
        <f t="shared" si="10"/>
        <v>0</v>
      </c>
      <c r="G186">
        <f t="shared" si="11"/>
        <v>0</v>
      </c>
      <c r="H186">
        <f t="shared" si="12"/>
        <v>21</v>
      </c>
      <c r="I186">
        <f t="shared" si="13"/>
        <v>0</v>
      </c>
      <c r="J186">
        <f t="shared" si="14"/>
        <v>0</v>
      </c>
    </row>
    <row r="187" spans="1:10" x14ac:dyDescent="0.3">
      <c r="A187" s="1">
        <v>41689</v>
      </c>
      <c r="B187" s="1">
        <v>41711</v>
      </c>
      <c r="C187">
        <v>3.79</v>
      </c>
      <c r="D187">
        <v>0.1</v>
      </c>
      <c r="E187">
        <v>3</v>
      </c>
      <c r="F187">
        <f t="shared" si="10"/>
        <v>0</v>
      </c>
      <c r="G187">
        <f t="shared" si="11"/>
        <v>22</v>
      </c>
      <c r="H187">
        <f t="shared" si="12"/>
        <v>0</v>
      </c>
      <c r="I187">
        <f t="shared" si="13"/>
        <v>0</v>
      </c>
      <c r="J187">
        <f t="shared" si="14"/>
        <v>0</v>
      </c>
    </row>
    <row r="188" spans="1:10" x14ac:dyDescent="0.3">
      <c r="A188" s="1">
        <v>41689</v>
      </c>
      <c r="B188" s="1">
        <v>41712</v>
      </c>
      <c r="C188">
        <v>10.59</v>
      </c>
      <c r="D188">
        <v>0.28000000000000003</v>
      </c>
      <c r="E188">
        <v>4</v>
      </c>
      <c r="F188">
        <f t="shared" si="10"/>
        <v>0</v>
      </c>
      <c r="G188">
        <f t="shared" si="11"/>
        <v>0</v>
      </c>
      <c r="H188">
        <f t="shared" si="12"/>
        <v>23</v>
      </c>
      <c r="I188">
        <f t="shared" si="13"/>
        <v>0</v>
      </c>
      <c r="J188">
        <f t="shared" si="14"/>
        <v>0</v>
      </c>
    </row>
    <row r="189" spans="1:10" x14ac:dyDescent="0.3">
      <c r="A189" s="1">
        <v>41689</v>
      </c>
      <c r="B189" s="1">
        <v>41705</v>
      </c>
      <c r="C189">
        <v>8.9499999999999993</v>
      </c>
      <c r="D189">
        <v>0.24</v>
      </c>
      <c r="E189">
        <v>2</v>
      </c>
      <c r="F189">
        <f t="shared" si="10"/>
        <v>16</v>
      </c>
      <c r="G189">
        <f t="shared" si="11"/>
        <v>0</v>
      </c>
      <c r="H189">
        <f t="shared" si="12"/>
        <v>0</v>
      </c>
      <c r="I189">
        <f t="shared" si="13"/>
        <v>0</v>
      </c>
      <c r="J189">
        <f t="shared" si="14"/>
        <v>0</v>
      </c>
    </row>
    <row r="190" spans="1:10" x14ac:dyDescent="0.3">
      <c r="A190" s="1">
        <v>41689</v>
      </c>
      <c r="B190" s="1">
        <v>41693</v>
      </c>
      <c r="C190">
        <v>4.66</v>
      </c>
      <c r="D190">
        <v>0.12</v>
      </c>
      <c r="E190">
        <v>5</v>
      </c>
      <c r="F190">
        <f t="shared" si="10"/>
        <v>0</v>
      </c>
      <c r="G190">
        <f t="shared" si="11"/>
        <v>0</v>
      </c>
      <c r="H190">
        <f t="shared" si="12"/>
        <v>0</v>
      </c>
      <c r="I190">
        <f t="shared" si="13"/>
        <v>4</v>
      </c>
      <c r="J190">
        <f t="shared" si="14"/>
        <v>0</v>
      </c>
    </row>
    <row r="191" spans="1:10" x14ac:dyDescent="0.3">
      <c r="A191" s="1">
        <v>41689</v>
      </c>
      <c r="B191" s="1">
        <v>41707</v>
      </c>
      <c r="C191">
        <v>6.88</v>
      </c>
      <c r="D191">
        <v>0.18</v>
      </c>
      <c r="E191">
        <v>5</v>
      </c>
      <c r="F191">
        <f t="shared" si="10"/>
        <v>0</v>
      </c>
      <c r="G191">
        <f t="shared" si="11"/>
        <v>0</v>
      </c>
      <c r="H191">
        <f t="shared" si="12"/>
        <v>0</v>
      </c>
      <c r="I191">
        <f t="shared" si="13"/>
        <v>18</v>
      </c>
      <c r="J191">
        <f t="shared" si="14"/>
        <v>0</v>
      </c>
    </row>
    <row r="192" spans="1:10" x14ac:dyDescent="0.3">
      <c r="A192" s="1">
        <v>41692</v>
      </c>
      <c r="B192" s="1">
        <v>41706</v>
      </c>
      <c r="C192">
        <v>8.7200000000000006</v>
      </c>
      <c r="D192">
        <v>0.23</v>
      </c>
      <c r="E192">
        <v>4</v>
      </c>
      <c r="F192">
        <f t="shared" si="10"/>
        <v>0</v>
      </c>
      <c r="G192">
        <f t="shared" si="11"/>
        <v>0</v>
      </c>
      <c r="H192">
        <f t="shared" si="12"/>
        <v>14</v>
      </c>
      <c r="I192">
        <f t="shared" si="13"/>
        <v>0</v>
      </c>
      <c r="J192">
        <f t="shared" si="14"/>
        <v>0</v>
      </c>
    </row>
    <row r="193" spans="1:10" x14ac:dyDescent="0.3">
      <c r="A193" s="1">
        <v>41696</v>
      </c>
      <c r="B193" s="1">
        <v>41698</v>
      </c>
      <c r="C193">
        <v>12.23</v>
      </c>
      <c r="D193">
        <v>0.32</v>
      </c>
      <c r="E193">
        <v>2</v>
      </c>
      <c r="F193">
        <f t="shared" si="10"/>
        <v>2</v>
      </c>
      <c r="G193">
        <f t="shared" si="11"/>
        <v>0</v>
      </c>
      <c r="H193">
        <f t="shared" si="12"/>
        <v>0</v>
      </c>
      <c r="I193">
        <f t="shared" si="13"/>
        <v>0</v>
      </c>
      <c r="J193">
        <f t="shared" si="14"/>
        <v>0</v>
      </c>
    </row>
    <row r="194" spans="1:10" x14ac:dyDescent="0.3">
      <c r="A194" s="1">
        <v>41696</v>
      </c>
      <c r="B194" s="1">
        <v>41708</v>
      </c>
      <c r="C194">
        <v>10.199999999999999</v>
      </c>
      <c r="D194">
        <v>0.27</v>
      </c>
      <c r="E194">
        <v>4</v>
      </c>
      <c r="F194">
        <f t="shared" si="10"/>
        <v>0</v>
      </c>
      <c r="G194">
        <f t="shared" si="11"/>
        <v>0</v>
      </c>
      <c r="H194">
        <f t="shared" si="12"/>
        <v>12</v>
      </c>
      <c r="I194">
        <f t="shared" si="13"/>
        <v>0</v>
      </c>
      <c r="J194">
        <f t="shared" si="14"/>
        <v>0</v>
      </c>
    </row>
    <row r="195" spans="1:10" x14ac:dyDescent="0.3">
      <c r="A195" s="1">
        <v>41696</v>
      </c>
      <c r="B195" s="1">
        <v>41703</v>
      </c>
      <c r="C195">
        <v>7.06</v>
      </c>
      <c r="D195">
        <v>0.19</v>
      </c>
      <c r="E195">
        <v>5</v>
      </c>
      <c r="F195">
        <f t="shared" ref="F195:F258" si="15">IF(EXACT(E195,2),B195-A195,0)</f>
        <v>0</v>
      </c>
      <c r="G195">
        <f t="shared" ref="G195:G258" si="16">IF(EXACT(E195,3),B195-A195,0)</f>
        <v>0</v>
      </c>
      <c r="H195">
        <f t="shared" ref="H195:H258" si="17">IF(EXACT(E195,4),B195-A195,0)</f>
        <v>0</v>
      </c>
      <c r="I195">
        <f t="shared" ref="I195:I258" si="18">IF(EXACT(E195,5),B195-A195,0)</f>
        <v>7</v>
      </c>
      <c r="J195">
        <f t="shared" ref="J195:J258" si="19">IF(EXACT(E195,6),B195-A195,0)</f>
        <v>0</v>
      </c>
    </row>
    <row r="196" spans="1:10" x14ac:dyDescent="0.3">
      <c r="A196" s="1">
        <v>41696</v>
      </c>
      <c r="B196" s="1">
        <v>41716</v>
      </c>
      <c r="C196">
        <v>5.64</v>
      </c>
      <c r="D196">
        <v>0.15</v>
      </c>
      <c r="E196">
        <v>6</v>
      </c>
      <c r="F196">
        <f t="shared" si="15"/>
        <v>0</v>
      </c>
      <c r="G196">
        <f t="shared" si="16"/>
        <v>0</v>
      </c>
      <c r="H196">
        <f t="shared" si="17"/>
        <v>0</v>
      </c>
      <c r="I196">
        <f t="shared" si="18"/>
        <v>0</v>
      </c>
      <c r="J196">
        <f t="shared" si="19"/>
        <v>20</v>
      </c>
    </row>
    <row r="197" spans="1:10" x14ac:dyDescent="0.3">
      <c r="A197" s="1">
        <v>41696</v>
      </c>
      <c r="B197" s="1">
        <v>41721</v>
      </c>
      <c r="C197">
        <v>9.06</v>
      </c>
      <c r="D197">
        <v>0.24</v>
      </c>
      <c r="E197">
        <v>4</v>
      </c>
      <c r="F197">
        <f t="shared" si="15"/>
        <v>0</v>
      </c>
      <c r="G197">
        <f t="shared" si="16"/>
        <v>0</v>
      </c>
      <c r="H197">
        <f t="shared" si="17"/>
        <v>25</v>
      </c>
      <c r="I197">
        <f t="shared" si="18"/>
        <v>0</v>
      </c>
      <c r="J197">
        <f t="shared" si="19"/>
        <v>0</v>
      </c>
    </row>
    <row r="198" spans="1:10" x14ac:dyDescent="0.3">
      <c r="A198" s="1">
        <v>41696</v>
      </c>
      <c r="B198" s="1">
        <v>41717</v>
      </c>
      <c r="C198">
        <v>6.23</v>
      </c>
      <c r="D198">
        <v>0.16</v>
      </c>
      <c r="E198">
        <v>2</v>
      </c>
      <c r="F198">
        <f t="shared" si="15"/>
        <v>21</v>
      </c>
      <c r="G198">
        <f t="shared" si="16"/>
        <v>0</v>
      </c>
      <c r="H198">
        <f t="shared" si="17"/>
        <v>0</v>
      </c>
      <c r="I198">
        <f t="shared" si="18"/>
        <v>0</v>
      </c>
      <c r="J198">
        <f t="shared" si="19"/>
        <v>0</v>
      </c>
    </row>
    <row r="199" spans="1:10" x14ac:dyDescent="0.3">
      <c r="A199" s="1">
        <v>41698</v>
      </c>
      <c r="B199" s="1">
        <v>41721</v>
      </c>
      <c r="C199">
        <v>3.57</v>
      </c>
      <c r="D199">
        <v>0.09</v>
      </c>
      <c r="E199">
        <v>4</v>
      </c>
      <c r="F199">
        <f t="shared" si="15"/>
        <v>0</v>
      </c>
      <c r="G199">
        <f t="shared" si="16"/>
        <v>0</v>
      </c>
      <c r="H199">
        <f t="shared" si="17"/>
        <v>23</v>
      </c>
      <c r="I199">
        <f t="shared" si="18"/>
        <v>0</v>
      </c>
      <c r="J199">
        <f t="shared" si="19"/>
        <v>0</v>
      </c>
    </row>
    <row r="200" spans="1:10" x14ac:dyDescent="0.3">
      <c r="A200" s="1">
        <v>41701</v>
      </c>
      <c r="B200" s="1">
        <v>41714</v>
      </c>
      <c r="C200">
        <v>8.89</v>
      </c>
      <c r="D200">
        <v>0.23</v>
      </c>
      <c r="E200">
        <v>3</v>
      </c>
      <c r="F200">
        <f t="shared" si="15"/>
        <v>0</v>
      </c>
      <c r="G200">
        <f t="shared" si="16"/>
        <v>13</v>
      </c>
      <c r="H200">
        <f t="shared" si="17"/>
        <v>0</v>
      </c>
      <c r="I200">
        <f t="shared" si="18"/>
        <v>0</v>
      </c>
      <c r="J200">
        <f t="shared" si="19"/>
        <v>0</v>
      </c>
    </row>
    <row r="201" spans="1:10" x14ac:dyDescent="0.3">
      <c r="A201" s="1">
        <v>41701</v>
      </c>
      <c r="B201" s="1">
        <v>41726</v>
      </c>
      <c r="C201">
        <v>6.34</v>
      </c>
      <c r="D201">
        <v>0.17</v>
      </c>
      <c r="E201">
        <v>5</v>
      </c>
      <c r="F201">
        <f t="shared" si="15"/>
        <v>0</v>
      </c>
      <c r="G201">
        <f t="shared" si="16"/>
        <v>0</v>
      </c>
      <c r="H201">
        <f t="shared" si="17"/>
        <v>0</v>
      </c>
      <c r="I201">
        <f t="shared" si="18"/>
        <v>25</v>
      </c>
      <c r="J201">
        <f t="shared" si="19"/>
        <v>0</v>
      </c>
    </row>
    <row r="202" spans="1:10" x14ac:dyDescent="0.3">
      <c r="A202" s="1">
        <v>41701</v>
      </c>
      <c r="B202" s="1">
        <v>41717</v>
      </c>
      <c r="C202">
        <v>11.69</v>
      </c>
      <c r="D202">
        <v>0.31</v>
      </c>
      <c r="E202">
        <v>6</v>
      </c>
      <c r="F202">
        <f t="shared" si="15"/>
        <v>0</v>
      </c>
      <c r="G202">
        <f t="shared" si="16"/>
        <v>0</v>
      </c>
      <c r="H202">
        <f t="shared" si="17"/>
        <v>0</v>
      </c>
      <c r="I202">
        <f t="shared" si="18"/>
        <v>0</v>
      </c>
      <c r="J202">
        <f t="shared" si="19"/>
        <v>16</v>
      </c>
    </row>
    <row r="203" spans="1:10" x14ac:dyDescent="0.3">
      <c r="A203" s="1">
        <v>41701</v>
      </c>
      <c r="B203" s="1">
        <v>41712</v>
      </c>
      <c r="C203">
        <v>3.79</v>
      </c>
      <c r="D203">
        <v>0.1</v>
      </c>
      <c r="E203">
        <v>4</v>
      </c>
      <c r="F203">
        <f t="shared" si="15"/>
        <v>0</v>
      </c>
      <c r="G203">
        <f t="shared" si="16"/>
        <v>0</v>
      </c>
      <c r="H203">
        <f t="shared" si="17"/>
        <v>11</v>
      </c>
      <c r="I203">
        <f t="shared" si="18"/>
        <v>0</v>
      </c>
      <c r="J203">
        <f t="shared" si="19"/>
        <v>0</v>
      </c>
    </row>
    <row r="204" spans="1:10" x14ac:dyDescent="0.3">
      <c r="A204" s="1">
        <v>41701</v>
      </c>
      <c r="B204" s="1">
        <v>41726</v>
      </c>
      <c r="C204">
        <v>9.1300000000000008</v>
      </c>
      <c r="D204">
        <v>0.24</v>
      </c>
      <c r="E204">
        <v>2</v>
      </c>
      <c r="F204">
        <f t="shared" si="15"/>
        <v>25</v>
      </c>
      <c r="G204">
        <f t="shared" si="16"/>
        <v>0</v>
      </c>
      <c r="H204">
        <f t="shared" si="17"/>
        <v>0</v>
      </c>
      <c r="I204">
        <f t="shared" si="18"/>
        <v>0</v>
      </c>
      <c r="J204">
        <f t="shared" si="19"/>
        <v>0</v>
      </c>
    </row>
    <row r="205" spans="1:10" x14ac:dyDescent="0.3">
      <c r="A205" s="1">
        <v>41701</v>
      </c>
      <c r="B205" s="1">
        <v>41722</v>
      </c>
      <c r="C205">
        <v>5.78</v>
      </c>
      <c r="D205">
        <v>0.15</v>
      </c>
      <c r="E205">
        <v>6</v>
      </c>
      <c r="F205">
        <f t="shared" si="15"/>
        <v>0</v>
      </c>
      <c r="G205">
        <f t="shared" si="16"/>
        <v>0</v>
      </c>
      <c r="H205">
        <f t="shared" si="17"/>
        <v>0</v>
      </c>
      <c r="I205">
        <f t="shared" si="18"/>
        <v>0</v>
      </c>
      <c r="J205">
        <f t="shared" si="19"/>
        <v>21</v>
      </c>
    </row>
    <row r="206" spans="1:10" x14ac:dyDescent="0.3">
      <c r="A206" s="1">
        <v>41701</v>
      </c>
      <c r="B206" s="1">
        <v>41719</v>
      </c>
      <c r="C206">
        <v>7.06</v>
      </c>
      <c r="D206">
        <v>0.19</v>
      </c>
      <c r="E206">
        <v>6</v>
      </c>
      <c r="F206">
        <f t="shared" si="15"/>
        <v>0</v>
      </c>
      <c r="G206">
        <f t="shared" si="16"/>
        <v>0</v>
      </c>
      <c r="H206">
        <f t="shared" si="17"/>
        <v>0</v>
      </c>
      <c r="I206">
        <f t="shared" si="18"/>
        <v>0</v>
      </c>
      <c r="J206">
        <f t="shared" si="19"/>
        <v>18</v>
      </c>
    </row>
    <row r="207" spans="1:10" x14ac:dyDescent="0.3">
      <c r="A207" s="1">
        <v>41701</v>
      </c>
      <c r="B207" s="1">
        <v>41712</v>
      </c>
      <c r="C207">
        <v>7.31</v>
      </c>
      <c r="D207">
        <v>0.19</v>
      </c>
      <c r="E207">
        <v>4</v>
      </c>
      <c r="F207">
        <f t="shared" si="15"/>
        <v>0</v>
      </c>
      <c r="G207">
        <f t="shared" si="16"/>
        <v>0</v>
      </c>
      <c r="H207">
        <f t="shared" si="17"/>
        <v>11</v>
      </c>
      <c r="I207">
        <f t="shared" si="18"/>
        <v>0</v>
      </c>
      <c r="J207">
        <f t="shared" si="19"/>
        <v>0</v>
      </c>
    </row>
    <row r="208" spans="1:10" x14ac:dyDescent="0.3">
      <c r="A208" s="1">
        <v>41701</v>
      </c>
      <c r="B208" s="1">
        <v>41711</v>
      </c>
      <c r="C208">
        <v>8.9499999999999993</v>
      </c>
      <c r="D208">
        <v>0.24</v>
      </c>
      <c r="E208">
        <v>4</v>
      </c>
      <c r="F208">
        <f t="shared" si="15"/>
        <v>0</v>
      </c>
      <c r="G208">
        <f t="shared" si="16"/>
        <v>0</v>
      </c>
      <c r="H208">
        <f t="shared" si="17"/>
        <v>10</v>
      </c>
      <c r="I208">
        <f t="shared" si="18"/>
        <v>0</v>
      </c>
      <c r="J208">
        <f t="shared" si="19"/>
        <v>0</v>
      </c>
    </row>
    <row r="209" spans="1:10" x14ac:dyDescent="0.3">
      <c r="A209" s="1">
        <v>41701</v>
      </c>
      <c r="B209" s="1">
        <v>41719</v>
      </c>
      <c r="C209">
        <v>2.0099999999999998</v>
      </c>
      <c r="D209">
        <v>0.05</v>
      </c>
      <c r="E209">
        <v>5</v>
      </c>
      <c r="F209">
        <f t="shared" si="15"/>
        <v>0</v>
      </c>
      <c r="G209">
        <f t="shared" si="16"/>
        <v>0</v>
      </c>
      <c r="H209">
        <f t="shared" si="17"/>
        <v>0</v>
      </c>
      <c r="I209">
        <f t="shared" si="18"/>
        <v>18</v>
      </c>
      <c r="J209">
        <f t="shared" si="19"/>
        <v>0</v>
      </c>
    </row>
    <row r="210" spans="1:10" x14ac:dyDescent="0.3">
      <c r="A210" s="1">
        <v>41701</v>
      </c>
      <c r="B210" s="1">
        <v>41705</v>
      </c>
      <c r="C210">
        <v>19.54</v>
      </c>
      <c r="D210">
        <v>0.51</v>
      </c>
      <c r="E210">
        <v>3</v>
      </c>
      <c r="F210">
        <f t="shared" si="15"/>
        <v>0</v>
      </c>
      <c r="G210">
        <f t="shared" si="16"/>
        <v>4</v>
      </c>
      <c r="H210">
        <f t="shared" si="17"/>
        <v>0</v>
      </c>
      <c r="I210">
        <f t="shared" si="18"/>
        <v>0</v>
      </c>
      <c r="J210">
        <f t="shared" si="19"/>
        <v>0</v>
      </c>
    </row>
    <row r="211" spans="1:10" x14ac:dyDescent="0.3">
      <c r="A211" s="1">
        <v>41701</v>
      </c>
      <c r="B211" s="1">
        <v>41718</v>
      </c>
      <c r="C211">
        <v>13.02</v>
      </c>
      <c r="D211">
        <v>0.34</v>
      </c>
      <c r="E211">
        <v>5</v>
      </c>
      <c r="F211">
        <f t="shared" si="15"/>
        <v>0</v>
      </c>
      <c r="G211">
        <f t="shared" si="16"/>
        <v>0</v>
      </c>
      <c r="H211">
        <f t="shared" si="17"/>
        <v>0</v>
      </c>
      <c r="I211">
        <f t="shared" si="18"/>
        <v>17</v>
      </c>
      <c r="J211">
        <f t="shared" si="19"/>
        <v>0</v>
      </c>
    </row>
    <row r="212" spans="1:10" x14ac:dyDescent="0.3">
      <c r="A212" s="1">
        <v>41701</v>
      </c>
      <c r="B212" s="1">
        <v>41720</v>
      </c>
      <c r="C212">
        <v>11.69</v>
      </c>
      <c r="D212">
        <v>0.31</v>
      </c>
      <c r="E212">
        <v>6</v>
      </c>
      <c r="F212">
        <f t="shared" si="15"/>
        <v>0</v>
      </c>
      <c r="G212">
        <f t="shared" si="16"/>
        <v>0</v>
      </c>
      <c r="H212">
        <f t="shared" si="17"/>
        <v>0</v>
      </c>
      <c r="I212">
        <f t="shared" si="18"/>
        <v>0</v>
      </c>
      <c r="J212">
        <f t="shared" si="19"/>
        <v>19</v>
      </c>
    </row>
    <row r="213" spans="1:10" x14ac:dyDescent="0.3">
      <c r="A213" s="1">
        <v>41701</v>
      </c>
      <c r="B213" s="1">
        <v>41729</v>
      </c>
      <c r="C213">
        <v>13.02</v>
      </c>
      <c r="D213">
        <v>0.34</v>
      </c>
      <c r="E213">
        <v>2</v>
      </c>
      <c r="F213">
        <f t="shared" si="15"/>
        <v>28</v>
      </c>
      <c r="G213">
        <f t="shared" si="16"/>
        <v>0</v>
      </c>
      <c r="H213">
        <f t="shared" si="17"/>
        <v>0</v>
      </c>
      <c r="I213">
        <f t="shared" si="18"/>
        <v>0</v>
      </c>
      <c r="J213">
        <f t="shared" si="19"/>
        <v>0</v>
      </c>
    </row>
    <row r="214" spans="1:10" x14ac:dyDescent="0.3">
      <c r="A214" s="1">
        <v>41701</v>
      </c>
      <c r="B214" s="1">
        <v>41713</v>
      </c>
      <c r="C214">
        <v>3.57</v>
      </c>
      <c r="D214">
        <v>0.09</v>
      </c>
      <c r="E214">
        <v>3</v>
      </c>
      <c r="F214">
        <f t="shared" si="15"/>
        <v>0</v>
      </c>
      <c r="G214">
        <f t="shared" si="16"/>
        <v>12</v>
      </c>
      <c r="H214">
        <f t="shared" si="17"/>
        <v>0</v>
      </c>
      <c r="I214">
        <f t="shared" si="18"/>
        <v>0</v>
      </c>
      <c r="J214">
        <f t="shared" si="19"/>
        <v>0</v>
      </c>
    </row>
    <row r="215" spans="1:10" x14ac:dyDescent="0.3">
      <c r="A215" s="1">
        <v>41701</v>
      </c>
      <c r="B215" s="1">
        <v>41708</v>
      </c>
      <c r="C215">
        <v>7.06</v>
      </c>
      <c r="D215">
        <v>0.19</v>
      </c>
      <c r="E215">
        <v>3</v>
      </c>
      <c r="F215">
        <f t="shared" si="15"/>
        <v>0</v>
      </c>
      <c r="G215">
        <f t="shared" si="16"/>
        <v>7</v>
      </c>
      <c r="H215">
        <f t="shared" si="17"/>
        <v>0</v>
      </c>
      <c r="I215">
        <f t="shared" si="18"/>
        <v>0</v>
      </c>
      <c r="J215">
        <f t="shared" si="19"/>
        <v>0</v>
      </c>
    </row>
    <row r="216" spans="1:10" x14ac:dyDescent="0.3">
      <c r="A216" s="1">
        <v>41704</v>
      </c>
      <c r="B216" s="1">
        <v>41717</v>
      </c>
      <c r="C216">
        <v>6.34</v>
      </c>
      <c r="D216">
        <v>0.17</v>
      </c>
      <c r="E216">
        <v>3</v>
      </c>
      <c r="F216">
        <f t="shared" si="15"/>
        <v>0</v>
      </c>
      <c r="G216">
        <f t="shared" si="16"/>
        <v>13</v>
      </c>
      <c r="H216">
        <f t="shared" si="17"/>
        <v>0</v>
      </c>
      <c r="I216">
        <f t="shared" si="18"/>
        <v>0</v>
      </c>
      <c r="J216">
        <f t="shared" si="19"/>
        <v>0</v>
      </c>
    </row>
    <row r="217" spans="1:10" x14ac:dyDescent="0.3">
      <c r="A217" s="1">
        <v>41704</v>
      </c>
      <c r="B217" s="1">
        <v>41718</v>
      </c>
      <c r="C217">
        <v>2.72</v>
      </c>
      <c r="D217">
        <v>7.0000000000000007E-2</v>
      </c>
      <c r="E217">
        <v>2</v>
      </c>
      <c r="F217">
        <f t="shared" si="15"/>
        <v>14</v>
      </c>
      <c r="G217">
        <f t="shared" si="16"/>
        <v>0</v>
      </c>
      <c r="H217">
        <f t="shared" si="17"/>
        <v>0</v>
      </c>
      <c r="I217">
        <f t="shared" si="18"/>
        <v>0</v>
      </c>
      <c r="J217">
        <f t="shared" si="19"/>
        <v>0</v>
      </c>
    </row>
    <row r="218" spans="1:10" x14ac:dyDescent="0.3">
      <c r="A218" s="1">
        <v>41705</v>
      </c>
      <c r="B218" s="1">
        <v>41710</v>
      </c>
      <c r="C218">
        <v>3.73</v>
      </c>
      <c r="D218">
        <v>0.1</v>
      </c>
      <c r="E218">
        <v>5</v>
      </c>
      <c r="F218">
        <f t="shared" si="15"/>
        <v>0</v>
      </c>
      <c r="G218">
        <f t="shared" si="16"/>
        <v>0</v>
      </c>
      <c r="H218">
        <f t="shared" si="17"/>
        <v>0</v>
      </c>
      <c r="I218">
        <f t="shared" si="18"/>
        <v>5</v>
      </c>
      <c r="J218">
        <f t="shared" si="19"/>
        <v>0</v>
      </c>
    </row>
    <row r="219" spans="1:10" x14ac:dyDescent="0.3">
      <c r="A219" s="1">
        <v>41707</v>
      </c>
      <c r="B219" s="1">
        <v>41719</v>
      </c>
      <c r="C219">
        <v>10.59</v>
      </c>
      <c r="D219">
        <v>0.28000000000000003</v>
      </c>
      <c r="E219">
        <v>6</v>
      </c>
      <c r="F219">
        <f t="shared" si="15"/>
        <v>0</v>
      </c>
      <c r="G219">
        <f t="shared" si="16"/>
        <v>0</v>
      </c>
      <c r="H219">
        <f t="shared" si="17"/>
        <v>0</v>
      </c>
      <c r="I219">
        <f t="shared" si="18"/>
        <v>0</v>
      </c>
      <c r="J219">
        <f t="shared" si="19"/>
        <v>12</v>
      </c>
    </row>
    <row r="220" spans="1:10" x14ac:dyDescent="0.3">
      <c r="A220" s="1">
        <v>41708</v>
      </c>
      <c r="B220" s="1">
        <v>41733</v>
      </c>
      <c r="C220">
        <v>3.73</v>
      </c>
      <c r="D220">
        <v>0.1</v>
      </c>
      <c r="E220">
        <v>5</v>
      </c>
      <c r="F220">
        <f t="shared" si="15"/>
        <v>0</v>
      </c>
      <c r="G220">
        <f t="shared" si="16"/>
        <v>0</v>
      </c>
      <c r="H220">
        <f t="shared" si="17"/>
        <v>0</v>
      </c>
      <c r="I220">
        <f t="shared" si="18"/>
        <v>25</v>
      </c>
      <c r="J220">
        <f t="shared" si="19"/>
        <v>0</v>
      </c>
    </row>
    <row r="221" spans="1:10" x14ac:dyDescent="0.3">
      <c r="A221" s="1">
        <v>41708</v>
      </c>
      <c r="B221" s="1">
        <v>41720</v>
      </c>
      <c r="C221">
        <v>5.78</v>
      </c>
      <c r="D221">
        <v>0.15</v>
      </c>
      <c r="E221">
        <v>2</v>
      </c>
      <c r="F221">
        <f t="shared" si="15"/>
        <v>12</v>
      </c>
      <c r="G221">
        <f t="shared" si="16"/>
        <v>0</v>
      </c>
      <c r="H221">
        <f t="shared" si="17"/>
        <v>0</v>
      </c>
      <c r="I221">
        <f t="shared" si="18"/>
        <v>0</v>
      </c>
      <c r="J221">
        <f t="shared" si="19"/>
        <v>0</v>
      </c>
    </row>
    <row r="222" spans="1:10" x14ac:dyDescent="0.3">
      <c r="A222" s="1">
        <v>41708</v>
      </c>
      <c r="B222" s="1">
        <v>41720</v>
      </c>
      <c r="C222">
        <v>10.79</v>
      </c>
      <c r="D222">
        <v>0.28000000000000003</v>
      </c>
      <c r="E222">
        <v>2</v>
      </c>
      <c r="F222">
        <f t="shared" si="15"/>
        <v>12</v>
      </c>
      <c r="G222">
        <f t="shared" si="16"/>
        <v>0</v>
      </c>
      <c r="H222">
        <f t="shared" si="17"/>
        <v>0</v>
      </c>
      <c r="I222">
        <f t="shared" si="18"/>
        <v>0</v>
      </c>
      <c r="J222">
        <f t="shared" si="19"/>
        <v>0</v>
      </c>
    </row>
    <row r="223" spans="1:10" x14ac:dyDescent="0.3">
      <c r="A223" s="1">
        <v>41708</v>
      </c>
      <c r="B223" s="1">
        <v>41726</v>
      </c>
      <c r="C223">
        <v>5.47</v>
      </c>
      <c r="D223">
        <v>0.14000000000000001</v>
      </c>
      <c r="E223">
        <v>4</v>
      </c>
      <c r="F223">
        <f t="shared" si="15"/>
        <v>0</v>
      </c>
      <c r="G223">
        <f t="shared" si="16"/>
        <v>0</v>
      </c>
      <c r="H223">
        <f t="shared" si="17"/>
        <v>18</v>
      </c>
      <c r="I223">
        <f t="shared" si="18"/>
        <v>0</v>
      </c>
      <c r="J223">
        <f t="shared" si="19"/>
        <v>0</v>
      </c>
    </row>
    <row r="224" spans="1:10" x14ac:dyDescent="0.3">
      <c r="A224" s="1">
        <v>41708</v>
      </c>
      <c r="B224" s="1">
        <v>41720</v>
      </c>
      <c r="C224">
        <v>5.57</v>
      </c>
      <c r="D224">
        <v>0.15</v>
      </c>
      <c r="E224">
        <v>2</v>
      </c>
      <c r="F224">
        <f t="shared" si="15"/>
        <v>12</v>
      </c>
      <c r="G224">
        <f t="shared" si="16"/>
        <v>0</v>
      </c>
      <c r="H224">
        <f t="shared" si="17"/>
        <v>0</v>
      </c>
      <c r="I224">
        <f t="shared" si="18"/>
        <v>0</v>
      </c>
      <c r="J224">
        <f t="shared" si="19"/>
        <v>0</v>
      </c>
    </row>
    <row r="225" spans="1:10" x14ac:dyDescent="0.3">
      <c r="A225" s="1">
        <v>41709</v>
      </c>
      <c r="B225" s="1">
        <v>41736</v>
      </c>
      <c r="C225">
        <v>4.66</v>
      </c>
      <c r="D225">
        <v>0.12</v>
      </c>
      <c r="E225">
        <v>5</v>
      </c>
      <c r="F225">
        <f t="shared" si="15"/>
        <v>0</v>
      </c>
      <c r="G225">
        <f t="shared" si="16"/>
        <v>0</v>
      </c>
      <c r="H225">
        <f t="shared" si="17"/>
        <v>0</v>
      </c>
      <c r="I225">
        <f t="shared" si="18"/>
        <v>27</v>
      </c>
      <c r="J225">
        <f t="shared" si="19"/>
        <v>0</v>
      </c>
    </row>
    <row r="226" spans="1:10" x14ac:dyDescent="0.3">
      <c r="A226" s="1">
        <v>41709</v>
      </c>
      <c r="B226" s="1">
        <v>41731</v>
      </c>
      <c r="C226">
        <v>8.9499999999999993</v>
      </c>
      <c r="D226">
        <v>0.24</v>
      </c>
      <c r="E226">
        <v>4</v>
      </c>
      <c r="F226">
        <f t="shared" si="15"/>
        <v>0</v>
      </c>
      <c r="G226">
        <f t="shared" si="16"/>
        <v>0</v>
      </c>
      <c r="H226">
        <f t="shared" si="17"/>
        <v>22</v>
      </c>
      <c r="I226">
        <f t="shared" si="18"/>
        <v>0</v>
      </c>
      <c r="J226">
        <f t="shared" si="19"/>
        <v>0</v>
      </c>
    </row>
    <row r="227" spans="1:10" x14ac:dyDescent="0.3">
      <c r="A227" s="1">
        <v>41710</v>
      </c>
      <c r="B227" s="1">
        <v>41719</v>
      </c>
      <c r="C227">
        <v>3.94</v>
      </c>
      <c r="D227">
        <v>0.1</v>
      </c>
      <c r="E227">
        <v>3</v>
      </c>
      <c r="F227">
        <f t="shared" si="15"/>
        <v>0</v>
      </c>
      <c r="G227">
        <f t="shared" si="16"/>
        <v>9</v>
      </c>
      <c r="H227">
        <f t="shared" si="17"/>
        <v>0</v>
      </c>
      <c r="I227">
        <f t="shared" si="18"/>
        <v>0</v>
      </c>
      <c r="J227">
        <f t="shared" si="19"/>
        <v>0</v>
      </c>
    </row>
    <row r="228" spans="1:10" x14ac:dyDescent="0.3">
      <c r="A228" s="1">
        <v>41713</v>
      </c>
      <c r="B228" s="1">
        <v>41724</v>
      </c>
      <c r="C228">
        <v>5.78</v>
      </c>
      <c r="D228">
        <v>0.15</v>
      </c>
      <c r="E228">
        <v>6</v>
      </c>
      <c r="F228">
        <f t="shared" si="15"/>
        <v>0</v>
      </c>
      <c r="G228">
        <f t="shared" si="16"/>
        <v>0</v>
      </c>
      <c r="H228">
        <f t="shared" si="17"/>
        <v>0</v>
      </c>
      <c r="I228">
        <f t="shared" si="18"/>
        <v>0</v>
      </c>
      <c r="J228">
        <f t="shared" si="19"/>
        <v>11</v>
      </c>
    </row>
    <row r="229" spans="1:10" x14ac:dyDescent="0.3">
      <c r="A229" s="1">
        <v>41713</v>
      </c>
      <c r="B229" s="1">
        <v>41735</v>
      </c>
      <c r="C229">
        <v>13.81</v>
      </c>
      <c r="D229">
        <v>0.36</v>
      </c>
      <c r="E229">
        <v>2</v>
      </c>
      <c r="F229">
        <f t="shared" si="15"/>
        <v>22</v>
      </c>
      <c r="G229">
        <f t="shared" si="16"/>
        <v>0</v>
      </c>
      <c r="H229">
        <f t="shared" si="17"/>
        <v>0</v>
      </c>
      <c r="I229">
        <f t="shared" si="18"/>
        <v>0</v>
      </c>
      <c r="J229">
        <f t="shared" si="19"/>
        <v>0</v>
      </c>
    </row>
    <row r="230" spans="1:10" x14ac:dyDescent="0.3">
      <c r="A230" s="1">
        <v>41713</v>
      </c>
      <c r="B230" s="1">
        <v>41739</v>
      </c>
      <c r="C230">
        <v>5.23</v>
      </c>
      <c r="D230">
        <v>0.14000000000000001</v>
      </c>
      <c r="E230">
        <v>6</v>
      </c>
      <c r="F230">
        <f t="shared" si="15"/>
        <v>0</v>
      </c>
      <c r="G230">
        <f t="shared" si="16"/>
        <v>0</v>
      </c>
      <c r="H230">
        <f t="shared" si="17"/>
        <v>0</v>
      </c>
      <c r="I230">
        <f t="shared" si="18"/>
        <v>0</v>
      </c>
      <c r="J230">
        <f t="shared" si="19"/>
        <v>26</v>
      </c>
    </row>
    <row r="231" spans="1:10" x14ac:dyDescent="0.3">
      <c r="A231" s="1">
        <v>41713</v>
      </c>
      <c r="B231" s="1">
        <v>41728</v>
      </c>
      <c r="C231">
        <v>10.93</v>
      </c>
      <c r="D231">
        <v>0.28999999999999998</v>
      </c>
      <c r="E231">
        <v>6</v>
      </c>
      <c r="F231">
        <f t="shared" si="15"/>
        <v>0</v>
      </c>
      <c r="G231">
        <f t="shared" si="16"/>
        <v>0</v>
      </c>
      <c r="H231">
        <f t="shared" si="17"/>
        <v>0</v>
      </c>
      <c r="I231">
        <f t="shared" si="18"/>
        <v>0</v>
      </c>
      <c r="J231">
        <f t="shared" si="19"/>
        <v>15</v>
      </c>
    </row>
    <row r="232" spans="1:10" x14ac:dyDescent="0.3">
      <c r="A232" s="1">
        <v>41713</v>
      </c>
      <c r="B232" s="1">
        <v>41731</v>
      </c>
      <c r="C232">
        <v>8.9499999999999993</v>
      </c>
      <c r="D232">
        <v>0.24</v>
      </c>
      <c r="E232">
        <v>4</v>
      </c>
      <c r="F232">
        <f t="shared" si="15"/>
        <v>0</v>
      </c>
      <c r="G232">
        <f t="shared" si="16"/>
        <v>0</v>
      </c>
      <c r="H232">
        <f t="shared" si="17"/>
        <v>18</v>
      </c>
      <c r="I232">
        <f t="shared" si="18"/>
        <v>0</v>
      </c>
      <c r="J232">
        <f t="shared" si="19"/>
        <v>0</v>
      </c>
    </row>
    <row r="233" spans="1:10" x14ac:dyDescent="0.3">
      <c r="A233" s="1">
        <v>41713</v>
      </c>
      <c r="B233" s="1">
        <v>41731</v>
      </c>
      <c r="C233">
        <v>16.829999999999998</v>
      </c>
      <c r="D233">
        <v>0.44</v>
      </c>
      <c r="E233">
        <v>3</v>
      </c>
      <c r="F233">
        <f t="shared" si="15"/>
        <v>0</v>
      </c>
      <c r="G233">
        <f t="shared" si="16"/>
        <v>18</v>
      </c>
      <c r="H233">
        <f t="shared" si="17"/>
        <v>0</v>
      </c>
      <c r="I233">
        <f t="shared" si="18"/>
        <v>0</v>
      </c>
      <c r="J233">
        <f t="shared" si="19"/>
        <v>0</v>
      </c>
    </row>
    <row r="234" spans="1:10" x14ac:dyDescent="0.3">
      <c r="A234" s="1">
        <v>41713</v>
      </c>
      <c r="B234" s="1">
        <v>41718</v>
      </c>
      <c r="C234">
        <v>14</v>
      </c>
      <c r="D234">
        <v>0.37</v>
      </c>
      <c r="E234">
        <v>2</v>
      </c>
      <c r="F234">
        <f t="shared" si="15"/>
        <v>5</v>
      </c>
      <c r="G234">
        <f t="shared" si="16"/>
        <v>0</v>
      </c>
      <c r="H234">
        <f t="shared" si="17"/>
        <v>0</v>
      </c>
      <c r="I234">
        <f t="shared" si="18"/>
        <v>0</v>
      </c>
      <c r="J234">
        <f t="shared" si="19"/>
        <v>0</v>
      </c>
    </row>
    <row r="235" spans="1:10" x14ac:dyDescent="0.3">
      <c r="A235" s="1">
        <v>41713</v>
      </c>
      <c r="B235" s="1">
        <v>41735</v>
      </c>
      <c r="C235">
        <v>5.23</v>
      </c>
      <c r="D235">
        <v>0.14000000000000001</v>
      </c>
      <c r="E235">
        <v>6</v>
      </c>
      <c r="F235">
        <f t="shared" si="15"/>
        <v>0</v>
      </c>
      <c r="G235">
        <f t="shared" si="16"/>
        <v>0</v>
      </c>
      <c r="H235">
        <f t="shared" si="17"/>
        <v>0</v>
      </c>
      <c r="I235">
        <f t="shared" si="18"/>
        <v>0</v>
      </c>
      <c r="J235">
        <f t="shared" si="19"/>
        <v>22</v>
      </c>
    </row>
    <row r="236" spans="1:10" x14ac:dyDescent="0.3">
      <c r="A236" s="1">
        <v>41713</v>
      </c>
      <c r="B236" s="1">
        <v>41724</v>
      </c>
      <c r="C236">
        <v>16.55</v>
      </c>
      <c r="D236">
        <v>0.44</v>
      </c>
      <c r="E236">
        <v>6</v>
      </c>
      <c r="F236">
        <f t="shared" si="15"/>
        <v>0</v>
      </c>
      <c r="G236">
        <f t="shared" si="16"/>
        <v>0</v>
      </c>
      <c r="H236">
        <f t="shared" si="17"/>
        <v>0</v>
      </c>
      <c r="I236">
        <f t="shared" si="18"/>
        <v>0</v>
      </c>
      <c r="J236">
        <f t="shared" si="19"/>
        <v>11</v>
      </c>
    </row>
    <row r="237" spans="1:10" x14ac:dyDescent="0.3">
      <c r="A237" s="1">
        <v>41713</v>
      </c>
      <c r="B237" s="1">
        <v>41724</v>
      </c>
      <c r="C237">
        <v>12.23</v>
      </c>
      <c r="D237">
        <v>0.32</v>
      </c>
      <c r="E237">
        <v>3</v>
      </c>
      <c r="F237">
        <f t="shared" si="15"/>
        <v>0</v>
      </c>
      <c r="G237">
        <f t="shared" si="16"/>
        <v>11</v>
      </c>
      <c r="H237">
        <f t="shared" si="17"/>
        <v>0</v>
      </c>
      <c r="I237">
        <f t="shared" si="18"/>
        <v>0</v>
      </c>
      <c r="J237">
        <f t="shared" si="19"/>
        <v>0</v>
      </c>
    </row>
    <row r="238" spans="1:10" x14ac:dyDescent="0.3">
      <c r="A238" s="1">
        <v>41713</v>
      </c>
      <c r="B238" s="1">
        <v>41720</v>
      </c>
      <c r="C238">
        <v>8.39</v>
      </c>
      <c r="D238">
        <v>0.22</v>
      </c>
      <c r="E238">
        <v>2</v>
      </c>
      <c r="F238">
        <f t="shared" si="15"/>
        <v>7</v>
      </c>
      <c r="G238">
        <f t="shared" si="16"/>
        <v>0</v>
      </c>
      <c r="H238">
        <f t="shared" si="17"/>
        <v>0</v>
      </c>
      <c r="I238">
        <f t="shared" si="18"/>
        <v>0</v>
      </c>
      <c r="J238">
        <f t="shared" si="19"/>
        <v>0</v>
      </c>
    </row>
    <row r="239" spans="1:10" x14ac:dyDescent="0.3">
      <c r="A239" s="1">
        <v>41713</v>
      </c>
      <c r="B239" s="1">
        <v>41721</v>
      </c>
      <c r="C239">
        <v>5.67</v>
      </c>
      <c r="D239">
        <v>0.15</v>
      </c>
      <c r="E239">
        <v>5</v>
      </c>
      <c r="F239">
        <f t="shared" si="15"/>
        <v>0</v>
      </c>
      <c r="G239">
        <f t="shared" si="16"/>
        <v>0</v>
      </c>
      <c r="H239">
        <f t="shared" si="17"/>
        <v>0</v>
      </c>
      <c r="I239">
        <f t="shared" si="18"/>
        <v>8</v>
      </c>
      <c r="J239">
        <f t="shared" si="19"/>
        <v>0</v>
      </c>
    </row>
    <row r="240" spans="1:10" x14ac:dyDescent="0.3">
      <c r="A240" s="1">
        <v>41713</v>
      </c>
      <c r="B240" s="1">
        <v>41719</v>
      </c>
      <c r="C240">
        <v>14.13</v>
      </c>
      <c r="D240">
        <v>0.37</v>
      </c>
      <c r="E240">
        <v>4</v>
      </c>
      <c r="F240">
        <f t="shared" si="15"/>
        <v>0</v>
      </c>
      <c r="G240">
        <f t="shared" si="16"/>
        <v>0</v>
      </c>
      <c r="H240">
        <f t="shared" si="17"/>
        <v>6</v>
      </c>
      <c r="I240">
        <f t="shared" si="18"/>
        <v>0</v>
      </c>
      <c r="J240">
        <f t="shared" si="19"/>
        <v>0</v>
      </c>
    </row>
    <row r="241" spans="1:10" x14ac:dyDescent="0.3">
      <c r="A241" s="1">
        <v>41713</v>
      </c>
      <c r="B241" s="1">
        <v>41723</v>
      </c>
      <c r="C241">
        <v>11.69</v>
      </c>
      <c r="D241">
        <v>0.31</v>
      </c>
      <c r="E241">
        <v>4</v>
      </c>
      <c r="F241">
        <f t="shared" si="15"/>
        <v>0</v>
      </c>
      <c r="G241">
        <f t="shared" si="16"/>
        <v>0</v>
      </c>
      <c r="H241">
        <f t="shared" si="17"/>
        <v>10</v>
      </c>
      <c r="I241">
        <f t="shared" si="18"/>
        <v>0</v>
      </c>
      <c r="J241">
        <f t="shared" si="19"/>
        <v>0</v>
      </c>
    </row>
    <row r="242" spans="1:10" x14ac:dyDescent="0.3">
      <c r="A242" s="1">
        <v>41713</v>
      </c>
      <c r="B242" s="1">
        <v>41728</v>
      </c>
      <c r="C242">
        <v>16.940000000000001</v>
      </c>
      <c r="D242">
        <v>0.45</v>
      </c>
      <c r="E242">
        <v>2</v>
      </c>
      <c r="F242">
        <f t="shared" si="15"/>
        <v>15</v>
      </c>
      <c r="G242">
        <f t="shared" si="16"/>
        <v>0</v>
      </c>
      <c r="H242">
        <f t="shared" si="17"/>
        <v>0</v>
      </c>
      <c r="I242">
        <f t="shared" si="18"/>
        <v>0</v>
      </c>
      <c r="J242">
        <f t="shared" si="19"/>
        <v>0</v>
      </c>
    </row>
    <row r="243" spans="1:10" x14ac:dyDescent="0.3">
      <c r="A243" s="1">
        <v>41713</v>
      </c>
      <c r="B243" s="1">
        <v>41733</v>
      </c>
      <c r="C243">
        <v>14</v>
      </c>
      <c r="D243">
        <v>0.37</v>
      </c>
      <c r="E243">
        <v>4</v>
      </c>
      <c r="F243">
        <f t="shared" si="15"/>
        <v>0</v>
      </c>
      <c r="G243">
        <f t="shared" si="16"/>
        <v>0</v>
      </c>
      <c r="H243">
        <f t="shared" si="17"/>
        <v>20</v>
      </c>
      <c r="I243">
        <f t="shared" si="18"/>
        <v>0</v>
      </c>
      <c r="J243">
        <f t="shared" si="19"/>
        <v>0</v>
      </c>
    </row>
    <row r="244" spans="1:10" x14ac:dyDescent="0.3">
      <c r="A244" s="1">
        <v>41715</v>
      </c>
      <c r="B244" s="1">
        <v>41743</v>
      </c>
      <c r="C244">
        <v>8.84</v>
      </c>
      <c r="D244">
        <v>0.23</v>
      </c>
      <c r="E244">
        <v>2</v>
      </c>
      <c r="F244">
        <f t="shared" si="15"/>
        <v>28</v>
      </c>
      <c r="G244">
        <f t="shared" si="16"/>
        <v>0</v>
      </c>
      <c r="H244">
        <f t="shared" si="17"/>
        <v>0</v>
      </c>
      <c r="I244">
        <f t="shared" si="18"/>
        <v>0</v>
      </c>
      <c r="J244">
        <f t="shared" si="19"/>
        <v>0</v>
      </c>
    </row>
    <row r="245" spans="1:10" x14ac:dyDescent="0.3">
      <c r="A245" s="1">
        <v>41715</v>
      </c>
      <c r="B245" s="1">
        <v>41734</v>
      </c>
      <c r="C245">
        <v>6.75</v>
      </c>
      <c r="D245">
        <v>0.18</v>
      </c>
      <c r="E245">
        <v>4</v>
      </c>
      <c r="F245">
        <f t="shared" si="15"/>
        <v>0</v>
      </c>
      <c r="G245">
        <f t="shared" si="16"/>
        <v>0</v>
      </c>
      <c r="H245">
        <f t="shared" si="17"/>
        <v>19</v>
      </c>
      <c r="I245">
        <f t="shared" si="18"/>
        <v>0</v>
      </c>
      <c r="J245">
        <f t="shared" si="19"/>
        <v>0</v>
      </c>
    </row>
    <row r="246" spans="1:10" x14ac:dyDescent="0.3">
      <c r="A246" s="1">
        <v>41715</v>
      </c>
      <c r="B246" s="1">
        <v>41728</v>
      </c>
      <c r="C246">
        <v>6.23</v>
      </c>
      <c r="D246">
        <v>0.16</v>
      </c>
      <c r="E246">
        <v>5</v>
      </c>
      <c r="F246">
        <f t="shared" si="15"/>
        <v>0</v>
      </c>
      <c r="G246">
        <f t="shared" si="16"/>
        <v>0</v>
      </c>
      <c r="H246">
        <f t="shared" si="17"/>
        <v>0</v>
      </c>
      <c r="I246">
        <f t="shared" si="18"/>
        <v>13</v>
      </c>
      <c r="J246">
        <f t="shared" si="19"/>
        <v>0</v>
      </c>
    </row>
    <row r="247" spans="1:10" x14ac:dyDescent="0.3">
      <c r="A247" s="1">
        <v>41715</v>
      </c>
      <c r="B247" s="1">
        <v>41741</v>
      </c>
      <c r="C247">
        <v>8.7200000000000006</v>
      </c>
      <c r="D247">
        <v>0.23</v>
      </c>
      <c r="E247">
        <v>6</v>
      </c>
      <c r="F247">
        <f t="shared" si="15"/>
        <v>0</v>
      </c>
      <c r="G247">
        <f t="shared" si="16"/>
        <v>0</v>
      </c>
      <c r="H247">
        <f t="shared" si="17"/>
        <v>0</v>
      </c>
      <c r="I247">
        <f t="shared" si="18"/>
        <v>0</v>
      </c>
      <c r="J247">
        <f t="shared" si="19"/>
        <v>26</v>
      </c>
    </row>
    <row r="248" spans="1:10" x14ac:dyDescent="0.3">
      <c r="A248" s="1">
        <v>41716</v>
      </c>
      <c r="B248" s="1">
        <v>41719</v>
      </c>
      <c r="C248">
        <v>6.34</v>
      </c>
      <c r="D248">
        <v>0.17</v>
      </c>
      <c r="E248">
        <v>5</v>
      </c>
      <c r="F248">
        <f t="shared" si="15"/>
        <v>0</v>
      </c>
      <c r="G248">
        <f t="shared" si="16"/>
        <v>0</v>
      </c>
      <c r="H248">
        <f t="shared" si="17"/>
        <v>0</v>
      </c>
      <c r="I248">
        <f t="shared" si="18"/>
        <v>3</v>
      </c>
      <c r="J248">
        <f t="shared" si="19"/>
        <v>0</v>
      </c>
    </row>
    <row r="249" spans="1:10" x14ac:dyDescent="0.3">
      <c r="A249" s="1">
        <v>41716</v>
      </c>
      <c r="B249" s="1">
        <v>41734</v>
      </c>
      <c r="C249">
        <v>2.29</v>
      </c>
      <c r="D249">
        <v>0.06</v>
      </c>
      <c r="E249">
        <v>4</v>
      </c>
      <c r="F249">
        <f t="shared" si="15"/>
        <v>0</v>
      </c>
      <c r="G249">
        <f t="shared" si="16"/>
        <v>0</v>
      </c>
      <c r="H249">
        <f t="shared" si="17"/>
        <v>18</v>
      </c>
      <c r="I249">
        <f t="shared" si="18"/>
        <v>0</v>
      </c>
      <c r="J249">
        <f t="shared" si="19"/>
        <v>0</v>
      </c>
    </row>
    <row r="250" spans="1:10" x14ac:dyDescent="0.3">
      <c r="A250" s="1">
        <v>41716</v>
      </c>
      <c r="B250" s="1">
        <v>41734</v>
      </c>
      <c r="C250">
        <v>4.25</v>
      </c>
      <c r="D250">
        <v>0.11</v>
      </c>
      <c r="E250">
        <v>4</v>
      </c>
      <c r="F250">
        <f t="shared" si="15"/>
        <v>0</v>
      </c>
      <c r="G250">
        <f t="shared" si="16"/>
        <v>0</v>
      </c>
      <c r="H250">
        <f t="shared" si="17"/>
        <v>18</v>
      </c>
      <c r="I250">
        <f t="shared" si="18"/>
        <v>0</v>
      </c>
      <c r="J250">
        <f t="shared" si="19"/>
        <v>0</v>
      </c>
    </row>
    <row r="251" spans="1:10" x14ac:dyDescent="0.3">
      <c r="A251" s="1">
        <v>41719</v>
      </c>
      <c r="B251" s="1">
        <v>41742</v>
      </c>
      <c r="C251">
        <v>16.55</v>
      </c>
      <c r="D251">
        <v>0.44</v>
      </c>
      <c r="E251">
        <v>5</v>
      </c>
      <c r="F251">
        <f t="shared" si="15"/>
        <v>0</v>
      </c>
      <c r="G251">
        <f t="shared" si="16"/>
        <v>0</v>
      </c>
      <c r="H251">
        <f t="shared" si="17"/>
        <v>0</v>
      </c>
      <c r="I251">
        <f t="shared" si="18"/>
        <v>23</v>
      </c>
      <c r="J251">
        <f t="shared" si="19"/>
        <v>0</v>
      </c>
    </row>
    <row r="252" spans="1:10" x14ac:dyDescent="0.3">
      <c r="A252" s="1">
        <v>41719</v>
      </c>
      <c r="B252" s="1">
        <v>41745</v>
      </c>
      <c r="C252">
        <v>7.55</v>
      </c>
      <c r="D252">
        <v>0.2</v>
      </c>
      <c r="E252">
        <v>3</v>
      </c>
      <c r="F252">
        <f t="shared" si="15"/>
        <v>0</v>
      </c>
      <c r="G252">
        <f t="shared" si="16"/>
        <v>26</v>
      </c>
      <c r="H252">
        <f t="shared" si="17"/>
        <v>0</v>
      </c>
      <c r="I252">
        <f t="shared" si="18"/>
        <v>0</v>
      </c>
      <c r="J252">
        <f t="shared" si="19"/>
        <v>0</v>
      </c>
    </row>
    <row r="253" spans="1:10" x14ac:dyDescent="0.3">
      <c r="A253" s="1">
        <v>41719</v>
      </c>
      <c r="B253" s="1">
        <v>41731</v>
      </c>
      <c r="C253">
        <v>16.55</v>
      </c>
      <c r="D253">
        <v>0.44</v>
      </c>
      <c r="E253">
        <v>5</v>
      </c>
      <c r="F253">
        <f t="shared" si="15"/>
        <v>0</v>
      </c>
      <c r="G253">
        <f t="shared" si="16"/>
        <v>0</v>
      </c>
      <c r="H253">
        <f t="shared" si="17"/>
        <v>0</v>
      </c>
      <c r="I253">
        <f t="shared" si="18"/>
        <v>12</v>
      </c>
      <c r="J253">
        <f t="shared" si="19"/>
        <v>0</v>
      </c>
    </row>
    <row r="254" spans="1:10" x14ac:dyDescent="0.3">
      <c r="A254" s="1">
        <v>41719</v>
      </c>
      <c r="B254" s="1">
        <v>41739</v>
      </c>
      <c r="C254">
        <v>3.79</v>
      </c>
      <c r="D254">
        <v>0.1</v>
      </c>
      <c r="E254">
        <v>3</v>
      </c>
      <c r="F254">
        <f t="shared" si="15"/>
        <v>0</v>
      </c>
      <c r="G254">
        <f t="shared" si="16"/>
        <v>20</v>
      </c>
      <c r="H254">
        <f t="shared" si="17"/>
        <v>0</v>
      </c>
      <c r="I254">
        <f t="shared" si="18"/>
        <v>0</v>
      </c>
      <c r="J254">
        <f t="shared" si="19"/>
        <v>0</v>
      </c>
    </row>
    <row r="255" spans="1:10" x14ac:dyDescent="0.3">
      <c r="A255" s="1">
        <v>41719</v>
      </c>
      <c r="B255" s="1">
        <v>41725</v>
      </c>
      <c r="C255">
        <v>8.51</v>
      </c>
      <c r="D255">
        <v>0.22</v>
      </c>
      <c r="E255">
        <v>6</v>
      </c>
      <c r="F255">
        <f t="shared" si="15"/>
        <v>0</v>
      </c>
      <c r="G255">
        <f t="shared" si="16"/>
        <v>0</v>
      </c>
      <c r="H255">
        <f t="shared" si="17"/>
        <v>0</v>
      </c>
      <c r="I255">
        <f t="shared" si="18"/>
        <v>0</v>
      </c>
      <c r="J255">
        <f t="shared" si="19"/>
        <v>6</v>
      </c>
    </row>
    <row r="256" spans="1:10" x14ac:dyDescent="0.3">
      <c r="A256" s="1">
        <v>41719</v>
      </c>
      <c r="B256" s="1">
        <v>41724</v>
      </c>
      <c r="C256">
        <v>7.71</v>
      </c>
      <c r="D256">
        <v>0.2</v>
      </c>
      <c r="E256">
        <v>2</v>
      </c>
      <c r="F256">
        <f t="shared" si="15"/>
        <v>5</v>
      </c>
      <c r="G256">
        <f t="shared" si="16"/>
        <v>0</v>
      </c>
      <c r="H256">
        <f t="shared" si="17"/>
        <v>0</v>
      </c>
      <c r="I256">
        <f t="shared" si="18"/>
        <v>0</v>
      </c>
      <c r="J256">
        <f t="shared" si="19"/>
        <v>0</v>
      </c>
    </row>
    <row r="257" spans="1:10" x14ac:dyDescent="0.3">
      <c r="A257" s="1">
        <v>41725</v>
      </c>
      <c r="B257" s="1">
        <v>41742</v>
      </c>
      <c r="C257">
        <v>3.79</v>
      </c>
      <c r="D257">
        <v>0.1</v>
      </c>
      <c r="E257">
        <v>2</v>
      </c>
      <c r="F257">
        <f t="shared" si="15"/>
        <v>17</v>
      </c>
      <c r="G257">
        <f t="shared" si="16"/>
        <v>0</v>
      </c>
      <c r="H257">
        <f t="shared" si="17"/>
        <v>0</v>
      </c>
      <c r="I257">
        <f t="shared" si="18"/>
        <v>0</v>
      </c>
      <c r="J257">
        <f t="shared" si="19"/>
        <v>0</v>
      </c>
    </row>
    <row r="258" spans="1:10" x14ac:dyDescent="0.3">
      <c r="A258" s="1">
        <v>41725</v>
      </c>
      <c r="B258" s="1">
        <v>41747</v>
      </c>
      <c r="C258">
        <v>16.55</v>
      </c>
      <c r="D258">
        <v>0.44</v>
      </c>
      <c r="E258">
        <v>4</v>
      </c>
      <c r="F258">
        <f t="shared" si="15"/>
        <v>0</v>
      </c>
      <c r="G258">
        <f t="shared" si="16"/>
        <v>0</v>
      </c>
      <c r="H258">
        <f t="shared" si="17"/>
        <v>22</v>
      </c>
      <c r="I258">
        <f t="shared" si="18"/>
        <v>0</v>
      </c>
      <c r="J258">
        <f t="shared" si="19"/>
        <v>0</v>
      </c>
    </row>
    <row r="259" spans="1:10" x14ac:dyDescent="0.3">
      <c r="A259" s="1">
        <v>41725</v>
      </c>
      <c r="B259" s="1">
        <v>41728</v>
      </c>
      <c r="C259">
        <v>10.19</v>
      </c>
      <c r="D259">
        <v>0.27</v>
      </c>
      <c r="E259">
        <v>5</v>
      </c>
      <c r="F259">
        <f t="shared" ref="F259:F322" si="20">IF(EXACT(E259,2),B259-A259,0)</f>
        <v>0</v>
      </c>
      <c r="G259">
        <f t="shared" ref="G259:G322" si="21">IF(EXACT(E259,3),B259-A259,0)</f>
        <v>0</v>
      </c>
      <c r="H259">
        <f t="shared" ref="H259:H322" si="22">IF(EXACT(E259,4),B259-A259,0)</f>
        <v>0</v>
      </c>
      <c r="I259">
        <f t="shared" ref="I259:I322" si="23">IF(EXACT(E259,5),B259-A259,0)</f>
        <v>3</v>
      </c>
      <c r="J259">
        <f t="shared" ref="J259:J322" si="24">IF(EXACT(E259,6),B259-A259,0)</f>
        <v>0</v>
      </c>
    </row>
    <row r="260" spans="1:10" x14ac:dyDescent="0.3">
      <c r="A260" s="1">
        <v>41725</v>
      </c>
      <c r="B260" s="1">
        <v>41731</v>
      </c>
      <c r="C260">
        <v>8.39</v>
      </c>
      <c r="D260">
        <v>0.22</v>
      </c>
      <c r="E260">
        <v>5</v>
      </c>
      <c r="F260">
        <f t="shared" si="20"/>
        <v>0</v>
      </c>
      <c r="G260">
        <f t="shared" si="21"/>
        <v>0</v>
      </c>
      <c r="H260">
        <f t="shared" si="22"/>
        <v>0</v>
      </c>
      <c r="I260">
        <f t="shared" si="23"/>
        <v>6</v>
      </c>
      <c r="J260">
        <f t="shared" si="24"/>
        <v>0</v>
      </c>
    </row>
    <row r="261" spans="1:10" x14ac:dyDescent="0.3">
      <c r="A261" s="1">
        <v>41725</v>
      </c>
      <c r="B261" s="1">
        <v>41752</v>
      </c>
      <c r="C261">
        <v>8.89</v>
      </c>
      <c r="D261">
        <v>0.23</v>
      </c>
      <c r="E261">
        <v>2</v>
      </c>
      <c r="F261">
        <f t="shared" si="20"/>
        <v>27</v>
      </c>
      <c r="G261">
        <f t="shared" si="21"/>
        <v>0</v>
      </c>
      <c r="H261">
        <f t="shared" si="22"/>
        <v>0</v>
      </c>
      <c r="I261">
        <f t="shared" si="23"/>
        <v>0</v>
      </c>
      <c r="J261">
        <f t="shared" si="24"/>
        <v>0</v>
      </c>
    </row>
    <row r="262" spans="1:10" x14ac:dyDescent="0.3">
      <c r="A262" s="1">
        <v>41725</v>
      </c>
      <c r="B262" s="1">
        <v>41748</v>
      </c>
      <c r="C262">
        <v>7.35</v>
      </c>
      <c r="D262">
        <v>0.19</v>
      </c>
      <c r="E262">
        <v>2</v>
      </c>
      <c r="F262">
        <f t="shared" si="20"/>
        <v>23</v>
      </c>
      <c r="G262">
        <f t="shared" si="21"/>
        <v>0</v>
      </c>
      <c r="H262">
        <f t="shared" si="22"/>
        <v>0</v>
      </c>
      <c r="I262">
        <f t="shared" si="23"/>
        <v>0</v>
      </c>
      <c r="J262">
        <f t="shared" si="24"/>
        <v>0</v>
      </c>
    </row>
    <row r="263" spans="1:10" x14ac:dyDescent="0.3">
      <c r="A263" s="1">
        <v>41731</v>
      </c>
      <c r="B263" s="1">
        <v>41740</v>
      </c>
      <c r="C263">
        <v>6.88</v>
      </c>
      <c r="D263">
        <v>0.18</v>
      </c>
      <c r="E263">
        <v>4</v>
      </c>
      <c r="F263">
        <f t="shared" si="20"/>
        <v>0</v>
      </c>
      <c r="G263">
        <f t="shared" si="21"/>
        <v>0</v>
      </c>
      <c r="H263">
        <f t="shared" si="22"/>
        <v>9</v>
      </c>
      <c r="I263">
        <f t="shared" si="23"/>
        <v>0</v>
      </c>
      <c r="J263">
        <f t="shared" si="24"/>
        <v>0</v>
      </c>
    </row>
    <row r="264" spans="1:10" x14ac:dyDescent="0.3">
      <c r="A264" s="1">
        <v>41731</v>
      </c>
      <c r="B264" s="1">
        <v>41740</v>
      </c>
      <c r="C264">
        <v>13.02</v>
      </c>
      <c r="D264">
        <v>0.34</v>
      </c>
      <c r="E264">
        <v>3</v>
      </c>
      <c r="F264">
        <f t="shared" si="20"/>
        <v>0</v>
      </c>
      <c r="G264">
        <f t="shared" si="21"/>
        <v>9</v>
      </c>
      <c r="H264">
        <f t="shared" si="22"/>
        <v>0</v>
      </c>
      <c r="I264">
        <f t="shared" si="23"/>
        <v>0</v>
      </c>
      <c r="J264">
        <f t="shared" si="24"/>
        <v>0</v>
      </c>
    </row>
    <row r="265" spans="1:10" x14ac:dyDescent="0.3">
      <c r="A265" s="1">
        <v>41731</v>
      </c>
      <c r="B265" s="1">
        <v>41750</v>
      </c>
      <c r="C265">
        <v>10.59</v>
      </c>
      <c r="D265">
        <v>0.28000000000000003</v>
      </c>
      <c r="E265">
        <v>3</v>
      </c>
      <c r="F265">
        <f t="shared" si="20"/>
        <v>0</v>
      </c>
      <c r="G265">
        <f t="shared" si="21"/>
        <v>19</v>
      </c>
      <c r="H265">
        <f t="shared" si="22"/>
        <v>0</v>
      </c>
      <c r="I265">
        <f t="shared" si="23"/>
        <v>0</v>
      </c>
      <c r="J265">
        <f t="shared" si="24"/>
        <v>0</v>
      </c>
    </row>
    <row r="266" spans="1:10" x14ac:dyDescent="0.3">
      <c r="A266" s="1">
        <v>41731</v>
      </c>
      <c r="B266" s="1">
        <v>41751</v>
      </c>
      <c r="C266">
        <v>16.940000000000001</v>
      </c>
      <c r="D266">
        <v>0.45</v>
      </c>
      <c r="E266">
        <v>4</v>
      </c>
      <c r="F266">
        <f t="shared" si="20"/>
        <v>0</v>
      </c>
      <c r="G266">
        <f t="shared" si="21"/>
        <v>0</v>
      </c>
      <c r="H266">
        <f t="shared" si="22"/>
        <v>20</v>
      </c>
      <c r="I266">
        <f t="shared" si="23"/>
        <v>0</v>
      </c>
      <c r="J266">
        <f t="shared" si="24"/>
        <v>0</v>
      </c>
    </row>
    <row r="267" spans="1:10" x14ac:dyDescent="0.3">
      <c r="A267" s="1">
        <v>41731</v>
      </c>
      <c r="B267" s="1">
        <v>41748</v>
      </c>
      <c r="C267">
        <v>11.44</v>
      </c>
      <c r="D267">
        <v>0.3</v>
      </c>
      <c r="E267">
        <v>4</v>
      </c>
      <c r="F267">
        <f t="shared" si="20"/>
        <v>0</v>
      </c>
      <c r="G267">
        <f t="shared" si="21"/>
        <v>0</v>
      </c>
      <c r="H267">
        <f t="shared" si="22"/>
        <v>17</v>
      </c>
      <c r="I267">
        <f t="shared" si="23"/>
        <v>0</v>
      </c>
      <c r="J267">
        <f t="shared" si="24"/>
        <v>0</v>
      </c>
    </row>
    <row r="268" spans="1:10" x14ac:dyDescent="0.3">
      <c r="A268" s="1">
        <v>41731</v>
      </c>
      <c r="B268" s="1">
        <v>41733</v>
      </c>
      <c r="C268">
        <v>3.79</v>
      </c>
      <c r="D268">
        <v>0.1</v>
      </c>
      <c r="E268">
        <v>4</v>
      </c>
      <c r="F268">
        <f t="shared" si="20"/>
        <v>0</v>
      </c>
      <c r="G268">
        <f t="shared" si="21"/>
        <v>0</v>
      </c>
      <c r="H268">
        <f t="shared" si="22"/>
        <v>2</v>
      </c>
      <c r="I268">
        <f t="shared" si="23"/>
        <v>0</v>
      </c>
      <c r="J268">
        <f t="shared" si="24"/>
        <v>0</v>
      </c>
    </row>
    <row r="269" spans="1:10" x14ac:dyDescent="0.3">
      <c r="A269" s="1">
        <v>41732</v>
      </c>
      <c r="B269" s="1">
        <v>41758</v>
      </c>
      <c r="C269">
        <v>10.19</v>
      </c>
      <c r="D269">
        <v>0.27</v>
      </c>
      <c r="E269">
        <v>2</v>
      </c>
      <c r="F269">
        <f t="shared" si="20"/>
        <v>26</v>
      </c>
      <c r="G269">
        <f t="shared" si="21"/>
        <v>0</v>
      </c>
      <c r="H269">
        <f t="shared" si="22"/>
        <v>0</v>
      </c>
      <c r="I269">
        <f t="shared" si="23"/>
        <v>0</v>
      </c>
      <c r="J269">
        <f t="shared" si="24"/>
        <v>0</v>
      </c>
    </row>
    <row r="270" spans="1:10" x14ac:dyDescent="0.3">
      <c r="A270" s="1">
        <v>41737</v>
      </c>
      <c r="B270" s="1">
        <v>41747</v>
      </c>
      <c r="C270">
        <v>7.35</v>
      </c>
      <c r="D270">
        <v>0.19</v>
      </c>
      <c r="E270">
        <v>5</v>
      </c>
      <c r="F270">
        <f t="shared" si="20"/>
        <v>0</v>
      </c>
      <c r="G270">
        <f t="shared" si="21"/>
        <v>0</v>
      </c>
      <c r="H270">
        <f t="shared" si="22"/>
        <v>0</v>
      </c>
      <c r="I270">
        <f t="shared" si="23"/>
        <v>10</v>
      </c>
      <c r="J270">
        <f t="shared" si="24"/>
        <v>0</v>
      </c>
    </row>
    <row r="271" spans="1:10" x14ac:dyDescent="0.3">
      <c r="A271" s="1">
        <v>41737</v>
      </c>
      <c r="B271" s="1">
        <v>41752</v>
      </c>
      <c r="C271">
        <v>9.74</v>
      </c>
      <c r="D271">
        <v>0.26</v>
      </c>
      <c r="E271">
        <v>6</v>
      </c>
      <c r="F271">
        <f t="shared" si="20"/>
        <v>0</v>
      </c>
      <c r="G271">
        <f t="shared" si="21"/>
        <v>0</v>
      </c>
      <c r="H271">
        <f t="shared" si="22"/>
        <v>0</v>
      </c>
      <c r="I271">
        <f t="shared" si="23"/>
        <v>0</v>
      </c>
      <c r="J271">
        <f t="shared" si="24"/>
        <v>15</v>
      </c>
    </row>
    <row r="272" spans="1:10" x14ac:dyDescent="0.3">
      <c r="A272" s="1">
        <v>41737</v>
      </c>
      <c r="B272" s="1">
        <v>41758</v>
      </c>
      <c r="C272">
        <v>8.65</v>
      </c>
      <c r="D272">
        <v>0.23</v>
      </c>
      <c r="E272">
        <v>3</v>
      </c>
      <c r="F272">
        <f t="shared" si="20"/>
        <v>0</v>
      </c>
      <c r="G272">
        <f t="shared" si="21"/>
        <v>21</v>
      </c>
      <c r="H272">
        <f t="shared" si="22"/>
        <v>0</v>
      </c>
      <c r="I272">
        <f t="shared" si="23"/>
        <v>0</v>
      </c>
      <c r="J272">
        <f t="shared" si="24"/>
        <v>0</v>
      </c>
    </row>
    <row r="273" spans="1:10" x14ac:dyDescent="0.3">
      <c r="A273" s="1">
        <v>41737</v>
      </c>
      <c r="B273" s="1">
        <v>41759</v>
      </c>
      <c r="C273">
        <v>7.06</v>
      </c>
      <c r="D273">
        <v>0.19</v>
      </c>
      <c r="E273">
        <v>2</v>
      </c>
      <c r="F273">
        <f t="shared" si="20"/>
        <v>22</v>
      </c>
      <c r="G273">
        <f t="shared" si="21"/>
        <v>0</v>
      </c>
      <c r="H273">
        <f t="shared" si="22"/>
        <v>0</v>
      </c>
      <c r="I273">
        <f t="shared" si="23"/>
        <v>0</v>
      </c>
      <c r="J273">
        <f t="shared" si="24"/>
        <v>0</v>
      </c>
    </row>
    <row r="274" spans="1:10" x14ac:dyDescent="0.3">
      <c r="A274" s="1">
        <v>41737</v>
      </c>
      <c r="B274" s="1">
        <v>41762</v>
      </c>
      <c r="C274">
        <v>14</v>
      </c>
      <c r="D274">
        <v>0.37</v>
      </c>
      <c r="E274">
        <v>2</v>
      </c>
      <c r="F274">
        <f t="shared" si="20"/>
        <v>25</v>
      </c>
      <c r="G274">
        <f t="shared" si="21"/>
        <v>0</v>
      </c>
      <c r="H274">
        <f t="shared" si="22"/>
        <v>0</v>
      </c>
      <c r="I274">
        <f t="shared" si="23"/>
        <v>0</v>
      </c>
      <c r="J274">
        <f t="shared" si="24"/>
        <v>0</v>
      </c>
    </row>
    <row r="275" spans="1:10" x14ac:dyDescent="0.3">
      <c r="A275" s="1">
        <v>41737</v>
      </c>
      <c r="B275" s="1">
        <v>41764</v>
      </c>
      <c r="C275">
        <v>16.940000000000001</v>
      </c>
      <c r="D275">
        <v>0.45</v>
      </c>
      <c r="E275">
        <v>4</v>
      </c>
      <c r="F275">
        <f t="shared" si="20"/>
        <v>0</v>
      </c>
      <c r="G275">
        <f t="shared" si="21"/>
        <v>0</v>
      </c>
      <c r="H275">
        <f t="shared" si="22"/>
        <v>27</v>
      </c>
      <c r="I275">
        <f t="shared" si="23"/>
        <v>0</v>
      </c>
      <c r="J275">
        <f t="shared" si="24"/>
        <v>0</v>
      </c>
    </row>
    <row r="276" spans="1:10" x14ac:dyDescent="0.3">
      <c r="A276" s="1">
        <v>41743</v>
      </c>
      <c r="B276" s="1">
        <v>41759</v>
      </c>
      <c r="C276">
        <v>16.55</v>
      </c>
      <c r="D276">
        <v>0.44</v>
      </c>
      <c r="E276">
        <v>4</v>
      </c>
      <c r="F276">
        <f t="shared" si="20"/>
        <v>0</v>
      </c>
      <c r="G276">
        <f t="shared" si="21"/>
        <v>0</v>
      </c>
      <c r="H276">
        <f t="shared" si="22"/>
        <v>16</v>
      </c>
      <c r="I276">
        <f t="shared" si="23"/>
        <v>0</v>
      </c>
      <c r="J276">
        <f t="shared" si="24"/>
        <v>0</v>
      </c>
    </row>
    <row r="277" spans="1:10" x14ac:dyDescent="0.3">
      <c r="A277" s="1">
        <v>41743</v>
      </c>
      <c r="B277" s="1">
        <v>41766</v>
      </c>
      <c r="C277">
        <v>14.13</v>
      </c>
      <c r="D277">
        <v>0.37</v>
      </c>
      <c r="E277">
        <v>6</v>
      </c>
      <c r="F277">
        <f t="shared" si="20"/>
        <v>0</v>
      </c>
      <c r="G277">
        <f t="shared" si="21"/>
        <v>0</v>
      </c>
      <c r="H277">
        <f t="shared" si="22"/>
        <v>0</v>
      </c>
      <c r="I277">
        <f t="shared" si="23"/>
        <v>0</v>
      </c>
      <c r="J277">
        <f t="shared" si="24"/>
        <v>23</v>
      </c>
    </row>
    <row r="278" spans="1:10" x14ac:dyDescent="0.3">
      <c r="A278" s="1">
        <v>41743</v>
      </c>
      <c r="B278" s="1">
        <v>41761</v>
      </c>
      <c r="C278">
        <v>11.42</v>
      </c>
      <c r="D278">
        <v>0.3</v>
      </c>
      <c r="E278">
        <v>5</v>
      </c>
      <c r="F278">
        <f t="shared" si="20"/>
        <v>0</v>
      </c>
      <c r="G278">
        <f t="shared" si="21"/>
        <v>0</v>
      </c>
      <c r="H278">
        <f t="shared" si="22"/>
        <v>0</v>
      </c>
      <c r="I278">
        <f t="shared" si="23"/>
        <v>18</v>
      </c>
      <c r="J278">
        <f t="shared" si="24"/>
        <v>0</v>
      </c>
    </row>
    <row r="279" spans="1:10" x14ac:dyDescent="0.3">
      <c r="A279" s="1">
        <v>41743</v>
      </c>
      <c r="B279" s="1">
        <v>41762</v>
      </c>
      <c r="C279">
        <v>16.829999999999998</v>
      </c>
      <c r="D279">
        <v>0.44</v>
      </c>
      <c r="E279">
        <v>5</v>
      </c>
      <c r="F279">
        <f t="shared" si="20"/>
        <v>0</v>
      </c>
      <c r="G279">
        <f t="shared" si="21"/>
        <v>0</v>
      </c>
      <c r="H279">
        <f t="shared" si="22"/>
        <v>0</v>
      </c>
      <c r="I279">
        <f t="shared" si="23"/>
        <v>19</v>
      </c>
      <c r="J279">
        <f t="shared" si="24"/>
        <v>0</v>
      </c>
    </row>
    <row r="280" spans="1:10" x14ac:dyDescent="0.3">
      <c r="A280" s="1">
        <v>41743</v>
      </c>
      <c r="B280" s="1">
        <v>41768</v>
      </c>
      <c r="C280">
        <v>9.06</v>
      </c>
      <c r="D280">
        <v>0.24</v>
      </c>
      <c r="E280">
        <v>4</v>
      </c>
      <c r="F280">
        <f t="shared" si="20"/>
        <v>0</v>
      </c>
      <c r="G280">
        <f t="shared" si="21"/>
        <v>0</v>
      </c>
      <c r="H280">
        <f t="shared" si="22"/>
        <v>25</v>
      </c>
      <c r="I280">
        <f t="shared" si="23"/>
        <v>0</v>
      </c>
      <c r="J280">
        <f t="shared" si="24"/>
        <v>0</v>
      </c>
    </row>
    <row r="281" spans="1:10" x14ac:dyDescent="0.3">
      <c r="A281" s="1">
        <v>41743</v>
      </c>
      <c r="B281" s="1">
        <v>41755</v>
      </c>
      <c r="C281">
        <v>11.69</v>
      </c>
      <c r="D281">
        <v>0.31</v>
      </c>
      <c r="E281">
        <v>5</v>
      </c>
      <c r="F281">
        <f t="shared" si="20"/>
        <v>0</v>
      </c>
      <c r="G281">
        <f t="shared" si="21"/>
        <v>0</v>
      </c>
      <c r="H281">
        <f t="shared" si="22"/>
        <v>0</v>
      </c>
      <c r="I281">
        <f t="shared" si="23"/>
        <v>12</v>
      </c>
      <c r="J281">
        <f t="shared" si="24"/>
        <v>0</v>
      </c>
    </row>
    <row r="282" spans="1:10" x14ac:dyDescent="0.3">
      <c r="A282" s="1">
        <v>41747</v>
      </c>
      <c r="B282" s="1">
        <v>41772</v>
      </c>
      <c r="C282">
        <v>6.58</v>
      </c>
      <c r="D282">
        <v>0.17</v>
      </c>
      <c r="E282">
        <v>3</v>
      </c>
      <c r="F282">
        <f t="shared" si="20"/>
        <v>0</v>
      </c>
      <c r="G282">
        <f t="shared" si="21"/>
        <v>25</v>
      </c>
      <c r="H282">
        <f t="shared" si="22"/>
        <v>0</v>
      </c>
      <c r="I282">
        <f t="shared" si="23"/>
        <v>0</v>
      </c>
      <c r="J282">
        <f t="shared" si="24"/>
        <v>0</v>
      </c>
    </row>
    <row r="283" spans="1:10" x14ac:dyDescent="0.3">
      <c r="A283" s="1">
        <v>41749</v>
      </c>
      <c r="B283" s="1">
        <v>41755</v>
      </c>
      <c r="C283">
        <v>11.44</v>
      </c>
      <c r="D283">
        <v>0.3</v>
      </c>
      <c r="E283">
        <v>6</v>
      </c>
      <c r="F283">
        <f t="shared" si="20"/>
        <v>0</v>
      </c>
      <c r="G283">
        <f t="shared" si="21"/>
        <v>0</v>
      </c>
      <c r="H283">
        <f t="shared" si="22"/>
        <v>0</v>
      </c>
      <c r="I283">
        <f t="shared" si="23"/>
        <v>0</v>
      </c>
      <c r="J283">
        <f t="shared" si="24"/>
        <v>6</v>
      </c>
    </row>
    <row r="284" spans="1:10" x14ac:dyDescent="0.3">
      <c r="A284" s="1">
        <v>41749</v>
      </c>
      <c r="B284" s="1">
        <v>41763</v>
      </c>
      <c r="C284">
        <v>6.75</v>
      </c>
      <c r="D284">
        <v>0.18</v>
      </c>
      <c r="E284">
        <v>6</v>
      </c>
      <c r="F284">
        <f t="shared" si="20"/>
        <v>0</v>
      </c>
      <c r="G284">
        <f t="shared" si="21"/>
        <v>0</v>
      </c>
      <c r="H284">
        <f t="shared" si="22"/>
        <v>0</v>
      </c>
      <c r="I284">
        <f t="shared" si="23"/>
        <v>0</v>
      </c>
      <c r="J284">
        <f t="shared" si="24"/>
        <v>14</v>
      </c>
    </row>
    <row r="285" spans="1:10" x14ac:dyDescent="0.3">
      <c r="A285" s="1">
        <v>41752</v>
      </c>
      <c r="B285" s="1">
        <v>41771</v>
      </c>
      <c r="C285">
        <v>7.71</v>
      </c>
      <c r="D285">
        <v>0.2</v>
      </c>
      <c r="E285">
        <v>5</v>
      </c>
      <c r="F285">
        <f t="shared" si="20"/>
        <v>0</v>
      </c>
      <c r="G285">
        <f t="shared" si="21"/>
        <v>0</v>
      </c>
      <c r="H285">
        <f t="shared" si="22"/>
        <v>0</v>
      </c>
      <c r="I285">
        <f t="shared" si="23"/>
        <v>19</v>
      </c>
      <c r="J285">
        <f t="shared" si="24"/>
        <v>0</v>
      </c>
    </row>
    <row r="286" spans="1:10" x14ac:dyDescent="0.3">
      <c r="A286" s="1">
        <v>41752</v>
      </c>
      <c r="B286" s="1">
        <v>41754</v>
      </c>
      <c r="C286">
        <v>6.75</v>
      </c>
      <c r="D286">
        <v>0.18</v>
      </c>
      <c r="E286">
        <v>4</v>
      </c>
      <c r="F286">
        <f t="shared" si="20"/>
        <v>0</v>
      </c>
      <c r="G286">
        <f t="shared" si="21"/>
        <v>0</v>
      </c>
      <c r="H286">
        <f t="shared" si="22"/>
        <v>2</v>
      </c>
      <c r="I286">
        <f t="shared" si="23"/>
        <v>0</v>
      </c>
      <c r="J286">
        <f t="shared" si="24"/>
        <v>0</v>
      </c>
    </row>
    <row r="287" spans="1:10" x14ac:dyDescent="0.3">
      <c r="A287" s="1">
        <v>41753</v>
      </c>
      <c r="B287" s="1">
        <v>41758</v>
      </c>
      <c r="C287">
        <v>3.57</v>
      </c>
      <c r="D287">
        <v>0.09</v>
      </c>
      <c r="E287">
        <v>2</v>
      </c>
      <c r="F287">
        <f t="shared" si="20"/>
        <v>5</v>
      </c>
      <c r="G287">
        <f t="shared" si="21"/>
        <v>0</v>
      </c>
      <c r="H287">
        <f t="shared" si="22"/>
        <v>0</v>
      </c>
      <c r="I287">
        <f t="shared" si="23"/>
        <v>0</v>
      </c>
      <c r="J287">
        <f t="shared" si="24"/>
        <v>0</v>
      </c>
    </row>
    <row r="288" spans="1:10" x14ac:dyDescent="0.3">
      <c r="A288" s="1">
        <v>41755</v>
      </c>
      <c r="B288" s="1">
        <v>41782</v>
      </c>
      <c r="C288">
        <v>10.19</v>
      </c>
      <c r="D288">
        <v>0.27</v>
      </c>
      <c r="E288">
        <v>3</v>
      </c>
      <c r="F288">
        <f t="shared" si="20"/>
        <v>0</v>
      </c>
      <c r="G288">
        <f t="shared" si="21"/>
        <v>27</v>
      </c>
      <c r="H288">
        <f t="shared" si="22"/>
        <v>0</v>
      </c>
      <c r="I288">
        <f t="shared" si="23"/>
        <v>0</v>
      </c>
      <c r="J288">
        <f t="shared" si="24"/>
        <v>0</v>
      </c>
    </row>
    <row r="289" spans="1:10" x14ac:dyDescent="0.3">
      <c r="A289" s="1">
        <v>41755</v>
      </c>
      <c r="B289" s="1">
        <v>41779</v>
      </c>
      <c r="C289">
        <v>11.78</v>
      </c>
      <c r="D289">
        <v>0.31</v>
      </c>
      <c r="E289">
        <v>3</v>
      </c>
      <c r="F289">
        <f t="shared" si="20"/>
        <v>0</v>
      </c>
      <c r="G289">
        <f t="shared" si="21"/>
        <v>24</v>
      </c>
      <c r="H289">
        <f t="shared" si="22"/>
        <v>0</v>
      </c>
      <c r="I289">
        <f t="shared" si="23"/>
        <v>0</v>
      </c>
      <c r="J289">
        <f t="shared" si="24"/>
        <v>0</v>
      </c>
    </row>
    <row r="290" spans="1:10" x14ac:dyDescent="0.3">
      <c r="A290" s="1">
        <v>41755</v>
      </c>
      <c r="B290" s="1">
        <v>41771</v>
      </c>
      <c r="C290">
        <v>3.79</v>
      </c>
      <c r="D290">
        <v>0.1</v>
      </c>
      <c r="E290">
        <v>3</v>
      </c>
      <c r="F290">
        <f t="shared" si="20"/>
        <v>0</v>
      </c>
      <c r="G290">
        <f t="shared" si="21"/>
        <v>16</v>
      </c>
      <c r="H290">
        <f t="shared" si="22"/>
        <v>0</v>
      </c>
      <c r="I290">
        <f t="shared" si="23"/>
        <v>0</v>
      </c>
      <c r="J290">
        <f t="shared" si="24"/>
        <v>0</v>
      </c>
    </row>
    <row r="291" spans="1:10" x14ac:dyDescent="0.3">
      <c r="A291" s="1">
        <v>41755</v>
      </c>
      <c r="B291" s="1">
        <v>41761</v>
      </c>
      <c r="C291">
        <v>6.75</v>
      </c>
      <c r="D291">
        <v>0.18</v>
      </c>
      <c r="E291">
        <v>6</v>
      </c>
      <c r="F291">
        <f t="shared" si="20"/>
        <v>0</v>
      </c>
      <c r="G291">
        <f t="shared" si="21"/>
        <v>0</v>
      </c>
      <c r="H291">
        <f t="shared" si="22"/>
        <v>0</v>
      </c>
      <c r="I291">
        <f t="shared" si="23"/>
        <v>0</v>
      </c>
      <c r="J291">
        <f t="shared" si="24"/>
        <v>6</v>
      </c>
    </row>
    <row r="292" spans="1:10" x14ac:dyDescent="0.3">
      <c r="A292" s="1">
        <v>41755</v>
      </c>
      <c r="B292" s="1">
        <v>41767</v>
      </c>
      <c r="C292">
        <v>12.01</v>
      </c>
      <c r="D292">
        <v>0.32</v>
      </c>
      <c r="E292">
        <v>2</v>
      </c>
      <c r="F292">
        <f t="shared" si="20"/>
        <v>12</v>
      </c>
      <c r="G292">
        <f t="shared" si="21"/>
        <v>0</v>
      </c>
      <c r="H292">
        <f t="shared" si="22"/>
        <v>0</v>
      </c>
      <c r="I292">
        <f t="shared" si="23"/>
        <v>0</v>
      </c>
      <c r="J292">
        <f t="shared" si="24"/>
        <v>0</v>
      </c>
    </row>
    <row r="293" spans="1:10" x14ac:dyDescent="0.3">
      <c r="A293" s="1">
        <v>41755</v>
      </c>
      <c r="B293" s="1">
        <v>41764</v>
      </c>
      <c r="C293">
        <v>2.0099999999999998</v>
      </c>
      <c r="D293">
        <v>0.05</v>
      </c>
      <c r="E293">
        <v>2</v>
      </c>
      <c r="F293">
        <f t="shared" si="20"/>
        <v>9</v>
      </c>
      <c r="G293">
        <f t="shared" si="21"/>
        <v>0</v>
      </c>
      <c r="H293">
        <f t="shared" si="22"/>
        <v>0</v>
      </c>
      <c r="I293">
        <f t="shared" si="23"/>
        <v>0</v>
      </c>
      <c r="J293">
        <f t="shared" si="24"/>
        <v>0</v>
      </c>
    </row>
    <row r="294" spans="1:10" x14ac:dyDescent="0.3">
      <c r="A294" s="1">
        <v>41757</v>
      </c>
      <c r="B294" s="1">
        <v>41768</v>
      </c>
      <c r="C294">
        <v>9.06</v>
      </c>
      <c r="D294">
        <v>0.24</v>
      </c>
      <c r="E294">
        <v>5</v>
      </c>
      <c r="F294">
        <f t="shared" si="20"/>
        <v>0</v>
      </c>
      <c r="G294">
        <f t="shared" si="21"/>
        <v>0</v>
      </c>
      <c r="H294">
        <f t="shared" si="22"/>
        <v>0</v>
      </c>
      <c r="I294">
        <f t="shared" si="23"/>
        <v>11</v>
      </c>
      <c r="J294">
        <f t="shared" si="24"/>
        <v>0</v>
      </c>
    </row>
    <row r="295" spans="1:10" x14ac:dyDescent="0.3">
      <c r="A295" s="1">
        <v>41761</v>
      </c>
      <c r="B295" s="1">
        <v>41786</v>
      </c>
      <c r="C295">
        <v>13.81</v>
      </c>
      <c r="D295">
        <v>0.36</v>
      </c>
      <c r="E295">
        <v>3</v>
      </c>
      <c r="F295">
        <f t="shared" si="20"/>
        <v>0</v>
      </c>
      <c r="G295">
        <f t="shared" si="21"/>
        <v>25</v>
      </c>
      <c r="H295">
        <f t="shared" si="22"/>
        <v>0</v>
      </c>
      <c r="I295">
        <f t="shared" si="23"/>
        <v>0</v>
      </c>
      <c r="J295">
        <f t="shared" si="24"/>
        <v>0</v>
      </c>
    </row>
    <row r="296" spans="1:10" x14ac:dyDescent="0.3">
      <c r="A296" s="1">
        <v>41761</v>
      </c>
      <c r="B296" s="1">
        <v>41782</v>
      </c>
      <c r="C296">
        <v>5.47</v>
      </c>
      <c r="D296">
        <v>0.14000000000000001</v>
      </c>
      <c r="E296">
        <v>3</v>
      </c>
      <c r="F296">
        <f t="shared" si="20"/>
        <v>0</v>
      </c>
      <c r="G296">
        <f t="shared" si="21"/>
        <v>21</v>
      </c>
      <c r="H296">
        <f t="shared" si="22"/>
        <v>0</v>
      </c>
      <c r="I296">
        <f t="shared" si="23"/>
        <v>0</v>
      </c>
      <c r="J296">
        <f t="shared" si="24"/>
        <v>0</v>
      </c>
    </row>
    <row r="297" spans="1:10" x14ac:dyDescent="0.3">
      <c r="A297" s="1">
        <v>41761</v>
      </c>
      <c r="B297" s="1">
        <v>41777</v>
      </c>
      <c r="C297">
        <v>9.06</v>
      </c>
      <c r="D297">
        <v>0.24</v>
      </c>
      <c r="E297">
        <v>5</v>
      </c>
      <c r="F297">
        <f t="shared" si="20"/>
        <v>0</v>
      </c>
      <c r="G297">
        <f t="shared" si="21"/>
        <v>0</v>
      </c>
      <c r="H297">
        <f t="shared" si="22"/>
        <v>0</v>
      </c>
      <c r="I297">
        <f t="shared" si="23"/>
        <v>16</v>
      </c>
      <c r="J297">
        <f t="shared" si="24"/>
        <v>0</v>
      </c>
    </row>
    <row r="298" spans="1:10" x14ac:dyDescent="0.3">
      <c r="A298" s="1">
        <v>41764</v>
      </c>
      <c r="B298" s="1">
        <v>41780</v>
      </c>
      <c r="C298">
        <v>8.39</v>
      </c>
      <c r="D298">
        <v>0.22</v>
      </c>
      <c r="E298">
        <v>5</v>
      </c>
      <c r="F298">
        <f t="shared" si="20"/>
        <v>0</v>
      </c>
      <c r="G298">
        <f t="shared" si="21"/>
        <v>0</v>
      </c>
      <c r="H298">
        <f t="shared" si="22"/>
        <v>0</v>
      </c>
      <c r="I298">
        <f t="shared" si="23"/>
        <v>16</v>
      </c>
      <c r="J298">
        <f t="shared" si="24"/>
        <v>0</v>
      </c>
    </row>
    <row r="299" spans="1:10" x14ac:dyDescent="0.3">
      <c r="A299" s="1">
        <v>41764</v>
      </c>
      <c r="B299" s="1">
        <v>41776</v>
      </c>
      <c r="C299">
        <v>3.73</v>
      </c>
      <c r="D299">
        <v>0.1</v>
      </c>
      <c r="E299">
        <v>5</v>
      </c>
      <c r="F299">
        <f t="shared" si="20"/>
        <v>0</v>
      </c>
      <c r="G299">
        <f t="shared" si="21"/>
        <v>0</v>
      </c>
      <c r="H299">
        <f t="shared" si="22"/>
        <v>0</v>
      </c>
      <c r="I299">
        <f t="shared" si="23"/>
        <v>12</v>
      </c>
      <c r="J299">
        <f t="shared" si="24"/>
        <v>0</v>
      </c>
    </row>
    <row r="300" spans="1:10" x14ac:dyDescent="0.3">
      <c r="A300" s="1">
        <v>41765</v>
      </c>
      <c r="B300" s="1">
        <v>41773</v>
      </c>
      <c r="C300">
        <v>7.31</v>
      </c>
      <c r="D300">
        <v>0.19</v>
      </c>
      <c r="E300">
        <v>4</v>
      </c>
      <c r="F300">
        <f t="shared" si="20"/>
        <v>0</v>
      </c>
      <c r="G300">
        <f t="shared" si="21"/>
        <v>0</v>
      </c>
      <c r="H300">
        <f t="shared" si="22"/>
        <v>8</v>
      </c>
      <c r="I300">
        <f t="shared" si="23"/>
        <v>0</v>
      </c>
      <c r="J300">
        <f t="shared" si="24"/>
        <v>0</v>
      </c>
    </row>
    <row r="301" spans="1:10" x14ac:dyDescent="0.3">
      <c r="A301" s="1">
        <v>41767</v>
      </c>
      <c r="B301" s="1">
        <v>41780</v>
      </c>
      <c r="C301">
        <v>14.31</v>
      </c>
      <c r="D301">
        <v>0.38</v>
      </c>
      <c r="E301">
        <v>6</v>
      </c>
      <c r="F301">
        <f t="shared" si="20"/>
        <v>0</v>
      </c>
      <c r="G301">
        <f t="shared" si="21"/>
        <v>0</v>
      </c>
      <c r="H301">
        <f t="shared" si="22"/>
        <v>0</v>
      </c>
      <c r="I301">
        <f t="shared" si="23"/>
        <v>0</v>
      </c>
      <c r="J301">
        <f t="shared" si="24"/>
        <v>13</v>
      </c>
    </row>
    <row r="302" spans="1:10" x14ac:dyDescent="0.3">
      <c r="A302" s="1">
        <v>41767</v>
      </c>
      <c r="B302" s="1">
        <v>41794</v>
      </c>
      <c r="C302">
        <v>14.13</v>
      </c>
      <c r="D302">
        <v>0.37</v>
      </c>
      <c r="E302">
        <v>4</v>
      </c>
      <c r="F302">
        <f t="shared" si="20"/>
        <v>0</v>
      </c>
      <c r="G302">
        <f t="shared" si="21"/>
        <v>0</v>
      </c>
      <c r="H302">
        <f t="shared" si="22"/>
        <v>27</v>
      </c>
      <c r="I302">
        <f t="shared" si="23"/>
        <v>0</v>
      </c>
      <c r="J302">
        <f t="shared" si="24"/>
        <v>0</v>
      </c>
    </row>
    <row r="303" spans="1:10" x14ac:dyDescent="0.3">
      <c r="A303" s="1">
        <v>41767</v>
      </c>
      <c r="B303" s="1">
        <v>41777</v>
      </c>
      <c r="C303">
        <v>3.88</v>
      </c>
      <c r="D303">
        <v>0.1</v>
      </c>
      <c r="E303">
        <v>5</v>
      </c>
      <c r="F303">
        <f t="shared" si="20"/>
        <v>0</v>
      </c>
      <c r="G303">
        <f t="shared" si="21"/>
        <v>0</v>
      </c>
      <c r="H303">
        <f t="shared" si="22"/>
        <v>0</v>
      </c>
      <c r="I303">
        <f t="shared" si="23"/>
        <v>10</v>
      </c>
      <c r="J303">
        <f t="shared" si="24"/>
        <v>0</v>
      </c>
    </row>
    <row r="304" spans="1:10" x14ac:dyDescent="0.3">
      <c r="A304" s="1">
        <v>41767</v>
      </c>
      <c r="B304" s="1">
        <v>41769</v>
      </c>
      <c r="C304">
        <v>7.35</v>
      </c>
      <c r="D304">
        <v>0.19</v>
      </c>
      <c r="E304">
        <v>6</v>
      </c>
      <c r="F304">
        <f t="shared" si="20"/>
        <v>0</v>
      </c>
      <c r="G304">
        <f t="shared" si="21"/>
        <v>0</v>
      </c>
      <c r="H304">
        <f t="shared" si="22"/>
        <v>0</v>
      </c>
      <c r="I304">
        <f t="shared" si="23"/>
        <v>0</v>
      </c>
      <c r="J304">
        <f t="shared" si="24"/>
        <v>2</v>
      </c>
    </row>
    <row r="305" spans="1:10" x14ac:dyDescent="0.3">
      <c r="A305" s="1">
        <v>41767</v>
      </c>
      <c r="B305" s="1">
        <v>41776</v>
      </c>
      <c r="C305">
        <v>12.01</v>
      </c>
      <c r="D305">
        <v>0.32</v>
      </c>
      <c r="E305">
        <v>4</v>
      </c>
      <c r="F305">
        <f t="shared" si="20"/>
        <v>0</v>
      </c>
      <c r="G305">
        <f t="shared" si="21"/>
        <v>0</v>
      </c>
      <c r="H305">
        <f t="shared" si="22"/>
        <v>9</v>
      </c>
      <c r="I305">
        <f t="shared" si="23"/>
        <v>0</v>
      </c>
      <c r="J305">
        <f t="shared" si="24"/>
        <v>0</v>
      </c>
    </row>
    <row r="306" spans="1:10" x14ac:dyDescent="0.3">
      <c r="A306" s="1">
        <v>41767</v>
      </c>
      <c r="B306" s="1">
        <v>41775</v>
      </c>
      <c r="C306">
        <v>13.07</v>
      </c>
      <c r="D306">
        <v>0.34</v>
      </c>
      <c r="E306">
        <v>3</v>
      </c>
      <c r="F306">
        <f t="shared" si="20"/>
        <v>0</v>
      </c>
      <c r="G306">
        <f t="shared" si="21"/>
        <v>8</v>
      </c>
      <c r="H306">
        <f t="shared" si="22"/>
        <v>0</v>
      </c>
      <c r="I306">
        <f t="shared" si="23"/>
        <v>0</v>
      </c>
      <c r="J306">
        <f t="shared" si="24"/>
        <v>0</v>
      </c>
    </row>
    <row r="307" spans="1:10" x14ac:dyDescent="0.3">
      <c r="A307" s="1">
        <v>41773</v>
      </c>
      <c r="B307" s="1">
        <v>41789</v>
      </c>
      <c r="C307">
        <v>7.35</v>
      </c>
      <c r="D307">
        <v>0.19</v>
      </c>
      <c r="E307">
        <v>4</v>
      </c>
      <c r="F307">
        <f t="shared" si="20"/>
        <v>0</v>
      </c>
      <c r="G307">
        <f t="shared" si="21"/>
        <v>0</v>
      </c>
      <c r="H307">
        <f t="shared" si="22"/>
        <v>16</v>
      </c>
      <c r="I307">
        <f t="shared" si="23"/>
        <v>0</v>
      </c>
      <c r="J307">
        <f t="shared" si="24"/>
        <v>0</v>
      </c>
    </row>
    <row r="308" spans="1:10" x14ac:dyDescent="0.3">
      <c r="A308" s="1">
        <v>41773</v>
      </c>
      <c r="B308" s="1">
        <v>41776</v>
      </c>
      <c r="C308">
        <v>11.37</v>
      </c>
      <c r="D308">
        <v>0.3</v>
      </c>
      <c r="E308">
        <v>2</v>
      </c>
      <c r="F308">
        <f t="shared" si="20"/>
        <v>3</v>
      </c>
      <c r="G308">
        <f t="shared" si="21"/>
        <v>0</v>
      </c>
      <c r="H308">
        <f t="shared" si="22"/>
        <v>0</v>
      </c>
      <c r="I308">
        <f t="shared" si="23"/>
        <v>0</v>
      </c>
      <c r="J308">
        <f t="shared" si="24"/>
        <v>0</v>
      </c>
    </row>
    <row r="309" spans="1:10" x14ac:dyDescent="0.3">
      <c r="A309" s="1">
        <v>41773</v>
      </c>
      <c r="B309" s="1">
        <v>41778</v>
      </c>
      <c r="C309">
        <v>13.81</v>
      </c>
      <c r="D309">
        <v>0.36</v>
      </c>
      <c r="E309">
        <v>3</v>
      </c>
      <c r="F309">
        <f t="shared" si="20"/>
        <v>0</v>
      </c>
      <c r="G309">
        <f t="shared" si="21"/>
        <v>5</v>
      </c>
      <c r="H309">
        <f t="shared" si="22"/>
        <v>0</v>
      </c>
      <c r="I309">
        <f t="shared" si="23"/>
        <v>0</v>
      </c>
      <c r="J309">
        <f t="shared" si="24"/>
        <v>0</v>
      </c>
    </row>
    <row r="310" spans="1:10" x14ac:dyDescent="0.3">
      <c r="A310" s="1">
        <v>41773</v>
      </c>
      <c r="B310" s="1">
        <v>41780</v>
      </c>
      <c r="C310">
        <v>5.64</v>
      </c>
      <c r="D310">
        <v>0.15</v>
      </c>
      <c r="E310">
        <v>6</v>
      </c>
      <c r="F310">
        <f t="shared" si="20"/>
        <v>0</v>
      </c>
      <c r="G310">
        <f t="shared" si="21"/>
        <v>0</v>
      </c>
      <c r="H310">
        <f t="shared" si="22"/>
        <v>0</v>
      </c>
      <c r="I310">
        <f t="shared" si="23"/>
        <v>0</v>
      </c>
      <c r="J310">
        <f t="shared" si="24"/>
        <v>7</v>
      </c>
    </row>
    <row r="311" spans="1:10" x14ac:dyDescent="0.3">
      <c r="A311" s="1">
        <v>41773</v>
      </c>
      <c r="B311" s="1">
        <v>41782</v>
      </c>
      <c r="C311">
        <v>7.55</v>
      </c>
      <c r="D311">
        <v>0.2</v>
      </c>
      <c r="E311">
        <v>2</v>
      </c>
      <c r="F311">
        <f t="shared" si="20"/>
        <v>9</v>
      </c>
      <c r="G311">
        <f t="shared" si="21"/>
        <v>0</v>
      </c>
      <c r="H311">
        <f t="shared" si="22"/>
        <v>0</v>
      </c>
      <c r="I311">
        <f t="shared" si="23"/>
        <v>0</v>
      </c>
      <c r="J311">
        <f t="shared" si="24"/>
        <v>0</v>
      </c>
    </row>
    <row r="312" spans="1:10" x14ac:dyDescent="0.3">
      <c r="A312" s="1">
        <v>41773</v>
      </c>
      <c r="B312" s="1">
        <v>41787</v>
      </c>
      <c r="C312">
        <v>5.23</v>
      </c>
      <c r="D312">
        <v>0.14000000000000001</v>
      </c>
      <c r="E312">
        <v>3</v>
      </c>
      <c r="F312">
        <f t="shared" si="20"/>
        <v>0</v>
      </c>
      <c r="G312">
        <f t="shared" si="21"/>
        <v>14</v>
      </c>
      <c r="H312">
        <f t="shared" si="22"/>
        <v>0</v>
      </c>
      <c r="I312">
        <f t="shared" si="23"/>
        <v>0</v>
      </c>
      <c r="J312">
        <f t="shared" si="24"/>
        <v>0</v>
      </c>
    </row>
    <row r="313" spans="1:10" x14ac:dyDescent="0.3">
      <c r="A313" s="1">
        <v>41773</v>
      </c>
      <c r="B313" s="1">
        <v>41791</v>
      </c>
      <c r="C313">
        <v>7.55</v>
      </c>
      <c r="D313">
        <v>0.2</v>
      </c>
      <c r="E313">
        <v>2</v>
      </c>
      <c r="F313">
        <f t="shared" si="20"/>
        <v>18</v>
      </c>
      <c r="G313">
        <f t="shared" si="21"/>
        <v>0</v>
      </c>
      <c r="H313">
        <f t="shared" si="22"/>
        <v>0</v>
      </c>
      <c r="I313">
        <f t="shared" si="23"/>
        <v>0</v>
      </c>
      <c r="J313">
        <f t="shared" si="24"/>
        <v>0</v>
      </c>
    </row>
    <row r="314" spans="1:10" x14ac:dyDescent="0.3">
      <c r="A314" s="1">
        <v>41779</v>
      </c>
      <c r="B314" s="1">
        <v>41792</v>
      </c>
      <c r="C314">
        <v>8.89</v>
      </c>
      <c r="D314">
        <v>0.23</v>
      </c>
      <c r="E314">
        <v>3</v>
      </c>
      <c r="F314">
        <f t="shared" si="20"/>
        <v>0</v>
      </c>
      <c r="G314">
        <f t="shared" si="21"/>
        <v>13</v>
      </c>
      <c r="H314">
        <f t="shared" si="22"/>
        <v>0</v>
      </c>
      <c r="I314">
        <f t="shared" si="23"/>
        <v>0</v>
      </c>
      <c r="J314">
        <f t="shared" si="24"/>
        <v>0</v>
      </c>
    </row>
    <row r="315" spans="1:10" x14ac:dyDescent="0.3">
      <c r="A315" s="1">
        <v>41779</v>
      </c>
      <c r="B315" s="1">
        <v>41803</v>
      </c>
      <c r="C315">
        <v>8.65</v>
      </c>
      <c r="D315">
        <v>0.23</v>
      </c>
      <c r="E315">
        <v>3</v>
      </c>
      <c r="F315">
        <f t="shared" si="20"/>
        <v>0</v>
      </c>
      <c r="G315">
        <f t="shared" si="21"/>
        <v>24</v>
      </c>
      <c r="H315">
        <f t="shared" si="22"/>
        <v>0</v>
      </c>
      <c r="I315">
        <f t="shared" si="23"/>
        <v>0</v>
      </c>
      <c r="J315">
        <f t="shared" si="24"/>
        <v>0</v>
      </c>
    </row>
    <row r="316" spans="1:10" x14ac:dyDescent="0.3">
      <c r="A316" s="1">
        <v>41779</v>
      </c>
      <c r="B316" s="1">
        <v>41788</v>
      </c>
      <c r="C316">
        <v>7.3</v>
      </c>
      <c r="D316">
        <v>0.19</v>
      </c>
      <c r="E316">
        <v>6</v>
      </c>
      <c r="F316">
        <f t="shared" si="20"/>
        <v>0</v>
      </c>
      <c r="G316">
        <f t="shared" si="21"/>
        <v>0</v>
      </c>
      <c r="H316">
        <f t="shared" si="22"/>
        <v>0</v>
      </c>
      <c r="I316">
        <f t="shared" si="23"/>
        <v>0</v>
      </c>
      <c r="J316">
        <f t="shared" si="24"/>
        <v>9</v>
      </c>
    </row>
    <row r="317" spans="1:10" x14ac:dyDescent="0.3">
      <c r="A317" s="1">
        <v>41779</v>
      </c>
      <c r="B317" s="1">
        <v>41801</v>
      </c>
      <c r="C317">
        <v>10.59</v>
      </c>
      <c r="D317">
        <v>0.28000000000000003</v>
      </c>
      <c r="E317">
        <v>5</v>
      </c>
      <c r="F317">
        <f t="shared" si="20"/>
        <v>0</v>
      </c>
      <c r="G317">
        <f t="shared" si="21"/>
        <v>0</v>
      </c>
      <c r="H317">
        <f t="shared" si="22"/>
        <v>0</v>
      </c>
      <c r="I317">
        <f t="shared" si="23"/>
        <v>22</v>
      </c>
      <c r="J317">
        <f t="shared" si="24"/>
        <v>0</v>
      </c>
    </row>
    <row r="318" spans="1:10" x14ac:dyDescent="0.3">
      <c r="A318" s="1">
        <v>41779</v>
      </c>
      <c r="B318" s="1">
        <v>41789</v>
      </c>
      <c r="C318">
        <v>11.37</v>
      </c>
      <c r="D318">
        <v>0.3</v>
      </c>
      <c r="E318">
        <v>5</v>
      </c>
      <c r="F318">
        <f t="shared" si="20"/>
        <v>0</v>
      </c>
      <c r="G318">
        <f t="shared" si="21"/>
        <v>0</v>
      </c>
      <c r="H318">
        <f t="shared" si="22"/>
        <v>0</v>
      </c>
      <c r="I318">
        <f t="shared" si="23"/>
        <v>10</v>
      </c>
      <c r="J318">
        <f t="shared" si="24"/>
        <v>0</v>
      </c>
    </row>
    <row r="319" spans="1:10" x14ac:dyDescent="0.3">
      <c r="A319" s="1">
        <v>41779</v>
      </c>
      <c r="B319" s="1">
        <v>41793</v>
      </c>
      <c r="C319">
        <v>10.79</v>
      </c>
      <c r="D319">
        <v>0.28000000000000003</v>
      </c>
      <c r="E319">
        <v>4</v>
      </c>
      <c r="F319">
        <f t="shared" si="20"/>
        <v>0</v>
      </c>
      <c r="G319">
        <f t="shared" si="21"/>
        <v>0</v>
      </c>
      <c r="H319">
        <f t="shared" si="22"/>
        <v>14</v>
      </c>
      <c r="I319">
        <f t="shared" si="23"/>
        <v>0</v>
      </c>
      <c r="J319">
        <f t="shared" si="24"/>
        <v>0</v>
      </c>
    </row>
    <row r="320" spans="1:10" x14ac:dyDescent="0.3">
      <c r="A320" s="1">
        <v>41785</v>
      </c>
      <c r="B320" s="1">
        <v>41793</v>
      </c>
      <c r="C320">
        <v>11.44</v>
      </c>
      <c r="D320">
        <v>0.3</v>
      </c>
      <c r="E320">
        <v>4</v>
      </c>
      <c r="F320">
        <f t="shared" si="20"/>
        <v>0</v>
      </c>
      <c r="G320">
        <f t="shared" si="21"/>
        <v>0</v>
      </c>
      <c r="H320">
        <f t="shared" si="22"/>
        <v>8</v>
      </c>
      <c r="I320">
        <f t="shared" si="23"/>
        <v>0</v>
      </c>
      <c r="J320">
        <f t="shared" si="24"/>
        <v>0</v>
      </c>
    </row>
    <row r="321" spans="1:10" x14ac:dyDescent="0.3">
      <c r="A321" s="1">
        <v>41785</v>
      </c>
      <c r="B321" s="1">
        <v>41796</v>
      </c>
      <c r="C321">
        <v>13.07</v>
      </c>
      <c r="D321">
        <v>0.34</v>
      </c>
      <c r="E321">
        <v>2</v>
      </c>
      <c r="F321">
        <f t="shared" si="20"/>
        <v>11</v>
      </c>
      <c r="G321">
        <f t="shared" si="21"/>
        <v>0</v>
      </c>
      <c r="H321">
        <f t="shared" si="22"/>
        <v>0</v>
      </c>
      <c r="I321">
        <f t="shared" si="23"/>
        <v>0</v>
      </c>
      <c r="J321">
        <f t="shared" si="24"/>
        <v>0</v>
      </c>
    </row>
    <row r="322" spans="1:10" x14ac:dyDescent="0.3">
      <c r="A322" s="1">
        <v>41785</v>
      </c>
      <c r="B322" s="1">
        <v>41801</v>
      </c>
      <c r="C322">
        <v>5.57</v>
      </c>
      <c r="D322">
        <v>0.15</v>
      </c>
      <c r="E322">
        <v>6</v>
      </c>
      <c r="F322">
        <f t="shared" si="20"/>
        <v>0</v>
      </c>
      <c r="G322">
        <f t="shared" si="21"/>
        <v>0</v>
      </c>
      <c r="H322">
        <f t="shared" si="22"/>
        <v>0</v>
      </c>
      <c r="I322">
        <f t="shared" si="23"/>
        <v>0</v>
      </c>
      <c r="J322">
        <f t="shared" si="24"/>
        <v>16</v>
      </c>
    </row>
    <row r="323" spans="1:10" x14ac:dyDescent="0.3">
      <c r="A323" s="1">
        <v>41785</v>
      </c>
      <c r="B323" s="1">
        <v>41787</v>
      </c>
      <c r="C323">
        <v>11.78</v>
      </c>
      <c r="D323">
        <v>0.31</v>
      </c>
      <c r="E323">
        <v>5</v>
      </c>
      <c r="F323">
        <f t="shared" ref="F323:F386" si="25">IF(EXACT(E323,2),B323-A323,0)</f>
        <v>0</v>
      </c>
      <c r="G323">
        <f t="shared" ref="G323:G386" si="26">IF(EXACT(E323,3),B323-A323,0)</f>
        <v>0</v>
      </c>
      <c r="H323">
        <f t="shared" ref="H323:H386" si="27">IF(EXACT(E323,4),B323-A323,0)</f>
        <v>0</v>
      </c>
      <c r="I323">
        <f t="shared" ref="I323:I386" si="28">IF(EXACT(E323,5),B323-A323,0)</f>
        <v>2</v>
      </c>
      <c r="J323">
        <f t="shared" ref="J323:J386" si="29">IF(EXACT(E323,6),B323-A323,0)</f>
        <v>0</v>
      </c>
    </row>
    <row r="324" spans="1:10" x14ac:dyDescent="0.3">
      <c r="A324" s="1">
        <v>41785</v>
      </c>
      <c r="B324" s="1">
        <v>41788</v>
      </c>
      <c r="C324">
        <v>11.78</v>
      </c>
      <c r="D324">
        <v>0.31</v>
      </c>
      <c r="E324">
        <v>2</v>
      </c>
      <c r="F324">
        <f t="shared" si="25"/>
        <v>3</v>
      </c>
      <c r="G324">
        <f t="shared" si="26"/>
        <v>0</v>
      </c>
      <c r="H324">
        <f t="shared" si="27"/>
        <v>0</v>
      </c>
      <c r="I324">
        <f t="shared" si="28"/>
        <v>0</v>
      </c>
      <c r="J324">
        <f t="shared" si="29"/>
        <v>0</v>
      </c>
    </row>
    <row r="325" spans="1:10" x14ac:dyDescent="0.3">
      <c r="A325" s="1">
        <v>41785</v>
      </c>
      <c r="B325" s="1">
        <v>41802</v>
      </c>
      <c r="C325">
        <v>9.74</v>
      </c>
      <c r="D325">
        <v>0.26</v>
      </c>
      <c r="E325">
        <v>3</v>
      </c>
      <c r="F325">
        <f t="shared" si="25"/>
        <v>0</v>
      </c>
      <c r="G325">
        <f t="shared" si="26"/>
        <v>17</v>
      </c>
      <c r="H325">
        <f t="shared" si="27"/>
        <v>0</v>
      </c>
      <c r="I325">
        <f t="shared" si="28"/>
        <v>0</v>
      </c>
      <c r="J325">
        <f t="shared" si="29"/>
        <v>0</v>
      </c>
    </row>
    <row r="326" spans="1:10" x14ac:dyDescent="0.3">
      <c r="A326" s="1">
        <v>41791</v>
      </c>
      <c r="B326" s="1">
        <v>41818</v>
      </c>
      <c r="C326">
        <v>12.01</v>
      </c>
      <c r="D326">
        <v>0.32</v>
      </c>
      <c r="E326">
        <v>6</v>
      </c>
      <c r="F326">
        <f t="shared" si="25"/>
        <v>0</v>
      </c>
      <c r="G326">
        <f t="shared" si="26"/>
        <v>0</v>
      </c>
      <c r="H326">
        <f t="shared" si="27"/>
        <v>0</v>
      </c>
      <c r="I326">
        <f t="shared" si="28"/>
        <v>0</v>
      </c>
      <c r="J326">
        <f t="shared" si="29"/>
        <v>27</v>
      </c>
    </row>
    <row r="327" spans="1:10" x14ac:dyDescent="0.3">
      <c r="A327" s="1">
        <v>41791</v>
      </c>
      <c r="B327" s="1">
        <v>41798</v>
      </c>
      <c r="C327">
        <v>9.4600000000000009</v>
      </c>
      <c r="D327">
        <v>0.25</v>
      </c>
      <c r="E327">
        <v>3</v>
      </c>
      <c r="F327">
        <f t="shared" si="25"/>
        <v>0</v>
      </c>
      <c r="G327">
        <f t="shared" si="26"/>
        <v>7</v>
      </c>
      <c r="H327">
        <f t="shared" si="27"/>
        <v>0</v>
      </c>
      <c r="I327">
        <f t="shared" si="28"/>
        <v>0</v>
      </c>
      <c r="J327">
        <f t="shared" si="29"/>
        <v>0</v>
      </c>
    </row>
    <row r="328" spans="1:10" x14ac:dyDescent="0.3">
      <c r="A328" s="1">
        <v>41791</v>
      </c>
      <c r="B328" s="1">
        <v>41795</v>
      </c>
      <c r="C328">
        <v>11.37</v>
      </c>
      <c r="D328">
        <v>0.3</v>
      </c>
      <c r="E328">
        <v>6</v>
      </c>
      <c r="F328">
        <f t="shared" si="25"/>
        <v>0</v>
      </c>
      <c r="G328">
        <f t="shared" si="26"/>
        <v>0</v>
      </c>
      <c r="H328">
        <f t="shared" si="27"/>
        <v>0</v>
      </c>
      <c r="I328">
        <f t="shared" si="28"/>
        <v>0</v>
      </c>
      <c r="J328">
        <f t="shared" si="29"/>
        <v>4</v>
      </c>
    </row>
    <row r="329" spans="1:10" x14ac:dyDescent="0.3">
      <c r="A329" s="1">
        <v>41791</v>
      </c>
      <c r="B329" s="1">
        <v>41807</v>
      </c>
      <c r="C329">
        <v>5.78</v>
      </c>
      <c r="D329">
        <v>0.15</v>
      </c>
      <c r="E329">
        <v>3</v>
      </c>
      <c r="F329">
        <f t="shared" si="25"/>
        <v>0</v>
      </c>
      <c r="G329">
        <f t="shared" si="26"/>
        <v>16</v>
      </c>
      <c r="H329">
        <f t="shared" si="27"/>
        <v>0</v>
      </c>
      <c r="I329">
        <f t="shared" si="28"/>
        <v>0</v>
      </c>
      <c r="J329">
        <f t="shared" si="29"/>
        <v>0</v>
      </c>
    </row>
    <row r="330" spans="1:10" x14ac:dyDescent="0.3">
      <c r="A330" s="1">
        <v>41791</v>
      </c>
      <c r="B330" s="1">
        <v>41812</v>
      </c>
      <c r="C330">
        <v>12.01</v>
      </c>
      <c r="D330">
        <v>0.32</v>
      </c>
      <c r="E330">
        <v>5</v>
      </c>
      <c r="F330">
        <f t="shared" si="25"/>
        <v>0</v>
      </c>
      <c r="G330">
        <f t="shared" si="26"/>
        <v>0</v>
      </c>
      <c r="H330">
        <f t="shared" si="27"/>
        <v>0</v>
      </c>
      <c r="I330">
        <f t="shared" si="28"/>
        <v>21</v>
      </c>
      <c r="J330">
        <f t="shared" si="29"/>
        <v>0</v>
      </c>
    </row>
    <row r="331" spans="1:10" x14ac:dyDescent="0.3">
      <c r="A331" s="1">
        <v>41791</v>
      </c>
      <c r="B331" s="1">
        <v>41815</v>
      </c>
      <c r="C331">
        <v>7.55</v>
      </c>
      <c r="D331">
        <v>0.2</v>
      </c>
      <c r="E331">
        <v>5</v>
      </c>
      <c r="F331">
        <f t="shared" si="25"/>
        <v>0</v>
      </c>
      <c r="G331">
        <f t="shared" si="26"/>
        <v>0</v>
      </c>
      <c r="H331">
        <f t="shared" si="27"/>
        <v>0</v>
      </c>
      <c r="I331">
        <f t="shared" si="28"/>
        <v>24</v>
      </c>
      <c r="J331">
        <f t="shared" si="29"/>
        <v>0</v>
      </c>
    </row>
    <row r="332" spans="1:10" x14ac:dyDescent="0.3">
      <c r="A332" s="1">
        <v>41791</v>
      </c>
      <c r="B332" s="1">
        <v>41794</v>
      </c>
      <c r="C332">
        <v>9.74</v>
      </c>
      <c r="D332">
        <v>0.26</v>
      </c>
      <c r="E332">
        <v>3</v>
      </c>
      <c r="F332">
        <f t="shared" si="25"/>
        <v>0</v>
      </c>
      <c r="G332">
        <f t="shared" si="26"/>
        <v>3</v>
      </c>
      <c r="H332">
        <f t="shared" si="27"/>
        <v>0</v>
      </c>
      <c r="I332">
        <f t="shared" si="28"/>
        <v>0</v>
      </c>
      <c r="J332">
        <f t="shared" si="29"/>
        <v>0</v>
      </c>
    </row>
    <row r="333" spans="1:10" x14ac:dyDescent="0.3">
      <c r="A333" s="1">
        <v>41792</v>
      </c>
      <c r="B333" s="1">
        <v>41802</v>
      </c>
      <c r="C333">
        <v>2.72</v>
      </c>
      <c r="D333">
        <v>7.0000000000000007E-2</v>
      </c>
      <c r="E333">
        <v>2</v>
      </c>
      <c r="F333">
        <f t="shared" si="25"/>
        <v>10</v>
      </c>
      <c r="G333">
        <f t="shared" si="26"/>
        <v>0</v>
      </c>
      <c r="H333">
        <f t="shared" si="27"/>
        <v>0</v>
      </c>
      <c r="I333">
        <f t="shared" si="28"/>
        <v>0</v>
      </c>
      <c r="J333">
        <f t="shared" si="29"/>
        <v>0</v>
      </c>
    </row>
    <row r="334" spans="1:10" x14ac:dyDescent="0.3">
      <c r="A334" s="1">
        <v>41792</v>
      </c>
      <c r="B334" s="1">
        <v>41801</v>
      </c>
      <c r="C334">
        <v>3.57</v>
      </c>
      <c r="D334">
        <v>0.09</v>
      </c>
      <c r="E334">
        <v>3</v>
      </c>
      <c r="F334">
        <f t="shared" si="25"/>
        <v>0</v>
      </c>
      <c r="G334">
        <f t="shared" si="26"/>
        <v>9</v>
      </c>
      <c r="H334">
        <f t="shared" si="27"/>
        <v>0</v>
      </c>
      <c r="I334">
        <f t="shared" si="28"/>
        <v>0</v>
      </c>
      <c r="J334">
        <f t="shared" si="29"/>
        <v>0</v>
      </c>
    </row>
    <row r="335" spans="1:10" x14ac:dyDescent="0.3">
      <c r="A335" s="1">
        <v>41792</v>
      </c>
      <c r="B335" s="1">
        <v>41813</v>
      </c>
      <c r="C335">
        <v>7.55</v>
      </c>
      <c r="D335">
        <v>0.2</v>
      </c>
      <c r="E335">
        <v>6</v>
      </c>
      <c r="F335">
        <f t="shared" si="25"/>
        <v>0</v>
      </c>
      <c r="G335">
        <f t="shared" si="26"/>
        <v>0</v>
      </c>
      <c r="H335">
        <f t="shared" si="27"/>
        <v>0</v>
      </c>
      <c r="I335">
        <f t="shared" si="28"/>
        <v>0</v>
      </c>
      <c r="J335">
        <f t="shared" si="29"/>
        <v>21</v>
      </c>
    </row>
    <row r="336" spans="1:10" x14ac:dyDescent="0.3">
      <c r="A336" s="1">
        <v>41792</v>
      </c>
      <c r="B336" s="1">
        <v>41812</v>
      </c>
      <c r="C336">
        <v>3.57</v>
      </c>
      <c r="D336">
        <v>0.09</v>
      </c>
      <c r="E336">
        <v>2</v>
      </c>
      <c r="F336">
        <f t="shared" si="25"/>
        <v>20</v>
      </c>
      <c r="G336">
        <f t="shared" si="26"/>
        <v>0</v>
      </c>
      <c r="H336">
        <f t="shared" si="27"/>
        <v>0</v>
      </c>
      <c r="I336">
        <f t="shared" si="28"/>
        <v>0</v>
      </c>
      <c r="J336">
        <f t="shared" si="29"/>
        <v>0</v>
      </c>
    </row>
    <row r="337" spans="1:10" x14ac:dyDescent="0.3">
      <c r="A337" s="1">
        <v>41793</v>
      </c>
      <c r="B337" s="1">
        <v>41803</v>
      </c>
      <c r="C337">
        <v>2.29</v>
      </c>
      <c r="D337">
        <v>0.06</v>
      </c>
      <c r="E337">
        <v>5</v>
      </c>
      <c r="F337">
        <f t="shared" si="25"/>
        <v>0</v>
      </c>
      <c r="G337">
        <f t="shared" si="26"/>
        <v>0</v>
      </c>
      <c r="H337">
        <f t="shared" si="27"/>
        <v>0</v>
      </c>
      <c r="I337">
        <f t="shared" si="28"/>
        <v>10</v>
      </c>
      <c r="J337">
        <f t="shared" si="29"/>
        <v>0</v>
      </c>
    </row>
    <row r="338" spans="1:10" x14ac:dyDescent="0.3">
      <c r="A338" s="1">
        <v>41793</v>
      </c>
      <c r="B338" s="1">
        <v>41817</v>
      </c>
      <c r="C338">
        <v>9.06</v>
      </c>
      <c r="D338">
        <v>0.24</v>
      </c>
      <c r="E338">
        <v>4</v>
      </c>
      <c r="F338">
        <f t="shared" si="25"/>
        <v>0</v>
      </c>
      <c r="G338">
        <f t="shared" si="26"/>
        <v>0</v>
      </c>
      <c r="H338">
        <f t="shared" si="27"/>
        <v>24</v>
      </c>
      <c r="I338">
        <f t="shared" si="28"/>
        <v>0</v>
      </c>
      <c r="J338">
        <f t="shared" si="29"/>
        <v>0</v>
      </c>
    </row>
    <row r="339" spans="1:10" x14ac:dyDescent="0.3">
      <c r="A339" s="1">
        <v>41794</v>
      </c>
      <c r="B339" s="1">
        <v>41798</v>
      </c>
      <c r="C339">
        <v>4.25</v>
      </c>
      <c r="D339">
        <v>0.11</v>
      </c>
      <c r="E339">
        <v>2</v>
      </c>
      <c r="F339">
        <f t="shared" si="25"/>
        <v>4</v>
      </c>
      <c r="G339">
        <f t="shared" si="26"/>
        <v>0</v>
      </c>
      <c r="H339">
        <f t="shared" si="27"/>
        <v>0</v>
      </c>
      <c r="I339">
        <f t="shared" si="28"/>
        <v>0</v>
      </c>
      <c r="J339">
        <f t="shared" si="29"/>
        <v>0</v>
      </c>
    </row>
    <row r="340" spans="1:10" x14ac:dyDescent="0.3">
      <c r="A340" s="1">
        <v>41794</v>
      </c>
      <c r="B340" s="1">
        <v>41804</v>
      </c>
      <c r="C340">
        <v>7.31</v>
      </c>
      <c r="D340">
        <v>0.19</v>
      </c>
      <c r="E340">
        <v>6</v>
      </c>
      <c r="F340">
        <f t="shared" si="25"/>
        <v>0</v>
      </c>
      <c r="G340">
        <f t="shared" si="26"/>
        <v>0</v>
      </c>
      <c r="H340">
        <f t="shared" si="27"/>
        <v>0</v>
      </c>
      <c r="I340">
        <f t="shared" si="28"/>
        <v>0</v>
      </c>
      <c r="J340">
        <f t="shared" si="29"/>
        <v>10</v>
      </c>
    </row>
    <row r="341" spans="1:10" x14ac:dyDescent="0.3">
      <c r="A341" s="1">
        <v>41794</v>
      </c>
      <c r="B341" s="1">
        <v>41800</v>
      </c>
      <c r="C341">
        <v>9.06</v>
      </c>
      <c r="D341">
        <v>0.24</v>
      </c>
      <c r="E341">
        <v>2</v>
      </c>
      <c r="F341">
        <f t="shared" si="25"/>
        <v>6</v>
      </c>
      <c r="G341">
        <f t="shared" si="26"/>
        <v>0</v>
      </c>
      <c r="H341">
        <f t="shared" si="27"/>
        <v>0</v>
      </c>
      <c r="I341">
        <f t="shared" si="28"/>
        <v>0</v>
      </c>
      <c r="J341">
        <f t="shared" si="29"/>
        <v>0</v>
      </c>
    </row>
    <row r="342" spans="1:10" x14ac:dyDescent="0.3">
      <c r="A342" s="1">
        <v>41795</v>
      </c>
      <c r="B342" s="1">
        <v>41799</v>
      </c>
      <c r="C342">
        <v>6.43</v>
      </c>
      <c r="D342">
        <v>0.17</v>
      </c>
      <c r="E342">
        <v>3</v>
      </c>
      <c r="F342">
        <f t="shared" si="25"/>
        <v>0</v>
      </c>
      <c r="G342">
        <f t="shared" si="26"/>
        <v>4</v>
      </c>
      <c r="H342">
        <f t="shared" si="27"/>
        <v>0</v>
      </c>
      <c r="I342">
        <f t="shared" si="28"/>
        <v>0</v>
      </c>
      <c r="J342">
        <f t="shared" si="29"/>
        <v>0</v>
      </c>
    </row>
    <row r="343" spans="1:10" x14ac:dyDescent="0.3">
      <c r="A343" s="1">
        <v>41797</v>
      </c>
      <c r="B343" s="1">
        <v>41808</v>
      </c>
      <c r="C343">
        <v>2.0099999999999998</v>
      </c>
      <c r="D343">
        <v>0.05</v>
      </c>
      <c r="E343">
        <v>3</v>
      </c>
      <c r="F343">
        <f t="shared" si="25"/>
        <v>0</v>
      </c>
      <c r="G343">
        <f t="shared" si="26"/>
        <v>11</v>
      </c>
      <c r="H343">
        <f t="shared" si="27"/>
        <v>0</v>
      </c>
      <c r="I343">
        <f t="shared" si="28"/>
        <v>0</v>
      </c>
      <c r="J343">
        <f t="shared" si="29"/>
        <v>0</v>
      </c>
    </row>
    <row r="344" spans="1:10" x14ac:dyDescent="0.3">
      <c r="A344" s="1">
        <v>41797</v>
      </c>
      <c r="B344" s="1">
        <v>41802</v>
      </c>
      <c r="C344">
        <v>8.51</v>
      </c>
      <c r="D344">
        <v>0.22</v>
      </c>
      <c r="E344">
        <v>3</v>
      </c>
      <c r="F344">
        <f t="shared" si="25"/>
        <v>0</v>
      </c>
      <c r="G344">
        <f t="shared" si="26"/>
        <v>5</v>
      </c>
      <c r="H344">
        <f t="shared" si="27"/>
        <v>0</v>
      </c>
      <c r="I344">
        <f t="shared" si="28"/>
        <v>0</v>
      </c>
      <c r="J344">
        <f t="shared" si="29"/>
        <v>0</v>
      </c>
    </row>
    <row r="345" spans="1:10" x14ac:dyDescent="0.3">
      <c r="A345" s="1">
        <v>41797</v>
      </c>
      <c r="B345" s="1">
        <v>41817</v>
      </c>
      <c r="C345">
        <v>16.55</v>
      </c>
      <c r="D345">
        <v>0.44</v>
      </c>
      <c r="E345">
        <v>4</v>
      </c>
      <c r="F345">
        <f t="shared" si="25"/>
        <v>0</v>
      </c>
      <c r="G345">
        <f t="shared" si="26"/>
        <v>0</v>
      </c>
      <c r="H345">
        <f t="shared" si="27"/>
        <v>20</v>
      </c>
      <c r="I345">
        <f t="shared" si="28"/>
        <v>0</v>
      </c>
      <c r="J345">
        <f t="shared" si="29"/>
        <v>0</v>
      </c>
    </row>
    <row r="346" spans="1:10" x14ac:dyDescent="0.3">
      <c r="A346" s="1">
        <v>41797</v>
      </c>
      <c r="B346" s="1">
        <v>41804</v>
      </c>
      <c r="C346">
        <v>9.1300000000000008</v>
      </c>
      <c r="D346">
        <v>0.24</v>
      </c>
      <c r="E346">
        <v>3</v>
      </c>
      <c r="F346">
        <f t="shared" si="25"/>
        <v>0</v>
      </c>
      <c r="G346">
        <f t="shared" si="26"/>
        <v>7</v>
      </c>
      <c r="H346">
        <f t="shared" si="27"/>
        <v>0</v>
      </c>
      <c r="I346">
        <f t="shared" si="28"/>
        <v>0</v>
      </c>
      <c r="J346">
        <f t="shared" si="29"/>
        <v>0</v>
      </c>
    </row>
    <row r="347" spans="1:10" x14ac:dyDescent="0.3">
      <c r="A347" s="1">
        <v>41797</v>
      </c>
      <c r="B347" s="1">
        <v>41816</v>
      </c>
      <c r="C347">
        <v>10.199999999999999</v>
      </c>
      <c r="D347">
        <v>0.27</v>
      </c>
      <c r="E347">
        <v>5</v>
      </c>
      <c r="F347">
        <f t="shared" si="25"/>
        <v>0</v>
      </c>
      <c r="G347">
        <f t="shared" si="26"/>
        <v>0</v>
      </c>
      <c r="H347">
        <f t="shared" si="27"/>
        <v>0</v>
      </c>
      <c r="I347">
        <f t="shared" si="28"/>
        <v>19</v>
      </c>
      <c r="J347">
        <f t="shared" si="29"/>
        <v>0</v>
      </c>
    </row>
    <row r="348" spans="1:10" x14ac:dyDescent="0.3">
      <c r="A348" s="1">
        <v>41799</v>
      </c>
      <c r="B348" s="1">
        <v>41823</v>
      </c>
      <c r="C348">
        <v>6.23</v>
      </c>
      <c r="D348">
        <v>0.16</v>
      </c>
      <c r="E348">
        <v>2</v>
      </c>
      <c r="F348">
        <f t="shared" si="25"/>
        <v>24</v>
      </c>
      <c r="G348">
        <f t="shared" si="26"/>
        <v>0</v>
      </c>
      <c r="H348">
        <f t="shared" si="27"/>
        <v>0</v>
      </c>
      <c r="I348">
        <f t="shared" si="28"/>
        <v>0</v>
      </c>
      <c r="J348">
        <f t="shared" si="29"/>
        <v>0</v>
      </c>
    </row>
    <row r="349" spans="1:10" x14ac:dyDescent="0.3">
      <c r="A349" s="1">
        <v>41803</v>
      </c>
      <c r="B349" s="1">
        <v>41827</v>
      </c>
      <c r="C349">
        <v>8.51</v>
      </c>
      <c r="D349">
        <v>0.22</v>
      </c>
      <c r="E349">
        <v>3</v>
      </c>
      <c r="F349">
        <f t="shared" si="25"/>
        <v>0</v>
      </c>
      <c r="G349">
        <f t="shared" si="26"/>
        <v>24</v>
      </c>
      <c r="H349">
        <f t="shared" si="27"/>
        <v>0</v>
      </c>
      <c r="I349">
        <f t="shared" si="28"/>
        <v>0</v>
      </c>
      <c r="J349">
        <f t="shared" si="29"/>
        <v>0</v>
      </c>
    </row>
    <row r="350" spans="1:10" x14ac:dyDescent="0.3">
      <c r="A350" s="1">
        <v>41803</v>
      </c>
      <c r="B350" s="1">
        <v>41811</v>
      </c>
      <c r="C350">
        <v>13.82</v>
      </c>
      <c r="D350">
        <v>0.36</v>
      </c>
      <c r="E350">
        <v>4</v>
      </c>
      <c r="F350">
        <f t="shared" si="25"/>
        <v>0</v>
      </c>
      <c r="G350">
        <f t="shared" si="26"/>
        <v>0</v>
      </c>
      <c r="H350">
        <f t="shared" si="27"/>
        <v>8</v>
      </c>
      <c r="I350">
        <f t="shared" si="28"/>
        <v>0</v>
      </c>
      <c r="J350">
        <f t="shared" si="29"/>
        <v>0</v>
      </c>
    </row>
    <row r="351" spans="1:10" x14ac:dyDescent="0.3">
      <c r="A351" s="1">
        <v>41803</v>
      </c>
      <c r="B351" s="1">
        <v>41825</v>
      </c>
      <c r="C351">
        <v>6.34</v>
      </c>
      <c r="D351">
        <v>0.17</v>
      </c>
      <c r="E351">
        <v>6</v>
      </c>
      <c r="F351">
        <f t="shared" si="25"/>
        <v>0</v>
      </c>
      <c r="G351">
        <f t="shared" si="26"/>
        <v>0</v>
      </c>
      <c r="H351">
        <f t="shared" si="27"/>
        <v>0</v>
      </c>
      <c r="I351">
        <f t="shared" si="28"/>
        <v>0</v>
      </c>
      <c r="J351">
        <f t="shared" si="29"/>
        <v>22</v>
      </c>
    </row>
    <row r="352" spans="1:10" x14ac:dyDescent="0.3">
      <c r="A352" s="1">
        <v>41803</v>
      </c>
      <c r="B352" s="1">
        <v>41829</v>
      </c>
      <c r="C352">
        <v>10.19</v>
      </c>
      <c r="D352">
        <v>0.27</v>
      </c>
      <c r="E352">
        <v>6</v>
      </c>
      <c r="F352">
        <f t="shared" si="25"/>
        <v>0</v>
      </c>
      <c r="G352">
        <f t="shared" si="26"/>
        <v>0</v>
      </c>
      <c r="H352">
        <f t="shared" si="27"/>
        <v>0</v>
      </c>
      <c r="I352">
        <f t="shared" si="28"/>
        <v>0</v>
      </c>
      <c r="J352">
        <f t="shared" si="29"/>
        <v>26</v>
      </c>
    </row>
    <row r="353" spans="1:10" x14ac:dyDescent="0.3">
      <c r="A353" s="1">
        <v>41803</v>
      </c>
      <c r="B353" s="1">
        <v>41805</v>
      </c>
      <c r="C353">
        <v>14</v>
      </c>
      <c r="D353">
        <v>0.37</v>
      </c>
      <c r="E353">
        <v>3</v>
      </c>
      <c r="F353">
        <f t="shared" si="25"/>
        <v>0</v>
      </c>
      <c r="G353">
        <f t="shared" si="26"/>
        <v>2</v>
      </c>
      <c r="H353">
        <f t="shared" si="27"/>
        <v>0</v>
      </c>
      <c r="I353">
        <f t="shared" si="28"/>
        <v>0</v>
      </c>
      <c r="J353">
        <f t="shared" si="29"/>
        <v>0</v>
      </c>
    </row>
    <row r="354" spans="1:10" x14ac:dyDescent="0.3">
      <c r="A354" s="1">
        <v>41803</v>
      </c>
      <c r="B354" s="1">
        <v>41814</v>
      </c>
      <c r="C354">
        <v>14</v>
      </c>
      <c r="D354">
        <v>0.37</v>
      </c>
      <c r="E354">
        <v>4</v>
      </c>
      <c r="F354">
        <f t="shared" si="25"/>
        <v>0</v>
      </c>
      <c r="G354">
        <f t="shared" si="26"/>
        <v>0</v>
      </c>
      <c r="H354">
        <f t="shared" si="27"/>
        <v>11</v>
      </c>
      <c r="I354">
        <f t="shared" si="28"/>
        <v>0</v>
      </c>
      <c r="J354">
        <f t="shared" si="29"/>
        <v>0</v>
      </c>
    </row>
    <row r="355" spans="1:10" x14ac:dyDescent="0.3">
      <c r="A355" s="1">
        <v>41803</v>
      </c>
      <c r="B355" s="1">
        <v>41816</v>
      </c>
      <c r="C355">
        <v>10.19</v>
      </c>
      <c r="D355">
        <v>0.27</v>
      </c>
      <c r="E355">
        <v>2</v>
      </c>
      <c r="F355">
        <f t="shared" si="25"/>
        <v>13</v>
      </c>
      <c r="G355">
        <f t="shared" si="26"/>
        <v>0</v>
      </c>
      <c r="H355">
        <f t="shared" si="27"/>
        <v>0</v>
      </c>
      <c r="I355">
        <f t="shared" si="28"/>
        <v>0</v>
      </c>
      <c r="J355">
        <f t="shared" si="29"/>
        <v>0</v>
      </c>
    </row>
    <row r="356" spans="1:10" x14ac:dyDescent="0.3">
      <c r="A356" s="1">
        <v>41803</v>
      </c>
      <c r="B356" s="1">
        <v>41818</v>
      </c>
      <c r="C356">
        <v>8.89</v>
      </c>
      <c r="D356">
        <v>0.23</v>
      </c>
      <c r="E356">
        <v>5</v>
      </c>
      <c r="F356">
        <f t="shared" si="25"/>
        <v>0</v>
      </c>
      <c r="G356">
        <f t="shared" si="26"/>
        <v>0</v>
      </c>
      <c r="H356">
        <f t="shared" si="27"/>
        <v>0</v>
      </c>
      <c r="I356">
        <f t="shared" si="28"/>
        <v>15</v>
      </c>
      <c r="J356">
        <f t="shared" si="29"/>
        <v>0</v>
      </c>
    </row>
    <row r="357" spans="1:10" x14ac:dyDescent="0.3">
      <c r="A357" s="1">
        <v>41803</v>
      </c>
      <c r="B357" s="1">
        <v>41814</v>
      </c>
      <c r="C357">
        <v>11.44</v>
      </c>
      <c r="D357">
        <v>0.3</v>
      </c>
      <c r="E357">
        <v>6</v>
      </c>
      <c r="F357">
        <f t="shared" si="25"/>
        <v>0</v>
      </c>
      <c r="G357">
        <f t="shared" si="26"/>
        <v>0</v>
      </c>
      <c r="H357">
        <f t="shared" si="27"/>
        <v>0</v>
      </c>
      <c r="I357">
        <f t="shared" si="28"/>
        <v>0</v>
      </c>
      <c r="J357">
        <f t="shared" si="29"/>
        <v>11</v>
      </c>
    </row>
    <row r="358" spans="1:10" x14ac:dyDescent="0.3">
      <c r="A358" s="1">
        <v>41803</v>
      </c>
      <c r="B358" s="1">
        <v>41827</v>
      </c>
      <c r="C358">
        <v>10.93</v>
      </c>
      <c r="D358">
        <v>0.28999999999999998</v>
      </c>
      <c r="E358">
        <v>2</v>
      </c>
      <c r="F358">
        <f t="shared" si="25"/>
        <v>24</v>
      </c>
      <c r="G358">
        <f t="shared" si="26"/>
        <v>0</v>
      </c>
      <c r="H358">
        <f t="shared" si="27"/>
        <v>0</v>
      </c>
      <c r="I358">
        <f t="shared" si="28"/>
        <v>0</v>
      </c>
      <c r="J358">
        <f t="shared" si="29"/>
        <v>0</v>
      </c>
    </row>
    <row r="359" spans="1:10" x14ac:dyDescent="0.3">
      <c r="A359" s="1">
        <v>41803</v>
      </c>
      <c r="B359" s="1">
        <v>41822</v>
      </c>
      <c r="C359">
        <v>6.34</v>
      </c>
      <c r="D359">
        <v>0.17</v>
      </c>
      <c r="E359">
        <v>4</v>
      </c>
      <c r="F359">
        <f t="shared" si="25"/>
        <v>0</v>
      </c>
      <c r="G359">
        <f t="shared" si="26"/>
        <v>0</v>
      </c>
      <c r="H359">
        <f t="shared" si="27"/>
        <v>19</v>
      </c>
      <c r="I359">
        <f t="shared" si="28"/>
        <v>0</v>
      </c>
      <c r="J359">
        <f t="shared" si="29"/>
        <v>0</v>
      </c>
    </row>
    <row r="360" spans="1:10" x14ac:dyDescent="0.3">
      <c r="A360" s="1">
        <v>41803</v>
      </c>
      <c r="B360" s="1">
        <v>41813</v>
      </c>
      <c r="C360">
        <v>5.67</v>
      </c>
      <c r="D360">
        <v>0.15</v>
      </c>
      <c r="E360">
        <v>5</v>
      </c>
      <c r="F360">
        <f t="shared" si="25"/>
        <v>0</v>
      </c>
      <c r="G360">
        <f t="shared" si="26"/>
        <v>0</v>
      </c>
      <c r="H360">
        <f t="shared" si="27"/>
        <v>0</v>
      </c>
      <c r="I360">
        <f t="shared" si="28"/>
        <v>10</v>
      </c>
      <c r="J360">
        <f t="shared" si="29"/>
        <v>0</v>
      </c>
    </row>
    <row r="361" spans="1:10" x14ac:dyDescent="0.3">
      <c r="A361" s="1">
        <v>41803</v>
      </c>
      <c r="B361" s="1">
        <v>41821</v>
      </c>
      <c r="C361">
        <v>8.51</v>
      </c>
      <c r="D361">
        <v>0.22</v>
      </c>
      <c r="E361">
        <v>6</v>
      </c>
      <c r="F361">
        <f t="shared" si="25"/>
        <v>0</v>
      </c>
      <c r="G361">
        <f t="shared" si="26"/>
        <v>0</v>
      </c>
      <c r="H361">
        <f t="shared" si="27"/>
        <v>0</v>
      </c>
      <c r="I361">
        <f t="shared" si="28"/>
        <v>0</v>
      </c>
      <c r="J361">
        <f t="shared" si="29"/>
        <v>18</v>
      </c>
    </row>
    <row r="362" spans="1:10" x14ac:dyDescent="0.3">
      <c r="A362" s="1">
        <v>41803</v>
      </c>
      <c r="B362" s="1">
        <v>41817</v>
      </c>
      <c r="C362">
        <v>16.829999999999998</v>
      </c>
      <c r="D362">
        <v>0.44</v>
      </c>
      <c r="E362">
        <v>5</v>
      </c>
      <c r="F362">
        <f t="shared" si="25"/>
        <v>0</v>
      </c>
      <c r="G362">
        <f t="shared" si="26"/>
        <v>0</v>
      </c>
      <c r="H362">
        <f t="shared" si="27"/>
        <v>0</v>
      </c>
      <c r="I362">
        <f t="shared" si="28"/>
        <v>14</v>
      </c>
      <c r="J362">
        <f t="shared" si="29"/>
        <v>0</v>
      </c>
    </row>
    <row r="363" spans="1:10" x14ac:dyDescent="0.3">
      <c r="A363" s="1">
        <v>41803</v>
      </c>
      <c r="B363" s="1">
        <v>41814</v>
      </c>
      <c r="C363">
        <v>11.69</v>
      </c>
      <c r="D363">
        <v>0.31</v>
      </c>
      <c r="E363">
        <v>5</v>
      </c>
      <c r="F363">
        <f t="shared" si="25"/>
        <v>0</v>
      </c>
      <c r="G363">
        <f t="shared" si="26"/>
        <v>0</v>
      </c>
      <c r="H363">
        <f t="shared" si="27"/>
        <v>0</v>
      </c>
      <c r="I363">
        <f t="shared" si="28"/>
        <v>11</v>
      </c>
      <c r="J363">
        <f t="shared" si="29"/>
        <v>0</v>
      </c>
    </row>
    <row r="364" spans="1:10" x14ac:dyDescent="0.3">
      <c r="A364" s="1">
        <v>41806</v>
      </c>
      <c r="B364" s="1">
        <v>41808</v>
      </c>
      <c r="C364">
        <v>7.71</v>
      </c>
      <c r="D364">
        <v>0.2</v>
      </c>
      <c r="E364">
        <v>3</v>
      </c>
      <c r="F364">
        <f t="shared" si="25"/>
        <v>0</v>
      </c>
      <c r="G364">
        <f t="shared" si="26"/>
        <v>2</v>
      </c>
      <c r="H364">
        <f t="shared" si="27"/>
        <v>0</v>
      </c>
      <c r="I364">
        <f t="shared" si="28"/>
        <v>0</v>
      </c>
      <c r="J364">
        <f t="shared" si="29"/>
        <v>0</v>
      </c>
    </row>
    <row r="365" spans="1:10" x14ac:dyDescent="0.3">
      <c r="A365" s="1">
        <v>41806</v>
      </c>
      <c r="B365" s="1">
        <v>41834</v>
      </c>
      <c r="C365">
        <v>5.67</v>
      </c>
      <c r="D365">
        <v>0.15</v>
      </c>
      <c r="E365">
        <v>5</v>
      </c>
      <c r="F365">
        <f t="shared" si="25"/>
        <v>0</v>
      </c>
      <c r="G365">
        <f t="shared" si="26"/>
        <v>0</v>
      </c>
      <c r="H365">
        <f t="shared" si="27"/>
        <v>0</v>
      </c>
      <c r="I365">
        <f t="shared" si="28"/>
        <v>28</v>
      </c>
      <c r="J365">
        <f t="shared" si="29"/>
        <v>0</v>
      </c>
    </row>
    <row r="366" spans="1:10" x14ac:dyDescent="0.3">
      <c r="A366" s="1">
        <v>41809</v>
      </c>
      <c r="B366" s="1">
        <v>41837</v>
      </c>
      <c r="C366">
        <v>7.3</v>
      </c>
      <c r="D366">
        <v>0.19</v>
      </c>
      <c r="E366">
        <v>6</v>
      </c>
      <c r="F366">
        <f t="shared" si="25"/>
        <v>0</v>
      </c>
      <c r="G366">
        <f t="shared" si="26"/>
        <v>0</v>
      </c>
      <c r="H366">
        <f t="shared" si="27"/>
        <v>0</v>
      </c>
      <c r="I366">
        <f t="shared" si="28"/>
        <v>0</v>
      </c>
      <c r="J366">
        <f t="shared" si="29"/>
        <v>28</v>
      </c>
    </row>
    <row r="367" spans="1:10" x14ac:dyDescent="0.3">
      <c r="A367" s="1">
        <v>41809</v>
      </c>
      <c r="B367" s="1">
        <v>41813</v>
      </c>
      <c r="C367">
        <v>5.64</v>
      </c>
      <c r="D367">
        <v>0.15</v>
      </c>
      <c r="E367">
        <v>5</v>
      </c>
      <c r="F367">
        <f t="shared" si="25"/>
        <v>0</v>
      </c>
      <c r="G367">
        <f t="shared" si="26"/>
        <v>0</v>
      </c>
      <c r="H367">
        <f t="shared" si="27"/>
        <v>0</v>
      </c>
      <c r="I367">
        <f t="shared" si="28"/>
        <v>4</v>
      </c>
      <c r="J367">
        <f t="shared" si="29"/>
        <v>0</v>
      </c>
    </row>
    <row r="368" spans="1:10" x14ac:dyDescent="0.3">
      <c r="A368" s="1">
        <v>41809</v>
      </c>
      <c r="B368" s="1">
        <v>41815</v>
      </c>
      <c r="C368">
        <v>10.79</v>
      </c>
      <c r="D368">
        <v>0.28000000000000003</v>
      </c>
      <c r="E368">
        <v>5</v>
      </c>
      <c r="F368">
        <f t="shared" si="25"/>
        <v>0</v>
      </c>
      <c r="G368">
        <f t="shared" si="26"/>
        <v>0</v>
      </c>
      <c r="H368">
        <f t="shared" si="27"/>
        <v>0</v>
      </c>
      <c r="I368">
        <f t="shared" si="28"/>
        <v>6</v>
      </c>
      <c r="J368">
        <f t="shared" si="29"/>
        <v>0</v>
      </c>
    </row>
    <row r="369" spans="1:10" x14ac:dyDescent="0.3">
      <c r="A369" s="1">
        <v>41809</v>
      </c>
      <c r="B369" s="1">
        <v>41830</v>
      </c>
      <c r="C369">
        <v>10.199999999999999</v>
      </c>
      <c r="D369">
        <v>0.27</v>
      </c>
      <c r="E369">
        <v>6</v>
      </c>
      <c r="F369">
        <f t="shared" si="25"/>
        <v>0</v>
      </c>
      <c r="G369">
        <f t="shared" si="26"/>
        <v>0</v>
      </c>
      <c r="H369">
        <f t="shared" si="27"/>
        <v>0</v>
      </c>
      <c r="I369">
        <f t="shared" si="28"/>
        <v>0</v>
      </c>
      <c r="J369">
        <f t="shared" si="29"/>
        <v>21</v>
      </c>
    </row>
    <row r="370" spans="1:10" x14ac:dyDescent="0.3">
      <c r="A370" s="1">
        <v>41809</v>
      </c>
      <c r="B370" s="1">
        <v>41821</v>
      </c>
      <c r="C370">
        <v>16.55</v>
      </c>
      <c r="D370">
        <v>0.44</v>
      </c>
      <c r="E370">
        <v>3</v>
      </c>
      <c r="F370">
        <f t="shared" si="25"/>
        <v>0</v>
      </c>
      <c r="G370">
        <f t="shared" si="26"/>
        <v>12</v>
      </c>
      <c r="H370">
        <f t="shared" si="27"/>
        <v>0</v>
      </c>
      <c r="I370">
        <f t="shared" si="28"/>
        <v>0</v>
      </c>
      <c r="J370">
        <f t="shared" si="29"/>
        <v>0</v>
      </c>
    </row>
    <row r="371" spans="1:10" x14ac:dyDescent="0.3">
      <c r="A371" s="1">
        <v>41809</v>
      </c>
      <c r="B371" s="1">
        <v>41829</v>
      </c>
      <c r="C371">
        <v>8.9499999999999993</v>
      </c>
      <c r="D371">
        <v>0.24</v>
      </c>
      <c r="E371">
        <v>6</v>
      </c>
      <c r="F371">
        <f t="shared" si="25"/>
        <v>0</v>
      </c>
      <c r="G371">
        <f t="shared" si="26"/>
        <v>0</v>
      </c>
      <c r="H371">
        <f t="shared" si="27"/>
        <v>0</v>
      </c>
      <c r="I371">
        <f t="shared" si="28"/>
        <v>0</v>
      </c>
      <c r="J371">
        <f t="shared" si="29"/>
        <v>20</v>
      </c>
    </row>
    <row r="372" spans="1:10" x14ac:dyDescent="0.3">
      <c r="A372" s="1">
        <v>41815</v>
      </c>
      <c r="B372" s="1">
        <v>41825</v>
      </c>
      <c r="C372">
        <v>5.64</v>
      </c>
      <c r="D372">
        <v>0.15</v>
      </c>
      <c r="E372">
        <v>4</v>
      </c>
      <c r="F372">
        <f t="shared" si="25"/>
        <v>0</v>
      </c>
      <c r="G372">
        <f t="shared" si="26"/>
        <v>0</v>
      </c>
      <c r="H372">
        <f t="shared" si="27"/>
        <v>10</v>
      </c>
      <c r="I372">
        <f t="shared" si="28"/>
        <v>0</v>
      </c>
      <c r="J372">
        <f t="shared" si="29"/>
        <v>0</v>
      </c>
    </row>
    <row r="373" spans="1:10" x14ac:dyDescent="0.3">
      <c r="A373" s="1">
        <v>41815</v>
      </c>
      <c r="B373" s="1">
        <v>41840</v>
      </c>
      <c r="C373">
        <v>6.34</v>
      </c>
      <c r="D373">
        <v>0.17</v>
      </c>
      <c r="E373">
        <v>3</v>
      </c>
      <c r="F373">
        <f t="shared" si="25"/>
        <v>0</v>
      </c>
      <c r="G373">
        <f t="shared" si="26"/>
        <v>25</v>
      </c>
      <c r="H373">
        <f t="shared" si="27"/>
        <v>0</v>
      </c>
      <c r="I373">
        <f t="shared" si="28"/>
        <v>0</v>
      </c>
      <c r="J373">
        <f t="shared" si="29"/>
        <v>0</v>
      </c>
    </row>
    <row r="374" spans="1:10" x14ac:dyDescent="0.3">
      <c r="A374" s="1">
        <v>41815</v>
      </c>
      <c r="B374" s="1">
        <v>41832</v>
      </c>
      <c r="C374">
        <v>11.69</v>
      </c>
      <c r="D374">
        <v>0.31</v>
      </c>
      <c r="E374">
        <v>6</v>
      </c>
      <c r="F374">
        <f t="shared" si="25"/>
        <v>0</v>
      </c>
      <c r="G374">
        <f t="shared" si="26"/>
        <v>0</v>
      </c>
      <c r="H374">
        <f t="shared" si="27"/>
        <v>0</v>
      </c>
      <c r="I374">
        <f t="shared" si="28"/>
        <v>0</v>
      </c>
      <c r="J374">
        <f t="shared" si="29"/>
        <v>17</v>
      </c>
    </row>
    <row r="375" spans="1:10" x14ac:dyDescent="0.3">
      <c r="A375" s="1">
        <v>41815</v>
      </c>
      <c r="B375" s="1">
        <v>41839</v>
      </c>
      <c r="C375">
        <v>11.42</v>
      </c>
      <c r="D375">
        <v>0.3</v>
      </c>
      <c r="E375">
        <v>5</v>
      </c>
      <c r="F375">
        <f t="shared" si="25"/>
        <v>0</v>
      </c>
      <c r="G375">
        <f t="shared" si="26"/>
        <v>0</v>
      </c>
      <c r="H375">
        <f t="shared" si="27"/>
        <v>0</v>
      </c>
      <c r="I375">
        <f t="shared" si="28"/>
        <v>24</v>
      </c>
      <c r="J375">
        <f t="shared" si="29"/>
        <v>0</v>
      </c>
    </row>
    <row r="376" spans="1:10" x14ac:dyDescent="0.3">
      <c r="A376" s="1">
        <v>41815</v>
      </c>
      <c r="B376" s="1">
        <v>41822</v>
      </c>
      <c r="C376">
        <v>8.5399999999999991</v>
      </c>
      <c r="D376">
        <v>0.22</v>
      </c>
      <c r="E376">
        <v>6</v>
      </c>
      <c r="F376">
        <f t="shared" si="25"/>
        <v>0</v>
      </c>
      <c r="G376">
        <f t="shared" si="26"/>
        <v>0</v>
      </c>
      <c r="H376">
        <f t="shared" si="27"/>
        <v>0</v>
      </c>
      <c r="I376">
        <f t="shared" si="28"/>
        <v>0</v>
      </c>
      <c r="J376">
        <f t="shared" si="29"/>
        <v>7</v>
      </c>
    </row>
    <row r="377" spans="1:10" x14ac:dyDescent="0.3">
      <c r="A377" s="1">
        <v>41815</v>
      </c>
      <c r="B377" s="1">
        <v>41831</v>
      </c>
      <c r="C377">
        <v>10.199999999999999</v>
      </c>
      <c r="D377">
        <v>0.27</v>
      </c>
      <c r="E377">
        <v>3</v>
      </c>
      <c r="F377">
        <f t="shared" si="25"/>
        <v>0</v>
      </c>
      <c r="G377">
        <f t="shared" si="26"/>
        <v>16</v>
      </c>
      <c r="H377">
        <f t="shared" si="27"/>
        <v>0</v>
      </c>
      <c r="I377">
        <f t="shared" si="28"/>
        <v>0</v>
      </c>
      <c r="J377">
        <f t="shared" si="29"/>
        <v>0</v>
      </c>
    </row>
    <row r="378" spans="1:10" x14ac:dyDescent="0.3">
      <c r="A378" s="1">
        <v>41815</v>
      </c>
      <c r="B378" s="1">
        <v>41833</v>
      </c>
      <c r="C378">
        <v>8.39</v>
      </c>
      <c r="D378">
        <v>0.22</v>
      </c>
      <c r="E378">
        <v>6</v>
      </c>
      <c r="F378">
        <f t="shared" si="25"/>
        <v>0</v>
      </c>
      <c r="G378">
        <f t="shared" si="26"/>
        <v>0</v>
      </c>
      <c r="H378">
        <f t="shared" si="27"/>
        <v>0</v>
      </c>
      <c r="I378">
        <f t="shared" si="28"/>
        <v>0</v>
      </c>
      <c r="J378">
        <f t="shared" si="29"/>
        <v>18</v>
      </c>
    </row>
    <row r="379" spans="1:10" x14ac:dyDescent="0.3">
      <c r="A379" s="1">
        <v>41815</v>
      </c>
      <c r="B379" s="1">
        <v>41826</v>
      </c>
      <c r="C379">
        <v>9.4600000000000009</v>
      </c>
      <c r="D379">
        <v>0.25</v>
      </c>
      <c r="E379">
        <v>4</v>
      </c>
      <c r="F379">
        <f t="shared" si="25"/>
        <v>0</v>
      </c>
      <c r="G379">
        <f t="shared" si="26"/>
        <v>0</v>
      </c>
      <c r="H379">
        <f t="shared" si="27"/>
        <v>11</v>
      </c>
      <c r="I379">
        <f t="shared" si="28"/>
        <v>0</v>
      </c>
      <c r="J379">
        <f t="shared" si="29"/>
        <v>0</v>
      </c>
    </row>
    <row r="380" spans="1:10" x14ac:dyDescent="0.3">
      <c r="A380" s="1">
        <v>41815</v>
      </c>
      <c r="B380" s="1">
        <v>41843</v>
      </c>
      <c r="C380">
        <v>11.37</v>
      </c>
      <c r="D380">
        <v>0.3</v>
      </c>
      <c r="E380">
        <v>5</v>
      </c>
      <c r="F380">
        <f t="shared" si="25"/>
        <v>0</v>
      </c>
      <c r="G380">
        <f t="shared" si="26"/>
        <v>0</v>
      </c>
      <c r="H380">
        <f t="shared" si="27"/>
        <v>0</v>
      </c>
      <c r="I380">
        <f t="shared" si="28"/>
        <v>28</v>
      </c>
      <c r="J380">
        <f t="shared" si="29"/>
        <v>0</v>
      </c>
    </row>
    <row r="381" spans="1:10" x14ac:dyDescent="0.3">
      <c r="A381" s="1">
        <v>41815</v>
      </c>
      <c r="B381" s="1">
        <v>41841</v>
      </c>
      <c r="C381">
        <v>3.79</v>
      </c>
      <c r="D381">
        <v>0.1</v>
      </c>
      <c r="E381">
        <v>5</v>
      </c>
      <c r="F381">
        <f t="shared" si="25"/>
        <v>0</v>
      </c>
      <c r="G381">
        <f t="shared" si="26"/>
        <v>0</v>
      </c>
      <c r="H381">
        <f t="shared" si="27"/>
        <v>0</v>
      </c>
      <c r="I381">
        <f t="shared" si="28"/>
        <v>26</v>
      </c>
      <c r="J381">
        <f t="shared" si="29"/>
        <v>0</v>
      </c>
    </row>
    <row r="382" spans="1:10" x14ac:dyDescent="0.3">
      <c r="A382" s="1">
        <v>41815</v>
      </c>
      <c r="B382" s="1">
        <v>41835</v>
      </c>
      <c r="C382">
        <v>8.84</v>
      </c>
      <c r="D382">
        <v>0.23</v>
      </c>
      <c r="E382">
        <v>2</v>
      </c>
      <c r="F382">
        <f t="shared" si="25"/>
        <v>20</v>
      </c>
      <c r="G382">
        <f t="shared" si="26"/>
        <v>0</v>
      </c>
      <c r="H382">
        <f t="shared" si="27"/>
        <v>0</v>
      </c>
      <c r="I382">
        <f t="shared" si="28"/>
        <v>0</v>
      </c>
      <c r="J382">
        <f t="shared" si="29"/>
        <v>0</v>
      </c>
    </row>
    <row r="383" spans="1:10" x14ac:dyDescent="0.3">
      <c r="A383" s="1">
        <v>41815</v>
      </c>
      <c r="B383" s="1">
        <v>41825</v>
      </c>
      <c r="C383">
        <v>19.54</v>
      </c>
      <c r="D383">
        <v>0.51</v>
      </c>
      <c r="E383">
        <v>4</v>
      </c>
      <c r="F383">
        <f t="shared" si="25"/>
        <v>0</v>
      </c>
      <c r="G383">
        <f t="shared" si="26"/>
        <v>0</v>
      </c>
      <c r="H383">
        <f t="shared" si="27"/>
        <v>10</v>
      </c>
      <c r="I383">
        <f t="shared" si="28"/>
        <v>0</v>
      </c>
      <c r="J383">
        <f t="shared" si="29"/>
        <v>0</v>
      </c>
    </row>
    <row r="384" spans="1:10" x14ac:dyDescent="0.3">
      <c r="A384" s="1">
        <v>41815</v>
      </c>
      <c r="B384" s="1">
        <v>41821</v>
      </c>
      <c r="C384">
        <v>3.79</v>
      </c>
      <c r="D384">
        <v>0.1</v>
      </c>
      <c r="E384">
        <v>5</v>
      </c>
      <c r="F384">
        <f t="shared" si="25"/>
        <v>0</v>
      </c>
      <c r="G384">
        <f t="shared" si="26"/>
        <v>0</v>
      </c>
      <c r="H384">
        <f t="shared" si="27"/>
        <v>0</v>
      </c>
      <c r="I384">
        <f t="shared" si="28"/>
        <v>6</v>
      </c>
      <c r="J384">
        <f t="shared" si="29"/>
        <v>0</v>
      </c>
    </row>
    <row r="385" spans="1:10" x14ac:dyDescent="0.3">
      <c r="A385" s="1">
        <v>41815</v>
      </c>
      <c r="B385" s="1">
        <v>41828</v>
      </c>
      <c r="C385">
        <v>9.74</v>
      </c>
      <c r="D385">
        <v>0.26</v>
      </c>
      <c r="E385">
        <v>6</v>
      </c>
      <c r="F385">
        <f t="shared" si="25"/>
        <v>0</v>
      </c>
      <c r="G385">
        <f t="shared" si="26"/>
        <v>0</v>
      </c>
      <c r="H385">
        <f t="shared" si="27"/>
        <v>0</v>
      </c>
      <c r="I385">
        <f t="shared" si="28"/>
        <v>0</v>
      </c>
      <c r="J385">
        <f t="shared" si="29"/>
        <v>13</v>
      </c>
    </row>
    <row r="386" spans="1:10" x14ac:dyDescent="0.3">
      <c r="A386" s="1">
        <v>41815</v>
      </c>
      <c r="B386" s="1">
        <v>41837</v>
      </c>
      <c r="C386">
        <v>10.199999999999999</v>
      </c>
      <c r="D386">
        <v>0.27</v>
      </c>
      <c r="E386">
        <v>2</v>
      </c>
      <c r="F386">
        <f t="shared" si="25"/>
        <v>22</v>
      </c>
      <c r="G386">
        <f t="shared" si="26"/>
        <v>0</v>
      </c>
      <c r="H386">
        <f t="shared" si="27"/>
        <v>0</v>
      </c>
      <c r="I386">
        <f t="shared" si="28"/>
        <v>0</v>
      </c>
      <c r="J386">
        <f t="shared" si="29"/>
        <v>0</v>
      </c>
    </row>
    <row r="387" spans="1:10" x14ac:dyDescent="0.3">
      <c r="A387" s="1">
        <v>41815</v>
      </c>
      <c r="B387" s="1">
        <v>41836</v>
      </c>
      <c r="C387">
        <v>3.88</v>
      </c>
      <c r="D387">
        <v>0.1</v>
      </c>
      <c r="E387">
        <v>4</v>
      </c>
      <c r="F387">
        <f t="shared" ref="F387:F450" si="30">IF(EXACT(E387,2),B387-A387,0)</f>
        <v>0</v>
      </c>
      <c r="G387">
        <f t="shared" ref="G387:G450" si="31">IF(EXACT(E387,3),B387-A387,0)</f>
        <v>0</v>
      </c>
      <c r="H387">
        <f t="shared" ref="H387:H450" si="32">IF(EXACT(E387,4),B387-A387,0)</f>
        <v>21</v>
      </c>
      <c r="I387">
        <f t="shared" ref="I387:I450" si="33">IF(EXACT(E387,5),B387-A387,0)</f>
        <v>0</v>
      </c>
      <c r="J387">
        <f t="shared" ref="J387:J450" si="34">IF(EXACT(E387,6),B387-A387,0)</f>
        <v>0</v>
      </c>
    </row>
    <row r="388" spans="1:10" x14ac:dyDescent="0.3">
      <c r="A388" s="1">
        <v>41818</v>
      </c>
      <c r="B388" s="1">
        <v>41835</v>
      </c>
      <c r="C388">
        <v>4.66</v>
      </c>
      <c r="D388">
        <v>0.12</v>
      </c>
      <c r="E388">
        <v>4</v>
      </c>
      <c r="F388">
        <f t="shared" si="30"/>
        <v>0</v>
      </c>
      <c r="G388">
        <f t="shared" si="31"/>
        <v>0</v>
      </c>
      <c r="H388">
        <f t="shared" si="32"/>
        <v>17</v>
      </c>
      <c r="I388">
        <f t="shared" si="33"/>
        <v>0</v>
      </c>
      <c r="J388">
        <f t="shared" si="34"/>
        <v>0</v>
      </c>
    </row>
    <row r="389" spans="1:10" x14ac:dyDescent="0.3">
      <c r="A389" s="1">
        <v>41821</v>
      </c>
      <c r="B389" s="1">
        <v>41840</v>
      </c>
      <c r="C389">
        <v>16.55</v>
      </c>
      <c r="D389">
        <v>0.44</v>
      </c>
      <c r="E389">
        <v>6</v>
      </c>
      <c r="F389">
        <f t="shared" si="30"/>
        <v>0</v>
      </c>
      <c r="G389">
        <f t="shared" si="31"/>
        <v>0</v>
      </c>
      <c r="H389">
        <f t="shared" si="32"/>
        <v>0</v>
      </c>
      <c r="I389">
        <f t="shared" si="33"/>
        <v>0</v>
      </c>
      <c r="J389">
        <f t="shared" si="34"/>
        <v>19</v>
      </c>
    </row>
    <row r="390" spans="1:10" x14ac:dyDescent="0.3">
      <c r="A390" s="1">
        <v>41821</v>
      </c>
      <c r="B390" s="1">
        <v>41835</v>
      </c>
      <c r="C390">
        <v>13.81</v>
      </c>
      <c r="D390">
        <v>0.36</v>
      </c>
      <c r="E390">
        <v>3</v>
      </c>
      <c r="F390">
        <f t="shared" si="30"/>
        <v>0</v>
      </c>
      <c r="G390">
        <f t="shared" si="31"/>
        <v>14</v>
      </c>
      <c r="H390">
        <f t="shared" si="32"/>
        <v>0</v>
      </c>
      <c r="I390">
        <f t="shared" si="33"/>
        <v>0</v>
      </c>
      <c r="J390">
        <f t="shared" si="34"/>
        <v>0</v>
      </c>
    </row>
    <row r="391" spans="1:10" x14ac:dyDescent="0.3">
      <c r="A391" s="1">
        <v>41821</v>
      </c>
      <c r="B391" s="1">
        <v>41837</v>
      </c>
      <c r="C391">
        <v>8.51</v>
      </c>
      <c r="D391">
        <v>0.22</v>
      </c>
      <c r="E391">
        <v>5</v>
      </c>
      <c r="F391">
        <f t="shared" si="30"/>
        <v>0</v>
      </c>
      <c r="G391">
        <f t="shared" si="31"/>
        <v>0</v>
      </c>
      <c r="H391">
        <f t="shared" si="32"/>
        <v>0</v>
      </c>
      <c r="I391">
        <f t="shared" si="33"/>
        <v>16</v>
      </c>
      <c r="J391">
        <f t="shared" si="34"/>
        <v>0</v>
      </c>
    </row>
    <row r="392" spans="1:10" x14ac:dyDescent="0.3">
      <c r="A392" s="1">
        <v>41821</v>
      </c>
      <c r="B392" s="1">
        <v>41827</v>
      </c>
      <c r="C392">
        <v>8.65</v>
      </c>
      <c r="D392">
        <v>0.23</v>
      </c>
      <c r="E392">
        <v>2</v>
      </c>
      <c r="F392">
        <f t="shared" si="30"/>
        <v>6</v>
      </c>
      <c r="G392">
        <f t="shared" si="31"/>
        <v>0</v>
      </c>
      <c r="H392">
        <f t="shared" si="32"/>
        <v>0</v>
      </c>
      <c r="I392">
        <f t="shared" si="33"/>
        <v>0</v>
      </c>
      <c r="J392">
        <f t="shared" si="34"/>
        <v>0</v>
      </c>
    </row>
    <row r="393" spans="1:10" x14ac:dyDescent="0.3">
      <c r="A393" s="1">
        <v>41821</v>
      </c>
      <c r="B393" s="1">
        <v>41832</v>
      </c>
      <c r="C393">
        <v>11.69</v>
      </c>
      <c r="D393">
        <v>0.31</v>
      </c>
      <c r="E393">
        <v>4</v>
      </c>
      <c r="F393">
        <f t="shared" si="30"/>
        <v>0</v>
      </c>
      <c r="G393">
        <f t="shared" si="31"/>
        <v>0</v>
      </c>
      <c r="H393">
        <f t="shared" si="32"/>
        <v>11</v>
      </c>
      <c r="I393">
        <f t="shared" si="33"/>
        <v>0</v>
      </c>
      <c r="J393">
        <f t="shared" si="34"/>
        <v>0</v>
      </c>
    </row>
    <row r="394" spans="1:10" x14ac:dyDescent="0.3">
      <c r="A394" s="1">
        <v>41821</v>
      </c>
      <c r="B394" s="1">
        <v>41828</v>
      </c>
      <c r="C394">
        <v>7.06</v>
      </c>
      <c r="D394">
        <v>0.19</v>
      </c>
      <c r="E394">
        <v>3</v>
      </c>
      <c r="F394">
        <f t="shared" si="30"/>
        <v>0</v>
      </c>
      <c r="G394">
        <f t="shared" si="31"/>
        <v>7</v>
      </c>
      <c r="H394">
        <f t="shared" si="32"/>
        <v>0</v>
      </c>
      <c r="I394">
        <f t="shared" si="33"/>
        <v>0</v>
      </c>
      <c r="J394">
        <f t="shared" si="34"/>
        <v>0</v>
      </c>
    </row>
    <row r="395" spans="1:10" x14ac:dyDescent="0.3">
      <c r="A395" s="1">
        <v>41827</v>
      </c>
      <c r="B395" s="1">
        <v>41837</v>
      </c>
      <c r="C395">
        <v>11.44</v>
      </c>
      <c r="D395">
        <v>0.3</v>
      </c>
      <c r="E395">
        <v>5</v>
      </c>
      <c r="F395">
        <f t="shared" si="30"/>
        <v>0</v>
      </c>
      <c r="G395">
        <f t="shared" si="31"/>
        <v>0</v>
      </c>
      <c r="H395">
        <f t="shared" si="32"/>
        <v>0</v>
      </c>
      <c r="I395">
        <f t="shared" si="33"/>
        <v>10</v>
      </c>
      <c r="J395">
        <f t="shared" si="34"/>
        <v>0</v>
      </c>
    </row>
    <row r="396" spans="1:10" x14ac:dyDescent="0.3">
      <c r="A396" s="1">
        <v>41827</v>
      </c>
      <c r="B396" s="1">
        <v>41831</v>
      </c>
      <c r="C396">
        <v>8.9499999999999993</v>
      </c>
      <c r="D396">
        <v>0.24</v>
      </c>
      <c r="E396">
        <v>4</v>
      </c>
      <c r="F396">
        <f t="shared" si="30"/>
        <v>0</v>
      </c>
      <c r="G396">
        <f t="shared" si="31"/>
        <v>0</v>
      </c>
      <c r="H396">
        <f t="shared" si="32"/>
        <v>4</v>
      </c>
      <c r="I396">
        <f t="shared" si="33"/>
        <v>0</v>
      </c>
      <c r="J396">
        <f t="shared" si="34"/>
        <v>0</v>
      </c>
    </row>
    <row r="397" spans="1:10" x14ac:dyDescent="0.3">
      <c r="A397" s="1">
        <v>41827</v>
      </c>
      <c r="B397" s="1">
        <v>41847</v>
      </c>
      <c r="C397">
        <v>9.4600000000000009</v>
      </c>
      <c r="D397">
        <v>0.25</v>
      </c>
      <c r="E397">
        <v>6</v>
      </c>
      <c r="F397">
        <f t="shared" si="30"/>
        <v>0</v>
      </c>
      <c r="G397">
        <f t="shared" si="31"/>
        <v>0</v>
      </c>
      <c r="H397">
        <f t="shared" si="32"/>
        <v>0</v>
      </c>
      <c r="I397">
        <f t="shared" si="33"/>
        <v>0</v>
      </c>
      <c r="J397">
        <f t="shared" si="34"/>
        <v>20</v>
      </c>
    </row>
    <row r="398" spans="1:10" x14ac:dyDescent="0.3">
      <c r="A398" s="1">
        <v>41827</v>
      </c>
      <c r="B398" s="1">
        <v>41841</v>
      </c>
      <c r="C398">
        <v>5.23</v>
      </c>
      <c r="D398">
        <v>0.14000000000000001</v>
      </c>
      <c r="E398">
        <v>3</v>
      </c>
      <c r="F398">
        <f t="shared" si="30"/>
        <v>0</v>
      </c>
      <c r="G398">
        <f t="shared" si="31"/>
        <v>14</v>
      </c>
      <c r="H398">
        <f t="shared" si="32"/>
        <v>0</v>
      </c>
      <c r="I398">
        <f t="shared" si="33"/>
        <v>0</v>
      </c>
      <c r="J398">
        <f t="shared" si="34"/>
        <v>0</v>
      </c>
    </row>
    <row r="399" spans="1:10" x14ac:dyDescent="0.3">
      <c r="A399" s="1">
        <v>41827</v>
      </c>
      <c r="B399" s="1">
        <v>41847</v>
      </c>
      <c r="C399">
        <v>11.78</v>
      </c>
      <c r="D399">
        <v>0.31</v>
      </c>
      <c r="E399">
        <v>4</v>
      </c>
      <c r="F399">
        <f t="shared" si="30"/>
        <v>0</v>
      </c>
      <c r="G399">
        <f t="shared" si="31"/>
        <v>0</v>
      </c>
      <c r="H399">
        <f t="shared" si="32"/>
        <v>20</v>
      </c>
      <c r="I399">
        <f t="shared" si="33"/>
        <v>0</v>
      </c>
      <c r="J399">
        <f t="shared" si="34"/>
        <v>0</v>
      </c>
    </row>
    <row r="400" spans="1:10" x14ac:dyDescent="0.3">
      <c r="A400" s="1">
        <v>41827</v>
      </c>
      <c r="B400" s="1">
        <v>41836</v>
      </c>
      <c r="C400">
        <v>5.64</v>
      </c>
      <c r="D400">
        <v>0.15</v>
      </c>
      <c r="E400">
        <v>3</v>
      </c>
      <c r="F400">
        <f t="shared" si="30"/>
        <v>0</v>
      </c>
      <c r="G400">
        <f t="shared" si="31"/>
        <v>9</v>
      </c>
      <c r="H400">
        <f t="shared" si="32"/>
        <v>0</v>
      </c>
      <c r="I400">
        <f t="shared" si="33"/>
        <v>0</v>
      </c>
      <c r="J400">
        <f t="shared" si="34"/>
        <v>0</v>
      </c>
    </row>
    <row r="401" spans="1:10" x14ac:dyDescent="0.3">
      <c r="A401" s="1">
        <v>41827</v>
      </c>
      <c r="B401" s="1">
        <v>41839</v>
      </c>
      <c r="C401">
        <v>10.199999999999999</v>
      </c>
      <c r="D401">
        <v>0.27</v>
      </c>
      <c r="E401">
        <v>2</v>
      </c>
      <c r="F401">
        <f t="shared" si="30"/>
        <v>12</v>
      </c>
      <c r="G401">
        <f t="shared" si="31"/>
        <v>0</v>
      </c>
      <c r="H401">
        <f t="shared" si="32"/>
        <v>0</v>
      </c>
      <c r="I401">
        <f t="shared" si="33"/>
        <v>0</v>
      </c>
      <c r="J401">
        <f t="shared" si="34"/>
        <v>0</v>
      </c>
    </row>
    <row r="402" spans="1:10" x14ac:dyDescent="0.3">
      <c r="A402" s="1">
        <v>41827</v>
      </c>
      <c r="B402" s="1">
        <v>41852</v>
      </c>
      <c r="C402">
        <v>3.88</v>
      </c>
      <c r="D402">
        <v>0.1</v>
      </c>
      <c r="E402">
        <v>5</v>
      </c>
      <c r="F402">
        <f t="shared" si="30"/>
        <v>0</v>
      </c>
      <c r="G402">
        <f t="shared" si="31"/>
        <v>0</v>
      </c>
      <c r="H402">
        <f t="shared" si="32"/>
        <v>0</v>
      </c>
      <c r="I402">
        <f t="shared" si="33"/>
        <v>25</v>
      </c>
      <c r="J402">
        <f t="shared" si="34"/>
        <v>0</v>
      </c>
    </row>
    <row r="403" spans="1:10" x14ac:dyDescent="0.3">
      <c r="A403" s="1">
        <v>41827</v>
      </c>
      <c r="B403" s="1">
        <v>41835</v>
      </c>
      <c r="C403">
        <v>4.66</v>
      </c>
      <c r="D403">
        <v>0.12</v>
      </c>
      <c r="E403">
        <v>4</v>
      </c>
      <c r="F403">
        <f t="shared" si="30"/>
        <v>0</v>
      </c>
      <c r="G403">
        <f t="shared" si="31"/>
        <v>0</v>
      </c>
      <c r="H403">
        <f t="shared" si="32"/>
        <v>8</v>
      </c>
      <c r="I403">
        <f t="shared" si="33"/>
        <v>0</v>
      </c>
      <c r="J403">
        <f t="shared" si="34"/>
        <v>0</v>
      </c>
    </row>
    <row r="404" spans="1:10" x14ac:dyDescent="0.3">
      <c r="A404" s="1">
        <v>41827</v>
      </c>
      <c r="B404" s="1">
        <v>41838</v>
      </c>
      <c r="C404">
        <v>10.19</v>
      </c>
      <c r="D404">
        <v>0.27</v>
      </c>
      <c r="E404">
        <v>6</v>
      </c>
      <c r="F404">
        <f t="shared" si="30"/>
        <v>0</v>
      </c>
      <c r="G404">
        <f t="shared" si="31"/>
        <v>0</v>
      </c>
      <c r="H404">
        <f t="shared" si="32"/>
        <v>0</v>
      </c>
      <c r="I404">
        <f t="shared" si="33"/>
        <v>0</v>
      </c>
      <c r="J404">
        <f t="shared" si="34"/>
        <v>11</v>
      </c>
    </row>
    <row r="405" spans="1:10" x14ac:dyDescent="0.3">
      <c r="A405" s="1">
        <v>41827</v>
      </c>
      <c r="B405" s="1">
        <v>41844</v>
      </c>
      <c r="C405">
        <v>10.19</v>
      </c>
      <c r="D405">
        <v>0.27</v>
      </c>
      <c r="E405">
        <v>6</v>
      </c>
      <c r="F405">
        <f t="shared" si="30"/>
        <v>0</v>
      </c>
      <c r="G405">
        <f t="shared" si="31"/>
        <v>0</v>
      </c>
      <c r="H405">
        <f t="shared" si="32"/>
        <v>0</v>
      </c>
      <c r="I405">
        <f t="shared" si="33"/>
        <v>0</v>
      </c>
      <c r="J405">
        <f t="shared" si="34"/>
        <v>17</v>
      </c>
    </row>
    <row r="406" spans="1:10" x14ac:dyDescent="0.3">
      <c r="A406" s="1">
        <v>41827</v>
      </c>
      <c r="B406" s="1">
        <v>41848</v>
      </c>
      <c r="C406">
        <v>3.79</v>
      </c>
      <c r="D406">
        <v>0.1</v>
      </c>
      <c r="E406">
        <v>6</v>
      </c>
      <c r="F406">
        <f t="shared" si="30"/>
        <v>0</v>
      </c>
      <c r="G406">
        <f t="shared" si="31"/>
        <v>0</v>
      </c>
      <c r="H406">
        <f t="shared" si="32"/>
        <v>0</v>
      </c>
      <c r="I406">
        <f t="shared" si="33"/>
        <v>0</v>
      </c>
      <c r="J406">
        <f t="shared" si="34"/>
        <v>21</v>
      </c>
    </row>
    <row r="407" spans="1:10" x14ac:dyDescent="0.3">
      <c r="A407" s="1">
        <v>41827</v>
      </c>
      <c r="B407" s="1">
        <v>41847</v>
      </c>
      <c r="C407">
        <v>9.06</v>
      </c>
      <c r="D407">
        <v>0.24</v>
      </c>
      <c r="E407">
        <v>2</v>
      </c>
      <c r="F407">
        <f t="shared" si="30"/>
        <v>20</v>
      </c>
      <c r="G407">
        <f t="shared" si="31"/>
        <v>0</v>
      </c>
      <c r="H407">
        <f t="shared" si="32"/>
        <v>0</v>
      </c>
      <c r="I407">
        <f t="shared" si="33"/>
        <v>0</v>
      </c>
      <c r="J407">
        <f t="shared" si="34"/>
        <v>0</v>
      </c>
    </row>
    <row r="408" spans="1:10" x14ac:dyDescent="0.3">
      <c r="A408" s="1">
        <v>41827</v>
      </c>
      <c r="B408" s="1">
        <v>41831</v>
      </c>
      <c r="C408">
        <v>6.23</v>
      </c>
      <c r="D408">
        <v>0.16</v>
      </c>
      <c r="E408">
        <v>3</v>
      </c>
      <c r="F408">
        <f t="shared" si="30"/>
        <v>0</v>
      </c>
      <c r="G408">
        <f t="shared" si="31"/>
        <v>4</v>
      </c>
      <c r="H408">
        <f t="shared" si="32"/>
        <v>0</v>
      </c>
      <c r="I408">
        <f t="shared" si="33"/>
        <v>0</v>
      </c>
      <c r="J408">
        <f t="shared" si="34"/>
        <v>0</v>
      </c>
    </row>
    <row r="409" spans="1:10" x14ac:dyDescent="0.3">
      <c r="A409" s="1">
        <v>41827</v>
      </c>
      <c r="B409" s="1">
        <v>41852</v>
      </c>
      <c r="C409">
        <v>10.79</v>
      </c>
      <c r="D409">
        <v>0.28000000000000003</v>
      </c>
      <c r="E409">
        <v>3</v>
      </c>
      <c r="F409">
        <f t="shared" si="30"/>
        <v>0</v>
      </c>
      <c r="G409">
        <f t="shared" si="31"/>
        <v>25</v>
      </c>
      <c r="H409">
        <f t="shared" si="32"/>
        <v>0</v>
      </c>
      <c r="I409">
        <f t="shared" si="33"/>
        <v>0</v>
      </c>
      <c r="J409">
        <f t="shared" si="34"/>
        <v>0</v>
      </c>
    </row>
    <row r="410" spans="1:10" x14ac:dyDescent="0.3">
      <c r="A410" s="1">
        <v>41830</v>
      </c>
      <c r="B410" s="1">
        <v>41847</v>
      </c>
      <c r="C410">
        <v>5.67</v>
      </c>
      <c r="D410">
        <v>0.15</v>
      </c>
      <c r="E410">
        <v>5</v>
      </c>
      <c r="F410">
        <f t="shared" si="30"/>
        <v>0</v>
      </c>
      <c r="G410">
        <f t="shared" si="31"/>
        <v>0</v>
      </c>
      <c r="H410">
        <f t="shared" si="32"/>
        <v>0</v>
      </c>
      <c r="I410">
        <f t="shared" si="33"/>
        <v>17</v>
      </c>
      <c r="J410">
        <f t="shared" si="34"/>
        <v>0</v>
      </c>
    </row>
    <row r="411" spans="1:10" x14ac:dyDescent="0.3">
      <c r="A411" s="1">
        <v>41831</v>
      </c>
      <c r="B411" s="1">
        <v>41855</v>
      </c>
      <c r="C411">
        <v>2.29</v>
      </c>
      <c r="D411">
        <v>0.06</v>
      </c>
      <c r="E411">
        <v>3</v>
      </c>
      <c r="F411">
        <f t="shared" si="30"/>
        <v>0</v>
      </c>
      <c r="G411">
        <f t="shared" si="31"/>
        <v>24</v>
      </c>
      <c r="H411">
        <f t="shared" si="32"/>
        <v>0</v>
      </c>
      <c r="I411">
        <f t="shared" si="33"/>
        <v>0</v>
      </c>
      <c r="J411">
        <f t="shared" si="34"/>
        <v>0</v>
      </c>
    </row>
    <row r="412" spans="1:10" x14ac:dyDescent="0.3">
      <c r="A412" s="1">
        <v>41833</v>
      </c>
      <c r="B412" s="1">
        <v>41853</v>
      </c>
      <c r="C412">
        <v>10.93</v>
      </c>
      <c r="D412">
        <v>0.28999999999999998</v>
      </c>
      <c r="E412">
        <v>2</v>
      </c>
      <c r="F412">
        <f t="shared" si="30"/>
        <v>20</v>
      </c>
      <c r="G412">
        <f t="shared" si="31"/>
        <v>0</v>
      </c>
      <c r="H412">
        <f t="shared" si="32"/>
        <v>0</v>
      </c>
      <c r="I412">
        <f t="shared" si="33"/>
        <v>0</v>
      </c>
      <c r="J412">
        <f t="shared" si="34"/>
        <v>0</v>
      </c>
    </row>
    <row r="413" spans="1:10" x14ac:dyDescent="0.3">
      <c r="A413" s="1">
        <v>41833</v>
      </c>
      <c r="B413" s="1">
        <v>41841</v>
      </c>
      <c r="C413">
        <v>16.55</v>
      </c>
      <c r="D413">
        <v>0.44</v>
      </c>
      <c r="E413">
        <v>4</v>
      </c>
      <c r="F413">
        <f t="shared" si="30"/>
        <v>0</v>
      </c>
      <c r="G413">
        <f t="shared" si="31"/>
        <v>0</v>
      </c>
      <c r="H413">
        <f t="shared" si="32"/>
        <v>8</v>
      </c>
      <c r="I413">
        <f t="shared" si="33"/>
        <v>0</v>
      </c>
      <c r="J413">
        <f t="shared" si="34"/>
        <v>0</v>
      </c>
    </row>
    <row r="414" spans="1:10" x14ac:dyDescent="0.3">
      <c r="A414" s="1">
        <v>41834</v>
      </c>
      <c r="B414" s="1">
        <v>41836</v>
      </c>
      <c r="C414">
        <v>6.43</v>
      </c>
      <c r="D414">
        <v>0.17</v>
      </c>
      <c r="E414">
        <v>6</v>
      </c>
      <c r="F414">
        <f t="shared" si="30"/>
        <v>0</v>
      </c>
      <c r="G414">
        <f t="shared" si="31"/>
        <v>0</v>
      </c>
      <c r="H414">
        <f t="shared" si="32"/>
        <v>0</v>
      </c>
      <c r="I414">
        <f t="shared" si="33"/>
        <v>0</v>
      </c>
      <c r="J414">
        <f t="shared" si="34"/>
        <v>2</v>
      </c>
    </row>
    <row r="415" spans="1:10" x14ac:dyDescent="0.3">
      <c r="A415" s="1">
        <v>41835</v>
      </c>
      <c r="B415" s="1">
        <v>41863</v>
      </c>
      <c r="C415">
        <v>3.94</v>
      </c>
      <c r="D415">
        <v>0.1</v>
      </c>
      <c r="E415">
        <v>6</v>
      </c>
      <c r="F415">
        <f t="shared" si="30"/>
        <v>0</v>
      </c>
      <c r="G415">
        <f t="shared" si="31"/>
        <v>0</v>
      </c>
      <c r="H415">
        <f t="shared" si="32"/>
        <v>0</v>
      </c>
      <c r="I415">
        <f t="shared" si="33"/>
        <v>0</v>
      </c>
      <c r="J415">
        <f t="shared" si="34"/>
        <v>28</v>
      </c>
    </row>
    <row r="416" spans="1:10" x14ac:dyDescent="0.3">
      <c r="A416" s="1">
        <v>41835</v>
      </c>
      <c r="B416" s="1">
        <v>41847</v>
      </c>
      <c r="C416">
        <v>3.79</v>
      </c>
      <c r="D416">
        <v>0.1</v>
      </c>
      <c r="E416">
        <v>3</v>
      </c>
      <c r="F416">
        <f t="shared" si="30"/>
        <v>0</v>
      </c>
      <c r="G416">
        <f t="shared" si="31"/>
        <v>12</v>
      </c>
      <c r="H416">
        <f t="shared" si="32"/>
        <v>0</v>
      </c>
      <c r="I416">
        <f t="shared" si="33"/>
        <v>0</v>
      </c>
      <c r="J416">
        <f t="shared" si="34"/>
        <v>0</v>
      </c>
    </row>
    <row r="417" spans="1:10" x14ac:dyDescent="0.3">
      <c r="A417" s="1">
        <v>41835</v>
      </c>
      <c r="B417" s="1">
        <v>41856</v>
      </c>
      <c r="C417">
        <v>6.58</v>
      </c>
      <c r="D417">
        <v>0.17</v>
      </c>
      <c r="E417">
        <v>3</v>
      </c>
      <c r="F417">
        <f t="shared" si="30"/>
        <v>0</v>
      </c>
      <c r="G417">
        <f t="shared" si="31"/>
        <v>21</v>
      </c>
      <c r="H417">
        <f t="shared" si="32"/>
        <v>0</v>
      </c>
      <c r="I417">
        <f t="shared" si="33"/>
        <v>0</v>
      </c>
      <c r="J417">
        <f t="shared" si="34"/>
        <v>0</v>
      </c>
    </row>
    <row r="418" spans="1:10" x14ac:dyDescent="0.3">
      <c r="A418" s="1">
        <v>41837</v>
      </c>
      <c r="B418" s="1">
        <v>41853</v>
      </c>
      <c r="C418">
        <v>5.67</v>
      </c>
      <c r="D418">
        <v>0.15</v>
      </c>
      <c r="E418">
        <v>2</v>
      </c>
      <c r="F418">
        <f t="shared" si="30"/>
        <v>16</v>
      </c>
      <c r="G418">
        <f t="shared" si="31"/>
        <v>0</v>
      </c>
      <c r="H418">
        <f t="shared" si="32"/>
        <v>0</v>
      </c>
      <c r="I418">
        <f t="shared" si="33"/>
        <v>0</v>
      </c>
      <c r="J418">
        <f t="shared" si="34"/>
        <v>0</v>
      </c>
    </row>
    <row r="419" spans="1:10" x14ac:dyDescent="0.3">
      <c r="A419" s="1">
        <v>41839</v>
      </c>
      <c r="B419" s="1">
        <v>41857</v>
      </c>
      <c r="C419">
        <v>10.19</v>
      </c>
      <c r="D419">
        <v>0.27</v>
      </c>
      <c r="E419">
        <v>6</v>
      </c>
      <c r="F419">
        <f t="shared" si="30"/>
        <v>0</v>
      </c>
      <c r="G419">
        <f t="shared" si="31"/>
        <v>0</v>
      </c>
      <c r="H419">
        <f t="shared" si="32"/>
        <v>0</v>
      </c>
      <c r="I419">
        <f t="shared" si="33"/>
        <v>0</v>
      </c>
      <c r="J419">
        <f t="shared" si="34"/>
        <v>18</v>
      </c>
    </row>
    <row r="420" spans="1:10" x14ac:dyDescent="0.3">
      <c r="A420" s="1">
        <v>41839</v>
      </c>
      <c r="B420" s="1">
        <v>41848</v>
      </c>
      <c r="C420">
        <v>7.06</v>
      </c>
      <c r="D420">
        <v>0.19</v>
      </c>
      <c r="E420">
        <v>2</v>
      </c>
      <c r="F420">
        <f t="shared" si="30"/>
        <v>9</v>
      </c>
      <c r="G420">
        <f t="shared" si="31"/>
        <v>0</v>
      </c>
      <c r="H420">
        <f t="shared" si="32"/>
        <v>0</v>
      </c>
      <c r="I420">
        <f t="shared" si="33"/>
        <v>0</v>
      </c>
      <c r="J420">
        <f t="shared" si="34"/>
        <v>0</v>
      </c>
    </row>
    <row r="421" spans="1:10" x14ac:dyDescent="0.3">
      <c r="A421" s="1">
        <v>41839</v>
      </c>
      <c r="B421" s="1">
        <v>41860</v>
      </c>
      <c r="C421">
        <v>6.75</v>
      </c>
      <c r="D421">
        <v>0.18</v>
      </c>
      <c r="E421">
        <v>5</v>
      </c>
      <c r="F421">
        <f t="shared" si="30"/>
        <v>0</v>
      </c>
      <c r="G421">
        <f t="shared" si="31"/>
        <v>0</v>
      </c>
      <c r="H421">
        <f t="shared" si="32"/>
        <v>0</v>
      </c>
      <c r="I421">
        <f t="shared" si="33"/>
        <v>21</v>
      </c>
      <c r="J421">
        <f t="shared" si="34"/>
        <v>0</v>
      </c>
    </row>
    <row r="422" spans="1:10" x14ac:dyDescent="0.3">
      <c r="A422" s="1">
        <v>41839</v>
      </c>
      <c r="B422" s="1">
        <v>41861</v>
      </c>
      <c r="C422">
        <v>8.83</v>
      </c>
      <c r="D422">
        <v>0.23</v>
      </c>
      <c r="E422">
        <v>6</v>
      </c>
      <c r="F422">
        <f t="shared" si="30"/>
        <v>0</v>
      </c>
      <c r="G422">
        <f t="shared" si="31"/>
        <v>0</v>
      </c>
      <c r="H422">
        <f t="shared" si="32"/>
        <v>0</v>
      </c>
      <c r="I422">
        <f t="shared" si="33"/>
        <v>0</v>
      </c>
      <c r="J422">
        <f t="shared" si="34"/>
        <v>22</v>
      </c>
    </row>
    <row r="423" spans="1:10" x14ac:dyDescent="0.3">
      <c r="A423" s="1">
        <v>41839</v>
      </c>
      <c r="B423" s="1">
        <v>41860</v>
      </c>
      <c r="C423">
        <v>8.39</v>
      </c>
      <c r="D423">
        <v>0.22</v>
      </c>
      <c r="E423">
        <v>2</v>
      </c>
      <c r="F423">
        <f t="shared" si="30"/>
        <v>21</v>
      </c>
      <c r="G423">
        <f t="shared" si="31"/>
        <v>0</v>
      </c>
      <c r="H423">
        <f t="shared" si="32"/>
        <v>0</v>
      </c>
      <c r="I423">
        <f t="shared" si="33"/>
        <v>0</v>
      </c>
      <c r="J423">
        <f t="shared" si="34"/>
        <v>0</v>
      </c>
    </row>
    <row r="424" spans="1:10" x14ac:dyDescent="0.3">
      <c r="A424" s="1">
        <v>41839</v>
      </c>
      <c r="B424" s="1">
        <v>41853</v>
      </c>
      <c r="C424">
        <v>6.23</v>
      </c>
      <c r="D424">
        <v>0.16</v>
      </c>
      <c r="E424">
        <v>3</v>
      </c>
      <c r="F424">
        <f t="shared" si="30"/>
        <v>0</v>
      </c>
      <c r="G424">
        <f t="shared" si="31"/>
        <v>14</v>
      </c>
      <c r="H424">
        <f t="shared" si="32"/>
        <v>0</v>
      </c>
      <c r="I424">
        <f t="shared" si="33"/>
        <v>0</v>
      </c>
      <c r="J424">
        <f t="shared" si="34"/>
        <v>0</v>
      </c>
    </row>
    <row r="425" spans="1:10" x14ac:dyDescent="0.3">
      <c r="A425" s="1">
        <v>41839</v>
      </c>
      <c r="B425" s="1">
        <v>41859</v>
      </c>
      <c r="C425">
        <v>3.79</v>
      </c>
      <c r="D425">
        <v>0.1</v>
      </c>
      <c r="E425">
        <v>4</v>
      </c>
      <c r="F425">
        <f t="shared" si="30"/>
        <v>0</v>
      </c>
      <c r="G425">
        <f t="shared" si="31"/>
        <v>0</v>
      </c>
      <c r="H425">
        <f t="shared" si="32"/>
        <v>20</v>
      </c>
      <c r="I425">
        <f t="shared" si="33"/>
        <v>0</v>
      </c>
      <c r="J425">
        <f t="shared" si="34"/>
        <v>0</v>
      </c>
    </row>
    <row r="426" spans="1:10" x14ac:dyDescent="0.3">
      <c r="A426" s="1">
        <v>41839</v>
      </c>
      <c r="B426" s="1">
        <v>41866</v>
      </c>
      <c r="C426">
        <v>11.37</v>
      </c>
      <c r="D426">
        <v>0.3</v>
      </c>
      <c r="E426">
        <v>5</v>
      </c>
      <c r="F426">
        <f t="shared" si="30"/>
        <v>0</v>
      </c>
      <c r="G426">
        <f t="shared" si="31"/>
        <v>0</v>
      </c>
      <c r="H426">
        <f t="shared" si="32"/>
        <v>0</v>
      </c>
      <c r="I426">
        <f t="shared" si="33"/>
        <v>27</v>
      </c>
      <c r="J426">
        <f t="shared" si="34"/>
        <v>0</v>
      </c>
    </row>
    <row r="427" spans="1:10" x14ac:dyDescent="0.3">
      <c r="A427" s="1">
        <v>41839</v>
      </c>
      <c r="B427" s="1">
        <v>41847</v>
      </c>
      <c r="C427">
        <v>5.64</v>
      </c>
      <c r="D427">
        <v>0.15</v>
      </c>
      <c r="E427">
        <v>5</v>
      </c>
      <c r="F427">
        <f t="shared" si="30"/>
        <v>0</v>
      </c>
      <c r="G427">
        <f t="shared" si="31"/>
        <v>0</v>
      </c>
      <c r="H427">
        <f t="shared" si="32"/>
        <v>0</v>
      </c>
      <c r="I427">
        <f t="shared" si="33"/>
        <v>8</v>
      </c>
      <c r="J427">
        <f t="shared" si="34"/>
        <v>0</v>
      </c>
    </row>
    <row r="428" spans="1:10" x14ac:dyDescent="0.3">
      <c r="A428" s="1">
        <v>41839</v>
      </c>
      <c r="B428" s="1">
        <v>41858</v>
      </c>
      <c r="C428">
        <v>7.55</v>
      </c>
      <c r="D428">
        <v>0.2</v>
      </c>
      <c r="E428">
        <v>2</v>
      </c>
      <c r="F428">
        <f t="shared" si="30"/>
        <v>19</v>
      </c>
      <c r="G428">
        <f t="shared" si="31"/>
        <v>0</v>
      </c>
      <c r="H428">
        <f t="shared" si="32"/>
        <v>0</v>
      </c>
      <c r="I428">
        <f t="shared" si="33"/>
        <v>0</v>
      </c>
      <c r="J428">
        <f t="shared" si="34"/>
        <v>0</v>
      </c>
    </row>
    <row r="429" spans="1:10" x14ac:dyDescent="0.3">
      <c r="A429" s="1">
        <v>41839</v>
      </c>
      <c r="B429" s="1">
        <v>41853</v>
      </c>
      <c r="C429">
        <v>10.199999999999999</v>
      </c>
      <c r="D429">
        <v>0.27</v>
      </c>
      <c r="E429">
        <v>4</v>
      </c>
      <c r="F429">
        <f t="shared" si="30"/>
        <v>0</v>
      </c>
      <c r="G429">
        <f t="shared" si="31"/>
        <v>0</v>
      </c>
      <c r="H429">
        <f t="shared" si="32"/>
        <v>14</v>
      </c>
      <c r="I429">
        <f t="shared" si="33"/>
        <v>0</v>
      </c>
      <c r="J429">
        <f t="shared" si="34"/>
        <v>0</v>
      </c>
    </row>
    <row r="430" spans="1:10" x14ac:dyDescent="0.3">
      <c r="A430" s="1">
        <v>41839</v>
      </c>
      <c r="B430" s="1">
        <v>41862</v>
      </c>
      <c r="C430">
        <v>2.0099999999999998</v>
      </c>
      <c r="D430">
        <v>0.05</v>
      </c>
      <c r="E430">
        <v>6</v>
      </c>
      <c r="F430">
        <f t="shared" si="30"/>
        <v>0</v>
      </c>
      <c r="G430">
        <f t="shared" si="31"/>
        <v>0</v>
      </c>
      <c r="H430">
        <f t="shared" si="32"/>
        <v>0</v>
      </c>
      <c r="I430">
        <f t="shared" si="33"/>
        <v>0</v>
      </c>
      <c r="J430">
        <f t="shared" si="34"/>
        <v>23</v>
      </c>
    </row>
    <row r="431" spans="1:10" x14ac:dyDescent="0.3">
      <c r="A431" s="1">
        <v>41839</v>
      </c>
      <c r="B431" s="1">
        <v>41862</v>
      </c>
      <c r="C431">
        <v>13.81</v>
      </c>
      <c r="D431">
        <v>0.36</v>
      </c>
      <c r="E431">
        <v>3</v>
      </c>
      <c r="F431">
        <f t="shared" si="30"/>
        <v>0</v>
      </c>
      <c r="G431">
        <f t="shared" si="31"/>
        <v>23</v>
      </c>
      <c r="H431">
        <f t="shared" si="32"/>
        <v>0</v>
      </c>
      <c r="I431">
        <f t="shared" si="33"/>
        <v>0</v>
      </c>
      <c r="J431">
        <f t="shared" si="34"/>
        <v>0</v>
      </c>
    </row>
    <row r="432" spans="1:10" x14ac:dyDescent="0.3">
      <c r="A432" s="1">
        <v>41841</v>
      </c>
      <c r="B432" s="1">
        <v>41868</v>
      </c>
      <c r="C432">
        <v>8.7200000000000006</v>
      </c>
      <c r="D432">
        <v>0.23</v>
      </c>
      <c r="E432">
        <v>2</v>
      </c>
      <c r="F432">
        <f t="shared" si="30"/>
        <v>27</v>
      </c>
      <c r="G432">
        <f t="shared" si="31"/>
        <v>0</v>
      </c>
      <c r="H432">
        <f t="shared" si="32"/>
        <v>0</v>
      </c>
      <c r="I432">
        <f t="shared" si="33"/>
        <v>0</v>
      </c>
      <c r="J432">
        <f t="shared" si="34"/>
        <v>0</v>
      </c>
    </row>
    <row r="433" spans="1:10" x14ac:dyDescent="0.3">
      <c r="A433" s="1">
        <v>41841</v>
      </c>
      <c r="B433" s="1">
        <v>41859</v>
      </c>
      <c r="C433">
        <v>11.44</v>
      </c>
      <c r="D433">
        <v>0.3</v>
      </c>
      <c r="E433">
        <v>3</v>
      </c>
      <c r="F433">
        <f t="shared" si="30"/>
        <v>0</v>
      </c>
      <c r="G433">
        <f t="shared" si="31"/>
        <v>18</v>
      </c>
      <c r="H433">
        <f t="shared" si="32"/>
        <v>0</v>
      </c>
      <c r="I433">
        <f t="shared" si="33"/>
        <v>0</v>
      </c>
      <c r="J433">
        <f t="shared" si="34"/>
        <v>0</v>
      </c>
    </row>
    <row r="434" spans="1:10" x14ac:dyDescent="0.3">
      <c r="A434" s="1">
        <v>41841</v>
      </c>
      <c r="B434" s="1">
        <v>41854</v>
      </c>
      <c r="C434">
        <v>3.94</v>
      </c>
      <c r="D434">
        <v>0.1</v>
      </c>
      <c r="E434">
        <v>2</v>
      </c>
      <c r="F434">
        <f t="shared" si="30"/>
        <v>13</v>
      </c>
      <c r="G434">
        <f t="shared" si="31"/>
        <v>0</v>
      </c>
      <c r="H434">
        <f t="shared" si="32"/>
        <v>0</v>
      </c>
      <c r="I434">
        <f t="shared" si="33"/>
        <v>0</v>
      </c>
      <c r="J434">
        <f t="shared" si="34"/>
        <v>0</v>
      </c>
    </row>
    <row r="435" spans="1:10" x14ac:dyDescent="0.3">
      <c r="A435" s="1">
        <v>41845</v>
      </c>
      <c r="B435" s="1">
        <v>41871</v>
      </c>
      <c r="C435">
        <v>9.4600000000000009</v>
      </c>
      <c r="D435">
        <v>0.25</v>
      </c>
      <c r="E435">
        <v>3</v>
      </c>
      <c r="F435">
        <f t="shared" si="30"/>
        <v>0</v>
      </c>
      <c r="G435">
        <f t="shared" si="31"/>
        <v>26</v>
      </c>
      <c r="H435">
        <f t="shared" si="32"/>
        <v>0</v>
      </c>
      <c r="I435">
        <f t="shared" si="33"/>
        <v>0</v>
      </c>
      <c r="J435">
        <f t="shared" si="34"/>
        <v>0</v>
      </c>
    </row>
    <row r="436" spans="1:10" x14ac:dyDescent="0.3">
      <c r="A436" s="1">
        <v>41845</v>
      </c>
      <c r="B436" s="1">
        <v>41853</v>
      </c>
      <c r="C436">
        <v>11.69</v>
      </c>
      <c r="D436">
        <v>0.31</v>
      </c>
      <c r="E436">
        <v>4</v>
      </c>
      <c r="F436">
        <f t="shared" si="30"/>
        <v>0</v>
      </c>
      <c r="G436">
        <f t="shared" si="31"/>
        <v>0</v>
      </c>
      <c r="H436">
        <f t="shared" si="32"/>
        <v>8</v>
      </c>
      <c r="I436">
        <f t="shared" si="33"/>
        <v>0</v>
      </c>
      <c r="J436">
        <f t="shared" si="34"/>
        <v>0</v>
      </c>
    </row>
    <row r="437" spans="1:10" x14ac:dyDescent="0.3">
      <c r="A437" s="1">
        <v>41845</v>
      </c>
      <c r="B437" s="1">
        <v>41870</v>
      </c>
      <c r="C437">
        <v>8.83</v>
      </c>
      <c r="D437">
        <v>0.23</v>
      </c>
      <c r="E437">
        <v>2</v>
      </c>
      <c r="F437">
        <f t="shared" si="30"/>
        <v>25</v>
      </c>
      <c r="G437">
        <f t="shared" si="31"/>
        <v>0</v>
      </c>
      <c r="H437">
        <f t="shared" si="32"/>
        <v>0</v>
      </c>
      <c r="I437">
        <f t="shared" si="33"/>
        <v>0</v>
      </c>
      <c r="J437">
        <f t="shared" si="34"/>
        <v>0</v>
      </c>
    </row>
    <row r="438" spans="1:10" x14ac:dyDescent="0.3">
      <c r="A438" s="1">
        <v>41845</v>
      </c>
      <c r="B438" s="1">
        <v>41866</v>
      </c>
      <c r="C438">
        <v>8.83</v>
      </c>
      <c r="D438">
        <v>0.23</v>
      </c>
      <c r="E438">
        <v>6</v>
      </c>
      <c r="F438">
        <f t="shared" si="30"/>
        <v>0</v>
      </c>
      <c r="G438">
        <f t="shared" si="31"/>
        <v>0</v>
      </c>
      <c r="H438">
        <f t="shared" si="32"/>
        <v>0</v>
      </c>
      <c r="I438">
        <f t="shared" si="33"/>
        <v>0</v>
      </c>
      <c r="J438">
        <f t="shared" si="34"/>
        <v>21</v>
      </c>
    </row>
    <row r="439" spans="1:10" x14ac:dyDescent="0.3">
      <c r="A439" s="1">
        <v>41845</v>
      </c>
      <c r="B439" s="1">
        <v>41866</v>
      </c>
      <c r="C439">
        <v>9.1300000000000008</v>
      </c>
      <c r="D439">
        <v>0.24</v>
      </c>
      <c r="E439">
        <v>4</v>
      </c>
      <c r="F439">
        <f t="shared" si="30"/>
        <v>0</v>
      </c>
      <c r="G439">
        <f t="shared" si="31"/>
        <v>0</v>
      </c>
      <c r="H439">
        <f t="shared" si="32"/>
        <v>21</v>
      </c>
      <c r="I439">
        <f t="shared" si="33"/>
        <v>0</v>
      </c>
      <c r="J439">
        <f t="shared" si="34"/>
        <v>0</v>
      </c>
    </row>
    <row r="440" spans="1:10" x14ac:dyDescent="0.3">
      <c r="A440" s="1">
        <v>41845</v>
      </c>
      <c r="B440" s="1">
        <v>41873</v>
      </c>
      <c r="C440">
        <v>9.06</v>
      </c>
      <c r="D440">
        <v>0.24</v>
      </c>
      <c r="E440">
        <v>5</v>
      </c>
      <c r="F440">
        <f t="shared" si="30"/>
        <v>0</v>
      </c>
      <c r="G440">
        <f t="shared" si="31"/>
        <v>0</v>
      </c>
      <c r="H440">
        <f t="shared" si="32"/>
        <v>0</v>
      </c>
      <c r="I440">
        <f t="shared" si="33"/>
        <v>28</v>
      </c>
      <c r="J440">
        <f t="shared" si="34"/>
        <v>0</v>
      </c>
    </row>
    <row r="441" spans="1:10" x14ac:dyDescent="0.3">
      <c r="A441" s="1">
        <v>41851</v>
      </c>
      <c r="B441" s="1">
        <v>41873</v>
      </c>
      <c r="C441">
        <v>10.19</v>
      </c>
      <c r="D441">
        <v>0.27</v>
      </c>
      <c r="E441">
        <v>5</v>
      </c>
      <c r="F441">
        <f t="shared" si="30"/>
        <v>0</v>
      </c>
      <c r="G441">
        <f t="shared" si="31"/>
        <v>0</v>
      </c>
      <c r="H441">
        <f t="shared" si="32"/>
        <v>0</v>
      </c>
      <c r="I441">
        <f t="shared" si="33"/>
        <v>22</v>
      </c>
      <c r="J441">
        <f t="shared" si="34"/>
        <v>0</v>
      </c>
    </row>
    <row r="442" spans="1:10" x14ac:dyDescent="0.3">
      <c r="A442" s="1">
        <v>41851</v>
      </c>
      <c r="B442" s="1">
        <v>41872</v>
      </c>
      <c r="C442">
        <v>14</v>
      </c>
      <c r="D442">
        <v>0.37</v>
      </c>
      <c r="E442">
        <v>4</v>
      </c>
      <c r="F442">
        <f t="shared" si="30"/>
        <v>0</v>
      </c>
      <c r="G442">
        <f t="shared" si="31"/>
        <v>0</v>
      </c>
      <c r="H442">
        <f t="shared" si="32"/>
        <v>21</v>
      </c>
      <c r="I442">
        <f t="shared" si="33"/>
        <v>0</v>
      </c>
      <c r="J442">
        <f t="shared" si="34"/>
        <v>0</v>
      </c>
    </row>
    <row r="443" spans="1:10" x14ac:dyDescent="0.3">
      <c r="A443" s="1">
        <v>41851</v>
      </c>
      <c r="B443" s="1">
        <v>41858</v>
      </c>
      <c r="C443">
        <v>11.44</v>
      </c>
      <c r="D443">
        <v>0.3</v>
      </c>
      <c r="E443">
        <v>5</v>
      </c>
      <c r="F443">
        <f t="shared" si="30"/>
        <v>0</v>
      </c>
      <c r="G443">
        <f t="shared" si="31"/>
        <v>0</v>
      </c>
      <c r="H443">
        <f t="shared" si="32"/>
        <v>0</v>
      </c>
      <c r="I443">
        <f t="shared" si="33"/>
        <v>7</v>
      </c>
      <c r="J443">
        <f t="shared" si="34"/>
        <v>0</v>
      </c>
    </row>
    <row r="444" spans="1:10" x14ac:dyDescent="0.3">
      <c r="A444" s="1">
        <v>41851</v>
      </c>
      <c r="B444" s="1">
        <v>41871</v>
      </c>
      <c r="C444">
        <v>7.31</v>
      </c>
      <c r="D444">
        <v>0.19</v>
      </c>
      <c r="E444">
        <v>2</v>
      </c>
      <c r="F444">
        <f t="shared" si="30"/>
        <v>20</v>
      </c>
      <c r="G444">
        <f t="shared" si="31"/>
        <v>0</v>
      </c>
      <c r="H444">
        <f t="shared" si="32"/>
        <v>0</v>
      </c>
      <c r="I444">
        <f t="shared" si="33"/>
        <v>0</v>
      </c>
      <c r="J444">
        <f t="shared" si="34"/>
        <v>0</v>
      </c>
    </row>
    <row r="445" spans="1:10" x14ac:dyDescent="0.3">
      <c r="A445" s="1">
        <v>41851</v>
      </c>
      <c r="B445" s="1">
        <v>41863</v>
      </c>
      <c r="C445">
        <v>9.4600000000000009</v>
      </c>
      <c r="D445">
        <v>0.25</v>
      </c>
      <c r="E445">
        <v>2</v>
      </c>
      <c r="F445">
        <f t="shared" si="30"/>
        <v>12</v>
      </c>
      <c r="G445">
        <f t="shared" si="31"/>
        <v>0</v>
      </c>
      <c r="H445">
        <f t="shared" si="32"/>
        <v>0</v>
      </c>
      <c r="I445">
        <f t="shared" si="33"/>
        <v>0</v>
      </c>
      <c r="J445">
        <f t="shared" si="34"/>
        <v>0</v>
      </c>
    </row>
    <row r="446" spans="1:10" x14ac:dyDescent="0.3">
      <c r="A446" s="1">
        <v>41851</v>
      </c>
      <c r="B446" s="1">
        <v>41856</v>
      </c>
      <c r="C446">
        <v>8.83</v>
      </c>
      <c r="D446">
        <v>0.23</v>
      </c>
      <c r="E446">
        <v>3</v>
      </c>
      <c r="F446">
        <f t="shared" si="30"/>
        <v>0</v>
      </c>
      <c r="G446">
        <f t="shared" si="31"/>
        <v>5</v>
      </c>
      <c r="H446">
        <f t="shared" si="32"/>
        <v>0</v>
      </c>
      <c r="I446">
        <f t="shared" si="33"/>
        <v>0</v>
      </c>
      <c r="J446">
        <f t="shared" si="34"/>
        <v>0</v>
      </c>
    </row>
    <row r="447" spans="1:10" x14ac:dyDescent="0.3">
      <c r="A447" s="1">
        <v>41851</v>
      </c>
      <c r="B447" s="1">
        <v>41855</v>
      </c>
      <c r="C447">
        <v>6.88</v>
      </c>
      <c r="D447">
        <v>0.18</v>
      </c>
      <c r="E447">
        <v>2</v>
      </c>
      <c r="F447">
        <f t="shared" si="30"/>
        <v>4</v>
      </c>
      <c r="G447">
        <f t="shared" si="31"/>
        <v>0</v>
      </c>
      <c r="H447">
        <f t="shared" si="32"/>
        <v>0</v>
      </c>
      <c r="I447">
        <f t="shared" si="33"/>
        <v>0</v>
      </c>
      <c r="J447">
        <f t="shared" si="34"/>
        <v>0</v>
      </c>
    </row>
    <row r="448" spans="1:10" x14ac:dyDescent="0.3">
      <c r="A448" s="1">
        <v>41851</v>
      </c>
      <c r="B448" s="1">
        <v>41853</v>
      </c>
      <c r="C448">
        <v>6.75</v>
      </c>
      <c r="D448">
        <v>0.18</v>
      </c>
      <c r="E448">
        <v>3</v>
      </c>
      <c r="F448">
        <f t="shared" si="30"/>
        <v>0</v>
      </c>
      <c r="G448">
        <f t="shared" si="31"/>
        <v>2</v>
      </c>
      <c r="H448">
        <f t="shared" si="32"/>
        <v>0</v>
      </c>
      <c r="I448">
        <f t="shared" si="33"/>
        <v>0</v>
      </c>
      <c r="J448">
        <f t="shared" si="34"/>
        <v>0</v>
      </c>
    </row>
    <row r="449" spans="1:10" x14ac:dyDescent="0.3">
      <c r="A449" s="1">
        <v>41851</v>
      </c>
      <c r="B449" s="1">
        <v>41869</v>
      </c>
      <c r="C449">
        <v>19.54</v>
      </c>
      <c r="D449">
        <v>0.51</v>
      </c>
      <c r="E449">
        <v>3</v>
      </c>
      <c r="F449">
        <f t="shared" si="30"/>
        <v>0</v>
      </c>
      <c r="G449">
        <f t="shared" si="31"/>
        <v>18</v>
      </c>
      <c r="H449">
        <f t="shared" si="32"/>
        <v>0</v>
      </c>
      <c r="I449">
        <f t="shared" si="33"/>
        <v>0</v>
      </c>
      <c r="J449">
        <f t="shared" si="34"/>
        <v>0</v>
      </c>
    </row>
    <row r="450" spans="1:10" x14ac:dyDescent="0.3">
      <c r="A450" s="1">
        <v>41851</v>
      </c>
      <c r="B450" s="1">
        <v>41856</v>
      </c>
      <c r="C450">
        <v>14.31</v>
      </c>
      <c r="D450">
        <v>0.38</v>
      </c>
      <c r="E450">
        <v>6</v>
      </c>
      <c r="F450">
        <f t="shared" si="30"/>
        <v>0</v>
      </c>
      <c r="G450">
        <f t="shared" si="31"/>
        <v>0</v>
      </c>
      <c r="H450">
        <f t="shared" si="32"/>
        <v>0</v>
      </c>
      <c r="I450">
        <f t="shared" si="33"/>
        <v>0</v>
      </c>
      <c r="J450">
        <f t="shared" si="34"/>
        <v>5</v>
      </c>
    </row>
    <row r="451" spans="1:10" x14ac:dyDescent="0.3">
      <c r="A451" s="1">
        <v>41851</v>
      </c>
      <c r="B451" s="1">
        <v>41870</v>
      </c>
      <c r="C451">
        <v>3.79</v>
      </c>
      <c r="D451">
        <v>0.1</v>
      </c>
      <c r="E451">
        <v>2</v>
      </c>
      <c r="F451">
        <f t="shared" ref="F451:F514" si="35">IF(EXACT(E451,2),B451-A451,0)</f>
        <v>19</v>
      </c>
      <c r="G451">
        <f t="shared" ref="G451:G514" si="36">IF(EXACT(E451,3),B451-A451,0)</f>
        <v>0</v>
      </c>
      <c r="H451">
        <f t="shared" ref="H451:H514" si="37">IF(EXACT(E451,4),B451-A451,0)</f>
        <v>0</v>
      </c>
      <c r="I451">
        <f t="shared" ref="I451:I514" si="38">IF(EXACT(E451,5),B451-A451,0)</f>
        <v>0</v>
      </c>
      <c r="J451">
        <f t="shared" ref="J451:J514" si="39">IF(EXACT(E451,6),B451-A451,0)</f>
        <v>0</v>
      </c>
    </row>
    <row r="452" spans="1:10" x14ac:dyDescent="0.3">
      <c r="A452" s="1">
        <v>41851</v>
      </c>
      <c r="B452" s="1">
        <v>41868</v>
      </c>
      <c r="C452">
        <v>8.89</v>
      </c>
      <c r="D452">
        <v>0.23</v>
      </c>
      <c r="E452">
        <v>5</v>
      </c>
      <c r="F452">
        <f t="shared" si="35"/>
        <v>0</v>
      </c>
      <c r="G452">
        <f t="shared" si="36"/>
        <v>0</v>
      </c>
      <c r="H452">
        <f t="shared" si="37"/>
        <v>0</v>
      </c>
      <c r="I452">
        <f t="shared" si="38"/>
        <v>17</v>
      </c>
      <c r="J452">
        <f t="shared" si="39"/>
        <v>0</v>
      </c>
    </row>
    <row r="453" spans="1:10" x14ac:dyDescent="0.3">
      <c r="A453" s="1">
        <v>41851</v>
      </c>
      <c r="B453" s="1">
        <v>41867</v>
      </c>
      <c r="C453">
        <v>7.71</v>
      </c>
      <c r="D453">
        <v>0.2</v>
      </c>
      <c r="E453">
        <v>5</v>
      </c>
      <c r="F453">
        <f t="shared" si="35"/>
        <v>0</v>
      </c>
      <c r="G453">
        <f t="shared" si="36"/>
        <v>0</v>
      </c>
      <c r="H453">
        <f t="shared" si="37"/>
        <v>0</v>
      </c>
      <c r="I453">
        <f t="shared" si="38"/>
        <v>16</v>
      </c>
      <c r="J453">
        <f t="shared" si="39"/>
        <v>0</v>
      </c>
    </row>
    <row r="454" spans="1:10" x14ac:dyDescent="0.3">
      <c r="A454" s="1">
        <v>41851</v>
      </c>
      <c r="B454" s="1">
        <v>41864</v>
      </c>
      <c r="C454">
        <v>16.829999999999998</v>
      </c>
      <c r="D454">
        <v>0.44</v>
      </c>
      <c r="E454">
        <v>6</v>
      </c>
      <c r="F454">
        <f t="shared" si="35"/>
        <v>0</v>
      </c>
      <c r="G454">
        <f t="shared" si="36"/>
        <v>0</v>
      </c>
      <c r="H454">
        <f t="shared" si="37"/>
        <v>0</v>
      </c>
      <c r="I454">
        <f t="shared" si="38"/>
        <v>0</v>
      </c>
      <c r="J454">
        <f t="shared" si="39"/>
        <v>13</v>
      </c>
    </row>
    <row r="455" spans="1:10" x14ac:dyDescent="0.3">
      <c r="A455" s="1">
        <v>41851</v>
      </c>
      <c r="B455" s="1">
        <v>41857</v>
      </c>
      <c r="C455">
        <v>5.23</v>
      </c>
      <c r="D455">
        <v>0.14000000000000001</v>
      </c>
      <c r="E455">
        <v>6</v>
      </c>
      <c r="F455">
        <f t="shared" si="35"/>
        <v>0</v>
      </c>
      <c r="G455">
        <f t="shared" si="36"/>
        <v>0</v>
      </c>
      <c r="H455">
        <f t="shared" si="37"/>
        <v>0</v>
      </c>
      <c r="I455">
        <f t="shared" si="38"/>
        <v>0</v>
      </c>
      <c r="J455">
        <f t="shared" si="39"/>
        <v>6</v>
      </c>
    </row>
    <row r="456" spans="1:10" x14ac:dyDescent="0.3">
      <c r="A456" s="1">
        <v>41851</v>
      </c>
      <c r="B456" s="1">
        <v>41853</v>
      </c>
      <c r="C456">
        <v>10.79</v>
      </c>
      <c r="D456">
        <v>0.28000000000000003</v>
      </c>
      <c r="E456">
        <v>5</v>
      </c>
      <c r="F456">
        <f t="shared" si="35"/>
        <v>0</v>
      </c>
      <c r="G456">
        <f t="shared" si="36"/>
        <v>0</v>
      </c>
      <c r="H456">
        <f t="shared" si="37"/>
        <v>0</v>
      </c>
      <c r="I456">
        <f t="shared" si="38"/>
        <v>2</v>
      </c>
      <c r="J456">
        <f t="shared" si="39"/>
        <v>0</v>
      </c>
    </row>
    <row r="457" spans="1:10" x14ac:dyDescent="0.3">
      <c r="A457" s="1">
        <v>41851</v>
      </c>
      <c r="B457" s="1">
        <v>41868</v>
      </c>
      <c r="C457">
        <v>12.23</v>
      </c>
      <c r="D457">
        <v>0.32</v>
      </c>
      <c r="E457">
        <v>2</v>
      </c>
      <c r="F457">
        <f t="shared" si="35"/>
        <v>17</v>
      </c>
      <c r="G457">
        <f t="shared" si="36"/>
        <v>0</v>
      </c>
      <c r="H457">
        <f t="shared" si="37"/>
        <v>0</v>
      </c>
      <c r="I457">
        <f t="shared" si="38"/>
        <v>0</v>
      </c>
      <c r="J457">
        <f t="shared" si="39"/>
        <v>0</v>
      </c>
    </row>
    <row r="458" spans="1:10" x14ac:dyDescent="0.3">
      <c r="A458" s="1">
        <v>41851</v>
      </c>
      <c r="B458" s="1">
        <v>41870</v>
      </c>
      <c r="C458">
        <v>5.78</v>
      </c>
      <c r="D458">
        <v>0.15</v>
      </c>
      <c r="E458">
        <v>6</v>
      </c>
      <c r="F458">
        <f t="shared" si="35"/>
        <v>0</v>
      </c>
      <c r="G458">
        <f t="shared" si="36"/>
        <v>0</v>
      </c>
      <c r="H458">
        <f t="shared" si="37"/>
        <v>0</v>
      </c>
      <c r="I458">
        <f t="shared" si="38"/>
        <v>0</v>
      </c>
      <c r="J458">
        <f t="shared" si="39"/>
        <v>19</v>
      </c>
    </row>
    <row r="459" spans="1:10" x14ac:dyDescent="0.3">
      <c r="A459" s="1">
        <v>41857</v>
      </c>
      <c r="B459" s="1">
        <v>41865</v>
      </c>
      <c r="C459">
        <v>5.23</v>
      </c>
      <c r="D459">
        <v>0.14000000000000001</v>
      </c>
      <c r="E459">
        <v>3</v>
      </c>
      <c r="F459">
        <f t="shared" si="35"/>
        <v>0</v>
      </c>
      <c r="G459">
        <f t="shared" si="36"/>
        <v>8</v>
      </c>
      <c r="H459">
        <f t="shared" si="37"/>
        <v>0</v>
      </c>
      <c r="I459">
        <f t="shared" si="38"/>
        <v>0</v>
      </c>
      <c r="J459">
        <f t="shared" si="39"/>
        <v>0</v>
      </c>
    </row>
    <row r="460" spans="1:10" x14ac:dyDescent="0.3">
      <c r="A460" s="1">
        <v>41857</v>
      </c>
      <c r="B460" s="1">
        <v>41868</v>
      </c>
      <c r="C460">
        <v>9.06</v>
      </c>
      <c r="D460">
        <v>0.24</v>
      </c>
      <c r="E460">
        <v>2</v>
      </c>
      <c r="F460">
        <f t="shared" si="35"/>
        <v>11</v>
      </c>
      <c r="G460">
        <f t="shared" si="36"/>
        <v>0</v>
      </c>
      <c r="H460">
        <f t="shared" si="37"/>
        <v>0</v>
      </c>
      <c r="I460">
        <f t="shared" si="38"/>
        <v>0</v>
      </c>
      <c r="J460">
        <f t="shared" si="39"/>
        <v>0</v>
      </c>
    </row>
    <row r="461" spans="1:10" x14ac:dyDescent="0.3">
      <c r="A461" s="1">
        <v>41857</v>
      </c>
      <c r="B461" s="1">
        <v>41885</v>
      </c>
      <c r="C461">
        <v>12.23</v>
      </c>
      <c r="D461">
        <v>0.32</v>
      </c>
      <c r="E461">
        <v>4</v>
      </c>
      <c r="F461">
        <f t="shared" si="35"/>
        <v>0</v>
      </c>
      <c r="G461">
        <f t="shared" si="36"/>
        <v>0</v>
      </c>
      <c r="H461">
        <f t="shared" si="37"/>
        <v>28</v>
      </c>
      <c r="I461">
        <f t="shared" si="38"/>
        <v>0</v>
      </c>
      <c r="J461">
        <f t="shared" si="39"/>
        <v>0</v>
      </c>
    </row>
    <row r="462" spans="1:10" x14ac:dyDescent="0.3">
      <c r="A462" s="1">
        <v>41857</v>
      </c>
      <c r="B462" s="1">
        <v>41881</v>
      </c>
      <c r="C462">
        <v>8.83</v>
      </c>
      <c r="D462">
        <v>0.23</v>
      </c>
      <c r="E462">
        <v>4</v>
      </c>
      <c r="F462">
        <f t="shared" si="35"/>
        <v>0</v>
      </c>
      <c r="G462">
        <f t="shared" si="36"/>
        <v>0</v>
      </c>
      <c r="H462">
        <f t="shared" si="37"/>
        <v>24</v>
      </c>
      <c r="I462">
        <f t="shared" si="38"/>
        <v>0</v>
      </c>
      <c r="J462">
        <f t="shared" si="39"/>
        <v>0</v>
      </c>
    </row>
    <row r="463" spans="1:10" x14ac:dyDescent="0.3">
      <c r="A463" s="1">
        <v>41857</v>
      </c>
      <c r="B463" s="1">
        <v>41876</v>
      </c>
      <c r="C463">
        <v>10.93</v>
      </c>
      <c r="D463">
        <v>0.28999999999999998</v>
      </c>
      <c r="E463">
        <v>5</v>
      </c>
      <c r="F463">
        <f t="shared" si="35"/>
        <v>0</v>
      </c>
      <c r="G463">
        <f t="shared" si="36"/>
        <v>0</v>
      </c>
      <c r="H463">
        <f t="shared" si="37"/>
        <v>0</v>
      </c>
      <c r="I463">
        <f t="shared" si="38"/>
        <v>19</v>
      </c>
      <c r="J463">
        <f t="shared" si="39"/>
        <v>0</v>
      </c>
    </row>
    <row r="464" spans="1:10" x14ac:dyDescent="0.3">
      <c r="A464" s="1">
        <v>41860</v>
      </c>
      <c r="B464" s="1">
        <v>41874</v>
      </c>
      <c r="C464">
        <v>3.94</v>
      </c>
      <c r="D464">
        <v>0.1</v>
      </c>
      <c r="E464">
        <v>2</v>
      </c>
      <c r="F464">
        <f t="shared" si="35"/>
        <v>14</v>
      </c>
      <c r="G464">
        <f t="shared" si="36"/>
        <v>0</v>
      </c>
      <c r="H464">
        <f t="shared" si="37"/>
        <v>0</v>
      </c>
      <c r="I464">
        <f t="shared" si="38"/>
        <v>0</v>
      </c>
      <c r="J464">
        <f t="shared" si="39"/>
        <v>0</v>
      </c>
    </row>
    <row r="465" spans="1:10" x14ac:dyDescent="0.3">
      <c r="A465" s="1">
        <v>41863</v>
      </c>
      <c r="B465" s="1">
        <v>41885</v>
      </c>
      <c r="C465">
        <v>19.54</v>
      </c>
      <c r="D465">
        <v>0.51</v>
      </c>
      <c r="E465">
        <v>6</v>
      </c>
      <c r="F465">
        <f t="shared" si="35"/>
        <v>0</v>
      </c>
      <c r="G465">
        <f t="shared" si="36"/>
        <v>0</v>
      </c>
      <c r="H465">
        <f t="shared" si="37"/>
        <v>0</v>
      </c>
      <c r="I465">
        <f t="shared" si="38"/>
        <v>0</v>
      </c>
      <c r="J465">
        <f t="shared" si="39"/>
        <v>22</v>
      </c>
    </row>
    <row r="466" spans="1:10" x14ac:dyDescent="0.3">
      <c r="A466" s="1">
        <v>41863</v>
      </c>
      <c r="B466" s="1">
        <v>41872</v>
      </c>
      <c r="C466">
        <v>6.75</v>
      </c>
      <c r="D466">
        <v>0.18</v>
      </c>
      <c r="E466">
        <v>2</v>
      </c>
      <c r="F466">
        <f t="shared" si="35"/>
        <v>9</v>
      </c>
      <c r="G466">
        <f t="shared" si="36"/>
        <v>0</v>
      </c>
      <c r="H466">
        <f t="shared" si="37"/>
        <v>0</v>
      </c>
      <c r="I466">
        <f t="shared" si="38"/>
        <v>0</v>
      </c>
      <c r="J466">
        <f t="shared" si="39"/>
        <v>0</v>
      </c>
    </row>
    <row r="467" spans="1:10" x14ac:dyDescent="0.3">
      <c r="A467" s="1">
        <v>41863</v>
      </c>
      <c r="B467" s="1">
        <v>41888</v>
      </c>
      <c r="C467">
        <v>7.55</v>
      </c>
      <c r="D467">
        <v>0.2</v>
      </c>
      <c r="E467">
        <v>5</v>
      </c>
      <c r="F467">
        <f t="shared" si="35"/>
        <v>0</v>
      </c>
      <c r="G467">
        <f t="shared" si="36"/>
        <v>0</v>
      </c>
      <c r="H467">
        <f t="shared" si="37"/>
        <v>0</v>
      </c>
      <c r="I467">
        <f t="shared" si="38"/>
        <v>25</v>
      </c>
      <c r="J467">
        <f t="shared" si="39"/>
        <v>0</v>
      </c>
    </row>
    <row r="468" spans="1:10" x14ac:dyDescent="0.3">
      <c r="A468" s="1">
        <v>41863</v>
      </c>
      <c r="B468" s="1">
        <v>41886</v>
      </c>
      <c r="C468">
        <v>3.73</v>
      </c>
      <c r="D468">
        <v>0.1</v>
      </c>
      <c r="E468">
        <v>5</v>
      </c>
      <c r="F468">
        <f t="shared" si="35"/>
        <v>0</v>
      </c>
      <c r="G468">
        <f t="shared" si="36"/>
        <v>0</v>
      </c>
      <c r="H468">
        <f t="shared" si="37"/>
        <v>0</v>
      </c>
      <c r="I468">
        <f t="shared" si="38"/>
        <v>23</v>
      </c>
      <c r="J468">
        <f t="shared" si="39"/>
        <v>0</v>
      </c>
    </row>
    <row r="469" spans="1:10" x14ac:dyDescent="0.3">
      <c r="A469" s="1">
        <v>41863</v>
      </c>
      <c r="B469" s="1">
        <v>41874</v>
      </c>
      <c r="C469">
        <v>8.51</v>
      </c>
      <c r="D469">
        <v>0.22</v>
      </c>
      <c r="E469">
        <v>2</v>
      </c>
      <c r="F469">
        <f t="shared" si="35"/>
        <v>11</v>
      </c>
      <c r="G469">
        <f t="shared" si="36"/>
        <v>0</v>
      </c>
      <c r="H469">
        <f t="shared" si="37"/>
        <v>0</v>
      </c>
      <c r="I469">
        <f t="shared" si="38"/>
        <v>0</v>
      </c>
      <c r="J469">
        <f t="shared" si="39"/>
        <v>0</v>
      </c>
    </row>
    <row r="470" spans="1:10" x14ac:dyDescent="0.3">
      <c r="A470" s="1">
        <v>41863</v>
      </c>
      <c r="B470" s="1">
        <v>41878</v>
      </c>
      <c r="C470">
        <v>6.88</v>
      </c>
      <c r="D470">
        <v>0.18</v>
      </c>
      <c r="E470">
        <v>3</v>
      </c>
      <c r="F470">
        <f t="shared" si="35"/>
        <v>0</v>
      </c>
      <c r="G470">
        <f t="shared" si="36"/>
        <v>15</v>
      </c>
      <c r="H470">
        <f t="shared" si="37"/>
        <v>0</v>
      </c>
      <c r="I470">
        <f t="shared" si="38"/>
        <v>0</v>
      </c>
      <c r="J470">
        <f t="shared" si="39"/>
        <v>0</v>
      </c>
    </row>
    <row r="471" spans="1:10" x14ac:dyDescent="0.3">
      <c r="A471" s="1">
        <v>41863</v>
      </c>
      <c r="B471" s="1">
        <v>41874</v>
      </c>
      <c r="C471">
        <v>6.75</v>
      </c>
      <c r="D471">
        <v>0.18</v>
      </c>
      <c r="E471">
        <v>4</v>
      </c>
      <c r="F471">
        <f t="shared" si="35"/>
        <v>0</v>
      </c>
      <c r="G471">
        <f t="shared" si="36"/>
        <v>0</v>
      </c>
      <c r="H471">
        <f t="shared" si="37"/>
        <v>11</v>
      </c>
      <c r="I471">
        <f t="shared" si="38"/>
        <v>0</v>
      </c>
      <c r="J471">
        <f t="shared" si="39"/>
        <v>0</v>
      </c>
    </row>
    <row r="472" spans="1:10" x14ac:dyDescent="0.3">
      <c r="A472" s="1">
        <v>41863</v>
      </c>
      <c r="B472" s="1">
        <v>41875</v>
      </c>
      <c r="C472">
        <v>11.42</v>
      </c>
      <c r="D472">
        <v>0.3</v>
      </c>
      <c r="E472">
        <v>5</v>
      </c>
      <c r="F472">
        <f t="shared" si="35"/>
        <v>0</v>
      </c>
      <c r="G472">
        <f t="shared" si="36"/>
        <v>0</v>
      </c>
      <c r="H472">
        <f t="shared" si="37"/>
        <v>0</v>
      </c>
      <c r="I472">
        <f t="shared" si="38"/>
        <v>12</v>
      </c>
      <c r="J472">
        <f t="shared" si="39"/>
        <v>0</v>
      </c>
    </row>
    <row r="473" spans="1:10" x14ac:dyDescent="0.3">
      <c r="A473" s="1">
        <v>41863</v>
      </c>
      <c r="B473" s="1">
        <v>41866</v>
      </c>
      <c r="C473">
        <v>16.940000000000001</v>
      </c>
      <c r="D473">
        <v>0.45</v>
      </c>
      <c r="E473">
        <v>3</v>
      </c>
      <c r="F473">
        <f t="shared" si="35"/>
        <v>0</v>
      </c>
      <c r="G473">
        <f t="shared" si="36"/>
        <v>3</v>
      </c>
      <c r="H473">
        <f t="shared" si="37"/>
        <v>0</v>
      </c>
      <c r="I473">
        <f t="shared" si="38"/>
        <v>0</v>
      </c>
      <c r="J473">
        <f t="shared" si="39"/>
        <v>0</v>
      </c>
    </row>
    <row r="474" spans="1:10" x14ac:dyDescent="0.3">
      <c r="A474" s="1">
        <v>41863</v>
      </c>
      <c r="B474" s="1">
        <v>41867</v>
      </c>
      <c r="C474">
        <v>6.34</v>
      </c>
      <c r="D474">
        <v>0.17</v>
      </c>
      <c r="E474">
        <v>6</v>
      </c>
      <c r="F474">
        <f t="shared" si="35"/>
        <v>0</v>
      </c>
      <c r="G474">
        <f t="shared" si="36"/>
        <v>0</v>
      </c>
      <c r="H474">
        <f t="shared" si="37"/>
        <v>0</v>
      </c>
      <c r="I474">
        <f t="shared" si="38"/>
        <v>0</v>
      </c>
      <c r="J474">
        <f t="shared" si="39"/>
        <v>4</v>
      </c>
    </row>
    <row r="475" spans="1:10" x14ac:dyDescent="0.3">
      <c r="A475" s="1">
        <v>41863</v>
      </c>
      <c r="B475" s="1">
        <v>41870</v>
      </c>
      <c r="C475">
        <v>8.83</v>
      </c>
      <c r="D475">
        <v>0.23</v>
      </c>
      <c r="E475">
        <v>4</v>
      </c>
      <c r="F475">
        <f t="shared" si="35"/>
        <v>0</v>
      </c>
      <c r="G475">
        <f t="shared" si="36"/>
        <v>0</v>
      </c>
      <c r="H475">
        <f t="shared" si="37"/>
        <v>7</v>
      </c>
      <c r="I475">
        <f t="shared" si="38"/>
        <v>0</v>
      </c>
      <c r="J475">
        <f t="shared" si="39"/>
        <v>0</v>
      </c>
    </row>
    <row r="476" spans="1:10" x14ac:dyDescent="0.3">
      <c r="A476" s="1">
        <v>41863</v>
      </c>
      <c r="B476" s="1">
        <v>41876</v>
      </c>
      <c r="C476">
        <v>6.34</v>
      </c>
      <c r="D476">
        <v>0.17</v>
      </c>
      <c r="E476">
        <v>3</v>
      </c>
      <c r="F476">
        <f t="shared" si="35"/>
        <v>0</v>
      </c>
      <c r="G476">
        <f t="shared" si="36"/>
        <v>13</v>
      </c>
      <c r="H476">
        <f t="shared" si="37"/>
        <v>0</v>
      </c>
      <c r="I476">
        <f t="shared" si="38"/>
        <v>0</v>
      </c>
      <c r="J476">
        <f t="shared" si="39"/>
        <v>0</v>
      </c>
    </row>
    <row r="477" spans="1:10" x14ac:dyDescent="0.3">
      <c r="A477" s="1">
        <v>41863</v>
      </c>
      <c r="B477" s="1">
        <v>41880</v>
      </c>
      <c r="C477">
        <v>8.84</v>
      </c>
      <c r="D477">
        <v>0.23</v>
      </c>
      <c r="E477">
        <v>3</v>
      </c>
      <c r="F477">
        <f t="shared" si="35"/>
        <v>0</v>
      </c>
      <c r="G477">
        <f t="shared" si="36"/>
        <v>17</v>
      </c>
      <c r="H477">
        <f t="shared" si="37"/>
        <v>0</v>
      </c>
      <c r="I477">
        <f t="shared" si="38"/>
        <v>0</v>
      </c>
      <c r="J477">
        <f t="shared" si="39"/>
        <v>0</v>
      </c>
    </row>
    <row r="478" spans="1:10" x14ac:dyDescent="0.3">
      <c r="A478" s="1">
        <v>41863</v>
      </c>
      <c r="B478" s="1">
        <v>41869</v>
      </c>
      <c r="C478">
        <v>8.65</v>
      </c>
      <c r="D478">
        <v>0.23</v>
      </c>
      <c r="E478">
        <v>2</v>
      </c>
      <c r="F478">
        <f t="shared" si="35"/>
        <v>6</v>
      </c>
      <c r="G478">
        <f t="shared" si="36"/>
        <v>0</v>
      </c>
      <c r="H478">
        <f t="shared" si="37"/>
        <v>0</v>
      </c>
      <c r="I478">
        <f t="shared" si="38"/>
        <v>0</v>
      </c>
      <c r="J478">
        <f t="shared" si="39"/>
        <v>0</v>
      </c>
    </row>
    <row r="479" spans="1:10" x14ac:dyDescent="0.3">
      <c r="A479" s="1">
        <v>41863</v>
      </c>
      <c r="B479" s="1">
        <v>41887</v>
      </c>
      <c r="C479">
        <v>8.51</v>
      </c>
      <c r="D479">
        <v>0.22</v>
      </c>
      <c r="E479">
        <v>4</v>
      </c>
      <c r="F479">
        <f t="shared" si="35"/>
        <v>0</v>
      </c>
      <c r="G479">
        <f t="shared" si="36"/>
        <v>0</v>
      </c>
      <c r="H479">
        <f t="shared" si="37"/>
        <v>24</v>
      </c>
      <c r="I479">
        <f t="shared" si="38"/>
        <v>0</v>
      </c>
      <c r="J479">
        <f t="shared" si="39"/>
        <v>0</v>
      </c>
    </row>
    <row r="480" spans="1:10" x14ac:dyDescent="0.3">
      <c r="A480" s="1">
        <v>41863</v>
      </c>
      <c r="B480" s="1">
        <v>41890</v>
      </c>
      <c r="C480">
        <v>9.74</v>
      </c>
      <c r="D480">
        <v>0.26</v>
      </c>
      <c r="E480">
        <v>5</v>
      </c>
      <c r="F480">
        <f t="shared" si="35"/>
        <v>0</v>
      </c>
      <c r="G480">
        <f t="shared" si="36"/>
        <v>0</v>
      </c>
      <c r="H480">
        <f t="shared" si="37"/>
        <v>0</v>
      </c>
      <c r="I480">
        <f t="shared" si="38"/>
        <v>27</v>
      </c>
      <c r="J480">
        <f t="shared" si="39"/>
        <v>0</v>
      </c>
    </row>
    <row r="481" spans="1:10" x14ac:dyDescent="0.3">
      <c r="A481" s="1">
        <v>41863</v>
      </c>
      <c r="B481" s="1">
        <v>41887</v>
      </c>
      <c r="C481">
        <v>13.02</v>
      </c>
      <c r="D481">
        <v>0.34</v>
      </c>
      <c r="E481">
        <v>2</v>
      </c>
      <c r="F481">
        <f t="shared" si="35"/>
        <v>24</v>
      </c>
      <c r="G481">
        <f t="shared" si="36"/>
        <v>0</v>
      </c>
      <c r="H481">
        <f t="shared" si="37"/>
        <v>0</v>
      </c>
      <c r="I481">
        <f t="shared" si="38"/>
        <v>0</v>
      </c>
      <c r="J481">
        <f t="shared" si="39"/>
        <v>0</v>
      </c>
    </row>
    <row r="482" spans="1:10" x14ac:dyDescent="0.3">
      <c r="A482" s="1">
        <v>41865</v>
      </c>
      <c r="B482" s="1">
        <v>41869</v>
      </c>
      <c r="C482">
        <v>4.66</v>
      </c>
      <c r="D482">
        <v>0.12</v>
      </c>
      <c r="E482">
        <v>3</v>
      </c>
      <c r="F482">
        <f t="shared" si="35"/>
        <v>0</v>
      </c>
      <c r="G482">
        <f t="shared" si="36"/>
        <v>4</v>
      </c>
      <c r="H482">
        <f t="shared" si="37"/>
        <v>0</v>
      </c>
      <c r="I482">
        <f t="shared" si="38"/>
        <v>0</v>
      </c>
      <c r="J482">
        <f t="shared" si="39"/>
        <v>0</v>
      </c>
    </row>
    <row r="483" spans="1:10" x14ac:dyDescent="0.3">
      <c r="A483" s="1">
        <v>41869</v>
      </c>
      <c r="B483" s="1">
        <v>41884</v>
      </c>
      <c r="C483">
        <v>14.13</v>
      </c>
      <c r="D483">
        <v>0.37</v>
      </c>
      <c r="E483">
        <v>4</v>
      </c>
      <c r="F483">
        <f t="shared" si="35"/>
        <v>0</v>
      </c>
      <c r="G483">
        <f t="shared" si="36"/>
        <v>0</v>
      </c>
      <c r="H483">
        <f t="shared" si="37"/>
        <v>15</v>
      </c>
      <c r="I483">
        <f t="shared" si="38"/>
        <v>0</v>
      </c>
      <c r="J483">
        <f t="shared" si="39"/>
        <v>0</v>
      </c>
    </row>
    <row r="484" spans="1:10" x14ac:dyDescent="0.3">
      <c r="A484" s="1">
        <v>41869</v>
      </c>
      <c r="B484" s="1">
        <v>41892</v>
      </c>
      <c r="C484">
        <v>11.37</v>
      </c>
      <c r="D484">
        <v>0.3</v>
      </c>
      <c r="E484">
        <v>2</v>
      </c>
      <c r="F484">
        <f t="shared" si="35"/>
        <v>23</v>
      </c>
      <c r="G484">
        <f t="shared" si="36"/>
        <v>0</v>
      </c>
      <c r="H484">
        <f t="shared" si="37"/>
        <v>0</v>
      </c>
      <c r="I484">
        <f t="shared" si="38"/>
        <v>0</v>
      </c>
      <c r="J484">
        <f t="shared" si="39"/>
        <v>0</v>
      </c>
    </row>
    <row r="485" spans="1:10" x14ac:dyDescent="0.3">
      <c r="A485" s="1">
        <v>41869</v>
      </c>
      <c r="B485" s="1">
        <v>41890</v>
      </c>
      <c r="C485">
        <v>3.79</v>
      </c>
      <c r="D485">
        <v>0.1</v>
      </c>
      <c r="E485">
        <v>3</v>
      </c>
      <c r="F485">
        <f t="shared" si="35"/>
        <v>0</v>
      </c>
      <c r="G485">
        <f t="shared" si="36"/>
        <v>21</v>
      </c>
      <c r="H485">
        <f t="shared" si="37"/>
        <v>0</v>
      </c>
      <c r="I485">
        <f t="shared" si="38"/>
        <v>0</v>
      </c>
      <c r="J485">
        <f t="shared" si="39"/>
        <v>0</v>
      </c>
    </row>
    <row r="486" spans="1:10" x14ac:dyDescent="0.3">
      <c r="A486" s="1">
        <v>41869</v>
      </c>
      <c r="B486" s="1">
        <v>41875</v>
      </c>
      <c r="C486">
        <v>11.42</v>
      </c>
      <c r="D486">
        <v>0.3</v>
      </c>
      <c r="E486">
        <v>6</v>
      </c>
      <c r="F486">
        <f t="shared" si="35"/>
        <v>0</v>
      </c>
      <c r="G486">
        <f t="shared" si="36"/>
        <v>0</v>
      </c>
      <c r="H486">
        <f t="shared" si="37"/>
        <v>0</v>
      </c>
      <c r="I486">
        <f t="shared" si="38"/>
        <v>0</v>
      </c>
      <c r="J486">
        <f t="shared" si="39"/>
        <v>6</v>
      </c>
    </row>
    <row r="487" spans="1:10" x14ac:dyDescent="0.3">
      <c r="A487" s="1">
        <v>41869</v>
      </c>
      <c r="B487" s="1">
        <v>41892</v>
      </c>
      <c r="C487">
        <v>8.84</v>
      </c>
      <c r="D487">
        <v>0.23</v>
      </c>
      <c r="E487">
        <v>3</v>
      </c>
      <c r="F487">
        <f t="shared" si="35"/>
        <v>0</v>
      </c>
      <c r="G487">
        <f t="shared" si="36"/>
        <v>23</v>
      </c>
      <c r="H487">
        <f t="shared" si="37"/>
        <v>0</v>
      </c>
      <c r="I487">
        <f t="shared" si="38"/>
        <v>0</v>
      </c>
      <c r="J487">
        <f t="shared" si="39"/>
        <v>0</v>
      </c>
    </row>
    <row r="488" spans="1:10" x14ac:dyDescent="0.3">
      <c r="A488" s="1">
        <v>41869</v>
      </c>
      <c r="B488" s="1">
        <v>41875</v>
      </c>
      <c r="C488">
        <v>11.69</v>
      </c>
      <c r="D488">
        <v>0.31</v>
      </c>
      <c r="E488">
        <v>6</v>
      </c>
      <c r="F488">
        <f t="shared" si="35"/>
        <v>0</v>
      </c>
      <c r="G488">
        <f t="shared" si="36"/>
        <v>0</v>
      </c>
      <c r="H488">
        <f t="shared" si="37"/>
        <v>0</v>
      </c>
      <c r="I488">
        <f t="shared" si="38"/>
        <v>0</v>
      </c>
      <c r="J488">
        <f t="shared" si="39"/>
        <v>6</v>
      </c>
    </row>
    <row r="489" spans="1:10" x14ac:dyDescent="0.3">
      <c r="A489" s="1">
        <v>41875</v>
      </c>
      <c r="B489" s="1">
        <v>41879</v>
      </c>
      <c r="C489">
        <v>5.78</v>
      </c>
      <c r="D489">
        <v>0.15</v>
      </c>
      <c r="E489">
        <v>4</v>
      </c>
      <c r="F489">
        <f t="shared" si="35"/>
        <v>0</v>
      </c>
      <c r="G489">
        <f t="shared" si="36"/>
        <v>0</v>
      </c>
      <c r="H489">
        <f t="shared" si="37"/>
        <v>4</v>
      </c>
      <c r="I489">
        <f t="shared" si="38"/>
        <v>0</v>
      </c>
      <c r="J489">
        <f t="shared" si="39"/>
        <v>0</v>
      </c>
    </row>
    <row r="490" spans="1:10" x14ac:dyDescent="0.3">
      <c r="A490" s="1">
        <v>41875</v>
      </c>
      <c r="B490" s="1">
        <v>41877</v>
      </c>
      <c r="C490">
        <v>19.54</v>
      </c>
      <c r="D490">
        <v>0.51</v>
      </c>
      <c r="E490">
        <v>5</v>
      </c>
      <c r="F490">
        <f t="shared" si="35"/>
        <v>0</v>
      </c>
      <c r="G490">
        <f t="shared" si="36"/>
        <v>0</v>
      </c>
      <c r="H490">
        <f t="shared" si="37"/>
        <v>0</v>
      </c>
      <c r="I490">
        <f t="shared" si="38"/>
        <v>2</v>
      </c>
      <c r="J490">
        <f t="shared" si="39"/>
        <v>0</v>
      </c>
    </row>
    <row r="491" spans="1:10" x14ac:dyDescent="0.3">
      <c r="A491" s="1">
        <v>41875</v>
      </c>
      <c r="B491" s="1">
        <v>41891</v>
      </c>
      <c r="C491">
        <v>9.06</v>
      </c>
      <c r="D491">
        <v>0.24</v>
      </c>
      <c r="E491">
        <v>2</v>
      </c>
      <c r="F491">
        <f t="shared" si="35"/>
        <v>16</v>
      </c>
      <c r="G491">
        <f t="shared" si="36"/>
        <v>0</v>
      </c>
      <c r="H491">
        <f t="shared" si="37"/>
        <v>0</v>
      </c>
      <c r="I491">
        <f t="shared" si="38"/>
        <v>0</v>
      </c>
      <c r="J491">
        <f t="shared" si="39"/>
        <v>0</v>
      </c>
    </row>
    <row r="492" spans="1:10" x14ac:dyDescent="0.3">
      <c r="A492" s="1">
        <v>41875</v>
      </c>
      <c r="B492" s="1">
        <v>41890</v>
      </c>
      <c r="C492">
        <v>13.81</v>
      </c>
      <c r="D492">
        <v>0.36</v>
      </c>
      <c r="E492">
        <v>6</v>
      </c>
      <c r="F492">
        <f t="shared" si="35"/>
        <v>0</v>
      </c>
      <c r="G492">
        <f t="shared" si="36"/>
        <v>0</v>
      </c>
      <c r="H492">
        <f t="shared" si="37"/>
        <v>0</v>
      </c>
      <c r="I492">
        <f t="shared" si="38"/>
        <v>0</v>
      </c>
      <c r="J492">
        <f t="shared" si="39"/>
        <v>15</v>
      </c>
    </row>
    <row r="493" spans="1:10" x14ac:dyDescent="0.3">
      <c r="A493" s="1">
        <v>41875</v>
      </c>
      <c r="B493" s="1">
        <v>41886</v>
      </c>
      <c r="C493">
        <v>11.42</v>
      </c>
      <c r="D493">
        <v>0.3</v>
      </c>
      <c r="E493">
        <v>5</v>
      </c>
      <c r="F493">
        <f t="shared" si="35"/>
        <v>0</v>
      </c>
      <c r="G493">
        <f t="shared" si="36"/>
        <v>0</v>
      </c>
      <c r="H493">
        <f t="shared" si="37"/>
        <v>0</v>
      </c>
      <c r="I493">
        <f t="shared" si="38"/>
        <v>11</v>
      </c>
      <c r="J493">
        <f t="shared" si="39"/>
        <v>0</v>
      </c>
    </row>
    <row r="494" spans="1:10" x14ac:dyDescent="0.3">
      <c r="A494" s="1">
        <v>41875</v>
      </c>
      <c r="B494" s="1">
        <v>41881</v>
      </c>
      <c r="C494">
        <v>14.31</v>
      </c>
      <c r="D494">
        <v>0.38</v>
      </c>
      <c r="E494">
        <v>2</v>
      </c>
      <c r="F494">
        <f t="shared" si="35"/>
        <v>6</v>
      </c>
      <c r="G494">
        <f t="shared" si="36"/>
        <v>0</v>
      </c>
      <c r="H494">
        <f t="shared" si="37"/>
        <v>0</v>
      </c>
      <c r="I494">
        <f t="shared" si="38"/>
        <v>0</v>
      </c>
      <c r="J494">
        <f t="shared" si="39"/>
        <v>0</v>
      </c>
    </row>
    <row r="495" spans="1:10" x14ac:dyDescent="0.3">
      <c r="A495" s="1">
        <v>41875</v>
      </c>
      <c r="B495" s="1">
        <v>41894</v>
      </c>
      <c r="C495">
        <v>8.83</v>
      </c>
      <c r="D495">
        <v>0.23</v>
      </c>
      <c r="E495">
        <v>3</v>
      </c>
      <c r="F495">
        <f t="shared" si="35"/>
        <v>0</v>
      </c>
      <c r="G495">
        <f t="shared" si="36"/>
        <v>19</v>
      </c>
      <c r="H495">
        <f t="shared" si="37"/>
        <v>0</v>
      </c>
      <c r="I495">
        <f t="shared" si="38"/>
        <v>0</v>
      </c>
      <c r="J495">
        <f t="shared" si="39"/>
        <v>0</v>
      </c>
    </row>
    <row r="496" spans="1:10" x14ac:dyDescent="0.3">
      <c r="A496" s="1">
        <v>41875</v>
      </c>
      <c r="B496" s="1">
        <v>41885</v>
      </c>
      <c r="C496">
        <v>14.31</v>
      </c>
      <c r="D496">
        <v>0.38</v>
      </c>
      <c r="E496">
        <v>3</v>
      </c>
      <c r="F496">
        <f t="shared" si="35"/>
        <v>0</v>
      </c>
      <c r="G496">
        <f t="shared" si="36"/>
        <v>10</v>
      </c>
      <c r="H496">
        <f t="shared" si="37"/>
        <v>0</v>
      </c>
      <c r="I496">
        <f t="shared" si="38"/>
        <v>0</v>
      </c>
      <c r="J496">
        <f t="shared" si="39"/>
        <v>0</v>
      </c>
    </row>
    <row r="497" spans="1:10" x14ac:dyDescent="0.3">
      <c r="A497" s="1">
        <v>41875</v>
      </c>
      <c r="B497" s="1">
        <v>41895</v>
      </c>
      <c r="C497">
        <v>11.37</v>
      </c>
      <c r="D497">
        <v>0.3</v>
      </c>
      <c r="E497">
        <v>2</v>
      </c>
      <c r="F497">
        <f t="shared" si="35"/>
        <v>20</v>
      </c>
      <c r="G497">
        <f t="shared" si="36"/>
        <v>0</v>
      </c>
      <c r="H497">
        <f t="shared" si="37"/>
        <v>0</v>
      </c>
      <c r="I497">
        <f t="shared" si="38"/>
        <v>0</v>
      </c>
      <c r="J497">
        <f t="shared" si="39"/>
        <v>0</v>
      </c>
    </row>
    <row r="498" spans="1:10" x14ac:dyDescent="0.3">
      <c r="A498" s="1">
        <v>41875</v>
      </c>
      <c r="B498" s="1">
        <v>41894</v>
      </c>
      <c r="C498">
        <v>11.44</v>
      </c>
      <c r="D498">
        <v>0.3</v>
      </c>
      <c r="E498">
        <v>2</v>
      </c>
      <c r="F498">
        <f t="shared" si="35"/>
        <v>19</v>
      </c>
      <c r="G498">
        <f t="shared" si="36"/>
        <v>0</v>
      </c>
      <c r="H498">
        <f t="shared" si="37"/>
        <v>0</v>
      </c>
      <c r="I498">
        <f t="shared" si="38"/>
        <v>0</v>
      </c>
      <c r="J498">
        <f t="shared" si="39"/>
        <v>0</v>
      </c>
    </row>
    <row r="499" spans="1:10" x14ac:dyDescent="0.3">
      <c r="A499" s="1">
        <v>41875</v>
      </c>
      <c r="B499" s="1">
        <v>41902</v>
      </c>
      <c r="C499">
        <v>8.65</v>
      </c>
      <c r="D499">
        <v>0.23</v>
      </c>
      <c r="E499">
        <v>4</v>
      </c>
      <c r="F499">
        <f t="shared" si="35"/>
        <v>0</v>
      </c>
      <c r="G499">
        <f t="shared" si="36"/>
        <v>0</v>
      </c>
      <c r="H499">
        <f t="shared" si="37"/>
        <v>27</v>
      </c>
      <c r="I499">
        <f t="shared" si="38"/>
        <v>0</v>
      </c>
      <c r="J499">
        <f t="shared" si="39"/>
        <v>0</v>
      </c>
    </row>
    <row r="500" spans="1:10" x14ac:dyDescent="0.3">
      <c r="A500" s="1">
        <v>41876</v>
      </c>
      <c r="B500" s="1">
        <v>41886</v>
      </c>
      <c r="C500">
        <v>11.42</v>
      </c>
      <c r="D500">
        <v>0.3</v>
      </c>
      <c r="E500">
        <v>5</v>
      </c>
      <c r="F500">
        <f t="shared" si="35"/>
        <v>0</v>
      </c>
      <c r="G500">
        <f t="shared" si="36"/>
        <v>0</v>
      </c>
      <c r="H500">
        <f t="shared" si="37"/>
        <v>0</v>
      </c>
      <c r="I500">
        <f t="shared" si="38"/>
        <v>10</v>
      </c>
      <c r="J500">
        <f t="shared" si="39"/>
        <v>0</v>
      </c>
    </row>
    <row r="501" spans="1:10" x14ac:dyDescent="0.3">
      <c r="A501" s="1">
        <v>41876</v>
      </c>
      <c r="B501" s="1">
        <v>41886</v>
      </c>
      <c r="C501">
        <v>8.39</v>
      </c>
      <c r="D501">
        <v>0.22</v>
      </c>
      <c r="E501">
        <v>2</v>
      </c>
      <c r="F501">
        <f t="shared" si="35"/>
        <v>10</v>
      </c>
      <c r="G501">
        <f t="shared" si="36"/>
        <v>0</v>
      </c>
      <c r="H501">
        <f t="shared" si="37"/>
        <v>0</v>
      </c>
      <c r="I501">
        <f t="shared" si="38"/>
        <v>0</v>
      </c>
      <c r="J501">
        <f t="shared" si="39"/>
        <v>0</v>
      </c>
    </row>
    <row r="502" spans="1:10" x14ac:dyDescent="0.3">
      <c r="A502" s="1">
        <v>41876</v>
      </c>
      <c r="B502" s="1">
        <v>41887</v>
      </c>
      <c r="C502">
        <v>9.74</v>
      </c>
      <c r="D502">
        <v>0.26</v>
      </c>
      <c r="E502">
        <v>4</v>
      </c>
      <c r="F502">
        <f t="shared" si="35"/>
        <v>0</v>
      </c>
      <c r="G502">
        <f t="shared" si="36"/>
        <v>0</v>
      </c>
      <c r="H502">
        <f t="shared" si="37"/>
        <v>11</v>
      </c>
      <c r="I502">
        <f t="shared" si="38"/>
        <v>0</v>
      </c>
      <c r="J502">
        <f t="shared" si="39"/>
        <v>0</v>
      </c>
    </row>
    <row r="503" spans="1:10" x14ac:dyDescent="0.3">
      <c r="A503" s="1">
        <v>41876</v>
      </c>
      <c r="B503" s="1">
        <v>41903</v>
      </c>
      <c r="C503">
        <v>5.23</v>
      </c>
      <c r="D503">
        <v>0.14000000000000001</v>
      </c>
      <c r="E503">
        <v>6</v>
      </c>
      <c r="F503">
        <f t="shared" si="35"/>
        <v>0</v>
      </c>
      <c r="G503">
        <f t="shared" si="36"/>
        <v>0</v>
      </c>
      <c r="H503">
        <f t="shared" si="37"/>
        <v>0</v>
      </c>
      <c r="I503">
        <f t="shared" si="38"/>
        <v>0</v>
      </c>
      <c r="J503">
        <f t="shared" si="39"/>
        <v>27</v>
      </c>
    </row>
    <row r="504" spans="1:10" x14ac:dyDescent="0.3">
      <c r="A504" s="1">
        <v>41876</v>
      </c>
      <c r="B504" s="1">
        <v>41894</v>
      </c>
      <c r="C504">
        <v>8.39</v>
      </c>
      <c r="D504">
        <v>0.22</v>
      </c>
      <c r="E504">
        <v>3</v>
      </c>
      <c r="F504">
        <f t="shared" si="35"/>
        <v>0</v>
      </c>
      <c r="G504">
        <f t="shared" si="36"/>
        <v>18</v>
      </c>
      <c r="H504">
        <f t="shared" si="37"/>
        <v>0</v>
      </c>
      <c r="I504">
        <f t="shared" si="38"/>
        <v>0</v>
      </c>
      <c r="J504">
        <f t="shared" si="39"/>
        <v>0</v>
      </c>
    </row>
    <row r="505" spans="1:10" x14ac:dyDescent="0.3">
      <c r="A505" s="1">
        <v>41877</v>
      </c>
      <c r="B505" s="1">
        <v>41896</v>
      </c>
      <c r="C505">
        <v>5.23</v>
      </c>
      <c r="D505">
        <v>0.14000000000000001</v>
      </c>
      <c r="E505">
        <v>4</v>
      </c>
      <c r="F505">
        <f t="shared" si="35"/>
        <v>0</v>
      </c>
      <c r="G505">
        <f t="shared" si="36"/>
        <v>0</v>
      </c>
      <c r="H505">
        <f t="shared" si="37"/>
        <v>19</v>
      </c>
      <c r="I505">
        <f t="shared" si="38"/>
        <v>0</v>
      </c>
      <c r="J505">
        <f t="shared" si="39"/>
        <v>0</v>
      </c>
    </row>
    <row r="506" spans="1:10" x14ac:dyDescent="0.3">
      <c r="A506" s="1">
        <v>41878</v>
      </c>
      <c r="B506" s="1">
        <v>41884</v>
      </c>
      <c r="C506">
        <v>6.34</v>
      </c>
      <c r="D506">
        <v>0.17</v>
      </c>
      <c r="E506">
        <v>4</v>
      </c>
      <c r="F506">
        <f t="shared" si="35"/>
        <v>0</v>
      </c>
      <c r="G506">
        <f t="shared" si="36"/>
        <v>0</v>
      </c>
      <c r="H506">
        <f t="shared" si="37"/>
        <v>6</v>
      </c>
      <c r="I506">
        <f t="shared" si="38"/>
        <v>0</v>
      </c>
      <c r="J506">
        <f t="shared" si="39"/>
        <v>0</v>
      </c>
    </row>
    <row r="507" spans="1:10" x14ac:dyDescent="0.3">
      <c r="A507" s="1">
        <v>41881</v>
      </c>
      <c r="B507" s="1">
        <v>41908</v>
      </c>
      <c r="C507">
        <v>10.93</v>
      </c>
      <c r="D507">
        <v>0.28999999999999998</v>
      </c>
      <c r="E507">
        <v>4</v>
      </c>
      <c r="F507">
        <f t="shared" si="35"/>
        <v>0</v>
      </c>
      <c r="G507">
        <f t="shared" si="36"/>
        <v>0</v>
      </c>
      <c r="H507">
        <f t="shared" si="37"/>
        <v>27</v>
      </c>
      <c r="I507">
        <f t="shared" si="38"/>
        <v>0</v>
      </c>
      <c r="J507">
        <f t="shared" si="39"/>
        <v>0</v>
      </c>
    </row>
    <row r="508" spans="1:10" x14ac:dyDescent="0.3">
      <c r="A508" s="1">
        <v>41881</v>
      </c>
      <c r="B508" s="1">
        <v>41894</v>
      </c>
      <c r="C508">
        <v>8.89</v>
      </c>
      <c r="D508">
        <v>0.23</v>
      </c>
      <c r="E508">
        <v>2</v>
      </c>
      <c r="F508">
        <f t="shared" si="35"/>
        <v>13</v>
      </c>
      <c r="G508">
        <f t="shared" si="36"/>
        <v>0</v>
      </c>
      <c r="H508">
        <f t="shared" si="37"/>
        <v>0</v>
      </c>
      <c r="I508">
        <f t="shared" si="38"/>
        <v>0</v>
      </c>
      <c r="J508">
        <f t="shared" si="39"/>
        <v>0</v>
      </c>
    </row>
    <row r="509" spans="1:10" x14ac:dyDescent="0.3">
      <c r="A509" s="1">
        <v>41881</v>
      </c>
      <c r="B509" s="1">
        <v>41883</v>
      </c>
      <c r="C509">
        <v>5.57</v>
      </c>
      <c r="D509">
        <v>0.15</v>
      </c>
      <c r="E509">
        <v>2</v>
      </c>
      <c r="F509">
        <f t="shared" si="35"/>
        <v>2</v>
      </c>
      <c r="G509">
        <f t="shared" si="36"/>
        <v>0</v>
      </c>
      <c r="H509">
        <f t="shared" si="37"/>
        <v>0</v>
      </c>
      <c r="I509">
        <f t="shared" si="38"/>
        <v>0</v>
      </c>
      <c r="J509">
        <f t="shared" si="39"/>
        <v>0</v>
      </c>
    </row>
    <row r="510" spans="1:10" x14ac:dyDescent="0.3">
      <c r="A510" s="1">
        <v>41881</v>
      </c>
      <c r="B510" s="1">
        <v>41907</v>
      </c>
      <c r="C510">
        <v>6.23</v>
      </c>
      <c r="D510">
        <v>0.16</v>
      </c>
      <c r="E510">
        <v>3</v>
      </c>
      <c r="F510">
        <f t="shared" si="35"/>
        <v>0</v>
      </c>
      <c r="G510">
        <f t="shared" si="36"/>
        <v>26</v>
      </c>
      <c r="H510">
        <f t="shared" si="37"/>
        <v>0</v>
      </c>
      <c r="I510">
        <f t="shared" si="38"/>
        <v>0</v>
      </c>
      <c r="J510">
        <f t="shared" si="39"/>
        <v>0</v>
      </c>
    </row>
    <row r="511" spans="1:10" x14ac:dyDescent="0.3">
      <c r="A511" s="1">
        <v>41881</v>
      </c>
      <c r="B511" s="1">
        <v>41896</v>
      </c>
      <c r="C511">
        <v>11.42</v>
      </c>
      <c r="D511">
        <v>0.3</v>
      </c>
      <c r="E511">
        <v>4</v>
      </c>
      <c r="F511">
        <f t="shared" si="35"/>
        <v>0</v>
      </c>
      <c r="G511">
        <f t="shared" si="36"/>
        <v>0</v>
      </c>
      <c r="H511">
        <f t="shared" si="37"/>
        <v>15</v>
      </c>
      <c r="I511">
        <f t="shared" si="38"/>
        <v>0</v>
      </c>
      <c r="J511">
        <f t="shared" si="39"/>
        <v>0</v>
      </c>
    </row>
    <row r="512" spans="1:10" x14ac:dyDescent="0.3">
      <c r="A512" s="1">
        <v>41881</v>
      </c>
      <c r="B512" s="1">
        <v>41903</v>
      </c>
      <c r="C512">
        <v>16.940000000000001</v>
      </c>
      <c r="D512">
        <v>0.45</v>
      </c>
      <c r="E512">
        <v>3</v>
      </c>
      <c r="F512">
        <f t="shared" si="35"/>
        <v>0</v>
      </c>
      <c r="G512">
        <f t="shared" si="36"/>
        <v>22</v>
      </c>
      <c r="H512">
        <f t="shared" si="37"/>
        <v>0</v>
      </c>
      <c r="I512">
        <f t="shared" si="38"/>
        <v>0</v>
      </c>
      <c r="J512">
        <f t="shared" si="39"/>
        <v>0</v>
      </c>
    </row>
    <row r="513" spans="1:10" x14ac:dyDescent="0.3">
      <c r="A513" s="1">
        <v>41885</v>
      </c>
      <c r="B513" s="1">
        <v>41901</v>
      </c>
      <c r="C513">
        <v>7.06</v>
      </c>
      <c r="D513">
        <v>0.19</v>
      </c>
      <c r="E513">
        <v>4</v>
      </c>
      <c r="F513">
        <f t="shared" si="35"/>
        <v>0</v>
      </c>
      <c r="G513">
        <f t="shared" si="36"/>
        <v>0</v>
      </c>
      <c r="H513">
        <f t="shared" si="37"/>
        <v>16</v>
      </c>
      <c r="I513">
        <f t="shared" si="38"/>
        <v>0</v>
      </c>
      <c r="J513">
        <f t="shared" si="39"/>
        <v>0</v>
      </c>
    </row>
    <row r="514" spans="1:10" x14ac:dyDescent="0.3">
      <c r="A514" s="1">
        <v>41886</v>
      </c>
      <c r="B514" s="1">
        <v>41899</v>
      </c>
      <c r="C514">
        <v>5.64</v>
      </c>
      <c r="D514">
        <v>0.15</v>
      </c>
      <c r="E514">
        <v>4</v>
      </c>
      <c r="F514">
        <f t="shared" si="35"/>
        <v>0</v>
      </c>
      <c r="G514">
        <f t="shared" si="36"/>
        <v>0</v>
      </c>
      <c r="H514">
        <f t="shared" si="37"/>
        <v>13</v>
      </c>
      <c r="I514">
        <f t="shared" si="38"/>
        <v>0</v>
      </c>
      <c r="J514">
        <f t="shared" si="39"/>
        <v>0</v>
      </c>
    </row>
    <row r="515" spans="1:10" x14ac:dyDescent="0.3">
      <c r="A515" s="1">
        <v>41886</v>
      </c>
      <c r="B515" s="1">
        <v>41898</v>
      </c>
      <c r="C515">
        <v>7.3</v>
      </c>
      <c r="D515">
        <v>0.19</v>
      </c>
      <c r="E515">
        <v>3</v>
      </c>
      <c r="F515">
        <f t="shared" ref="F515:F578" si="40">IF(EXACT(E515,2),B515-A515,0)</f>
        <v>0</v>
      </c>
      <c r="G515">
        <f t="shared" ref="G515:G578" si="41">IF(EXACT(E515,3),B515-A515,0)</f>
        <v>12</v>
      </c>
      <c r="H515">
        <f t="shared" ref="H515:H578" si="42">IF(EXACT(E515,4),B515-A515,0)</f>
        <v>0</v>
      </c>
      <c r="I515">
        <f t="shared" ref="I515:I578" si="43">IF(EXACT(E515,5),B515-A515,0)</f>
        <v>0</v>
      </c>
      <c r="J515">
        <f t="shared" ref="J515:J578" si="44">IF(EXACT(E515,6),B515-A515,0)</f>
        <v>0</v>
      </c>
    </row>
    <row r="516" spans="1:10" x14ac:dyDescent="0.3">
      <c r="A516" s="1">
        <v>41886</v>
      </c>
      <c r="B516" s="1">
        <v>41896</v>
      </c>
      <c r="C516">
        <v>7.06</v>
      </c>
      <c r="D516">
        <v>0.19</v>
      </c>
      <c r="E516">
        <v>3</v>
      </c>
      <c r="F516">
        <f t="shared" si="40"/>
        <v>0</v>
      </c>
      <c r="G516">
        <f t="shared" si="41"/>
        <v>10</v>
      </c>
      <c r="H516">
        <f t="shared" si="42"/>
        <v>0</v>
      </c>
      <c r="I516">
        <f t="shared" si="43"/>
        <v>0</v>
      </c>
      <c r="J516">
        <f t="shared" si="44"/>
        <v>0</v>
      </c>
    </row>
    <row r="517" spans="1:10" x14ac:dyDescent="0.3">
      <c r="A517" s="1">
        <v>41886</v>
      </c>
      <c r="B517" s="1">
        <v>41896</v>
      </c>
      <c r="C517">
        <v>5.64</v>
      </c>
      <c r="D517">
        <v>0.15</v>
      </c>
      <c r="E517">
        <v>5</v>
      </c>
      <c r="F517">
        <f t="shared" si="40"/>
        <v>0</v>
      </c>
      <c r="G517">
        <f t="shared" si="41"/>
        <v>0</v>
      </c>
      <c r="H517">
        <f t="shared" si="42"/>
        <v>0</v>
      </c>
      <c r="I517">
        <f t="shared" si="43"/>
        <v>10</v>
      </c>
      <c r="J517">
        <f t="shared" si="44"/>
        <v>0</v>
      </c>
    </row>
    <row r="518" spans="1:10" x14ac:dyDescent="0.3">
      <c r="A518" s="1">
        <v>41886</v>
      </c>
      <c r="B518" s="1">
        <v>41889</v>
      </c>
      <c r="C518">
        <v>3.73</v>
      </c>
      <c r="D518">
        <v>0.1</v>
      </c>
      <c r="E518">
        <v>6</v>
      </c>
      <c r="F518">
        <f t="shared" si="40"/>
        <v>0</v>
      </c>
      <c r="G518">
        <f t="shared" si="41"/>
        <v>0</v>
      </c>
      <c r="H518">
        <f t="shared" si="42"/>
        <v>0</v>
      </c>
      <c r="I518">
        <f t="shared" si="43"/>
        <v>0</v>
      </c>
      <c r="J518">
        <f t="shared" si="44"/>
        <v>3</v>
      </c>
    </row>
    <row r="519" spans="1:10" x14ac:dyDescent="0.3">
      <c r="A519" s="1">
        <v>41886</v>
      </c>
      <c r="B519" s="1">
        <v>41908</v>
      </c>
      <c r="C519">
        <v>13.81</v>
      </c>
      <c r="D519">
        <v>0.36</v>
      </c>
      <c r="E519">
        <v>6</v>
      </c>
      <c r="F519">
        <f t="shared" si="40"/>
        <v>0</v>
      </c>
      <c r="G519">
        <f t="shared" si="41"/>
        <v>0</v>
      </c>
      <c r="H519">
        <f t="shared" si="42"/>
        <v>0</v>
      </c>
      <c r="I519">
        <f t="shared" si="43"/>
        <v>0</v>
      </c>
      <c r="J519">
        <f t="shared" si="44"/>
        <v>22</v>
      </c>
    </row>
    <row r="520" spans="1:10" x14ac:dyDescent="0.3">
      <c r="A520" s="1">
        <v>41886</v>
      </c>
      <c r="B520" s="1">
        <v>41896</v>
      </c>
      <c r="C520">
        <v>5.47</v>
      </c>
      <c r="D520">
        <v>0.14000000000000001</v>
      </c>
      <c r="E520">
        <v>2</v>
      </c>
      <c r="F520">
        <f t="shared" si="40"/>
        <v>10</v>
      </c>
      <c r="G520">
        <f t="shared" si="41"/>
        <v>0</v>
      </c>
      <c r="H520">
        <f t="shared" si="42"/>
        <v>0</v>
      </c>
      <c r="I520">
        <f t="shared" si="43"/>
        <v>0</v>
      </c>
      <c r="J520">
        <f t="shared" si="44"/>
        <v>0</v>
      </c>
    </row>
    <row r="521" spans="1:10" x14ac:dyDescent="0.3">
      <c r="A521" s="1">
        <v>41886</v>
      </c>
      <c r="B521" s="1">
        <v>41914</v>
      </c>
      <c r="C521">
        <v>7.31</v>
      </c>
      <c r="D521">
        <v>0.19</v>
      </c>
      <c r="E521">
        <v>6</v>
      </c>
      <c r="F521">
        <f t="shared" si="40"/>
        <v>0</v>
      </c>
      <c r="G521">
        <f t="shared" si="41"/>
        <v>0</v>
      </c>
      <c r="H521">
        <f t="shared" si="42"/>
        <v>0</v>
      </c>
      <c r="I521">
        <f t="shared" si="43"/>
        <v>0</v>
      </c>
      <c r="J521">
        <f t="shared" si="44"/>
        <v>28</v>
      </c>
    </row>
    <row r="522" spans="1:10" x14ac:dyDescent="0.3">
      <c r="A522" s="1">
        <v>41886</v>
      </c>
      <c r="B522" s="1">
        <v>41888</v>
      </c>
      <c r="C522">
        <v>3.73</v>
      </c>
      <c r="D522">
        <v>0.1</v>
      </c>
      <c r="E522">
        <v>3</v>
      </c>
      <c r="F522">
        <f t="shared" si="40"/>
        <v>0</v>
      </c>
      <c r="G522">
        <f t="shared" si="41"/>
        <v>2</v>
      </c>
      <c r="H522">
        <f t="shared" si="42"/>
        <v>0</v>
      </c>
      <c r="I522">
        <f t="shared" si="43"/>
        <v>0</v>
      </c>
      <c r="J522">
        <f t="shared" si="44"/>
        <v>0</v>
      </c>
    </row>
    <row r="523" spans="1:10" x14ac:dyDescent="0.3">
      <c r="A523" s="1">
        <v>41886</v>
      </c>
      <c r="B523" s="1">
        <v>41907</v>
      </c>
      <c r="C523">
        <v>8.39</v>
      </c>
      <c r="D523">
        <v>0.22</v>
      </c>
      <c r="E523">
        <v>4</v>
      </c>
      <c r="F523">
        <f t="shared" si="40"/>
        <v>0</v>
      </c>
      <c r="G523">
        <f t="shared" si="41"/>
        <v>0</v>
      </c>
      <c r="H523">
        <f t="shared" si="42"/>
        <v>21</v>
      </c>
      <c r="I523">
        <f t="shared" si="43"/>
        <v>0</v>
      </c>
      <c r="J523">
        <f t="shared" si="44"/>
        <v>0</v>
      </c>
    </row>
    <row r="524" spans="1:10" x14ac:dyDescent="0.3">
      <c r="A524" s="1">
        <v>41886</v>
      </c>
      <c r="B524" s="1">
        <v>41897</v>
      </c>
      <c r="C524">
        <v>13.07</v>
      </c>
      <c r="D524">
        <v>0.34</v>
      </c>
      <c r="E524">
        <v>2</v>
      </c>
      <c r="F524">
        <f t="shared" si="40"/>
        <v>11</v>
      </c>
      <c r="G524">
        <f t="shared" si="41"/>
        <v>0</v>
      </c>
      <c r="H524">
        <f t="shared" si="42"/>
        <v>0</v>
      </c>
      <c r="I524">
        <f t="shared" si="43"/>
        <v>0</v>
      </c>
      <c r="J524">
        <f t="shared" si="44"/>
        <v>0</v>
      </c>
    </row>
    <row r="525" spans="1:10" x14ac:dyDescent="0.3">
      <c r="A525" s="1">
        <v>41886</v>
      </c>
      <c r="B525" s="1">
        <v>41891</v>
      </c>
      <c r="C525">
        <v>7.35</v>
      </c>
      <c r="D525">
        <v>0.19</v>
      </c>
      <c r="E525">
        <v>3</v>
      </c>
      <c r="F525">
        <f t="shared" si="40"/>
        <v>0</v>
      </c>
      <c r="G525">
        <f t="shared" si="41"/>
        <v>5</v>
      </c>
      <c r="H525">
        <f t="shared" si="42"/>
        <v>0</v>
      </c>
      <c r="I525">
        <f t="shared" si="43"/>
        <v>0</v>
      </c>
      <c r="J525">
        <f t="shared" si="44"/>
        <v>0</v>
      </c>
    </row>
    <row r="526" spans="1:10" x14ac:dyDescent="0.3">
      <c r="A526" s="1">
        <v>41886</v>
      </c>
      <c r="B526" s="1">
        <v>41896</v>
      </c>
      <c r="C526">
        <v>14.31</v>
      </c>
      <c r="D526">
        <v>0.38</v>
      </c>
      <c r="E526">
        <v>5</v>
      </c>
      <c r="F526">
        <f t="shared" si="40"/>
        <v>0</v>
      </c>
      <c r="G526">
        <f t="shared" si="41"/>
        <v>0</v>
      </c>
      <c r="H526">
        <f t="shared" si="42"/>
        <v>0</v>
      </c>
      <c r="I526">
        <f t="shared" si="43"/>
        <v>10</v>
      </c>
      <c r="J526">
        <f t="shared" si="44"/>
        <v>0</v>
      </c>
    </row>
    <row r="527" spans="1:10" x14ac:dyDescent="0.3">
      <c r="A527" s="1">
        <v>41886</v>
      </c>
      <c r="B527" s="1">
        <v>41914</v>
      </c>
      <c r="C527">
        <v>5.57</v>
      </c>
      <c r="D527">
        <v>0.15</v>
      </c>
      <c r="E527">
        <v>4</v>
      </c>
      <c r="F527">
        <f t="shared" si="40"/>
        <v>0</v>
      </c>
      <c r="G527">
        <f t="shared" si="41"/>
        <v>0</v>
      </c>
      <c r="H527">
        <f t="shared" si="42"/>
        <v>28</v>
      </c>
      <c r="I527">
        <f t="shared" si="43"/>
        <v>0</v>
      </c>
      <c r="J527">
        <f t="shared" si="44"/>
        <v>0</v>
      </c>
    </row>
    <row r="528" spans="1:10" x14ac:dyDescent="0.3">
      <c r="A528" s="1">
        <v>41886</v>
      </c>
      <c r="B528" s="1">
        <v>41888</v>
      </c>
      <c r="C528">
        <v>5.23</v>
      </c>
      <c r="D528">
        <v>0.14000000000000001</v>
      </c>
      <c r="E528">
        <v>2</v>
      </c>
      <c r="F528">
        <f t="shared" si="40"/>
        <v>2</v>
      </c>
      <c r="G528">
        <f t="shared" si="41"/>
        <v>0</v>
      </c>
      <c r="H528">
        <f t="shared" si="42"/>
        <v>0</v>
      </c>
      <c r="I528">
        <f t="shared" si="43"/>
        <v>0</v>
      </c>
      <c r="J528">
        <f t="shared" si="44"/>
        <v>0</v>
      </c>
    </row>
    <row r="529" spans="1:10" x14ac:dyDescent="0.3">
      <c r="A529" s="1">
        <v>41886</v>
      </c>
      <c r="B529" s="1">
        <v>41900</v>
      </c>
      <c r="C529">
        <v>10.79</v>
      </c>
      <c r="D529">
        <v>0.28000000000000003</v>
      </c>
      <c r="E529">
        <v>4</v>
      </c>
      <c r="F529">
        <f t="shared" si="40"/>
        <v>0</v>
      </c>
      <c r="G529">
        <f t="shared" si="41"/>
        <v>0</v>
      </c>
      <c r="H529">
        <f t="shared" si="42"/>
        <v>14</v>
      </c>
      <c r="I529">
        <f t="shared" si="43"/>
        <v>0</v>
      </c>
      <c r="J529">
        <f t="shared" si="44"/>
        <v>0</v>
      </c>
    </row>
    <row r="530" spans="1:10" x14ac:dyDescent="0.3">
      <c r="A530" s="1">
        <v>41886</v>
      </c>
      <c r="B530" s="1">
        <v>41892</v>
      </c>
      <c r="C530">
        <v>2.72</v>
      </c>
      <c r="D530">
        <v>7.0000000000000007E-2</v>
      </c>
      <c r="E530">
        <v>2</v>
      </c>
      <c r="F530">
        <f t="shared" si="40"/>
        <v>6</v>
      </c>
      <c r="G530">
        <f t="shared" si="41"/>
        <v>0</v>
      </c>
      <c r="H530">
        <f t="shared" si="42"/>
        <v>0</v>
      </c>
      <c r="I530">
        <f t="shared" si="43"/>
        <v>0</v>
      </c>
      <c r="J530">
        <f t="shared" si="44"/>
        <v>0</v>
      </c>
    </row>
    <row r="531" spans="1:10" x14ac:dyDescent="0.3">
      <c r="A531" s="1">
        <v>41887</v>
      </c>
      <c r="B531" s="1">
        <v>41913</v>
      </c>
      <c r="C531">
        <v>7.55</v>
      </c>
      <c r="D531">
        <v>0.2</v>
      </c>
      <c r="E531">
        <v>3</v>
      </c>
      <c r="F531">
        <f t="shared" si="40"/>
        <v>0</v>
      </c>
      <c r="G531">
        <f t="shared" si="41"/>
        <v>26</v>
      </c>
      <c r="H531">
        <f t="shared" si="42"/>
        <v>0</v>
      </c>
      <c r="I531">
        <f t="shared" si="43"/>
        <v>0</v>
      </c>
      <c r="J531">
        <f t="shared" si="44"/>
        <v>0</v>
      </c>
    </row>
    <row r="532" spans="1:10" x14ac:dyDescent="0.3">
      <c r="A532" s="1">
        <v>41887</v>
      </c>
      <c r="B532" s="1">
        <v>41906</v>
      </c>
      <c r="C532">
        <v>6.43</v>
      </c>
      <c r="D532">
        <v>0.17</v>
      </c>
      <c r="E532">
        <v>2</v>
      </c>
      <c r="F532">
        <f t="shared" si="40"/>
        <v>19</v>
      </c>
      <c r="G532">
        <f t="shared" si="41"/>
        <v>0</v>
      </c>
      <c r="H532">
        <f t="shared" si="42"/>
        <v>0</v>
      </c>
      <c r="I532">
        <f t="shared" si="43"/>
        <v>0</v>
      </c>
      <c r="J532">
        <f t="shared" si="44"/>
        <v>0</v>
      </c>
    </row>
    <row r="533" spans="1:10" x14ac:dyDescent="0.3">
      <c r="A533" s="1">
        <v>41887</v>
      </c>
      <c r="B533" s="1">
        <v>41905</v>
      </c>
      <c r="C533">
        <v>3.88</v>
      </c>
      <c r="D533">
        <v>0.1</v>
      </c>
      <c r="E533">
        <v>6</v>
      </c>
      <c r="F533">
        <f t="shared" si="40"/>
        <v>0</v>
      </c>
      <c r="G533">
        <f t="shared" si="41"/>
        <v>0</v>
      </c>
      <c r="H533">
        <f t="shared" si="42"/>
        <v>0</v>
      </c>
      <c r="I533">
        <f t="shared" si="43"/>
        <v>0</v>
      </c>
      <c r="J533">
        <f t="shared" si="44"/>
        <v>18</v>
      </c>
    </row>
    <row r="534" spans="1:10" x14ac:dyDescent="0.3">
      <c r="A534" s="1">
        <v>41887</v>
      </c>
      <c r="B534" s="1">
        <v>41889</v>
      </c>
      <c r="C534">
        <v>5.67</v>
      </c>
      <c r="D534">
        <v>0.15</v>
      </c>
      <c r="E534">
        <v>4</v>
      </c>
      <c r="F534">
        <f t="shared" si="40"/>
        <v>0</v>
      </c>
      <c r="G534">
        <f t="shared" si="41"/>
        <v>0</v>
      </c>
      <c r="H534">
        <f t="shared" si="42"/>
        <v>2</v>
      </c>
      <c r="I534">
        <f t="shared" si="43"/>
        <v>0</v>
      </c>
      <c r="J534">
        <f t="shared" si="44"/>
        <v>0</v>
      </c>
    </row>
    <row r="535" spans="1:10" x14ac:dyDescent="0.3">
      <c r="A535" s="1">
        <v>41887</v>
      </c>
      <c r="B535" s="1">
        <v>41889</v>
      </c>
      <c r="C535">
        <v>12.01</v>
      </c>
      <c r="D535">
        <v>0.32</v>
      </c>
      <c r="E535">
        <v>4</v>
      </c>
      <c r="F535">
        <f t="shared" si="40"/>
        <v>0</v>
      </c>
      <c r="G535">
        <f t="shared" si="41"/>
        <v>0</v>
      </c>
      <c r="H535">
        <f t="shared" si="42"/>
        <v>2</v>
      </c>
      <c r="I535">
        <f t="shared" si="43"/>
        <v>0</v>
      </c>
      <c r="J535">
        <f t="shared" si="44"/>
        <v>0</v>
      </c>
    </row>
    <row r="536" spans="1:10" x14ac:dyDescent="0.3">
      <c r="A536" s="1">
        <v>41887</v>
      </c>
      <c r="B536" s="1">
        <v>41908</v>
      </c>
      <c r="C536">
        <v>6.58</v>
      </c>
      <c r="D536">
        <v>0.17</v>
      </c>
      <c r="E536">
        <v>6</v>
      </c>
      <c r="F536">
        <f t="shared" si="40"/>
        <v>0</v>
      </c>
      <c r="G536">
        <f t="shared" si="41"/>
        <v>0</v>
      </c>
      <c r="H536">
        <f t="shared" si="42"/>
        <v>0</v>
      </c>
      <c r="I536">
        <f t="shared" si="43"/>
        <v>0</v>
      </c>
      <c r="J536">
        <f t="shared" si="44"/>
        <v>21</v>
      </c>
    </row>
    <row r="537" spans="1:10" x14ac:dyDescent="0.3">
      <c r="A537" s="1">
        <v>41887</v>
      </c>
      <c r="B537" s="1">
        <v>41914</v>
      </c>
      <c r="C537">
        <v>3.79</v>
      </c>
      <c r="D537">
        <v>0.1</v>
      </c>
      <c r="E537">
        <v>3</v>
      </c>
      <c r="F537">
        <f t="shared" si="40"/>
        <v>0</v>
      </c>
      <c r="G537">
        <f t="shared" si="41"/>
        <v>27</v>
      </c>
      <c r="H537">
        <f t="shared" si="42"/>
        <v>0</v>
      </c>
      <c r="I537">
        <f t="shared" si="43"/>
        <v>0</v>
      </c>
      <c r="J537">
        <f t="shared" si="44"/>
        <v>0</v>
      </c>
    </row>
    <row r="538" spans="1:10" x14ac:dyDescent="0.3">
      <c r="A538" s="1">
        <v>41887</v>
      </c>
      <c r="B538" s="1">
        <v>41891</v>
      </c>
      <c r="C538">
        <v>8.83</v>
      </c>
      <c r="D538">
        <v>0.23</v>
      </c>
      <c r="E538">
        <v>2</v>
      </c>
      <c r="F538">
        <f t="shared" si="40"/>
        <v>4</v>
      </c>
      <c r="G538">
        <f t="shared" si="41"/>
        <v>0</v>
      </c>
      <c r="H538">
        <f t="shared" si="42"/>
        <v>0</v>
      </c>
      <c r="I538">
        <f t="shared" si="43"/>
        <v>0</v>
      </c>
      <c r="J538">
        <f t="shared" si="44"/>
        <v>0</v>
      </c>
    </row>
    <row r="539" spans="1:10" x14ac:dyDescent="0.3">
      <c r="A539" s="1">
        <v>41887</v>
      </c>
      <c r="B539" s="1">
        <v>41891</v>
      </c>
      <c r="C539">
        <v>14.31</v>
      </c>
      <c r="D539">
        <v>0.38</v>
      </c>
      <c r="E539">
        <v>3</v>
      </c>
      <c r="F539">
        <f t="shared" si="40"/>
        <v>0</v>
      </c>
      <c r="G539">
        <f t="shared" si="41"/>
        <v>4</v>
      </c>
      <c r="H539">
        <f t="shared" si="42"/>
        <v>0</v>
      </c>
      <c r="I539">
        <f t="shared" si="43"/>
        <v>0</v>
      </c>
      <c r="J539">
        <f t="shared" si="44"/>
        <v>0</v>
      </c>
    </row>
    <row r="540" spans="1:10" x14ac:dyDescent="0.3">
      <c r="A540" s="1">
        <v>41887</v>
      </c>
      <c r="B540" s="1">
        <v>41900</v>
      </c>
      <c r="C540">
        <v>5.47</v>
      </c>
      <c r="D540">
        <v>0.14000000000000001</v>
      </c>
      <c r="E540">
        <v>3</v>
      </c>
      <c r="F540">
        <f t="shared" si="40"/>
        <v>0</v>
      </c>
      <c r="G540">
        <f t="shared" si="41"/>
        <v>13</v>
      </c>
      <c r="H540">
        <f t="shared" si="42"/>
        <v>0</v>
      </c>
      <c r="I540">
        <f t="shared" si="43"/>
        <v>0</v>
      </c>
      <c r="J540">
        <f t="shared" si="44"/>
        <v>0</v>
      </c>
    </row>
    <row r="541" spans="1:10" x14ac:dyDescent="0.3">
      <c r="A541" s="1">
        <v>41887</v>
      </c>
      <c r="B541" s="1">
        <v>41907</v>
      </c>
      <c r="C541">
        <v>8.9499999999999993</v>
      </c>
      <c r="D541">
        <v>0.24</v>
      </c>
      <c r="E541">
        <v>4</v>
      </c>
      <c r="F541">
        <f t="shared" si="40"/>
        <v>0</v>
      </c>
      <c r="G541">
        <f t="shared" si="41"/>
        <v>0</v>
      </c>
      <c r="H541">
        <f t="shared" si="42"/>
        <v>20</v>
      </c>
      <c r="I541">
        <f t="shared" si="43"/>
        <v>0</v>
      </c>
      <c r="J541">
        <f t="shared" si="44"/>
        <v>0</v>
      </c>
    </row>
    <row r="542" spans="1:10" x14ac:dyDescent="0.3">
      <c r="A542" s="1">
        <v>41887</v>
      </c>
      <c r="B542" s="1">
        <v>41912</v>
      </c>
      <c r="C542">
        <v>4.25</v>
      </c>
      <c r="D542">
        <v>0.11</v>
      </c>
      <c r="E542">
        <v>5</v>
      </c>
      <c r="F542">
        <f t="shared" si="40"/>
        <v>0</v>
      </c>
      <c r="G542">
        <f t="shared" si="41"/>
        <v>0</v>
      </c>
      <c r="H542">
        <f t="shared" si="42"/>
        <v>0</v>
      </c>
      <c r="I542">
        <f t="shared" si="43"/>
        <v>25</v>
      </c>
      <c r="J542">
        <f t="shared" si="44"/>
        <v>0</v>
      </c>
    </row>
    <row r="543" spans="1:10" x14ac:dyDescent="0.3">
      <c r="A543" s="1">
        <v>41887</v>
      </c>
      <c r="B543" s="1">
        <v>41894</v>
      </c>
      <c r="C543">
        <v>6.88</v>
      </c>
      <c r="D543">
        <v>0.18</v>
      </c>
      <c r="E543">
        <v>5</v>
      </c>
      <c r="F543">
        <f t="shared" si="40"/>
        <v>0</v>
      </c>
      <c r="G543">
        <f t="shared" si="41"/>
        <v>0</v>
      </c>
      <c r="H543">
        <f t="shared" si="42"/>
        <v>0</v>
      </c>
      <c r="I543">
        <f t="shared" si="43"/>
        <v>7</v>
      </c>
      <c r="J543">
        <f t="shared" si="44"/>
        <v>0</v>
      </c>
    </row>
    <row r="544" spans="1:10" x14ac:dyDescent="0.3">
      <c r="A544" s="1">
        <v>41887</v>
      </c>
      <c r="B544" s="1">
        <v>41911</v>
      </c>
      <c r="C544">
        <v>8.89</v>
      </c>
      <c r="D544">
        <v>0.23</v>
      </c>
      <c r="E544">
        <v>3</v>
      </c>
      <c r="F544">
        <f t="shared" si="40"/>
        <v>0</v>
      </c>
      <c r="G544">
        <f t="shared" si="41"/>
        <v>24</v>
      </c>
      <c r="H544">
        <f t="shared" si="42"/>
        <v>0</v>
      </c>
      <c r="I544">
        <f t="shared" si="43"/>
        <v>0</v>
      </c>
      <c r="J544">
        <f t="shared" si="44"/>
        <v>0</v>
      </c>
    </row>
    <row r="545" spans="1:10" x14ac:dyDescent="0.3">
      <c r="A545" s="1">
        <v>41889</v>
      </c>
      <c r="B545" s="1">
        <v>41916</v>
      </c>
      <c r="C545">
        <v>6.43</v>
      </c>
      <c r="D545">
        <v>0.17</v>
      </c>
      <c r="E545">
        <v>5</v>
      </c>
      <c r="F545">
        <f t="shared" si="40"/>
        <v>0</v>
      </c>
      <c r="G545">
        <f t="shared" si="41"/>
        <v>0</v>
      </c>
      <c r="H545">
        <f t="shared" si="42"/>
        <v>0</v>
      </c>
      <c r="I545">
        <f t="shared" si="43"/>
        <v>27</v>
      </c>
      <c r="J545">
        <f t="shared" si="44"/>
        <v>0</v>
      </c>
    </row>
    <row r="546" spans="1:10" x14ac:dyDescent="0.3">
      <c r="A546" s="1">
        <v>41890</v>
      </c>
      <c r="B546" s="1">
        <v>41918</v>
      </c>
      <c r="C546">
        <v>6.58</v>
      </c>
      <c r="D546">
        <v>0.17</v>
      </c>
      <c r="E546">
        <v>5</v>
      </c>
      <c r="F546">
        <f t="shared" si="40"/>
        <v>0</v>
      </c>
      <c r="G546">
        <f t="shared" si="41"/>
        <v>0</v>
      </c>
      <c r="H546">
        <f t="shared" si="42"/>
        <v>0</v>
      </c>
      <c r="I546">
        <f t="shared" si="43"/>
        <v>28</v>
      </c>
      <c r="J546">
        <f t="shared" si="44"/>
        <v>0</v>
      </c>
    </row>
    <row r="547" spans="1:10" x14ac:dyDescent="0.3">
      <c r="A547" s="1">
        <v>41890</v>
      </c>
      <c r="B547" s="1">
        <v>41898</v>
      </c>
      <c r="C547">
        <v>5.67</v>
      </c>
      <c r="D547">
        <v>0.15</v>
      </c>
      <c r="E547">
        <v>2</v>
      </c>
      <c r="F547">
        <f t="shared" si="40"/>
        <v>8</v>
      </c>
      <c r="G547">
        <f t="shared" si="41"/>
        <v>0</v>
      </c>
      <c r="H547">
        <f t="shared" si="42"/>
        <v>0</v>
      </c>
      <c r="I547">
        <f t="shared" si="43"/>
        <v>0</v>
      </c>
      <c r="J547">
        <f t="shared" si="44"/>
        <v>0</v>
      </c>
    </row>
    <row r="548" spans="1:10" x14ac:dyDescent="0.3">
      <c r="A548" s="1">
        <v>41890</v>
      </c>
      <c r="B548" s="1">
        <v>41912</v>
      </c>
      <c r="C548">
        <v>3.57</v>
      </c>
      <c r="D548">
        <v>0.09</v>
      </c>
      <c r="E548">
        <v>3</v>
      </c>
      <c r="F548">
        <f t="shared" si="40"/>
        <v>0</v>
      </c>
      <c r="G548">
        <f t="shared" si="41"/>
        <v>22</v>
      </c>
      <c r="H548">
        <f t="shared" si="42"/>
        <v>0</v>
      </c>
      <c r="I548">
        <f t="shared" si="43"/>
        <v>0</v>
      </c>
      <c r="J548">
        <f t="shared" si="44"/>
        <v>0</v>
      </c>
    </row>
    <row r="549" spans="1:10" x14ac:dyDescent="0.3">
      <c r="A549" s="1">
        <v>41890</v>
      </c>
      <c r="B549" s="1">
        <v>41895</v>
      </c>
      <c r="C549">
        <v>3.73</v>
      </c>
      <c r="D549">
        <v>0.1</v>
      </c>
      <c r="E549">
        <v>3</v>
      </c>
      <c r="F549">
        <f t="shared" si="40"/>
        <v>0</v>
      </c>
      <c r="G549">
        <f t="shared" si="41"/>
        <v>5</v>
      </c>
      <c r="H549">
        <f t="shared" si="42"/>
        <v>0</v>
      </c>
      <c r="I549">
        <f t="shared" si="43"/>
        <v>0</v>
      </c>
      <c r="J549">
        <f t="shared" si="44"/>
        <v>0</v>
      </c>
    </row>
    <row r="550" spans="1:10" x14ac:dyDescent="0.3">
      <c r="A550" s="1">
        <v>41893</v>
      </c>
      <c r="B550" s="1">
        <v>41900</v>
      </c>
      <c r="C550">
        <v>8.5399999999999991</v>
      </c>
      <c r="D550">
        <v>0.22</v>
      </c>
      <c r="E550">
        <v>4</v>
      </c>
      <c r="F550">
        <f t="shared" si="40"/>
        <v>0</v>
      </c>
      <c r="G550">
        <f t="shared" si="41"/>
        <v>0</v>
      </c>
      <c r="H550">
        <f t="shared" si="42"/>
        <v>7</v>
      </c>
      <c r="I550">
        <f t="shared" si="43"/>
        <v>0</v>
      </c>
      <c r="J550">
        <f t="shared" si="44"/>
        <v>0</v>
      </c>
    </row>
    <row r="551" spans="1:10" x14ac:dyDescent="0.3">
      <c r="A551" s="1">
        <v>41893</v>
      </c>
      <c r="B551" s="1">
        <v>41898</v>
      </c>
      <c r="C551">
        <v>16.829999999999998</v>
      </c>
      <c r="D551">
        <v>0.44</v>
      </c>
      <c r="E551">
        <v>3</v>
      </c>
      <c r="F551">
        <f t="shared" si="40"/>
        <v>0</v>
      </c>
      <c r="G551">
        <f t="shared" si="41"/>
        <v>5</v>
      </c>
      <c r="H551">
        <f t="shared" si="42"/>
        <v>0</v>
      </c>
      <c r="I551">
        <f t="shared" si="43"/>
        <v>0</v>
      </c>
      <c r="J551">
        <f t="shared" si="44"/>
        <v>0</v>
      </c>
    </row>
    <row r="552" spans="1:10" x14ac:dyDescent="0.3">
      <c r="A552" s="1">
        <v>41893</v>
      </c>
      <c r="B552" s="1">
        <v>41918</v>
      </c>
      <c r="C552">
        <v>11.42</v>
      </c>
      <c r="D552">
        <v>0.3</v>
      </c>
      <c r="E552">
        <v>6</v>
      </c>
      <c r="F552">
        <f t="shared" si="40"/>
        <v>0</v>
      </c>
      <c r="G552">
        <f t="shared" si="41"/>
        <v>0</v>
      </c>
      <c r="H552">
        <f t="shared" si="42"/>
        <v>0</v>
      </c>
      <c r="I552">
        <f t="shared" si="43"/>
        <v>0</v>
      </c>
      <c r="J552">
        <f t="shared" si="44"/>
        <v>25</v>
      </c>
    </row>
    <row r="553" spans="1:10" x14ac:dyDescent="0.3">
      <c r="A553" s="1">
        <v>41893</v>
      </c>
      <c r="B553" s="1">
        <v>41899</v>
      </c>
      <c r="C553">
        <v>8.84</v>
      </c>
      <c r="D553">
        <v>0.23</v>
      </c>
      <c r="E553">
        <v>2</v>
      </c>
      <c r="F553">
        <f t="shared" si="40"/>
        <v>6</v>
      </c>
      <c r="G553">
        <f t="shared" si="41"/>
        <v>0</v>
      </c>
      <c r="H553">
        <f t="shared" si="42"/>
        <v>0</v>
      </c>
      <c r="I553">
        <f t="shared" si="43"/>
        <v>0</v>
      </c>
      <c r="J553">
        <f t="shared" si="44"/>
        <v>0</v>
      </c>
    </row>
    <row r="554" spans="1:10" x14ac:dyDescent="0.3">
      <c r="A554" s="1">
        <v>41893</v>
      </c>
      <c r="B554" s="1">
        <v>41906</v>
      </c>
      <c r="C554">
        <v>6.75</v>
      </c>
      <c r="D554">
        <v>0.18</v>
      </c>
      <c r="E554">
        <v>6</v>
      </c>
      <c r="F554">
        <f t="shared" si="40"/>
        <v>0</v>
      </c>
      <c r="G554">
        <f t="shared" si="41"/>
        <v>0</v>
      </c>
      <c r="H554">
        <f t="shared" si="42"/>
        <v>0</v>
      </c>
      <c r="I554">
        <f t="shared" si="43"/>
        <v>0</v>
      </c>
      <c r="J554">
        <f t="shared" si="44"/>
        <v>13</v>
      </c>
    </row>
    <row r="555" spans="1:10" x14ac:dyDescent="0.3">
      <c r="A555" s="1">
        <v>41893</v>
      </c>
      <c r="B555" s="1">
        <v>41919</v>
      </c>
      <c r="C555">
        <v>7.35</v>
      </c>
      <c r="D555">
        <v>0.19</v>
      </c>
      <c r="E555">
        <v>5</v>
      </c>
      <c r="F555">
        <f t="shared" si="40"/>
        <v>0</v>
      </c>
      <c r="G555">
        <f t="shared" si="41"/>
        <v>0</v>
      </c>
      <c r="H555">
        <f t="shared" si="42"/>
        <v>0</v>
      </c>
      <c r="I555">
        <f t="shared" si="43"/>
        <v>26</v>
      </c>
      <c r="J555">
        <f t="shared" si="44"/>
        <v>0</v>
      </c>
    </row>
    <row r="556" spans="1:10" x14ac:dyDescent="0.3">
      <c r="A556" s="1">
        <v>41897</v>
      </c>
      <c r="B556" s="1">
        <v>41921</v>
      </c>
      <c r="C556">
        <v>3.57</v>
      </c>
      <c r="D556">
        <v>0.09</v>
      </c>
      <c r="E556">
        <v>4</v>
      </c>
      <c r="F556">
        <f t="shared" si="40"/>
        <v>0</v>
      </c>
      <c r="G556">
        <f t="shared" si="41"/>
        <v>0</v>
      </c>
      <c r="H556">
        <f t="shared" si="42"/>
        <v>24</v>
      </c>
      <c r="I556">
        <f t="shared" si="43"/>
        <v>0</v>
      </c>
      <c r="J556">
        <f t="shared" si="44"/>
        <v>0</v>
      </c>
    </row>
    <row r="557" spans="1:10" x14ac:dyDescent="0.3">
      <c r="A557" s="1">
        <v>41897</v>
      </c>
      <c r="B557" s="1">
        <v>41905</v>
      </c>
      <c r="C557">
        <v>9.06</v>
      </c>
      <c r="D557">
        <v>0.24</v>
      </c>
      <c r="E557">
        <v>5</v>
      </c>
      <c r="F557">
        <f t="shared" si="40"/>
        <v>0</v>
      </c>
      <c r="G557">
        <f t="shared" si="41"/>
        <v>0</v>
      </c>
      <c r="H557">
        <f t="shared" si="42"/>
        <v>0</v>
      </c>
      <c r="I557">
        <f t="shared" si="43"/>
        <v>8</v>
      </c>
      <c r="J557">
        <f t="shared" si="44"/>
        <v>0</v>
      </c>
    </row>
    <row r="558" spans="1:10" x14ac:dyDescent="0.3">
      <c r="A558" s="1">
        <v>41898</v>
      </c>
      <c r="B558" s="1">
        <v>41906</v>
      </c>
      <c r="C558">
        <v>9.4600000000000009</v>
      </c>
      <c r="D558">
        <v>0.25</v>
      </c>
      <c r="E558">
        <v>4</v>
      </c>
      <c r="F558">
        <f t="shared" si="40"/>
        <v>0</v>
      </c>
      <c r="G558">
        <f t="shared" si="41"/>
        <v>0</v>
      </c>
      <c r="H558">
        <f t="shared" si="42"/>
        <v>8</v>
      </c>
      <c r="I558">
        <f t="shared" si="43"/>
        <v>0</v>
      </c>
      <c r="J558">
        <f t="shared" si="44"/>
        <v>0</v>
      </c>
    </row>
    <row r="559" spans="1:10" x14ac:dyDescent="0.3">
      <c r="A559" s="1">
        <v>41898</v>
      </c>
      <c r="B559" s="1">
        <v>41924</v>
      </c>
      <c r="C559">
        <v>8.9499999999999993</v>
      </c>
      <c r="D559">
        <v>0.24</v>
      </c>
      <c r="E559">
        <v>5</v>
      </c>
      <c r="F559">
        <f t="shared" si="40"/>
        <v>0</v>
      </c>
      <c r="G559">
        <f t="shared" si="41"/>
        <v>0</v>
      </c>
      <c r="H559">
        <f t="shared" si="42"/>
        <v>0</v>
      </c>
      <c r="I559">
        <f t="shared" si="43"/>
        <v>26</v>
      </c>
      <c r="J559">
        <f t="shared" si="44"/>
        <v>0</v>
      </c>
    </row>
    <row r="560" spans="1:10" x14ac:dyDescent="0.3">
      <c r="A560" s="1">
        <v>41898</v>
      </c>
      <c r="B560" s="1">
        <v>41923</v>
      </c>
      <c r="C560">
        <v>9.06</v>
      </c>
      <c r="D560">
        <v>0.24</v>
      </c>
      <c r="E560">
        <v>2</v>
      </c>
      <c r="F560">
        <f t="shared" si="40"/>
        <v>25</v>
      </c>
      <c r="G560">
        <f t="shared" si="41"/>
        <v>0</v>
      </c>
      <c r="H560">
        <f t="shared" si="42"/>
        <v>0</v>
      </c>
      <c r="I560">
        <f t="shared" si="43"/>
        <v>0</v>
      </c>
      <c r="J560">
        <f t="shared" si="44"/>
        <v>0</v>
      </c>
    </row>
    <row r="561" spans="1:10" x14ac:dyDescent="0.3">
      <c r="A561" s="1">
        <v>41898</v>
      </c>
      <c r="B561" s="1">
        <v>41904</v>
      </c>
      <c r="C561">
        <v>6.88</v>
      </c>
      <c r="D561">
        <v>0.18</v>
      </c>
      <c r="E561">
        <v>3</v>
      </c>
      <c r="F561">
        <f t="shared" si="40"/>
        <v>0</v>
      </c>
      <c r="G561">
        <f t="shared" si="41"/>
        <v>6</v>
      </c>
      <c r="H561">
        <f t="shared" si="42"/>
        <v>0</v>
      </c>
      <c r="I561">
        <f t="shared" si="43"/>
        <v>0</v>
      </c>
      <c r="J561">
        <f t="shared" si="44"/>
        <v>0</v>
      </c>
    </row>
    <row r="562" spans="1:10" x14ac:dyDescent="0.3">
      <c r="A562" s="1">
        <v>41898</v>
      </c>
      <c r="B562" s="1">
        <v>41917</v>
      </c>
      <c r="C562">
        <v>9.1300000000000008</v>
      </c>
      <c r="D562">
        <v>0.24</v>
      </c>
      <c r="E562">
        <v>4</v>
      </c>
      <c r="F562">
        <f t="shared" si="40"/>
        <v>0</v>
      </c>
      <c r="G562">
        <f t="shared" si="41"/>
        <v>0</v>
      </c>
      <c r="H562">
        <f t="shared" si="42"/>
        <v>19</v>
      </c>
      <c r="I562">
        <f t="shared" si="43"/>
        <v>0</v>
      </c>
      <c r="J562">
        <f t="shared" si="44"/>
        <v>0</v>
      </c>
    </row>
    <row r="563" spans="1:10" x14ac:dyDescent="0.3">
      <c r="A563" s="1">
        <v>41898</v>
      </c>
      <c r="B563" s="1">
        <v>41924</v>
      </c>
      <c r="C563">
        <v>12.01</v>
      </c>
      <c r="D563">
        <v>0.32</v>
      </c>
      <c r="E563">
        <v>3</v>
      </c>
      <c r="F563">
        <f t="shared" si="40"/>
        <v>0</v>
      </c>
      <c r="G563">
        <f t="shared" si="41"/>
        <v>26</v>
      </c>
      <c r="H563">
        <f t="shared" si="42"/>
        <v>0</v>
      </c>
      <c r="I563">
        <f t="shared" si="43"/>
        <v>0</v>
      </c>
      <c r="J563">
        <f t="shared" si="44"/>
        <v>0</v>
      </c>
    </row>
    <row r="564" spans="1:10" x14ac:dyDescent="0.3">
      <c r="A564" s="1">
        <v>41898</v>
      </c>
      <c r="B564" s="1">
        <v>41920</v>
      </c>
      <c r="C564">
        <v>19.54</v>
      </c>
      <c r="D564">
        <v>0.51</v>
      </c>
      <c r="E564">
        <v>5</v>
      </c>
      <c r="F564">
        <f t="shared" si="40"/>
        <v>0</v>
      </c>
      <c r="G564">
        <f t="shared" si="41"/>
        <v>0</v>
      </c>
      <c r="H564">
        <f t="shared" si="42"/>
        <v>0</v>
      </c>
      <c r="I564">
        <f t="shared" si="43"/>
        <v>22</v>
      </c>
      <c r="J564">
        <f t="shared" si="44"/>
        <v>0</v>
      </c>
    </row>
    <row r="565" spans="1:10" x14ac:dyDescent="0.3">
      <c r="A565" s="1">
        <v>41898</v>
      </c>
      <c r="B565" s="1">
        <v>41918</v>
      </c>
      <c r="C565">
        <v>10.199999999999999</v>
      </c>
      <c r="D565">
        <v>0.27</v>
      </c>
      <c r="E565">
        <v>5</v>
      </c>
      <c r="F565">
        <f t="shared" si="40"/>
        <v>0</v>
      </c>
      <c r="G565">
        <f t="shared" si="41"/>
        <v>0</v>
      </c>
      <c r="H565">
        <f t="shared" si="42"/>
        <v>0</v>
      </c>
      <c r="I565">
        <f t="shared" si="43"/>
        <v>20</v>
      </c>
      <c r="J565">
        <f t="shared" si="44"/>
        <v>0</v>
      </c>
    </row>
    <row r="566" spans="1:10" x14ac:dyDescent="0.3">
      <c r="A566" s="1">
        <v>41898</v>
      </c>
      <c r="B566" s="1">
        <v>41910</v>
      </c>
      <c r="C566">
        <v>14.31</v>
      </c>
      <c r="D566">
        <v>0.38</v>
      </c>
      <c r="E566">
        <v>6</v>
      </c>
      <c r="F566">
        <f t="shared" si="40"/>
        <v>0</v>
      </c>
      <c r="G566">
        <f t="shared" si="41"/>
        <v>0</v>
      </c>
      <c r="H566">
        <f t="shared" si="42"/>
        <v>0</v>
      </c>
      <c r="I566">
        <f t="shared" si="43"/>
        <v>0</v>
      </c>
      <c r="J566">
        <f t="shared" si="44"/>
        <v>12</v>
      </c>
    </row>
    <row r="567" spans="1:10" x14ac:dyDescent="0.3">
      <c r="A567" s="1">
        <v>41898</v>
      </c>
      <c r="B567" s="1">
        <v>41924</v>
      </c>
      <c r="C567">
        <v>8.89</v>
      </c>
      <c r="D567">
        <v>0.23</v>
      </c>
      <c r="E567">
        <v>6</v>
      </c>
      <c r="F567">
        <f t="shared" si="40"/>
        <v>0</v>
      </c>
      <c r="G567">
        <f t="shared" si="41"/>
        <v>0</v>
      </c>
      <c r="H567">
        <f t="shared" si="42"/>
        <v>0</v>
      </c>
      <c r="I567">
        <f t="shared" si="43"/>
        <v>0</v>
      </c>
      <c r="J567">
        <f t="shared" si="44"/>
        <v>26</v>
      </c>
    </row>
    <row r="568" spans="1:10" x14ac:dyDescent="0.3">
      <c r="A568" s="1">
        <v>41898</v>
      </c>
      <c r="B568" s="1">
        <v>41925</v>
      </c>
      <c r="C568">
        <v>11.44</v>
      </c>
      <c r="D568">
        <v>0.3</v>
      </c>
      <c r="E568">
        <v>2</v>
      </c>
      <c r="F568">
        <f t="shared" si="40"/>
        <v>27</v>
      </c>
      <c r="G568">
        <f t="shared" si="41"/>
        <v>0</v>
      </c>
      <c r="H568">
        <f t="shared" si="42"/>
        <v>0</v>
      </c>
      <c r="I568">
        <f t="shared" si="43"/>
        <v>0</v>
      </c>
      <c r="J568">
        <f t="shared" si="44"/>
        <v>0</v>
      </c>
    </row>
    <row r="569" spans="1:10" x14ac:dyDescent="0.3">
      <c r="A569" s="1">
        <v>41898</v>
      </c>
      <c r="B569" s="1">
        <v>41911</v>
      </c>
      <c r="C569">
        <v>6.43</v>
      </c>
      <c r="D569">
        <v>0.17</v>
      </c>
      <c r="E569">
        <v>5</v>
      </c>
      <c r="F569">
        <f t="shared" si="40"/>
        <v>0</v>
      </c>
      <c r="G569">
        <f t="shared" si="41"/>
        <v>0</v>
      </c>
      <c r="H569">
        <f t="shared" si="42"/>
        <v>0</v>
      </c>
      <c r="I569">
        <f t="shared" si="43"/>
        <v>13</v>
      </c>
      <c r="J569">
        <f t="shared" si="44"/>
        <v>0</v>
      </c>
    </row>
    <row r="570" spans="1:10" x14ac:dyDescent="0.3">
      <c r="A570" s="1">
        <v>41898</v>
      </c>
      <c r="B570" s="1">
        <v>41907</v>
      </c>
      <c r="C570">
        <v>7.31</v>
      </c>
      <c r="D570">
        <v>0.19</v>
      </c>
      <c r="E570">
        <v>5</v>
      </c>
      <c r="F570">
        <f t="shared" si="40"/>
        <v>0</v>
      </c>
      <c r="G570">
        <f t="shared" si="41"/>
        <v>0</v>
      </c>
      <c r="H570">
        <f t="shared" si="42"/>
        <v>0</v>
      </c>
      <c r="I570">
        <f t="shared" si="43"/>
        <v>9</v>
      </c>
      <c r="J570">
        <f t="shared" si="44"/>
        <v>0</v>
      </c>
    </row>
    <row r="571" spans="1:10" x14ac:dyDescent="0.3">
      <c r="A571" s="1">
        <v>41898</v>
      </c>
      <c r="B571" s="1">
        <v>41924</v>
      </c>
      <c r="C571">
        <v>8.5399999999999991</v>
      </c>
      <c r="D571">
        <v>0.22</v>
      </c>
      <c r="E571">
        <v>4</v>
      </c>
      <c r="F571">
        <f t="shared" si="40"/>
        <v>0</v>
      </c>
      <c r="G571">
        <f t="shared" si="41"/>
        <v>0</v>
      </c>
      <c r="H571">
        <f t="shared" si="42"/>
        <v>26</v>
      </c>
      <c r="I571">
        <f t="shared" si="43"/>
        <v>0</v>
      </c>
      <c r="J571">
        <f t="shared" si="44"/>
        <v>0</v>
      </c>
    </row>
    <row r="572" spans="1:10" x14ac:dyDescent="0.3">
      <c r="A572" s="1">
        <v>41898</v>
      </c>
      <c r="B572" s="1">
        <v>41901</v>
      </c>
      <c r="C572">
        <v>4.25</v>
      </c>
      <c r="D572">
        <v>0.11</v>
      </c>
      <c r="E572">
        <v>6</v>
      </c>
      <c r="F572">
        <f t="shared" si="40"/>
        <v>0</v>
      </c>
      <c r="G572">
        <f t="shared" si="41"/>
        <v>0</v>
      </c>
      <c r="H572">
        <f t="shared" si="42"/>
        <v>0</v>
      </c>
      <c r="I572">
        <f t="shared" si="43"/>
        <v>0</v>
      </c>
      <c r="J572">
        <f t="shared" si="44"/>
        <v>3</v>
      </c>
    </row>
    <row r="573" spans="1:10" x14ac:dyDescent="0.3">
      <c r="A573" s="1">
        <v>41898</v>
      </c>
      <c r="B573" s="1">
        <v>41922</v>
      </c>
      <c r="C573">
        <v>7.3</v>
      </c>
      <c r="D573">
        <v>0.19</v>
      </c>
      <c r="E573">
        <v>2</v>
      </c>
      <c r="F573">
        <f t="shared" si="40"/>
        <v>24</v>
      </c>
      <c r="G573">
        <f t="shared" si="41"/>
        <v>0</v>
      </c>
      <c r="H573">
        <f t="shared" si="42"/>
        <v>0</v>
      </c>
      <c r="I573">
        <f t="shared" si="43"/>
        <v>0</v>
      </c>
      <c r="J573">
        <f t="shared" si="44"/>
        <v>0</v>
      </c>
    </row>
    <row r="574" spans="1:10" x14ac:dyDescent="0.3">
      <c r="A574" s="1">
        <v>41898</v>
      </c>
      <c r="B574" s="1">
        <v>41919</v>
      </c>
      <c r="C574">
        <v>11.37</v>
      </c>
      <c r="D574">
        <v>0.3</v>
      </c>
      <c r="E574">
        <v>6</v>
      </c>
      <c r="F574">
        <f t="shared" si="40"/>
        <v>0</v>
      </c>
      <c r="G574">
        <f t="shared" si="41"/>
        <v>0</v>
      </c>
      <c r="H574">
        <f t="shared" si="42"/>
        <v>0</v>
      </c>
      <c r="I574">
        <f t="shared" si="43"/>
        <v>0</v>
      </c>
      <c r="J574">
        <f t="shared" si="44"/>
        <v>21</v>
      </c>
    </row>
    <row r="575" spans="1:10" x14ac:dyDescent="0.3">
      <c r="A575" s="1">
        <v>41898</v>
      </c>
      <c r="B575" s="1">
        <v>41903</v>
      </c>
      <c r="C575">
        <v>14.13</v>
      </c>
      <c r="D575">
        <v>0.37</v>
      </c>
      <c r="E575">
        <v>2</v>
      </c>
      <c r="F575">
        <f t="shared" si="40"/>
        <v>5</v>
      </c>
      <c r="G575">
        <f t="shared" si="41"/>
        <v>0</v>
      </c>
      <c r="H575">
        <f t="shared" si="42"/>
        <v>0</v>
      </c>
      <c r="I575">
        <f t="shared" si="43"/>
        <v>0</v>
      </c>
      <c r="J575">
        <f t="shared" si="44"/>
        <v>0</v>
      </c>
    </row>
    <row r="576" spans="1:10" x14ac:dyDescent="0.3">
      <c r="A576" s="1">
        <v>41898</v>
      </c>
      <c r="B576" s="1">
        <v>41925</v>
      </c>
      <c r="C576">
        <v>11.44</v>
      </c>
      <c r="D576">
        <v>0.3</v>
      </c>
      <c r="E576">
        <v>2</v>
      </c>
      <c r="F576">
        <f t="shared" si="40"/>
        <v>27</v>
      </c>
      <c r="G576">
        <f t="shared" si="41"/>
        <v>0</v>
      </c>
      <c r="H576">
        <f t="shared" si="42"/>
        <v>0</v>
      </c>
      <c r="I576">
        <f t="shared" si="43"/>
        <v>0</v>
      </c>
      <c r="J576">
        <f t="shared" si="44"/>
        <v>0</v>
      </c>
    </row>
    <row r="577" spans="1:10" x14ac:dyDescent="0.3">
      <c r="A577" s="1">
        <v>41899</v>
      </c>
      <c r="B577" s="1">
        <v>41927</v>
      </c>
      <c r="C577">
        <v>9.4600000000000009</v>
      </c>
      <c r="D577">
        <v>0.25</v>
      </c>
      <c r="E577">
        <v>6</v>
      </c>
      <c r="F577">
        <f t="shared" si="40"/>
        <v>0</v>
      </c>
      <c r="G577">
        <f t="shared" si="41"/>
        <v>0</v>
      </c>
      <c r="H577">
        <f t="shared" si="42"/>
        <v>0</v>
      </c>
      <c r="I577">
        <f t="shared" si="43"/>
        <v>0</v>
      </c>
      <c r="J577">
        <f t="shared" si="44"/>
        <v>28</v>
      </c>
    </row>
    <row r="578" spans="1:10" x14ac:dyDescent="0.3">
      <c r="A578" s="1">
        <v>41899</v>
      </c>
      <c r="B578" s="1">
        <v>41902</v>
      </c>
      <c r="C578">
        <v>4.25</v>
      </c>
      <c r="D578">
        <v>0.11</v>
      </c>
      <c r="E578">
        <v>2</v>
      </c>
      <c r="F578">
        <f t="shared" si="40"/>
        <v>3</v>
      </c>
      <c r="G578">
        <f t="shared" si="41"/>
        <v>0</v>
      </c>
      <c r="H578">
        <f t="shared" si="42"/>
        <v>0</v>
      </c>
      <c r="I578">
        <f t="shared" si="43"/>
        <v>0</v>
      </c>
      <c r="J578">
        <f t="shared" si="44"/>
        <v>0</v>
      </c>
    </row>
    <row r="579" spans="1:10" x14ac:dyDescent="0.3">
      <c r="A579" s="1">
        <v>41899</v>
      </c>
      <c r="B579" s="1">
        <v>41911</v>
      </c>
      <c r="C579">
        <v>7.31</v>
      </c>
      <c r="D579">
        <v>0.19</v>
      </c>
      <c r="E579">
        <v>4</v>
      </c>
      <c r="F579">
        <f t="shared" ref="F579:F642" si="45">IF(EXACT(E579,2),B579-A579,0)</f>
        <v>0</v>
      </c>
      <c r="G579">
        <f t="shared" ref="G579:G642" si="46">IF(EXACT(E579,3),B579-A579,0)</f>
        <v>0</v>
      </c>
      <c r="H579">
        <f t="shared" ref="H579:H642" si="47">IF(EXACT(E579,4),B579-A579,0)</f>
        <v>12</v>
      </c>
      <c r="I579">
        <f t="shared" ref="I579:I642" si="48">IF(EXACT(E579,5),B579-A579,0)</f>
        <v>0</v>
      </c>
      <c r="J579">
        <f t="shared" ref="J579:J642" si="49">IF(EXACT(E579,6),B579-A579,0)</f>
        <v>0</v>
      </c>
    </row>
    <row r="580" spans="1:10" x14ac:dyDescent="0.3">
      <c r="A580" s="1">
        <v>41899</v>
      </c>
      <c r="B580" s="1">
        <v>41913</v>
      </c>
      <c r="C580">
        <v>14</v>
      </c>
      <c r="D580">
        <v>0.37</v>
      </c>
      <c r="E580">
        <v>6</v>
      </c>
      <c r="F580">
        <f t="shared" si="45"/>
        <v>0</v>
      </c>
      <c r="G580">
        <f t="shared" si="46"/>
        <v>0</v>
      </c>
      <c r="H580">
        <f t="shared" si="47"/>
        <v>0</v>
      </c>
      <c r="I580">
        <f t="shared" si="48"/>
        <v>0</v>
      </c>
      <c r="J580">
        <f t="shared" si="49"/>
        <v>14</v>
      </c>
    </row>
    <row r="581" spans="1:10" x14ac:dyDescent="0.3">
      <c r="A581" s="1">
        <v>41899</v>
      </c>
      <c r="B581" s="1">
        <v>41907</v>
      </c>
      <c r="C581">
        <v>6.23</v>
      </c>
      <c r="D581">
        <v>0.16</v>
      </c>
      <c r="E581">
        <v>2</v>
      </c>
      <c r="F581">
        <f t="shared" si="45"/>
        <v>8</v>
      </c>
      <c r="G581">
        <f t="shared" si="46"/>
        <v>0</v>
      </c>
      <c r="H581">
        <f t="shared" si="47"/>
        <v>0</v>
      </c>
      <c r="I581">
        <f t="shared" si="48"/>
        <v>0</v>
      </c>
      <c r="J581">
        <f t="shared" si="49"/>
        <v>0</v>
      </c>
    </row>
    <row r="582" spans="1:10" x14ac:dyDescent="0.3">
      <c r="A582" s="1">
        <v>41899</v>
      </c>
      <c r="B582" s="1">
        <v>41904</v>
      </c>
      <c r="C582">
        <v>9.1300000000000008</v>
      </c>
      <c r="D582">
        <v>0.24</v>
      </c>
      <c r="E582">
        <v>3</v>
      </c>
      <c r="F582">
        <f t="shared" si="45"/>
        <v>0</v>
      </c>
      <c r="G582">
        <f t="shared" si="46"/>
        <v>5</v>
      </c>
      <c r="H582">
        <f t="shared" si="47"/>
        <v>0</v>
      </c>
      <c r="I582">
        <f t="shared" si="48"/>
        <v>0</v>
      </c>
      <c r="J582">
        <f t="shared" si="49"/>
        <v>0</v>
      </c>
    </row>
    <row r="583" spans="1:10" x14ac:dyDescent="0.3">
      <c r="A583" s="1">
        <v>41899</v>
      </c>
      <c r="B583" s="1">
        <v>41919</v>
      </c>
      <c r="C583">
        <v>10.59</v>
      </c>
      <c r="D583">
        <v>0.28000000000000003</v>
      </c>
      <c r="E583">
        <v>5</v>
      </c>
      <c r="F583">
        <f t="shared" si="45"/>
        <v>0</v>
      </c>
      <c r="G583">
        <f t="shared" si="46"/>
        <v>0</v>
      </c>
      <c r="H583">
        <f t="shared" si="47"/>
        <v>0</v>
      </c>
      <c r="I583">
        <f t="shared" si="48"/>
        <v>20</v>
      </c>
      <c r="J583">
        <f t="shared" si="49"/>
        <v>0</v>
      </c>
    </row>
    <row r="584" spans="1:10" x14ac:dyDescent="0.3">
      <c r="A584" s="1">
        <v>41899</v>
      </c>
      <c r="B584" s="1">
        <v>41902</v>
      </c>
      <c r="C584">
        <v>9.06</v>
      </c>
      <c r="D584">
        <v>0.24</v>
      </c>
      <c r="E584">
        <v>2</v>
      </c>
      <c r="F584">
        <f t="shared" si="45"/>
        <v>3</v>
      </c>
      <c r="G584">
        <f t="shared" si="46"/>
        <v>0</v>
      </c>
      <c r="H584">
        <f t="shared" si="47"/>
        <v>0</v>
      </c>
      <c r="I584">
        <f t="shared" si="48"/>
        <v>0</v>
      </c>
      <c r="J584">
        <f t="shared" si="49"/>
        <v>0</v>
      </c>
    </row>
    <row r="585" spans="1:10" x14ac:dyDescent="0.3">
      <c r="A585" s="1">
        <v>41899</v>
      </c>
      <c r="B585" s="1">
        <v>41901</v>
      </c>
      <c r="C585">
        <v>7.06</v>
      </c>
      <c r="D585">
        <v>0.19</v>
      </c>
      <c r="E585">
        <v>2</v>
      </c>
      <c r="F585">
        <f t="shared" si="45"/>
        <v>2</v>
      </c>
      <c r="G585">
        <f t="shared" si="46"/>
        <v>0</v>
      </c>
      <c r="H585">
        <f t="shared" si="47"/>
        <v>0</v>
      </c>
      <c r="I585">
        <f t="shared" si="48"/>
        <v>0</v>
      </c>
      <c r="J585">
        <f t="shared" si="49"/>
        <v>0</v>
      </c>
    </row>
    <row r="586" spans="1:10" x14ac:dyDescent="0.3">
      <c r="A586" s="1">
        <v>41899</v>
      </c>
      <c r="B586" s="1">
        <v>41916</v>
      </c>
      <c r="C586">
        <v>6.75</v>
      </c>
      <c r="D586">
        <v>0.18</v>
      </c>
      <c r="E586">
        <v>5</v>
      </c>
      <c r="F586">
        <f t="shared" si="45"/>
        <v>0</v>
      </c>
      <c r="G586">
        <f t="shared" si="46"/>
        <v>0</v>
      </c>
      <c r="H586">
        <f t="shared" si="47"/>
        <v>0</v>
      </c>
      <c r="I586">
        <f t="shared" si="48"/>
        <v>17</v>
      </c>
      <c r="J586">
        <f t="shared" si="49"/>
        <v>0</v>
      </c>
    </row>
    <row r="587" spans="1:10" x14ac:dyDescent="0.3">
      <c r="A587" s="1">
        <v>41899</v>
      </c>
      <c r="B587" s="1">
        <v>41911</v>
      </c>
      <c r="C587">
        <v>7.3</v>
      </c>
      <c r="D587">
        <v>0.19</v>
      </c>
      <c r="E587">
        <v>4</v>
      </c>
      <c r="F587">
        <f t="shared" si="45"/>
        <v>0</v>
      </c>
      <c r="G587">
        <f t="shared" si="46"/>
        <v>0</v>
      </c>
      <c r="H587">
        <f t="shared" si="47"/>
        <v>12</v>
      </c>
      <c r="I587">
        <f t="shared" si="48"/>
        <v>0</v>
      </c>
      <c r="J587">
        <f t="shared" si="49"/>
        <v>0</v>
      </c>
    </row>
    <row r="588" spans="1:10" x14ac:dyDescent="0.3">
      <c r="A588" s="1">
        <v>41899</v>
      </c>
      <c r="B588" s="1">
        <v>41902</v>
      </c>
      <c r="C588">
        <v>13.02</v>
      </c>
      <c r="D588">
        <v>0.34</v>
      </c>
      <c r="E588">
        <v>5</v>
      </c>
      <c r="F588">
        <f t="shared" si="45"/>
        <v>0</v>
      </c>
      <c r="G588">
        <f t="shared" si="46"/>
        <v>0</v>
      </c>
      <c r="H588">
        <f t="shared" si="47"/>
        <v>0</v>
      </c>
      <c r="I588">
        <f t="shared" si="48"/>
        <v>3</v>
      </c>
      <c r="J588">
        <f t="shared" si="49"/>
        <v>0</v>
      </c>
    </row>
    <row r="589" spans="1:10" x14ac:dyDescent="0.3">
      <c r="A589" s="1">
        <v>41899</v>
      </c>
      <c r="B589" s="1">
        <v>41905</v>
      </c>
      <c r="C589">
        <v>14.13</v>
      </c>
      <c r="D589">
        <v>0.37</v>
      </c>
      <c r="E589">
        <v>3</v>
      </c>
      <c r="F589">
        <f t="shared" si="45"/>
        <v>0</v>
      </c>
      <c r="G589">
        <f t="shared" si="46"/>
        <v>6</v>
      </c>
      <c r="H589">
        <f t="shared" si="47"/>
        <v>0</v>
      </c>
      <c r="I589">
        <f t="shared" si="48"/>
        <v>0</v>
      </c>
      <c r="J589">
        <f t="shared" si="49"/>
        <v>0</v>
      </c>
    </row>
    <row r="590" spans="1:10" x14ac:dyDescent="0.3">
      <c r="A590" s="1">
        <v>41899</v>
      </c>
      <c r="B590" s="1">
        <v>41906</v>
      </c>
      <c r="C590">
        <v>10.59</v>
      </c>
      <c r="D590">
        <v>0.28000000000000003</v>
      </c>
      <c r="E590">
        <v>3</v>
      </c>
      <c r="F590">
        <f t="shared" si="45"/>
        <v>0</v>
      </c>
      <c r="G590">
        <f t="shared" si="46"/>
        <v>7</v>
      </c>
      <c r="H590">
        <f t="shared" si="47"/>
        <v>0</v>
      </c>
      <c r="I590">
        <f t="shared" si="48"/>
        <v>0</v>
      </c>
      <c r="J590">
        <f t="shared" si="49"/>
        <v>0</v>
      </c>
    </row>
    <row r="591" spans="1:10" x14ac:dyDescent="0.3">
      <c r="A591" s="1">
        <v>41899</v>
      </c>
      <c r="B591" s="1">
        <v>41917</v>
      </c>
      <c r="C591">
        <v>5.57</v>
      </c>
      <c r="D591">
        <v>0.15</v>
      </c>
      <c r="E591">
        <v>6</v>
      </c>
      <c r="F591">
        <f t="shared" si="45"/>
        <v>0</v>
      </c>
      <c r="G591">
        <f t="shared" si="46"/>
        <v>0</v>
      </c>
      <c r="H591">
        <f t="shared" si="47"/>
        <v>0</v>
      </c>
      <c r="I591">
        <f t="shared" si="48"/>
        <v>0</v>
      </c>
      <c r="J591">
        <f t="shared" si="49"/>
        <v>18</v>
      </c>
    </row>
    <row r="592" spans="1:10" x14ac:dyDescent="0.3">
      <c r="A592" s="1">
        <v>41900</v>
      </c>
      <c r="B592" s="1">
        <v>41906</v>
      </c>
      <c r="C592">
        <v>5.57</v>
      </c>
      <c r="D592">
        <v>0.15</v>
      </c>
      <c r="E592">
        <v>2</v>
      </c>
      <c r="F592">
        <f t="shared" si="45"/>
        <v>6</v>
      </c>
      <c r="G592">
        <f t="shared" si="46"/>
        <v>0</v>
      </c>
      <c r="H592">
        <f t="shared" si="47"/>
        <v>0</v>
      </c>
      <c r="I592">
        <f t="shared" si="48"/>
        <v>0</v>
      </c>
      <c r="J592">
        <f t="shared" si="49"/>
        <v>0</v>
      </c>
    </row>
    <row r="593" spans="1:10" x14ac:dyDescent="0.3">
      <c r="A593" s="1">
        <v>41901</v>
      </c>
      <c r="B593" s="1">
        <v>41919</v>
      </c>
      <c r="C593">
        <v>8.7200000000000006</v>
      </c>
      <c r="D593">
        <v>0.23</v>
      </c>
      <c r="E593">
        <v>2</v>
      </c>
      <c r="F593">
        <f t="shared" si="45"/>
        <v>18</v>
      </c>
      <c r="G593">
        <f t="shared" si="46"/>
        <v>0</v>
      </c>
      <c r="H593">
        <f t="shared" si="47"/>
        <v>0</v>
      </c>
      <c r="I593">
        <f t="shared" si="48"/>
        <v>0</v>
      </c>
      <c r="J593">
        <f t="shared" si="49"/>
        <v>0</v>
      </c>
    </row>
    <row r="594" spans="1:10" x14ac:dyDescent="0.3">
      <c r="A594" s="1">
        <v>41902</v>
      </c>
      <c r="B594" s="1">
        <v>41904</v>
      </c>
      <c r="C594">
        <v>6.43</v>
      </c>
      <c r="D594">
        <v>0.17</v>
      </c>
      <c r="E594">
        <v>4</v>
      </c>
      <c r="F594">
        <f t="shared" si="45"/>
        <v>0</v>
      </c>
      <c r="G594">
        <f t="shared" si="46"/>
        <v>0</v>
      </c>
      <c r="H594">
        <f t="shared" si="47"/>
        <v>2</v>
      </c>
      <c r="I594">
        <f t="shared" si="48"/>
        <v>0</v>
      </c>
      <c r="J594">
        <f t="shared" si="49"/>
        <v>0</v>
      </c>
    </row>
    <row r="595" spans="1:10" x14ac:dyDescent="0.3">
      <c r="A595" s="1">
        <v>41904</v>
      </c>
      <c r="B595" s="1">
        <v>41929</v>
      </c>
      <c r="C595">
        <v>3.57</v>
      </c>
      <c r="D595">
        <v>0.09</v>
      </c>
      <c r="E595">
        <v>2</v>
      </c>
      <c r="F595">
        <f t="shared" si="45"/>
        <v>25</v>
      </c>
      <c r="G595">
        <f t="shared" si="46"/>
        <v>0</v>
      </c>
      <c r="H595">
        <f t="shared" si="47"/>
        <v>0</v>
      </c>
      <c r="I595">
        <f t="shared" si="48"/>
        <v>0</v>
      </c>
      <c r="J595">
        <f t="shared" si="49"/>
        <v>0</v>
      </c>
    </row>
    <row r="596" spans="1:10" x14ac:dyDescent="0.3">
      <c r="A596" s="1">
        <v>41905</v>
      </c>
      <c r="B596" s="1">
        <v>41924</v>
      </c>
      <c r="C596">
        <v>13.82</v>
      </c>
      <c r="D596">
        <v>0.36</v>
      </c>
      <c r="E596">
        <v>4</v>
      </c>
      <c r="F596">
        <f t="shared" si="45"/>
        <v>0</v>
      </c>
      <c r="G596">
        <f t="shared" si="46"/>
        <v>0</v>
      </c>
      <c r="H596">
        <f t="shared" si="47"/>
        <v>19</v>
      </c>
      <c r="I596">
        <f t="shared" si="48"/>
        <v>0</v>
      </c>
      <c r="J596">
        <f t="shared" si="49"/>
        <v>0</v>
      </c>
    </row>
    <row r="597" spans="1:10" x14ac:dyDescent="0.3">
      <c r="A597" s="1">
        <v>41905</v>
      </c>
      <c r="B597" s="1">
        <v>41910</v>
      </c>
      <c r="C597">
        <v>11.37</v>
      </c>
      <c r="D597">
        <v>0.3</v>
      </c>
      <c r="E597">
        <v>5</v>
      </c>
      <c r="F597">
        <f t="shared" si="45"/>
        <v>0</v>
      </c>
      <c r="G597">
        <f t="shared" si="46"/>
        <v>0</v>
      </c>
      <c r="H597">
        <f t="shared" si="47"/>
        <v>0</v>
      </c>
      <c r="I597">
        <f t="shared" si="48"/>
        <v>5</v>
      </c>
      <c r="J597">
        <f t="shared" si="49"/>
        <v>0</v>
      </c>
    </row>
    <row r="598" spans="1:10" x14ac:dyDescent="0.3">
      <c r="A598" s="1">
        <v>41905</v>
      </c>
      <c r="B598" s="1">
        <v>41925</v>
      </c>
      <c r="C598">
        <v>6.58</v>
      </c>
      <c r="D598">
        <v>0.17</v>
      </c>
      <c r="E598">
        <v>4</v>
      </c>
      <c r="F598">
        <f t="shared" si="45"/>
        <v>0</v>
      </c>
      <c r="G598">
        <f t="shared" si="46"/>
        <v>0</v>
      </c>
      <c r="H598">
        <f t="shared" si="47"/>
        <v>20</v>
      </c>
      <c r="I598">
        <f t="shared" si="48"/>
        <v>0</v>
      </c>
      <c r="J598">
        <f t="shared" si="49"/>
        <v>0</v>
      </c>
    </row>
    <row r="599" spans="1:10" x14ac:dyDescent="0.3">
      <c r="A599" s="1">
        <v>41905</v>
      </c>
      <c r="B599" s="1">
        <v>41927</v>
      </c>
      <c r="C599">
        <v>11.69</v>
      </c>
      <c r="D599">
        <v>0.31</v>
      </c>
      <c r="E599">
        <v>5</v>
      </c>
      <c r="F599">
        <f t="shared" si="45"/>
        <v>0</v>
      </c>
      <c r="G599">
        <f t="shared" si="46"/>
        <v>0</v>
      </c>
      <c r="H599">
        <f t="shared" si="47"/>
        <v>0</v>
      </c>
      <c r="I599">
        <f t="shared" si="48"/>
        <v>22</v>
      </c>
      <c r="J599">
        <f t="shared" si="49"/>
        <v>0</v>
      </c>
    </row>
    <row r="600" spans="1:10" x14ac:dyDescent="0.3">
      <c r="A600" s="1">
        <v>41905</v>
      </c>
      <c r="B600" s="1">
        <v>41907</v>
      </c>
      <c r="C600">
        <v>12.01</v>
      </c>
      <c r="D600">
        <v>0.32</v>
      </c>
      <c r="E600">
        <v>3</v>
      </c>
      <c r="F600">
        <f t="shared" si="45"/>
        <v>0</v>
      </c>
      <c r="G600">
        <f t="shared" si="46"/>
        <v>2</v>
      </c>
      <c r="H600">
        <f t="shared" si="47"/>
        <v>0</v>
      </c>
      <c r="I600">
        <f t="shared" si="48"/>
        <v>0</v>
      </c>
      <c r="J600">
        <f t="shared" si="49"/>
        <v>0</v>
      </c>
    </row>
    <row r="601" spans="1:10" x14ac:dyDescent="0.3">
      <c r="A601" s="1">
        <v>41905</v>
      </c>
      <c r="B601" s="1">
        <v>41924</v>
      </c>
      <c r="C601">
        <v>6.43</v>
      </c>
      <c r="D601">
        <v>0.17</v>
      </c>
      <c r="E601">
        <v>2</v>
      </c>
      <c r="F601">
        <f t="shared" si="45"/>
        <v>19</v>
      </c>
      <c r="G601">
        <f t="shared" si="46"/>
        <v>0</v>
      </c>
      <c r="H601">
        <f t="shared" si="47"/>
        <v>0</v>
      </c>
      <c r="I601">
        <f t="shared" si="48"/>
        <v>0</v>
      </c>
      <c r="J601">
        <f t="shared" si="49"/>
        <v>0</v>
      </c>
    </row>
    <row r="602" spans="1:10" x14ac:dyDescent="0.3">
      <c r="A602" s="1">
        <v>41906</v>
      </c>
      <c r="B602" s="1">
        <v>41921</v>
      </c>
      <c r="C602">
        <v>14.13</v>
      </c>
      <c r="D602">
        <v>0.37</v>
      </c>
      <c r="E602">
        <v>2</v>
      </c>
      <c r="F602">
        <f t="shared" si="45"/>
        <v>15</v>
      </c>
      <c r="G602">
        <f t="shared" si="46"/>
        <v>0</v>
      </c>
      <c r="H602">
        <f t="shared" si="47"/>
        <v>0</v>
      </c>
      <c r="I602">
        <f t="shared" si="48"/>
        <v>0</v>
      </c>
      <c r="J602">
        <f t="shared" si="49"/>
        <v>0</v>
      </c>
    </row>
    <row r="603" spans="1:10" x14ac:dyDescent="0.3">
      <c r="A603" s="1">
        <v>41908</v>
      </c>
      <c r="B603" s="1">
        <v>41928</v>
      </c>
      <c r="C603">
        <v>3.73</v>
      </c>
      <c r="D603">
        <v>0.1</v>
      </c>
      <c r="E603">
        <v>2</v>
      </c>
      <c r="F603">
        <f t="shared" si="45"/>
        <v>20</v>
      </c>
      <c r="G603">
        <f t="shared" si="46"/>
        <v>0</v>
      </c>
      <c r="H603">
        <f t="shared" si="47"/>
        <v>0</v>
      </c>
      <c r="I603">
        <f t="shared" si="48"/>
        <v>0</v>
      </c>
      <c r="J603">
        <f t="shared" si="49"/>
        <v>0</v>
      </c>
    </row>
    <row r="604" spans="1:10" x14ac:dyDescent="0.3">
      <c r="A604" s="1">
        <v>41910</v>
      </c>
      <c r="B604" s="1">
        <v>41936</v>
      </c>
      <c r="C604">
        <v>2.29</v>
      </c>
      <c r="D604">
        <v>0.06</v>
      </c>
      <c r="E604">
        <v>6</v>
      </c>
      <c r="F604">
        <f t="shared" si="45"/>
        <v>0</v>
      </c>
      <c r="G604">
        <f t="shared" si="46"/>
        <v>0</v>
      </c>
      <c r="H604">
        <f t="shared" si="47"/>
        <v>0</v>
      </c>
      <c r="I604">
        <f t="shared" si="48"/>
        <v>0</v>
      </c>
      <c r="J604">
        <f t="shared" si="49"/>
        <v>26</v>
      </c>
    </row>
    <row r="605" spans="1:10" x14ac:dyDescent="0.3">
      <c r="A605" s="1">
        <v>41910</v>
      </c>
      <c r="B605" s="1">
        <v>41926</v>
      </c>
      <c r="C605">
        <v>14.13</v>
      </c>
      <c r="D605">
        <v>0.37</v>
      </c>
      <c r="E605">
        <v>3</v>
      </c>
      <c r="F605">
        <f t="shared" si="45"/>
        <v>0</v>
      </c>
      <c r="G605">
        <f t="shared" si="46"/>
        <v>16</v>
      </c>
      <c r="H605">
        <f t="shared" si="47"/>
        <v>0</v>
      </c>
      <c r="I605">
        <f t="shared" si="48"/>
        <v>0</v>
      </c>
      <c r="J605">
        <f t="shared" si="49"/>
        <v>0</v>
      </c>
    </row>
    <row r="606" spans="1:10" x14ac:dyDescent="0.3">
      <c r="A606" s="1">
        <v>41910</v>
      </c>
      <c r="B606" s="1">
        <v>41925</v>
      </c>
      <c r="C606">
        <v>11.37</v>
      </c>
      <c r="D606">
        <v>0.3</v>
      </c>
      <c r="E606">
        <v>4</v>
      </c>
      <c r="F606">
        <f t="shared" si="45"/>
        <v>0</v>
      </c>
      <c r="G606">
        <f t="shared" si="46"/>
        <v>0</v>
      </c>
      <c r="H606">
        <f t="shared" si="47"/>
        <v>15</v>
      </c>
      <c r="I606">
        <f t="shared" si="48"/>
        <v>0</v>
      </c>
      <c r="J606">
        <f t="shared" si="49"/>
        <v>0</v>
      </c>
    </row>
    <row r="607" spans="1:10" x14ac:dyDescent="0.3">
      <c r="A607" s="1">
        <v>41910</v>
      </c>
      <c r="B607" s="1">
        <v>41917</v>
      </c>
      <c r="C607">
        <v>16.940000000000001</v>
      </c>
      <c r="D607">
        <v>0.45</v>
      </c>
      <c r="E607">
        <v>2</v>
      </c>
      <c r="F607">
        <f t="shared" si="45"/>
        <v>7</v>
      </c>
      <c r="G607">
        <f t="shared" si="46"/>
        <v>0</v>
      </c>
      <c r="H607">
        <f t="shared" si="47"/>
        <v>0</v>
      </c>
      <c r="I607">
        <f t="shared" si="48"/>
        <v>0</v>
      </c>
      <c r="J607">
        <f t="shared" si="49"/>
        <v>0</v>
      </c>
    </row>
    <row r="608" spans="1:10" x14ac:dyDescent="0.3">
      <c r="A608" s="1">
        <v>41910</v>
      </c>
      <c r="B608" s="1">
        <v>41913</v>
      </c>
      <c r="C608">
        <v>11.42</v>
      </c>
      <c r="D608">
        <v>0.3</v>
      </c>
      <c r="E608">
        <v>3</v>
      </c>
      <c r="F608">
        <f t="shared" si="45"/>
        <v>0</v>
      </c>
      <c r="G608">
        <f t="shared" si="46"/>
        <v>3</v>
      </c>
      <c r="H608">
        <f t="shared" si="47"/>
        <v>0</v>
      </c>
      <c r="I608">
        <f t="shared" si="48"/>
        <v>0</v>
      </c>
      <c r="J608">
        <f t="shared" si="49"/>
        <v>0</v>
      </c>
    </row>
    <row r="609" spans="1:10" x14ac:dyDescent="0.3">
      <c r="A609" s="1">
        <v>41910</v>
      </c>
      <c r="B609" s="1">
        <v>41913</v>
      </c>
      <c r="C609">
        <v>4.25</v>
      </c>
      <c r="D609">
        <v>0.11</v>
      </c>
      <c r="E609">
        <v>4</v>
      </c>
      <c r="F609">
        <f t="shared" si="45"/>
        <v>0</v>
      </c>
      <c r="G609">
        <f t="shared" si="46"/>
        <v>0</v>
      </c>
      <c r="H609">
        <f t="shared" si="47"/>
        <v>3</v>
      </c>
      <c r="I609">
        <f t="shared" si="48"/>
        <v>0</v>
      </c>
      <c r="J609">
        <f t="shared" si="49"/>
        <v>0</v>
      </c>
    </row>
    <row r="610" spans="1:10" x14ac:dyDescent="0.3">
      <c r="A610" s="1">
        <v>41910</v>
      </c>
      <c r="B610" s="1">
        <v>41930</v>
      </c>
      <c r="C610">
        <v>5.78</v>
      </c>
      <c r="D610">
        <v>0.15</v>
      </c>
      <c r="E610">
        <v>2</v>
      </c>
      <c r="F610">
        <f t="shared" si="45"/>
        <v>20</v>
      </c>
      <c r="G610">
        <f t="shared" si="46"/>
        <v>0</v>
      </c>
      <c r="H610">
        <f t="shared" si="47"/>
        <v>0</v>
      </c>
      <c r="I610">
        <f t="shared" si="48"/>
        <v>0</v>
      </c>
      <c r="J610">
        <f t="shared" si="49"/>
        <v>0</v>
      </c>
    </row>
    <row r="611" spans="1:10" x14ac:dyDescent="0.3">
      <c r="A611" s="1">
        <v>41910</v>
      </c>
      <c r="B611" s="1">
        <v>41918</v>
      </c>
      <c r="C611">
        <v>5.23</v>
      </c>
      <c r="D611">
        <v>0.14000000000000001</v>
      </c>
      <c r="E611">
        <v>5</v>
      </c>
      <c r="F611">
        <f t="shared" si="45"/>
        <v>0</v>
      </c>
      <c r="G611">
        <f t="shared" si="46"/>
        <v>0</v>
      </c>
      <c r="H611">
        <f t="shared" si="47"/>
        <v>0</v>
      </c>
      <c r="I611">
        <f t="shared" si="48"/>
        <v>8</v>
      </c>
      <c r="J611">
        <f t="shared" si="49"/>
        <v>0</v>
      </c>
    </row>
    <row r="612" spans="1:10" x14ac:dyDescent="0.3">
      <c r="A612" s="1">
        <v>41910</v>
      </c>
      <c r="B612" s="1">
        <v>41933</v>
      </c>
      <c r="C612">
        <v>10.79</v>
      </c>
      <c r="D612">
        <v>0.28000000000000003</v>
      </c>
      <c r="E612">
        <v>3</v>
      </c>
      <c r="F612">
        <f t="shared" si="45"/>
        <v>0</v>
      </c>
      <c r="G612">
        <f t="shared" si="46"/>
        <v>23</v>
      </c>
      <c r="H612">
        <f t="shared" si="47"/>
        <v>0</v>
      </c>
      <c r="I612">
        <f t="shared" si="48"/>
        <v>0</v>
      </c>
      <c r="J612">
        <f t="shared" si="49"/>
        <v>0</v>
      </c>
    </row>
    <row r="613" spans="1:10" x14ac:dyDescent="0.3">
      <c r="A613" s="1">
        <v>41910</v>
      </c>
      <c r="B613" s="1">
        <v>41923</v>
      </c>
      <c r="C613">
        <v>5.78</v>
      </c>
      <c r="D613">
        <v>0.15</v>
      </c>
      <c r="E613">
        <v>6</v>
      </c>
      <c r="F613">
        <f t="shared" si="45"/>
        <v>0</v>
      </c>
      <c r="G613">
        <f t="shared" si="46"/>
        <v>0</v>
      </c>
      <c r="H613">
        <f t="shared" si="47"/>
        <v>0</v>
      </c>
      <c r="I613">
        <f t="shared" si="48"/>
        <v>0</v>
      </c>
      <c r="J613">
        <f t="shared" si="49"/>
        <v>13</v>
      </c>
    </row>
    <row r="614" spans="1:10" x14ac:dyDescent="0.3">
      <c r="A614" s="1">
        <v>41911</v>
      </c>
      <c r="B614" s="1">
        <v>41919</v>
      </c>
      <c r="C614">
        <v>11.37</v>
      </c>
      <c r="D614">
        <v>0.3</v>
      </c>
      <c r="E614">
        <v>4</v>
      </c>
      <c r="F614">
        <f t="shared" si="45"/>
        <v>0</v>
      </c>
      <c r="G614">
        <f t="shared" si="46"/>
        <v>0</v>
      </c>
      <c r="H614">
        <f t="shared" si="47"/>
        <v>8</v>
      </c>
      <c r="I614">
        <f t="shared" si="48"/>
        <v>0</v>
      </c>
      <c r="J614">
        <f t="shared" si="49"/>
        <v>0</v>
      </c>
    </row>
    <row r="615" spans="1:10" x14ac:dyDescent="0.3">
      <c r="A615" s="1">
        <v>41911</v>
      </c>
      <c r="B615" s="1">
        <v>41927</v>
      </c>
      <c r="C615">
        <v>8.9499999999999993</v>
      </c>
      <c r="D615">
        <v>0.24</v>
      </c>
      <c r="E615">
        <v>3</v>
      </c>
      <c r="F615">
        <f t="shared" si="45"/>
        <v>0</v>
      </c>
      <c r="G615">
        <f t="shared" si="46"/>
        <v>16</v>
      </c>
      <c r="H615">
        <f t="shared" si="47"/>
        <v>0</v>
      </c>
      <c r="I615">
        <f t="shared" si="48"/>
        <v>0</v>
      </c>
      <c r="J615">
        <f t="shared" si="49"/>
        <v>0</v>
      </c>
    </row>
    <row r="616" spans="1:10" x14ac:dyDescent="0.3">
      <c r="A616" s="1">
        <v>41911</v>
      </c>
      <c r="B616" s="1">
        <v>41929</v>
      </c>
      <c r="C616">
        <v>10.199999999999999</v>
      </c>
      <c r="D616">
        <v>0.27</v>
      </c>
      <c r="E616">
        <v>3</v>
      </c>
      <c r="F616">
        <f t="shared" si="45"/>
        <v>0</v>
      </c>
      <c r="G616">
        <f t="shared" si="46"/>
        <v>18</v>
      </c>
      <c r="H616">
        <f t="shared" si="47"/>
        <v>0</v>
      </c>
      <c r="I616">
        <f t="shared" si="48"/>
        <v>0</v>
      </c>
      <c r="J616">
        <f t="shared" si="49"/>
        <v>0</v>
      </c>
    </row>
    <row r="617" spans="1:10" x14ac:dyDescent="0.3">
      <c r="A617" s="1">
        <v>41911</v>
      </c>
      <c r="B617" s="1">
        <v>41921</v>
      </c>
      <c r="C617">
        <v>9.1300000000000008</v>
      </c>
      <c r="D617">
        <v>0.24</v>
      </c>
      <c r="E617">
        <v>4</v>
      </c>
      <c r="F617">
        <f t="shared" si="45"/>
        <v>0</v>
      </c>
      <c r="G617">
        <f t="shared" si="46"/>
        <v>0</v>
      </c>
      <c r="H617">
        <f t="shared" si="47"/>
        <v>10</v>
      </c>
      <c r="I617">
        <f t="shared" si="48"/>
        <v>0</v>
      </c>
      <c r="J617">
        <f t="shared" si="49"/>
        <v>0</v>
      </c>
    </row>
    <row r="618" spans="1:10" x14ac:dyDescent="0.3">
      <c r="A618" s="1">
        <v>41911</v>
      </c>
      <c r="B618" s="1">
        <v>41932</v>
      </c>
      <c r="C618">
        <v>6.23</v>
      </c>
      <c r="D618">
        <v>0.16</v>
      </c>
      <c r="E618">
        <v>6</v>
      </c>
      <c r="F618">
        <f t="shared" si="45"/>
        <v>0</v>
      </c>
      <c r="G618">
        <f t="shared" si="46"/>
        <v>0</v>
      </c>
      <c r="H618">
        <f t="shared" si="47"/>
        <v>0</v>
      </c>
      <c r="I618">
        <f t="shared" si="48"/>
        <v>0</v>
      </c>
      <c r="J618">
        <f t="shared" si="49"/>
        <v>21</v>
      </c>
    </row>
    <row r="619" spans="1:10" x14ac:dyDescent="0.3">
      <c r="A619" s="1">
        <v>41911</v>
      </c>
      <c r="B619" s="1">
        <v>41932</v>
      </c>
      <c r="C619">
        <v>8.84</v>
      </c>
      <c r="D619">
        <v>0.23</v>
      </c>
      <c r="E619">
        <v>4</v>
      </c>
      <c r="F619">
        <f t="shared" si="45"/>
        <v>0</v>
      </c>
      <c r="G619">
        <f t="shared" si="46"/>
        <v>0</v>
      </c>
      <c r="H619">
        <f t="shared" si="47"/>
        <v>21</v>
      </c>
      <c r="I619">
        <f t="shared" si="48"/>
        <v>0</v>
      </c>
      <c r="J619">
        <f t="shared" si="49"/>
        <v>0</v>
      </c>
    </row>
    <row r="620" spans="1:10" x14ac:dyDescent="0.3">
      <c r="A620" s="1">
        <v>41911</v>
      </c>
      <c r="B620" s="1">
        <v>41919</v>
      </c>
      <c r="C620">
        <v>6.88</v>
      </c>
      <c r="D620">
        <v>0.18</v>
      </c>
      <c r="E620">
        <v>6</v>
      </c>
      <c r="F620">
        <f t="shared" si="45"/>
        <v>0</v>
      </c>
      <c r="G620">
        <f t="shared" si="46"/>
        <v>0</v>
      </c>
      <c r="H620">
        <f t="shared" si="47"/>
        <v>0</v>
      </c>
      <c r="I620">
        <f t="shared" si="48"/>
        <v>0</v>
      </c>
      <c r="J620">
        <f t="shared" si="49"/>
        <v>8</v>
      </c>
    </row>
    <row r="621" spans="1:10" x14ac:dyDescent="0.3">
      <c r="A621" s="1">
        <v>41911</v>
      </c>
      <c r="B621" s="1">
        <v>41921</v>
      </c>
      <c r="C621">
        <v>8.84</v>
      </c>
      <c r="D621">
        <v>0.23</v>
      </c>
      <c r="E621">
        <v>2</v>
      </c>
      <c r="F621">
        <f t="shared" si="45"/>
        <v>10</v>
      </c>
      <c r="G621">
        <f t="shared" si="46"/>
        <v>0</v>
      </c>
      <c r="H621">
        <f t="shared" si="47"/>
        <v>0</v>
      </c>
      <c r="I621">
        <f t="shared" si="48"/>
        <v>0</v>
      </c>
      <c r="J621">
        <f t="shared" si="49"/>
        <v>0</v>
      </c>
    </row>
    <row r="622" spans="1:10" x14ac:dyDescent="0.3">
      <c r="A622" s="1">
        <v>41911</v>
      </c>
      <c r="B622" s="1">
        <v>41917</v>
      </c>
      <c r="C622">
        <v>3.57</v>
      </c>
      <c r="D622">
        <v>0.09</v>
      </c>
      <c r="E622">
        <v>5</v>
      </c>
      <c r="F622">
        <f t="shared" si="45"/>
        <v>0</v>
      </c>
      <c r="G622">
        <f t="shared" si="46"/>
        <v>0</v>
      </c>
      <c r="H622">
        <f t="shared" si="47"/>
        <v>0</v>
      </c>
      <c r="I622">
        <f t="shared" si="48"/>
        <v>6</v>
      </c>
      <c r="J622">
        <f t="shared" si="49"/>
        <v>0</v>
      </c>
    </row>
    <row r="623" spans="1:10" x14ac:dyDescent="0.3">
      <c r="A623" s="1">
        <v>41911</v>
      </c>
      <c r="B623" s="1">
        <v>41926</v>
      </c>
      <c r="C623">
        <v>5.64</v>
      </c>
      <c r="D623">
        <v>0.15</v>
      </c>
      <c r="E623">
        <v>5</v>
      </c>
      <c r="F623">
        <f t="shared" si="45"/>
        <v>0</v>
      </c>
      <c r="G623">
        <f t="shared" si="46"/>
        <v>0</v>
      </c>
      <c r="H623">
        <f t="shared" si="47"/>
        <v>0</v>
      </c>
      <c r="I623">
        <f t="shared" si="48"/>
        <v>15</v>
      </c>
      <c r="J623">
        <f t="shared" si="49"/>
        <v>0</v>
      </c>
    </row>
    <row r="624" spans="1:10" x14ac:dyDescent="0.3">
      <c r="A624" s="1">
        <v>41911</v>
      </c>
      <c r="B624" s="1">
        <v>41938</v>
      </c>
      <c r="C624">
        <v>9.06</v>
      </c>
      <c r="D624">
        <v>0.24</v>
      </c>
      <c r="E624">
        <v>6</v>
      </c>
      <c r="F624">
        <f t="shared" si="45"/>
        <v>0</v>
      </c>
      <c r="G624">
        <f t="shared" si="46"/>
        <v>0</v>
      </c>
      <c r="H624">
        <f t="shared" si="47"/>
        <v>0</v>
      </c>
      <c r="I624">
        <f t="shared" si="48"/>
        <v>0</v>
      </c>
      <c r="J624">
        <f t="shared" si="49"/>
        <v>27</v>
      </c>
    </row>
    <row r="625" spans="1:10" x14ac:dyDescent="0.3">
      <c r="A625" s="1">
        <v>41911</v>
      </c>
      <c r="B625" s="1">
        <v>41916</v>
      </c>
      <c r="C625">
        <v>7.55</v>
      </c>
      <c r="D625">
        <v>0.2</v>
      </c>
      <c r="E625">
        <v>2</v>
      </c>
      <c r="F625">
        <f t="shared" si="45"/>
        <v>5</v>
      </c>
      <c r="G625">
        <f t="shared" si="46"/>
        <v>0</v>
      </c>
      <c r="H625">
        <f t="shared" si="47"/>
        <v>0</v>
      </c>
      <c r="I625">
        <f t="shared" si="48"/>
        <v>0</v>
      </c>
      <c r="J625">
        <f t="shared" si="49"/>
        <v>0</v>
      </c>
    </row>
    <row r="626" spans="1:10" x14ac:dyDescent="0.3">
      <c r="A626" s="1">
        <v>41911</v>
      </c>
      <c r="B626" s="1">
        <v>41929</v>
      </c>
      <c r="C626">
        <v>13.02</v>
      </c>
      <c r="D626">
        <v>0.34</v>
      </c>
      <c r="E626">
        <v>5</v>
      </c>
      <c r="F626">
        <f t="shared" si="45"/>
        <v>0</v>
      </c>
      <c r="G626">
        <f t="shared" si="46"/>
        <v>0</v>
      </c>
      <c r="H626">
        <f t="shared" si="47"/>
        <v>0</v>
      </c>
      <c r="I626">
        <f t="shared" si="48"/>
        <v>18</v>
      </c>
      <c r="J626">
        <f t="shared" si="49"/>
        <v>0</v>
      </c>
    </row>
    <row r="627" spans="1:10" x14ac:dyDescent="0.3">
      <c r="A627" s="1">
        <v>41911</v>
      </c>
      <c r="B627" s="1">
        <v>41913</v>
      </c>
      <c r="C627">
        <v>8.9499999999999993</v>
      </c>
      <c r="D627">
        <v>0.24</v>
      </c>
      <c r="E627">
        <v>4</v>
      </c>
      <c r="F627">
        <f t="shared" si="45"/>
        <v>0</v>
      </c>
      <c r="G627">
        <f t="shared" si="46"/>
        <v>0</v>
      </c>
      <c r="H627">
        <f t="shared" si="47"/>
        <v>2</v>
      </c>
      <c r="I627">
        <f t="shared" si="48"/>
        <v>0</v>
      </c>
      <c r="J627">
        <f t="shared" si="49"/>
        <v>0</v>
      </c>
    </row>
    <row r="628" spans="1:10" x14ac:dyDescent="0.3">
      <c r="A628" s="1">
        <v>41911</v>
      </c>
      <c r="B628" s="1">
        <v>41918</v>
      </c>
      <c r="C628">
        <v>10.93</v>
      </c>
      <c r="D628">
        <v>0.28999999999999998</v>
      </c>
      <c r="E628">
        <v>3</v>
      </c>
      <c r="F628">
        <f t="shared" si="45"/>
        <v>0</v>
      </c>
      <c r="G628">
        <f t="shared" si="46"/>
        <v>7</v>
      </c>
      <c r="H628">
        <f t="shared" si="47"/>
        <v>0</v>
      </c>
      <c r="I628">
        <f t="shared" si="48"/>
        <v>0</v>
      </c>
      <c r="J628">
        <f t="shared" si="49"/>
        <v>0</v>
      </c>
    </row>
    <row r="629" spans="1:10" x14ac:dyDescent="0.3">
      <c r="A629" s="1">
        <v>41911</v>
      </c>
      <c r="B629" s="1">
        <v>41931</v>
      </c>
      <c r="C629">
        <v>7.3</v>
      </c>
      <c r="D629">
        <v>0.19</v>
      </c>
      <c r="E629">
        <v>5</v>
      </c>
      <c r="F629">
        <f t="shared" si="45"/>
        <v>0</v>
      </c>
      <c r="G629">
        <f t="shared" si="46"/>
        <v>0</v>
      </c>
      <c r="H629">
        <f t="shared" si="47"/>
        <v>0</v>
      </c>
      <c r="I629">
        <f t="shared" si="48"/>
        <v>20</v>
      </c>
      <c r="J629">
        <f t="shared" si="49"/>
        <v>0</v>
      </c>
    </row>
    <row r="630" spans="1:10" x14ac:dyDescent="0.3">
      <c r="A630" s="1">
        <v>41911</v>
      </c>
      <c r="B630" s="1">
        <v>41939</v>
      </c>
      <c r="C630">
        <v>7.31</v>
      </c>
      <c r="D630">
        <v>0.19</v>
      </c>
      <c r="E630">
        <v>6</v>
      </c>
      <c r="F630">
        <f t="shared" si="45"/>
        <v>0</v>
      </c>
      <c r="G630">
        <f t="shared" si="46"/>
        <v>0</v>
      </c>
      <c r="H630">
        <f t="shared" si="47"/>
        <v>0</v>
      </c>
      <c r="I630">
        <f t="shared" si="48"/>
        <v>0</v>
      </c>
      <c r="J630">
        <f t="shared" si="49"/>
        <v>28</v>
      </c>
    </row>
    <row r="631" spans="1:10" x14ac:dyDescent="0.3">
      <c r="A631" s="1">
        <v>41911</v>
      </c>
      <c r="B631" s="1">
        <v>41918</v>
      </c>
      <c r="C631">
        <v>13.07</v>
      </c>
      <c r="D631">
        <v>0.34</v>
      </c>
      <c r="E631">
        <v>5</v>
      </c>
      <c r="F631">
        <f t="shared" si="45"/>
        <v>0</v>
      </c>
      <c r="G631">
        <f t="shared" si="46"/>
        <v>0</v>
      </c>
      <c r="H631">
        <f t="shared" si="47"/>
        <v>0</v>
      </c>
      <c r="I631">
        <f t="shared" si="48"/>
        <v>7</v>
      </c>
      <c r="J631">
        <f t="shared" si="49"/>
        <v>0</v>
      </c>
    </row>
    <row r="632" spans="1:10" x14ac:dyDescent="0.3">
      <c r="A632" s="1">
        <v>41911</v>
      </c>
      <c r="B632" s="1">
        <v>41923</v>
      </c>
      <c r="C632">
        <v>5.67</v>
      </c>
      <c r="D632">
        <v>0.15</v>
      </c>
      <c r="E632">
        <v>4</v>
      </c>
      <c r="F632">
        <f t="shared" si="45"/>
        <v>0</v>
      </c>
      <c r="G632">
        <f t="shared" si="46"/>
        <v>0</v>
      </c>
      <c r="H632">
        <f t="shared" si="47"/>
        <v>12</v>
      </c>
      <c r="I632">
        <f t="shared" si="48"/>
        <v>0</v>
      </c>
      <c r="J632">
        <f t="shared" si="49"/>
        <v>0</v>
      </c>
    </row>
    <row r="633" spans="1:10" x14ac:dyDescent="0.3">
      <c r="A633" s="1">
        <v>41912</v>
      </c>
      <c r="B633" s="1">
        <v>41925</v>
      </c>
      <c r="C633">
        <v>2.72</v>
      </c>
      <c r="D633">
        <v>7.0000000000000007E-2</v>
      </c>
      <c r="E633">
        <v>6</v>
      </c>
      <c r="F633">
        <f t="shared" si="45"/>
        <v>0</v>
      </c>
      <c r="G633">
        <f t="shared" si="46"/>
        <v>0</v>
      </c>
      <c r="H633">
        <f t="shared" si="47"/>
        <v>0</v>
      </c>
      <c r="I633">
        <f t="shared" si="48"/>
        <v>0</v>
      </c>
      <c r="J633">
        <f t="shared" si="49"/>
        <v>13</v>
      </c>
    </row>
    <row r="634" spans="1:10" x14ac:dyDescent="0.3">
      <c r="A634" s="1">
        <v>41913</v>
      </c>
      <c r="B634" s="1">
        <v>41919</v>
      </c>
      <c r="C634">
        <v>5.67</v>
      </c>
      <c r="D634">
        <v>0.15</v>
      </c>
      <c r="E634">
        <v>4</v>
      </c>
      <c r="F634">
        <f t="shared" si="45"/>
        <v>0</v>
      </c>
      <c r="G634">
        <f t="shared" si="46"/>
        <v>0</v>
      </c>
      <c r="H634">
        <f t="shared" si="47"/>
        <v>6</v>
      </c>
      <c r="I634">
        <f t="shared" si="48"/>
        <v>0</v>
      </c>
      <c r="J634">
        <f t="shared" si="49"/>
        <v>0</v>
      </c>
    </row>
    <row r="635" spans="1:10" x14ac:dyDescent="0.3">
      <c r="A635" s="1">
        <v>41913</v>
      </c>
      <c r="B635" s="1">
        <v>41928</v>
      </c>
      <c r="C635">
        <v>5.67</v>
      </c>
      <c r="D635">
        <v>0.15</v>
      </c>
      <c r="E635">
        <v>5</v>
      </c>
      <c r="F635">
        <f t="shared" si="45"/>
        <v>0</v>
      </c>
      <c r="G635">
        <f t="shared" si="46"/>
        <v>0</v>
      </c>
      <c r="H635">
        <f t="shared" si="47"/>
        <v>0</v>
      </c>
      <c r="I635">
        <f t="shared" si="48"/>
        <v>15</v>
      </c>
      <c r="J635">
        <f t="shared" si="49"/>
        <v>0</v>
      </c>
    </row>
    <row r="636" spans="1:10" x14ac:dyDescent="0.3">
      <c r="A636" s="1">
        <v>41914</v>
      </c>
      <c r="B636" s="1">
        <v>41917</v>
      </c>
      <c r="C636">
        <v>3.94</v>
      </c>
      <c r="D636">
        <v>0.1</v>
      </c>
      <c r="E636">
        <v>5</v>
      </c>
      <c r="F636">
        <f t="shared" si="45"/>
        <v>0</v>
      </c>
      <c r="G636">
        <f t="shared" si="46"/>
        <v>0</v>
      </c>
      <c r="H636">
        <f t="shared" si="47"/>
        <v>0</v>
      </c>
      <c r="I636">
        <f t="shared" si="48"/>
        <v>3</v>
      </c>
      <c r="J636">
        <f t="shared" si="49"/>
        <v>0</v>
      </c>
    </row>
    <row r="637" spans="1:10" x14ac:dyDescent="0.3">
      <c r="A637" s="1">
        <v>41914</v>
      </c>
      <c r="B637" s="1">
        <v>41942</v>
      </c>
      <c r="C637">
        <v>5.64</v>
      </c>
      <c r="D637">
        <v>0.15</v>
      </c>
      <c r="E637">
        <v>3</v>
      </c>
      <c r="F637">
        <f t="shared" si="45"/>
        <v>0</v>
      </c>
      <c r="G637">
        <f t="shared" si="46"/>
        <v>28</v>
      </c>
      <c r="H637">
        <f t="shared" si="47"/>
        <v>0</v>
      </c>
      <c r="I637">
        <f t="shared" si="48"/>
        <v>0</v>
      </c>
      <c r="J637">
        <f t="shared" si="49"/>
        <v>0</v>
      </c>
    </row>
    <row r="638" spans="1:10" x14ac:dyDescent="0.3">
      <c r="A638" s="1">
        <v>41915</v>
      </c>
      <c r="B638" s="1">
        <v>41932</v>
      </c>
      <c r="C638">
        <v>2.0099999999999998</v>
      </c>
      <c r="D638">
        <v>0.05</v>
      </c>
      <c r="E638">
        <v>6</v>
      </c>
      <c r="F638">
        <f t="shared" si="45"/>
        <v>0</v>
      </c>
      <c r="G638">
        <f t="shared" si="46"/>
        <v>0</v>
      </c>
      <c r="H638">
        <f t="shared" si="47"/>
        <v>0</v>
      </c>
      <c r="I638">
        <f t="shared" si="48"/>
        <v>0</v>
      </c>
      <c r="J638">
        <f t="shared" si="49"/>
        <v>17</v>
      </c>
    </row>
    <row r="639" spans="1:10" x14ac:dyDescent="0.3">
      <c r="A639" s="1">
        <v>41915</v>
      </c>
      <c r="B639" s="1">
        <v>41938</v>
      </c>
      <c r="C639">
        <v>3.73</v>
      </c>
      <c r="D639">
        <v>0.1</v>
      </c>
      <c r="E639">
        <v>4</v>
      </c>
      <c r="F639">
        <f t="shared" si="45"/>
        <v>0</v>
      </c>
      <c r="G639">
        <f t="shared" si="46"/>
        <v>0</v>
      </c>
      <c r="H639">
        <f t="shared" si="47"/>
        <v>23</v>
      </c>
      <c r="I639">
        <f t="shared" si="48"/>
        <v>0</v>
      </c>
      <c r="J639">
        <f t="shared" si="49"/>
        <v>0</v>
      </c>
    </row>
    <row r="640" spans="1:10" x14ac:dyDescent="0.3">
      <c r="A640" s="1">
        <v>41915</v>
      </c>
      <c r="B640" s="1">
        <v>41921</v>
      </c>
      <c r="C640">
        <v>3.73</v>
      </c>
      <c r="D640">
        <v>0.1</v>
      </c>
      <c r="E640">
        <v>2</v>
      </c>
      <c r="F640">
        <f t="shared" si="45"/>
        <v>6</v>
      </c>
      <c r="G640">
        <f t="shared" si="46"/>
        <v>0</v>
      </c>
      <c r="H640">
        <f t="shared" si="47"/>
        <v>0</v>
      </c>
      <c r="I640">
        <f t="shared" si="48"/>
        <v>0</v>
      </c>
      <c r="J640">
        <f t="shared" si="49"/>
        <v>0</v>
      </c>
    </row>
    <row r="641" spans="1:10" x14ac:dyDescent="0.3">
      <c r="A641" s="1">
        <v>41917</v>
      </c>
      <c r="B641" s="1">
        <v>41937</v>
      </c>
      <c r="C641">
        <v>4.25</v>
      </c>
      <c r="D641">
        <v>0.11</v>
      </c>
      <c r="E641">
        <v>5</v>
      </c>
      <c r="F641">
        <f t="shared" si="45"/>
        <v>0</v>
      </c>
      <c r="G641">
        <f t="shared" si="46"/>
        <v>0</v>
      </c>
      <c r="H641">
        <f t="shared" si="47"/>
        <v>0</v>
      </c>
      <c r="I641">
        <f t="shared" si="48"/>
        <v>20</v>
      </c>
      <c r="J641">
        <f t="shared" si="49"/>
        <v>0</v>
      </c>
    </row>
    <row r="642" spans="1:10" x14ac:dyDescent="0.3">
      <c r="A642" s="1">
        <v>41917</v>
      </c>
      <c r="B642" s="1">
        <v>41928</v>
      </c>
      <c r="C642">
        <v>11.42</v>
      </c>
      <c r="D642">
        <v>0.3</v>
      </c>
      <c r="E642">
        <v>4</v>
      </c>
      <c r="F642">
        <f t="shared" si="45"/>
        <v>0</v>
      </c>
      <c r="G642">
        <f t="shared" si="46"/>
        <v>0</v>
      </c>
      <c r="H642">
        <f t="shared" si="47"/>
        <v>11</v>
      </c>
      <c r="I642">
        <f t="shared" si="48"/>
        <v>0</v>
      </c>
      <c r="J642">
        <f t="shared" si="49"/>
        <v>0</v>
      </c>
    </row>
    <row r="643" spans="1:10" x14ac:dyDescent="0.3">
      <c r="A643" s="1">
        <v>41917</v>
      </c>
      <c r="B643" s="1">
        <v>41939</v>
      </c>
      <c r="C643">
        <v>13.07</v>
      </c>
      <c r="D643">
        <v>0.34</v>
      </c>
      <c r="E643">
        <v>3</v>
      </c>
      <c r="F643">
        <f t="shared" ref="F643:F706" si="50">IF(EXACT(E643,2),B643-A643,0)</f>
        <v>0</v>
      </c>
      <c r="G643">
        <f t="shared" ref="G643:G706" si="51">IF(EXACT(E643,3),B643-A643,0)</f>
        <v>22</v>
      </c>
      <c r="H643">
        <f t="shared" ref="H643:H706" si="52">IF(EXACT(E643,4),B643-A643,0)</f>
        <v>0</v>
      </c>
      <c r="I643">
        <f t="shared" ref="I643:I706" si="53">IF(EXACT(E643,5),B643-A643,0)</f>
        <v>0</v>
      </c>
      <c r="J643">
        <f t="shared" ref="J643:J706" si="54">IF(EXACT(E643,6),B643-A643,0)</f>
        <v>0</v>
      </c>
    </row>
    <row r="644" spans="1:10" x14ac:dyDescent="0.3">
      <c r="A644" s="1">
        <v>41918</v>
      </c>
      <c r="B644" s="1">
        <v>41939</v>
      </c>
      <c r="C644">
        <v>5.67</v>
      </c>
      <c r="D644">
        <v>0.15</v>
      </c>
      <c r="E644">
        <v>2</v>
      </c>
      <c r="F644">
        <f t="shared" si="50"/>
        <v>21</v>
      </c>
      <c r="G644">
        <f t="shared" si="51"/>
        <v>0</v>
      </c>
      <c r="H644">
        <f t="shared" si="52"/>
        <v>0</v>
      </c>
      <c r="I644">
        <f t="shared" si="53"/>
        <v>0</v>
      </c>
      <c r="J644">
        <f t="shared" si="54"/>
        <v>0</v>
      </c>
    </row>
    <row r="645" spans="1:10" x14ac:dyDescent="0.3">
      <c r="A645" s="1">
        <v>41918</v>
      </c>
      <c r="B645" s="1">
        <v>41922</v>
      </c>
      <c r="C645">
        <v>6.23</v>
      </c>
      <c r="D645">
        <v>0.16</v>
      </c>
      <c r="E645">
        <v>4</v>
      </c>
      <c r="F645">
        <f t="shared" si="50"/>
        <v>0</v>
      </c>
      <c r="G645">
        <f t="shared" si="51"/>
        <v>0</v>
      </c>
      <c r="H645">
        <f t="shared" si="52"/>
        <v>4</v>
      </c>
      <c r="I645">
        <f t="shared" si="53"/>
        <v>0</v>
      </c>
      <c r="J645">
        <f t="shared" si="54"/>
        <v>0</v>
      </c>
    </row>
    <row r="646" spans="1:10" x14ac:dyDescent="0.3">
      <c r="A646" s="1">
        <v>41918</v>
      </c>
      <c r="B646" s="1">
        <v>41940</v>
      </c>
      <c r="C646">
        <v>19.940000000000001</v>
      </c>
      <c r="D646">
        <v>0.52</v>
      </c>
      <c r="E646">
        <v>4</v>
      </c>
      <c r="F646">
        <f t="shared" si="50"/>
        <v>0</v>
      </c>
      <c r="G646">
        <f t="shared" si="51"/>
        <v>0</v>
      </c>
      <c r="H646">
        <f t="shared" si="52"/>
        <v>22</v>
      </c>
      <c r="I646">
        <f t="shared" si="53"/>
        <v>0</v>
      </c>
      <c r="J646">
        <f t="shared" si="54"/>
        <v>0</v>
      </c>
    </row>
    <row r="647" spans="1:10" x14ac:dyDescent="0.3">
      <c r="A647" s="1">
        <v>41918</v>
      </c>
      <c r="B647" s="1">
        <v>41925</v>
      </c>
      <c r="C647">
        <v>6.88</v>
      </c>
      <c r="D647">
        <v>0.18</v>
      </c>
      <c r="E647">
        <v>3</v>
      </c>
      <c r="F647">
        <f t="shared" si="50"/>
        <v>0</v>
      </c>
      <c r="G647">
        <f t="shared" si="51"/>
        <v>7</v>
      </c>
      <c r="H647">
        <f t="shared" si="52"/>
        <v>0</v>
      </c>
      <c r="I647">
        <f t="shared" si="53"/>
        <v>0</v>
      </c>
      <c r="J647">
        <f t="shared" si="54"/>
        <v>0</v>
      </c>
    </row>
    <row r="648" spans="1:10" x14ac:dyDescent="0.3">
      <c r="A648" s="1">
        <v>41918</v>
      </c>
      <c r="B648" s="1">
        <v>41929</v>
      </c>
      <c r="C648">
        <v>8.39</v>
      </c>
      <c r="D648">
        <v>0.22</v>
      </c>
      <c r="E648">
        <v>6</v>
      </c>
      <c r="F648">
        <f t="shared" si="50"/>
        <v>0</v>
      </c>
      <c r="G648">
        <f t="shared" si="51"/>
        <v>0</v>
      </c>
      <c r="H648">
        <f t="shared" si="52"/>
        <v>0</v>
      </c>
      <c r="I648">
        <f t="shared" si="53"/>
        <v>0</v>
      </c>
      <c r="J648">
        <f t="shared" si="54"/>
        <v>11</v>
      </c>
    </row>
    <row r="649" spans="1:10" x14ac:dyDescent="0.3">
      <c r="A649" s="1">
        <v>41922</v>
      </c>
      <c r="B649" s="1">
        <v>41936</v>
      </c>
      <c r="C649">
        <v>11.44</v>
      </c>
      <c r="D649">
        <v>0.3</v>
      </c>
      <c r="E649">
        <v>4</v>
      </c>
      <c r="F649">
        <f t="shared" si="50"/>
        <v>0</v>
      </c>
      <c r="G649">
        <f t="shared" si="51"/>
        <v>0</v>
      </c>
      <c r="H649">
        <f t="shared" si="52"/>
        <v>14</v>
      </c>
      <c r="I649">
        <f t="shared" si="53"/>
        <v>0</v>
      </c>
      <c r="J649">
        <f t="shared" si="54"/>
        <v>0</v>
      </c>
    </row>
    <row r="650" spans="1:10" x14ac:dyDescent="0.3">
      <c r="A650" s="1">
        <v>41922</v>
      </c>
      <c r="B650" s="1">
        <v>41937</v>
      </c>
      <c r="C650">
        <v>9.4600000000000009</v>
      </c>
      <c r="D650">
        <v>0.25</v>
      </c>
      <c r="E650">
        <v>5</v>
      </c>
      <c r="F650">
        <f t="shared" si="50"/>
        <v>0</v>
      </c>
      <c r="G650">
        <f t="shared" si="51"/>
        <v>0</v>
      </c>
      <c r="H650">
        <f t="shared" si="52"/>
        <v>0</v>
      </c>
      <c r="I650">
        <f t="shared" si="53"/>
        <v>15</v>
      </c>
      <c r="J650">
        <f t="shared" si="54"/>
        <v>0</v>
      </c>
    </row>
    <row r="651" spans="1:10" x14ac:dyDescent="0.3">
      <c r="A651" s="1">
        <v>41922</v>
      </c>
      <c r="B651" s="1">
        <v>41926</v>
      </c>
      <c r="C651">
        <v>5.67</v>
      </c>
      <c r="D651">
        <v>0.15</v>
      </c>
      <c r="E651">
        <v>4</v>
      </c>
      <c r="F651">
        <f t="shared" si="50"/>
        <v>0</v>
      </c>
      <c r="G651">
        <f t="shared" si="51"/>
        <v>0</v>
      </c>
      <c r="H651">
        <f t="shared" si="52"/>
        <v>4</v>
      </c>
      <c r="I651">
        <f t="shared" si="53"/>
        <v>0</v>
      </c>
      <c r="J651">
        <f t="shared" si="54"/>
        <v>0</v>
      </c>
    </row>
    <row r="652" spans="1:10" x14ac:dyDescent="0.3">
      <c r="A652" s="1">
        <v>41922</v>
      </c>
      <c r="B652" s="1">
        <v>41947</v>
      </c>
      <c r="C652">
        <v>13.82</v>
      </c>
      <c r="D652">
        <v>0.36</v>
      </c>
      <c r="E652">
        <v>2</v>
      </c>
      <c r="F652">
        <f t="shared" si="50"/>
        <v>25</v>
      </c>
      <c r="G652">
        <f t="shared" si="51"/>
        <v>0</v>
      </c>
      <c r="H652">
        <f t="shared" si="52"/>
        <v>0</v>
      </c>
      <c r="I652">
        <f t="shared" si="53"/>
        <v>0</v>
      </c>
      <c r="J652">
        <f t="shared" si="54"/>
        <v>0</v>
      </c>
    </row>
    <row r="653" spans="1:10" x14ac:dyDescent="0.3">
      <c r="A653" s="1">
        <v>41922</v>
      </c>
      <c r="B653" s="1">
        <v>41929</v>
      </c>
      <c r="C653">
        <v>6.43</v>
      </c>
      <c r="D653">
        <v>0.17</v>
      </c>
      <c r="E653">
        <v>5</v>
      </c>
      <c r="F653">
        <f t="shared" si="50"/>
        <v>0</v>
      </c>
      <c r="G653">
        <f t="shared" si="51"/>
        <v>0</v>
      </c>
      <c r="H653">
        <f t="shared" si="52"/>
        <v>0</v>
      </c>
      <c r="I653">
        <f t="shared" si="53"/>
        <v>7</v>
      </c>
      <c r="J653">
        <f t="shared" si="54"/>
        <v>0</v>
      </c>
    </row>
    <row r="654" spans="1:10" x14ac:dyDescent="0.3">
      <c r="A654" s="1">
        <v>41922</v>
      </c>
      <c r="B654" s="1">
        <v>41928</v>
      </c>
      <c r="C654">
        <v>2.0099999999999998</v>
      </c>
      <c r="D654">
        <v>0.05</v>
      </c>
      <c r="E654">
        <v>2</v>
      </c>
      <c r="F654">
        <f t="shared" si="50"/>
        <v>6</v>
      </c>
      <c r="G654">
        <f t="shared" si="51"/>
        <v>0</v>
      </c>
      <c r="H654">
        <f t="shared" si="52"/>
        <v>0</v>
      </c>
      <c r="I654">
        <f t="shared" si="53"/>
        <v>0</v>
      </c>
      <c r="J654">
        <f t="shared" si="54"/>
        <v>0</v>
      </c>
    </row>
    <row r="655" spans="1:10" x14ac:dyDescent="0.3">
      <c r="A655" s="1">
        <v>41922</v>
      </c>
      <c r="B655" s="1">
        <v>41950</v>
      </c>
      <c r="C655">
        <v>6.43</v>
      </c>
      <c r="D655">
        <v>0.17</v>
      </c>
      <c r="E655">
        <v>5</v>
      </c>
      <c r="F655">
        <f t="shared" si="50"/>
        <v>0</v>
      </c>
      <c r="G655">
        <f t="shared" si="51"/>
        <v>0</v>
      </c>
      <c r="H655">
        <f t="shared" si="52"/>
        <v>0</v>
      </c>
      <c r="I655">
        <f t="shared" si="53"/>
        <v>28</v>
      </c>
      <c r="J655">
        <f t="shared" si="54"/>
        <v>0</v>
      </c>
    </row>
    <row r="656" spans="1:10" x14ac:dyDescent="0.3">
      <c r="A656" s="1">
        <v>41922</v>
      </c>
      <c r="B656" s="1">
        <v>41944</v>
      </c>
      <c r="C656">
        <v>7.35</v>
      </c>
      <c r="D656">
        <v>0.19</v>
      </c>
      <c r="E656">
        <v>6</v>
      </c>
      <c r="F656">
        <f t="shared" si="50"/>
        <v>0</v>
      </c>
      <c r="G656">
        <f t="shared" si="51"/>
        <v>0</v>
      </c>
      <c r="H656">
        <f t="shared" si="52"/>
        <v>0</v>
      </c>
      <c r="I656">
        <f t="shared" si="53"/>
        <v>0</v>
      </c>
      <c r="J656">
        <f t="shared" si="54"/>
        <v>22</v>
      </c>
    </row>
    <row r="657" spans="1:10" x14ac:dyDescent="0.3">
      <c r="A657" s="1">
        <v>41922</v>
      </c>
      <c r="B657" s="1">
        <v>41947</v>
      </c>
      <c r="C657">
        <v>16.55</v>
      </c>
      <c r="D657">
        <v>0.44</v>
      </c>
      <c r="E657">
        <v>6</v>
      </c>
      <c r="F657">
        <f t="shared" si="50"/>
        <v>0</v>
      </c>
      <c r="G657">
        <f t="shared" si="51"/>
        <v>0</v>
      </c>
      <c r="H657">
        <f t="shared" si="52"/>
        <v>0</v>
      </c>
      <c r="I657">
        <f t="shared" si="53"/>
        <v>0</v>
      </c>
      <c r="J657">
        <f t="shared" si="54"/>
        <v>25</v>
      </c>
    </row>
    <row r="658" spans="1:10" x14ac:dyDescent="0.3">
      <c r="A658" s="1">
        <v>41922</v>
      </c>
      <c r="B658" s="1">
        <v>41928</v>
      </c>
      <c r="C658">
        <v>9.06</v>
      </c>
      <c r="D658">
        <v>0.24</v>
      </c>
      <c r="E658">
        <v>6</v>
      </c>
      <c r="F658">
        <f t="shared" si="50"/>
        <v>0</v>
      </c>
      <c r="G658">
        <f t="shared" si="51"/>
        <v>0</v>
      </c>
      <c r="H658">
        <f t="shared" si="52"/>
        <v>0</v>
      </c>
      <c r="I658">
        <f t="shared" si="53"/>
        <v>0</v>
      </c>
      <c r="J658">
        <f t="shared" si="54"/>
        <v>6</v>
      </c>
    </row>
    <row r="659" spans="1:10" x14ac:dyDescent="0.3">
      <c r="A659" s="1">
        <v>41922</v>
      </c>
      <c r="B659" s="1">
        <v>41945</v>
      </c>
      <c r="C659">
        <v>10.59</v>
      </c>
      <c r="D659">
        <v>0.28000000000000003</v>
      </c>
      <c r="E659">
        <v>4</v>
      </c>
      <c r="F659">
        <f t="shared" si="50"/>
        <v>0</v>
      </c>
      <c r="G659">
        <f t="shared" si="51"/>
        <v>0</v>
      </c>
      <c r="H659">
        <f t="shared" si="52"/>
        <v>23</v>
      </c>
      <c r="I659">
        <f t="shared" si="53"/>
        <v>0</v>
      </c>
      <c r="J659">
        <f t="shared" si="54"/>
        <v>0</v>
      </c>
    </row>
    <row r="660" spans="1:10" x14ac:dyDescent="0.3">
      <c r="A660" s="1">
        <v>41922</v>
      </c>
      <c r="B660" s="1">
        <v>41930</v>
      </c>
      <c r="C660">
        <v>7.71</v>
      </c>
      <c r="D660">
        <v>0.2</v>
      </c>
      <c r="E660">
        <v>3</v>
      </c>
      <c r="F660">
        <f t="shared" si="50"/>
        <v>0</v>
      </c>
      <c r="G660">
        <f t="shared" si="51"/>
        <v>8</v>
      </c>
      <c r="H660">
        <f t="shared" si="52"/>
        <v>0</v>
      </c>
      <c r="I660">
        <f t="shared" si="53"/>
        <v>0</v>
      </c>
      <c r="J660">
        <f t="shared" si="54"/>
        <v>0</v>
      </c>
    </row>
    <row r="661" spans="1:10" x14ac:dyDescent="0.3">
      <c r="A661" s="1">
        <v>41922</v>
      </c>
      <c r="B661" s="1">
        <v>41949</v>
      </c>
      <c r="C661">
        <v>10.19</v>
      </c>
      <c r="D661">
        <v>0.27</v>
      </c>
      <c r="E661">
        <v>4</v>
      </c>
      <c r="F661">
        <f t="shared" si="50"/>
        <v>0</v>
      </c>
      <c r="G661">
        <f t="shared" si="51"/>
        <v>0</v>
      </c>
      <c r="H661">
        <f t="shared" si="52"/>
        <v>27</v>
      </c>
      <c r="I661">
        <f t="shared" si="53"/>
        <v>0</v>
      </c>
      <c r="J661">
        <f t="shared" si="54"/>
        <v>0</v>
      </c>
    </row>
    <row r="662" spans="1:10" x14ac:dyDescent="0.3">
      <c r="A662" s="1">
        <v>41922</v>
      </c>
      <c r="B662" s="1">
        <v>41928</v>
      </c>
      <c r="C662">
        <v>4.25</v>
      </c>
      <c r="D662">
        <v>0.11</v>
      </c>
      <c r="E662">
        <v>4</v>
      </c>
      <c r="F662">
        <f t="shared" si="50"/>
        <v>0</v>
      </c>
      <c r="G662">
        <f t="shared" si="51"/>
        <v>0</v>
      </c>
      <c r="H662">
        <f t="shared" si="52"/>
        <v>6</v>
      </c>
      <c r="I662">
        <f t="shared" si="53"/>
        <v>0</v>
      </c>
      <c r="J662">
        <f t="shared" si="54"/>
        <v>0</v>
      </c>
    </row>
    <row r="663" spans="1:10" x14ac:dyDescent="0.3">
      <c r="A663" s="1">
        <v>41922</v>
      </c>
      <c r="B663" s="1">
        <v>41926</v>
      </c>
      <c r="C663">
        <v>9.06</v>
      </c>
      <c r="D663">
        <v>0.24</v>
      </c>
      <c r="E663">
        <v>3</v>
      </c>
      <c r="F663">
        <f t="shared" si="50"/>
        <v>0</v>
      </c>
      <c r="G663">
        <f t="shared" si="51"/>
        <v>4</v>
      </c>
      <c r="H663">
        <f t="shared" si="52"/>
        <v>0</v>
      </c>
      <c r="I663">
        <f t="shared" si="53"/>
        <v>0</v>
      </c>
      <c r="J663">
        <f t="shared" si="54"/>
        <v>0</v>
      </c>
    </row>
    <row r="664" spans="1:10" x14ac:dyDescent="0.3">
      <c r="A664" s="1">
        <v>41923</v>
      </c>
      <c r="B664" s="1">
        <v>41932</v>
      </c>
      <c r="C664">
        <v>8.65</v>
      </c>
      <c r="D664">
        <v>0.23</v>
      </c>
      <c r="E664">
        <v>4</v>
      </c>
      <c r="F664">
        <f t="shared" si="50"/>
        <v>0</v>
      </c>
      <c r="G664">
        <f t="shared" si="51"/>
        <v>0</v>
      </c>
      <c r="H664">
        <f t="shared" si="52"/>
        <v>9</v>
      </c>
      <c r="I664">
        <f t="shared" si="53"/>
        <v>0</v>
      </c>
      <c r="J664">
        <f t="shared" si="54"/>
        <v>0</v>
      </c>
    </row>
    <row r="665" spans="1:10" x14ac:dyDescent="0.3">
      <c r="A665" s="1">
        <v>41923</v>
      </c>
      <c r="B665" s="1">
        <v>41935</v>
      </c>
      <c r="C665">
        <v>8.84</v>
      </c>
      <c r="D665">
        <v>0.23</v>
      </c>
      <c r="E665">
        <v>4</v>
      </c>
      <c r="F665">
        <f t="shared" si="50"/>
        <v>0</v>
      </c>
      <c r="G665">
        <f t="shared" si="51"/>
        <v>0</v>
      </c>
      <c r="H665">
        <f t="shared" si="52"/>
        <v>12</v>
      </c>
      <c r="I665">
        <f t="shared" si="53"/>
        <v>0</v>
      </c>
      <c r="J665">
        <f t="shared" si="54"/>
        <v>0</v>
      </c>
    </row>
    <row r="666" spans="1:10" x14ac:dyDescent="0.3">
      <c r="A666" s="1">
        <v>41923</v>
      </c>
      <c r="B666" s="1">
        <v>41932</v>
      </c>
      <c r="C666">
        <v>4.25</v>
      </c>
      <c r="D666">
        <v>0.11</v>
      </c>
      <c r="E666">
        <v>5</v>
      </c>
      <c r="F666">
        <f t="shared" si="50"/>
        <v>0</v>
      </c>
      <c r="G666">
        <f t="shared" si="51"/>
        <v>0</v>
      </c>
      <c r="H666">
        <f t="shared" si="52"/>
        <v>0</v>
      </c>
      <c r="I666">
        <f t="shared" si="53"/>
        <v>9</v>
      </c>
      <c r="J666">
        <f t="shared" si="54"/>
        <v>0</v>
      </c>
    </row>
    <row r="667" spans="1:10" x14ac:dyDescent="0.3">
      <c r="A667" s="1">
        <v>41923</v>
      </c>
      <c r="B667" s="1">
        <v>41927</v>
      </c>
      <c r="C667">
        <v>5.47</v>
      </c>
      <c r="D667">
        <v>0.14000000000000001</v>
      </c>
      <c r="E667">
        <v>5</v>
      </c>
      <c r="F667">
        <f t="shared" si="50"/>
        <v>0</v>
      </c>
      <c r="G667">
        <f t="shared" si="51"/>
        <v>0</v>
      </c>
      <c r="H667">
        <f t="shared" si="52"/>
        <v>0</v>
      </c>
      <c r="I667">
        <f t="shared" si="53"/>
        <v>4</v>
      </c>
      <c r="J667">
        <f t="shared" si="54"/>
        <v>0</v>
      </c>
    </row>
    <row r="668" spans="1:10" x14ac:dyDescent="0.3">
      <c r="A668" s="1">
        <v>41923</v>
      </c>
      <c r="B668" s="1">
        <v>41937</v>
      </c>
      <c r="C668">
        <v>14.31</v>
      </c>
      <c r="D668">
        <v>0.38</v>
      </c>
      <c r="E668">
        <v>3</v>
      </c>
      <c r="F668">
        <f t="shared" si="50"/>
        <v>0</v>
      </c>
      <c r="G668">
        <f t="shared" si="51"/>
        <v>14</v>
      </c>
      <c r="H668">
        <f t="shared" si="52"/>
        <v>0</v>
      </c>
      <c r="I668">
        <f t="shared" si="53"/>
        <v>0</v>
      </c>
      <c r="J668">
        <f t="shared" si="54"/>
        <v>0</v>
      </c>
    </row>
    <row r="669" spans="1:10" x14ac:dyDescent="0.3">
      <c r="A669" s="1">
        <v>41923</v>
      </c>
      <c r="B669" s="1">
        <v>41949</v>
      </c>
      <c r="C669">
        <v>13.81</v>
      </c>
      <c r="D669">
        <v>0.36</v>
      </c>
      <c r="E669">
        <v>6</v>
      </c>
      <c r="F669">
        <f t="shared" si="50"/>
        <v>0</v>
      </c>
      <c r="G669">
        <f t="shared" si="51"/>
        <v>0</v>
      </c>
      <c r="H669">
        <f t="shared" si="52"/>
        <v>0</v>
      </c>
      <c r="I669">
        <f t="shared" si="53"/>
        <v>0</v>
      </c>
      <c r="J669">
        <f t="shared" si="54"/>
        <v>26</v>
      </c>
    </row>
    <row r="670" spans="1:10" x14ac:dyDescent="0.3">
      <c r="A670" s="1">
        <v>41923</v>
      </c>
      <c r="B670" s="1">
        <v>41943</v>
      </c>
      <c r="C670">
        <v>9.74</v>
      </c>
      <c r="D670">
        <v>0.26</v>
      </c>
      <c r="E670">
        <v>3</v>
      </c>
      <c r="F670">
        <f t="shared" si="50"/>
        <v>0</v>
      </c>
      <c r="G670">
        <f t="shared" si="51"/>
        <v>20</v>
      </c>
      <c r="H670">
        <f t="shared" si="52"/>
        <v>0</v>
      </c>
      <c r="I670">
        <f t="shared" si="53"/>
        <v>0</v>
      </c>
      <c r="J670">
        <f t="shared" si="54"/>
        <v>0</v>
      </c>
    </row>
    <row r="671" spans="1:10" x14ac:dyDescent="0.3">
      <c r="A671" s="1">
        <v>41923</v>
      </c>
      <c r="B671" s="1">
        <v>41951</v>
      </c>
      <c r="C671">
        <v>9.4600000000000009</v>
      </c>
      <c r="D671">
        <v>0.25</v>
      </c>
      <c r="E671">
        <v>5</v>
      </c>
      <c r="F671">
        <f t="shared" si="50"/>
        <v>0</v>
      </c>
      <c r="G671">
        <f t="shared" si="51"/>
        <v>0</v>
      </c>
      <c r="H671">
        <f t="shared" si="52"/>
        <v>0</v>
      </c>
      <c r="I671">
        <f t="shared" si="53"/>
        <v>28</v>
      </c>
      <c r="J671">
        <f t="shared" si="54"/>
        <v>0</v>
      </c>
    </row>
    <row r="672" spans="1:10" x14ac:dyDescent="0.3">
      <c r="A672" s="1">
        <v>41923</v>
      </c>
      <c r="B672" s="1">
        <v>41940</v>
      </c>
      <c r="C672">
        <v>7.31</v>
      </c>
      <c r="D672">
        <v>0.19</v>
      </c>
      <c r="E672">
        <v>2</v>
      </c>
      <c r="F672">
        <f t="shared" si="50"/>
        <v>17</v>
      </c>
      <c r="G672">
        <f t="shared" si="51"/>
        <v>0</v>
      </c>
      <c r="H672">
        <f t="shared" si="52"/>
        <v>0</v>
      </c>
      <c r="I672">
        <f t="shared" si="53"/>
        <v>0</v>
      </c>
      <c r="J672">
        <f t="shared" si="54"/>
        <v>0</v>
      </c>
    </row>
    <row r="673" spans="1:10" x14ac:dyDescent="0.3">
      <c r="A673" s="1">
        <v>41923</v>
      </c>
      <c r="B673" s="1">
        <v>41945</v>
      </c>
      <c r="C673">
        <v>11.78</v>
      </c>
      <c r="D673">
        <v>0.31</v>
      </c>
      <c r="E673">
        <v>4</v>
      </c>
      <c r="F673">
        <f t="shared" si="50"/>
        <v>0</v>
      </c>
      <c r="G673">
        <f t="shared" si="51"/>
        <v>0</v>
      </c>
      <c r="H673">
        <f t="shared" si="52"/>
        <v>22</v>
      </c>
      <c r="I673">
        <f t="shared" si="53"/>
        <v>0</v>
      </c>
      <c r="J673">
        <f t="shared" si="54"/>
        <v>0</v>
      </c>
    </row>
    <row r="674" spans="1:10" x14ac:dyDescent="0.3">
      <c r="A674" s="1">
        <v>41923</v>
      </c>
      <c r="B674" s="1">
        <v>41940</v>
      </c>
      <c r="C674">
        <v>13.82</v>
      </c>
      <c r="D674">
        <v>0.36</v>
      </c>
      <c r="E674">
        <v>4</v>
      </c>
      <c r="F674">
        <f t="shared" si="50"/>
        <v>0</v>
      </c>
      <c r="G674">
        <f t="shared" si="51"/>
        <v>0</v>
      </c>
      <c r="H674">
        <f t="shared" si="52"/>
        <v>17</v>
      </c>
      <c r="I674">
        <f t="shared" si="53"/>
        <v>0</v>
      </c>
      <c r="J674">
        <f t="shared" si="54"/>
        <v>0</v>
      </c>
    </row>
    <row r="675" spans="1:10" x14ac:dyDescent="0.3">
      <c r="A675" s="1">
        <v>41925</v>
      </c>
      <c r="B675" s="1">
        <v>41950</v>
      </c>
      <c r="C675">
        <v>3.94</v>
      </c>
      <c r="D675">
        <v>0.1</v>
      </c>
      <c r="E675">
        <v>5</v>
      </c>
      <c r="F675">
        <f t="shared" si="50"/>
        <v>0</v>
      </c>
      <c r="G675">
        <f t="shared" si="51"/>
        <v>0</v>
      </c>
      <c r="H675">
        <f t="shared" si="52"/>
        <v>0</v>
      </c>
      <c r="I675">
        <f t="shared" si="53"/>
        <v>25</v>
      </c>
      <c r="J675">
        <f t="shared" si="54"/>
        <v>0</v>
      </c>
    </row>
    <row r="676" spans="1:10" x14ac:dyDescent="0.3">
      <c r="A676" s="1">
        <v>41925</v>
      </c>
      <c r="B676" s="1">
        <v>41934</v>
      </c>
      <c r="C676">
        <v>6.58</v>
      </c>
      <c r="D676">
        <v>0.17</v>
      </c>
      <c r="E676">
        <v>5</v>
      </c>
      <c r="F676">
        <f t="shared" si="50"/>
        <v>0</v>
      </c>
      <c r="G676">
        <f t="shared" si="51"/>
        <v>0</v>
      </c>
      <c r="H676">
        <f t="shared" si="52"/>
        <v>0</v>
      </c>
      <c r="I676">
        <f t="shared" si="53"/>
        <v>9</v>
      </c>
      <c r="J676">
        <f t="shared" si="54"/>
        <v>0</v>
      </c>
    </row>
    <row r="677" spans="1:10" x14ac:dyDescent="0.3">
      <c r="A677" s="1">
        <v>41925</v>
      </c>
      <c r="B677" s="1">
        <v>41931</v>
      </c>
      <c r="C677">
        <v>6.34</v>
      </c>
      <c r="D677">
        <v>0.17</v>
      </c>
      <c r="E677">
        <v>4</v>
      </c>
      <c r="F677">
        <f t="shared" si="50"/>
        <v>0</v>
      </c>
      <c r="G677">
        <f t="shared" si="51"/>
        <v>0</v>
      </c>
      <c r="H677">
        <f t="shared" si="52"/>
        <v>6</v>
      </c>
      <c r="I677">
        <f t="shared" si="53"/>
        <v>0</v>
      </c>
      <c r="J677">
        <f t="shared" si="54"/>
        <v>0</v>
      </c>
    </row>
    <row r="678" spans="1:10" x14ac:dyDescent="0.3">
      <c r="A678" s="1">
        <v>41925</v>
      </c>
      <c r="B678" s="1">
        <v>41943</v>
      </c>
      <c r="C678">
        <v>6.58</v>
      </c>
      <c r="D678">
        <v>0.17</v>
      </c>
      <c r="E678">
        <v>4</v>
      </c>
      <c r="F678">
        <f t="shared" si="50"/>
        <v>0</v>
      </c>
      <c r="G678">
        <f t="shared" si="51"/>
        <v>0</v>
      </c>
      <c r="H678">
        <f t="shared" si="52"/>
        <v>18</v>
      </c>
      <c r="I678">
        <f t="shared" si="53"/>
        <v>0</v>
      </c>
      <c r="J678">
        <f t="shared" si="54"/>
        <v>0</v>
      </c>
    </row>
    <row r="679" spans="1:10" x14ac:dyDescent="0.3">
      <c r="A679" s="1">
        <v>41925</v>
      </c>
      <c r="B679" s="1">
        <v>41949</v>
      </c>
      <c r="C679">
        <v>6.34</v>
      </c>
      <c r="D679">
        <v>0.17</v>
      </c>
      <c r="E679">
        <v>3</v>
      </c>
      <c r="F679">
        <f t="shared" si="50"/>
        <v>0</v>
      </c>
      <c r="G679">
        <f t="shared" si="51"/>
        <v>24</v>
      </c>
      <c r="H679">
        <f t="shared" si="52"/>
        <v>0</v>
      </c>
      <c r="I679">
        <f t="shared" si="53"/>
        <v>0</v>
      </c>
      <c r="J679">
        <f t="shared" si="54"/>
        <v>0</v>
      </c>
    </row>
    <row r="680" spans="1:10" x14ac:dyDescent="0.3">
      <c r="A680" s="1">
        <v>41926</v>
      </c>
      <c r="B680" s="1">
        <v>41941</v>
      </c>
      <c r="C680">
        <v>6.43</v>
      </c>
      <c r="D680">
        <v>0.17</v>
      </c>
      <c r="E680">
        <v>6</v>
      </c>
      <c r="F680">
        <f t="shared" si="50"/>
        <v>0</v>
      </c>
      <c r="G680">
        <f t="shared" si="51"/>
        <v>0</v>
      </c>
      <c r="H680">
        <f t="shared" si="52"/>
        <v>0</v>
      </c>
      <c r="I680">
        <f t="shared" si="53"/>
        <v>0</v>
      </c>
      <c r="J680">
        <f t="shared" si="54"/>
        <v>15</v>
      </c>
    </row>
    <row r="681" spans="1:10" x14ac:dyDescent="0.3">
      <c r="A681" s="1">
        <v>41927</v>
      </c>
      <c r="B681" s="1">
        <v>41954</v>
      </c>
      <c r="C681">
        <v>2.0099999999999998</v>
      </c>
      <c r="D681">
        <v>0.05</v>
      </c>
      <c r="E681">
        <v>6</v>
      </c>
      <c r="F681">
        <f t="shared" si="50"/>
        <v>0</v>
      </c>
      <c r="G681">
        <f t="shared" si="51"/>
        <v>0</v>
      </c>
      <c r="H681">
        <f t="shared" si="52"/>
        <v>0</v>
      </c>
      <c r="I681">
        <f t="shared" si="53"/>
        <v>0</v>
      </c>
      <c r="J681">
        <f t="shared" si="54"/>
        <v>27</v>
      </c>
    </row>
    <row r="682" spans="1:10" x14ac:dyDescent="0.3">
      <c r="A682" s="1">
        <v>41927</v>
      </c>
      <c r="B682" s="1">
        <v>41953</v>
      </c>
      <c r="C682">
        <v>2.72</v>
      </c>
      <c r="D682">
        <v>7.0000000000000007E-2</v>
      </c>
      <c r="E682">
        <v>4</v>
      </c>
      <c r="F682">
        <f t="shared" si="50"/>
        <v>0</v>
      </c>
      <c r="G682">
        <f t="shared" si="51"/>
        <v>0</v>
      </c>
      <c r="H682">
        <f t="shared" si="52"/>
        <v>26</v>
      </c>
      <c r="I682">
        <f t="shared" si="53"/>
        <v>0</v>
      </c>
      <c r="J682">
        <f t="shared" si="54"/>
        <v>0</v>
      </c>
    </row>
    <row r="683" spans="1:10" x14ac:dyDescent="0.3">
      <c r="A683" s="1">
        <v>41928</v>
      </c>
      <c r="B683" s="1">
        <v>41934</v>
      </c>
      <c r="C683">
        <v>3.73</v>
      </c>
      <c r="D683">
        <v>0.1</v>
      </c>
      <c r="E683">
        <v>5</v>
      </c>
      <c r="F683">
        <f t="shared" si="50"/>
        <v>0</v>
      </c>
      <c r="G683">
        <f t="shared" si="51"/>
        <v>0</v>
      </c>
      <c r="H683">
        <f t="shared" si="52"/>
        <v>0</v>
      </c>
      <c r="I683">
        <f t="shared" si="53"/>
        <v>6</v>
      </c>
      <c r="J683">
        <f t="shared" si="54"/>
        <v>0</v>
      </c>
    </row>
    <row r="684" spans="1:10" x14ac:dyDescent="0.3">
      <c r="A684" s="1">
        <v>41929</v>
      </c>
      <c r="B684" s="1">
        <v>41937</v>
      </c>
      <c r="C684">
        <v>5.64</v>
      </c>
      <c r="D684">
        <v>0.15</v>
      </c>
      <c r="E684">
        <v>6</v>
      </c>
      <c r="F684">
        <f t="shared" si="50"/>
        <v>0</v>
      </c>
      <c r="G684">
        <f t="shared" si="51"/>
        <v>0</v>
      </c>
      <c r="H684">
        <f t="shared" si="52"/>
        <v>0</v>
      </c>
      <c r="I684">
        <f t="shared" si="53"/>
        <v>0</v>
      </c>
      <c r="J684">
        <f t="shared" si="54"/>
        <v>8</v>
      </c>
    </row>
    <row r="685" spans="1:10" x14ac:dyDescent="0.3">
      <c r="A685" s="1">
        <v>41929</v>
      </c>
      <c r="B685" s="1">
        <v>41942</v>
      </c>
      <c r="C685">
        <v>11.78</v>
      </c>
      <c r="D685">
        <v>0.31</v>
      </c>
      <c r="E685">
        <v>5</v>
      </c>
      <c r="F685">
        <f t="shared" si="50"/>
        <v>0</v>
      </c>
      <c r="G685">
        <f t="shared" si="51"/>
        <v>0</v>
      </c>
      <c r="H685">
        <f t="shared" si="52"/>
        <v>0</v>
      </c>
      <c r="I685">
        <f t="shared" si="53"/>
        <v>13</v>
      </c>
      <c r="J685">
        <f t="shared" si="54"/>
        <v>0</v>
      </c>
    </row>
    <row r="686" spans="1:10" x14ac:dyDescent="0.3">
      <c r="A686" s="1">
        <v>41929</v>
      </c>
      <c r="B686" s="1">
        <v>41931</v>
      </c>
      <c r="C686">
        <v>9.4600000000000009</v>
      </c>
      <c r="D686">
        <v>0.25</v>
      </c>
      <c r="E686">
        <v>5</v>
      </c>
      <c r="F686">
        <f t="shared" si="50"/>
        <v>0</v>
      </c>
      <c r="G686">
        <f t="shared" si="51"/>
        <v>0</v>
      </c>
      <c r="H686">
        <f t="shared" si="52"/>
        <v>0</v>
      </c>
      <c r="I686">
        <f t="shared" si="53"/>
        <v>2</v>
      </c>
      <c r="J686">
        <f t="shared" si="54"/>
        <v>0</v>
      </c>
    </row>
    <row r="687" spans="1:10" x14ac:dyDescent="0.3">
      <c r="A687" s="1">
        <v>41929</v>
      </c>
      <c r="B687" s="1">
        <v>41945</v>
      </c>
      <c r="C687">
        <v>4.25</v>
      </c>
      <c r="D687">
        <v>0.11</v>
      </c>
      <c r="E687">
        <v>3</v>
      </c>
      <c r="F687">
        <f t="shared" si="50"/>
        <v>0</v>
      </c>
      <c r="G687">
        <f t="shared" si="51"/>
        <v>16</v>
      </c>
      <c r="H687">
        <f t="shared" si="52"/>
        <v>0</v>
      </c>
      <c r="I687">
        <f t="shared" si="53"/>
        <v>0</v>
      </c>
      <c r="J687">
        <f t="shared" si="54"/>
        <v>0</v>
      </c>
    </row>
    <row r="688" spans="1:10" x14ac:dyDescent="0.3">
      <c r="A688" s="1">
        <v>41929</v>
      </c>
      <c r="B688" s="1">
        <v>41955</v>
      </c>
      <c r="C688">
        <v>11.42</v>
      </c>
      <c r="D688">
        <v>0.3</v>
      </c>
      <c r="E688">
        <v>4</v>
      </c>
      <c r="F688">
        <f t="shared" si="50"/>
        <v>0</v>
      </c>
      <c r="G688">
        <f t="shared" si="51"/>
        <v>0</v>
      </c>
      <c r="H688">
        <f t="shared" si="52"/>
        <v>26</v>
      </c>
      <c r="I688">
        <f t="shared" si="53"/>
        <v>0</v>
      </c>
      <c r="J688">
        <f t="shared" si="54"/>
        <v>0</v>
      </c>
    </row>
    <row r="689" spans="1:10" x14ac:dyDescent="0.3">
      <c r="A689" s="1">
        <v>41929</v>
      </c>
      <c r="B689" s="1">
        <v>41955</v>
      </c>
      <c r="C689">
        <v>8.5399999999999991</v>
      </c>
      <c r="D689">
        <v>0.22</v>
      </c>
      <c r="E689">
        <v>3</v>
      </c>
      <c r="F689">
        <f t="shared" si="50"/>
        <v>0</v>
      </c>
      <c r="G689">
        <f t="shared" si="51"/>
        <v>26</v>
      </c>
      <c r="H689">
        <f t="shared" si="52"/>
        <v>0</v>
      </c>
      <c r="I689">
        <f t="shared" si="53"/>
        <v>0</v>
      </c>
      <c r="J689">
        <f t="shared" si="54"/>
        <v>0</v>
      </c>
    </row>
    <row r="690" spans="1:10" x14ac:dyDescent="0.3">
      <c r="A690" s="1">
        <v>41930</v>
      </c>
      <c r="B690" s="1">
        <v>41936</v>
      </c>
      <c r="C690">
        <v>2.72</v>
      </c>
      <c r="D690">
        <v>7.0000000000000007E-2</v>
      </c>
      <c r="E690">
        <v>2</v>
      </c>
      <c r="F690">
        <f t="shared" si="50"/>
        <v>6</v>
      </c>
      <c r="G690">
        <f t="shared" si="51"/>
        <v>0</v>
      </c>
      <c r="H690">
        <f t="shared" si="52"/>
        <v>0</v>
      </c>
      <c r="I690">
        <f t="shared" si="53"/>
        <v>0</v>
      </c>
      <c r="J690">
        <f t="shared" si="54"/>
        <v>0</v>
      </c>
    </row>
    <row r="691" spans="1:10" x14ac:dyDescent="0.3">
      <c r="A691" s="1">
        <v>41934</v>
      </c>
      <c r="B691" s="1">
        <v>41941</v>
      </c>
      <c r="C691">
        <v>11.78</v>
      </c>
      <c r="D691">
        <v>0.31</v>
      </c>
      <c r="E691">
        <v>3</v>
      </c>
      <c r="F691">
        <f t="shared" si="50"/>
        <v>0</v>
      </c>
      <c r="G691">
        <f t="shared" si="51"/>
        <v>7</v>
      </c>
      <c r="H691">
        <f t="shared" si="52"/>
        <v>0</v>
      </c>
      <c r="I691">
        <f t="shared" si="53"/>
        <v>0</v>
      </c>
      <c r="J691">
        <f t="shared" si="54"/>
        <v>0</v>
      </c>
    </row>
    <row r="692" spans="1:10" x14ac:dyDescent="0.3">
      <c r="A692" s="1">
        <v>41934</v>
      </c>
      <c r="B692" s="1">
        <v>41959</v>
      </c>
      <c r="C692">
        <v>8.89</v>
      </c>
      <c r="D692">
        <v>0.23</v>
      </c>
      <c r="E692">
        <v>4</v>
      </c>
      <c r="F692">
        <f t="shared" si="50"/>
        <v>0</v>
      </c>
      <c r="G692">
        <f t="shared" si="51"/>
        <v>0</v>
      </c>
      <c r="H692">
        <f t="shared" si="52"/>
        <v>25</v>
      </c>
      <c r="I692">
        <f t="shared" si="53"/>
        <v>0</v>
      </c>
      <c r="J692">
        <f t="shared" si="54"/>
        <v>0</v>
      </c>
    </row>
    <row r="693" spans="1:10" x14ac:dyDescent="0.3">
      <c r="A693" s="1">
        <v>41934</v>
      </c>
      <c r="B693" s="1">
        <v>41937</v>
      </c>
      <c r="C693">
        <v>3.94</v>
      </c>
      <c r="D693">
        <v>0.1</v>
      </c>
      <c r="E693">
        <v>5</v>
      </c>
      <c r="F693">
        <f t="shared" si="50"/>
        <v>0</v>
      </c>
      <c r="G693">
        <f t="shared" si="51"/>
        <v>0</v>
      </c>
      <c r="H693">
        <f t="shared" si="52"/>
        <v>0</v>
      </c>
      <c r="I693">
        <f t="shared" si="53"/>
        <v>3</v>
      </c>
      <c r="J693">
        <f t="shared" si="54"/>
        <v>0</v>
      </c>
    </row>
    <row r="694" spans="1:10" x14ac:dyDescent="0.3">
      <c r="A694" s="1">
        <v>41934</v>
      </c>
      <c r="B694" s="1">
        <v>41960</v>
      </c>
      <c r="C694">
        <v>6.23</v>
      </c>
      <c r="D694">
        <v>0.16</v>
      </c>
      <c r="E694">
        <v>5</v>
      </c>
      <c r="F694">
        <f t="shared" si="50"/>
        <v>0</v>
      </c>
      <c r="G694">
        <f t="shared" si="51"/>
        <v>0</v>
      </c>
      <c r="H694">
        <f t="shared" si="52"/>
        <v>0</v>
      </c>
      <c r="I694">
        <f t="shared" si="53"/>
        <v>26</v>
      </c>
      <c r="J694">
        <f t="shared" si="54"/>
        <v>0</v>
      </c>
    </row>
    <row r="695" spans="1:10" x14ac:dyDescent="0.3">
      <c r="A695" s="1">
        <v>41934</v>
      </c>
      <c r="B695" s="1">
        <v>41961</v>
      </c>
      <c r="C695">
        <v>9.4600000000000009</v>
      </c>
      <c r="D695">
        <v>0.25</v>
      </c>
      <c r="E695">
        <v>6</v>
      </c>
      <c r="F695">
        <f t="shared" si="50"/>
        <v>0</v>
      </c>
      <c r="G695">
        <f t="shared" si="51"/>
        <v>0</v>
      </c>
      <c r="H695">
        <f t="shared" si="52"/>
        <v>0</v>
      </c>
      <c r="I695">
        <f t="shared" si="53"/>
        <v>0</v>
      </c>
      <c r="J695">
        <f t="shared" si="54"/>
        <v>27</v>
      </c>
    </row>
    <row r="696" spans="1:10" x14ac:dyDescent="0.3">
      <c r="A696" s="1">
        <v>41934</v>
      </c>
      <c r="B696" s="1">
        <v>41942</v>
      </c>
      <c r="C696">
        <v>11.42</v>
      </c>
      <c r="D696">
        <v>0.3</v>
      </c>
      <c r="E696">
        <v>6</v>
      </c>
      <c r="F696">
        <f t="shared" si="50"/>
        <v>0</v>
      </c>
      <c r="G696">
        <f t="shared" si="51"/>
        <v>0</v>
      </c>
      <c r="H696">
        <f t="shared" si="52"/>
        <v>0</v>
      </c>
      <c r="I696">
        <f t="shared" si="53"/>
        <v>0</v>
      </c>
      <c r="J696">
        <f t="shared" si="54"/>
        <v>8</v>
      </c>
    </row>
    <row r="697" spans="1:10" x14ac:dyDescent="0.3">
      <c r="A697" s="1">
        <v>41934</v>
      </c>
      <c r="B697" s="1">
        <v>41949</v>
      </c>
      <c r="C697">
        <v>8.84</v>
      </c>
      <c r="D697">
        <v>0.23</v>
      </c>
      <c r="E697">
        <v>3</v>
      </c>
      <c r="F697">
        <f t="shared" si="50"/>
        <v>0</v>
      </c>
      <c r="G697">
        <f t="shared" si="51"/>
        <v>15</v>
      </c>
      <c r="H697">
        <f t="shared" si="52"/>
        <v>0</v>
      </c>
      <c r="I697">
        <f t="shared" si="53"/>
        <v>0</v>
      </c>
      <c r="J697">
        <f t="shared" si="54"/>
        <v>0</v>
      </c>
    </row>
    <row r="698" spans="1:10" x14ac:dyDescent="0.3">
      <c r="A698" s="1">
        <v>41934</v>
      </c>
      <c r="B698" s="1">
        <v>41949</v>
      </c>
      <c r="C698">
        <v>6.34</v>
      </c>
      <c r="D698">
        <v>0.17</v>
      </c>
      <c r="E698">
        <v>2</v>
      </c>
      <c r="F698">
        <f t="shared" si="50"/>
        <v>15</v>
      </c>
      <c r="G698">
        <f t="shared" si="51"/>
        <v>0</v>
      </c>
      <c r="H698">
        <f t="shared" si="52"/>
        <v>0</v>
      </c>
      <c r="I698">
        <f t="shared" si="53"/>
        <v>0</v>
      </c>
      <c r="J698">
        <f t="shared" si="54"/>
        <v>0</v>
      </c>
    </row>
    <row r="699" spans="1:10" x14ac:dyDescent="0.3">
      <c r="A699" s="1">
        <v>41934</v>
      </c>
      <c r="B699" s="1">
        <v>41943</v>
      </c>
      <c r="C699">
        <v>5.67</v>
      </c>
      <c r="D699">
        <v>0.15</v>
      </c>
      <c r="E699">
        <v>2</v>
      </c>
      <c r="F699">
        <f t="shared" si="50"/>
        <v>9</v>
      </c>
      <c r="G699">
        <f t="shared" si="51"/>
        <v>0</v>
      </c>
      <c r="H699">
        <f t="shared" si="52"/>
        <v>0</v>
      </c>
      <c r="I699">
        <f t="shared" si="53"/>
        <v>0</v>
      </c>
      <c r="J699">
        <f t="shared" si="54"/>
        <v>0</v>
      </c>
    </row>
    <row r="700" spans="1:10" x14ac:dyDescent="0.3">
      <c r="A700" s="1">
        <v>41934</v>
      </c>
      <c r="B700" s="1">
        <v>41954</v>
      </c>
      <c r="C700">
        <v>11.78</v>
      </c>
      <c r="D700">
        <v>0.31</v>
      </c>
      <c r="E700">
        <v>5</v>
      </c>
      <c r="F700">
        <f t="shared" si="50"/>
        <v>0</v>
      </c>
      <c r="G700">
        <f t="shared" si="51"/>
        <v>0</v>
      </c>
      <c r="H700">
        <f t="shared" si="52"/>
        <v>0</v>
      </c>
      <c r="I700">
        <f t="shared" si="53"/>
        <v>20</v>
      </c>
      <c r="J700">
        <f t="shared" si="54"/>
        <v>0</v>
      </c>
    </row>
    <row r="701" spans="1:10" x14ac:dyDescent="0.3">
      <c r="A701" s="1">
        <v>41934</v>
      </c>
      <c r="B701" s="1">
        <v>41944</v>
      </c>
      <c r="C701">
        <v>13.82</v>
      </c>
      <c r="D701">
        <v>0.36</v>
      </c>
      <c r="E701">
        <v>3</v>
      </c>
      <c r="F701">
        <f t="shared" si="50"/>
        <v>0</v>
      </c>
      <c r="G701">
        <f t="shared" si="51"/>
        <v>10</v>
      </c>
      <c r="H701">
        <f t="shared" si="52"/>
        <v>0</v>
      </c>
      <c r="I701">
        <f t="shared" si="53"/>
        <v>0</v>
      </c>
      <c r="J701">
        <f t="shared" si="54"/>
        <v>0</v>
      </c>
    </row>
    <row r="702" spans="1:10" x14ac:dyDescent="0.3">
      <c r="A702" s="1">
        <v>41934</v>
      </c>
      <c r="B702" s="1">
        <v>41958</v>
      </c>
      <c r="C702">
        <v>3.57</v>
      </c>
      <c r="D702">
        <v>0.09</v>
      </c>
      <c r="E702">
        <v>3</v>
      </c>
      <c r="F702">
        <f t="shared" si="50"/>
        <v>0</v>
      </c>
      <c r="G702">
        <f t="shared" si="51"/>
        <v>24</v>
      </c>
      <c r="H702">
        <f t="shared" si="52"/>
        <v>0</v>
      </c>
      <c r="I702">
        <f t="shared" si="53"/>
        <v>0</v>
      </c>
      <c r="J702">
        <f t="shared" si="54"/>
        <v>0</v>
      </c>
    </row>
    <row r="703" spans="1:10" x14ac:dyDescent="0.3">
      <c r="A703" s="1">
        <v>41934</v>
      </c>
      <c r="B703" s="1">
        <v>41954</v>
      </c>
      <c r="C703">
        <v>6.88</v>
      </c>
      <c r="D703">
        <v>0.18</v>
      </c>
      <c r="E703">
        <v>3</v>
      </c>
      <c r="F703">
        <f t="shared" si="50"/>
        <v>0</v>
      </c>
      <c r="G703">
        <f t="shared" si="51"/>
        <v>20</v>
      </c>
      <c r="H703">
        <f t="shared" si="52"/>
        <v>0</v>
      </c>
      <c r="I703">
        <f t="shared" si="53"/>
        <v>0</v>
      </c>
      <c r="J703">
        <f t="shared" si="54"/>
        <v>0</v>
      </c>
    </row>
    <row r="704" spans="1:10" x14ac:dyDescent="0.3">
      <c r="A704" s="1">
        <v>41934</v>
      </c>
      <c r="B704" s="1">
        <v>41958</v>
      </c>
      <c r="C704">
        <v>7.3</v>
      </c>
      <c r="D704">
        <v>0.19</v>
      </c>
      <c r="E704">
        <v>5</v>
      </c>
      <c r="F704">
        <f t="shared" si="50"/>
        <v>0</v>
      </c>
      <c r="G704">
        <f t="shared" si="51"/>
        <v>0</v>
      </c>
      <c r="H704">
        <f t="shared" si="52"/>
        <v>0</v>
      </c>
      <c r="I704">
        <f t="shared" si="53"/>
        <v>24</v>
      </c>
      <c r="J704">
        <f t="shared" si="54"/>
        <v>0</v>
      </c>
    </row>
    <row r="705" spans="1:10" x14ac:dyDescent="0.3">
      <c r="A705" s="1">
        <v>41934</v>
      </c>
      <c r="B705" s="1">
        <v>41955</v>
      </c>
      <c r="C705">
        <v>9.74</v>
      </c>
      <c r="D705">
        <v>0.26</v>
      </c>
      <c r="E705">
        <v>2</v>
      </c>
      <c r="F705">
        <f t="shared" si="50"/>
        <v>21</v>
      </c>
      <c r="G705">
        <f t="shared" si="51"/>
        <v>0</v>
      </c>
      <c r="H705">
        <f t="shared" si="52"/>
        <v>0</v>
      </c>
      <c r="I705">
        <f t="shared" si="53"/>
        <v>0</v>
      </c>
      <c r="J705">
        <f t="shared" si="54"/>
        <v>0</v>
      </c>
    </row>
    <row r="706" spans="1:10" x14ac:dyDescent="0.3">
      <c r="A706" s="1">
        <v>41934</v>
      </c>
      <c r="B706" s="1">
        <v>41945</v>
      </c>
      <c r="C706">
        <v>8.65</v>
      </c>
      <c r="D706">
        <v>0.23</v>
      </c>
      <c r="E706">
        <v>2</v>
      </c>
      <c r="F706">
        <f t="shared" si="50"/>
        <v>11</v>
      </c>
      <c r="G706">
        <f t="shared" si="51"/>
        <v>0</v>
      </c>
      <c r="H706">
        <f t="shared" si="52"/>
        <v>0</v>
      </c>
      <c r="I706">
        <f t="shared" si="53"/>
        <v>0</v>
      </c>
      <c r="J706">
        <f t="shared" si="54"/>
        <v>0</v>
      </c>
    </row>
    <row r="707" spans="1:10" x14ac:dyDescent="0.3">
      <c r="A707" s="1">
        <v>41934</v>
      </c>
      <c r="B707" s="1">
        <v>41954</v>
      </c>
      <c r="C707">
        <v>3.57</v>
      </c>
      <c r="D707">
        <v>0.09</v>
      </c>
      <c r="E707">
        <v>5</v>
      </c>
      <c r="F707">
        <f t="shared" ref="F707:F770" si="55">IF(EXACT(E707,2),B707-A707,0)</f>
        <v>0</v>
      </c>
      <c r="G707">
        <f t="shared" ref="G707:G770" si="56">IF(EXACT(E707,3),B707-A707,0)</f>
        <v>0</v>
      </c>
      <c r="H707">
        <f t="shared" ref="H707:H770" si="57">IF(EXACT(E707,4),B707-A707,0)</f>
        <v>0</v>
      </c>
      <c r="I707">
        <f t="shared" ref="I707:I770" si="58">IF(EXACT(E707,5),B707-A707,0)</f>
        <v>20</v>
      </c>
      <c r="J707">
        <f t="shared" ref="J707:J770" si="59">IF(EXACT(E707,6),B707-A707,0)</f>
        <v>0</v>
      </c>
    </row>
    <row r="708" spans="1:10" x14ac:dyDescent="0.3">
      <c r="A708" s="1">
        <v>41934</v>
      </c>
      <c r="B708" s="1">
        <v>41951</v>
      </c>
      <c r="C708">
        <v>4.25</v>
      </c>
      <c r="D708">
        <v>0.11</v>
      </c>
      <c r="E708">
        <v>6</v>
      </c>
      <c r="F708">
        <f t="shared" si="55"/>
        <v>0</v>
      </c>
      <c r="G708">
        <f t="shared" si="56"/>
        <v>0</v>
      </c>
      <c r="H708">
        <f t="shared" si="57"/>
        <v>0</v>
      </c>
      <c r="I708">
        <f t="shared" si="58"/>
        <v>0</v>
      </c>
      <c r="J708">
        <f t="shared" si="59"/>
        <v>17</v>
      </c>
    </row>
    <row r="709" spans="1:10" x14ac:dyDescent="0.3">
      <c r="A709" s="1">
        <v>41934</v>
      </c>
      <c r="B709" s="1">
        <v>41938</v>
      </c>
      <c r="C709">
        <v>13.02</v>
      </c>
      <c r="D709">
        <v>0.34</v>
      </c>
      <c r="E709">
        <v>2</v>
      </c>
      <c r="F709">
        <f t="shared" si="55"/>
        <v>4</v>
      </c>
      <c r="G709">
        <f t="shared" si="56"/>
        <v>0</v>
      </c>
      <c r="H709">
        <f t="shared" si="57"/>
        <v>0</v>
      </c>
      <c r="I709">
        <f t="shared" si="58"/>
        <v>0</v>
      </c>
      <c r="J709">
        <f t="shared" si="59"/>
        <v>0</v>
      </c>
    </row>
    <row r="710" spans="1:10" x14ac:dyDescent="0.3">
      <c r="A710" s="1">
        <v>41935</v>
      </c>
      <c r="B710" s="1">
        <v>41945</v>
      </c>
      <c r="C710">
        <v>11.44</v>
      </c>
      <c r="D710">
        <v>0.3</v>
      </c>
      <c r="E710">
        <v>6</v>
      </c>
      <c r="F710">
        <f t="shared" si="55"/>
        <v>0</v>
      </c>
      <c r="G710">
        <f t="shared" si="56"/>
        <v>0</v>
      </c>
      <c r="H710">
        <f t="shared" si="57"/>
        <v>0</v>
      </c>
      <c r="I710">
        <f t="shared" si="58"/>
        <v>0</v>
      </c>
      <c r="J710">
        <f t="shared" si="59"/>
        <v>10</v>
      </c>
    </row>
    <row r="711" spans="1:10" x14ac:dyDescent="0.3">
      <c r="A711" s="1">
        <v>41935</v>
      </c>
      <c r="B711" s="1">
        <v>41954</v>
      </c>
      <c r="C711">
        <v>11.78</v>
      </c>
      <c r="D711">
        <v>0.31</v>
      </c>
      <c r="E711">
        <v>5</v>
      </c>
      <c r="F711">
        <f t="shared" si="55"/>
        <v>0</v>
      </c>
      <c r="G711">
        <f t="shared" si="56"/>
        <v>0</v>
      </c>
      <c r="H711">
        <f t="shared" si="57"/>
        <v>0</v>
      </c>
      <c r="I711">
        <f t="shared" si="58"/>
        <v>19</v>
      </c>
      <c r="J711">
        <f t="shared" si="59"/>
        <v>0</v>
      </c>
    </row>
    <row r="712" spans="1:10" x14ac:dyDescent="0.3">
      <c r="A712" s="1">
        <v>41935</v>
      </c>
      <c r="B712" s="1">
        <v>41944</v>
      </c>
      <c r="C712">
        <v>7.31</v>
      </c>
      <c r="D712">
        <v>0.19</v>
      </c>
      <c r="E712">
        <v>2</v>
      </c>
      <c r="F712">
        <f t="shared" si="55"/>
        <v>9</v>
      </c>
      <c r="G712">
        <f t="shared" si="56"/>
        <v>0</v>
      </c>
      <c r="H712">
        <f t="shared" si="57"/>
        <v>0</v>
      </c>
      <c r="I712">
        <f t="shared" si="58"/>
        <v>0</v>
      </c>
      <c r="J712">
        <f t="shared" si="59"/>
        <v>0</v>
      </c>
    </row>
    <row r="713" spans="1:10" x14ac:dyDescent="0.3">
      <c r="A713" s="1">
        <v>41935</v>
      </c>
      <c r="B713" s="1">
        <v>41940</v>
      </c>
      <c r="C713">
        <v>3.79</v>
      </c>
      <c r="D713">
        <v>0.1</v>
      </c>
      <c r="E713">
        <v>4</v>
      </c>
      <c r="F713">
        <f t="shared" si="55"/>
        <v>0</v>
      </c>
      <c r="G713">
        <f t="shared" si="56"/>
        <v>0</v>
      </c>
      <c r="H713">
        <f t="shared" si="57"/>
        <v>5</v>
      </c>
      <c r="I713">
        <f t="shared" si="58"/>
        <v>0</v>
      </c>
      <c r="J713">
        <f t="shared" si="59"/>
        <v>0</v>
      </c>
    </row>
    <row r="714" spans="1:10" x14ac:dyDescent="0.3">
      <c r="A714" s="1">
        <v>41935</v>
      </c>
      <c r="B714" s="1">
        <v>41947</v>
      </c>
      <c r="C714">
        <v>11.42</v>
      </c>
      <c r="D714">
        <v>0.3</v>
      </c>
      <c r="E714">
        <v>3</v>
      </c>
      <c r="F714">
        <f t="shared" si="55"/>
        <v>0</v>
      </c>
      <c r="G714">
        <f t="shared" si="56"/>
        <v>12</v>
      </c>
      <c r="H714">
        <f t="shared" si="57"/>
        <v>0</v>
      </c>
      <c r="I714">
        <f t="shared" si="58"/>
        <v>0</v>
      </c>
      <c r="J714">
        <f t="shared" si="59"/>
        <v>0</v>
      </c>
    </row>
    <row r="715" spans="1:10" x14ac:dyDescent="0.3">
      <c r="A715" s="1">
        <v>41935</v>
      </c>
      <c r="B715" s="1">
        <v>41955</v>
      </c>
      <c r="C715">
        <v>7.31</v>
      </c>
      <c r="D715">
        <v>0.19</v>
      </c>
      <c r="E715">
        <v>6</v>
      </c>
      <c r="F715">
        <f t="shared" si="55"/>
        <v>0</v>
      </c>
      <c r="G715">
        <f t="shared" si="56"/>
        <v>0</v>
      </c>
      <c r="H715">
        <f t="shared" si="57"/>
        <v>0</v>
      </c>
      <c r="I715">
        <f t="shared" si="58"/>
        <v>0</v>
      </c>
      <c r="J715">
        <f t="shared" si="59"/>
        <v>20</v>
      </c>
    </row>
    <row r="716" spans="1:10" x14ac:dyDescent="0.3">
      <c r="A716" s="1">
        <v>41935</v>
      </c>
      <c r="B716" s="1">
        <v>41940</v>
      </c>
      <c r="C716">
        <v>3.73</v>
      </c>
      <c r="D716">
        <v>0.1</v>
      </c>
      <c r="E716">
        <v>2</v>
      </c>
      <c r="F716">
        <f t="shared" si="55"/>
        <v>5</v>
      </c>
      <c r="G716">
        <f t="shared" si="56"/>
        <v>0</v>
      </c>
      <c r="H716">
        <f t="shared" si="57"/>
        <v>0</v>
      </c>
      <c r="I716">
        <f t="shared" si="58"/>
        <v>0</v>
      </c>
      <c r="J716">
        <f t="shared" si="59"/>
        <v>0</v>
      </c>
    </row>
    <row r="717" spans="1:10" x14ac:dyDescent="0.3">
      <c r="A717" s="1">
        <v>41935</v>
      </c>
      <c r="B717" s="1">
        <v>41957</v>
      </c>
      <c r="C717">
        <v>9.06</v>
      </c>
      <c r="D717">
        <v>0.24</v>
      </c>
      <c r="E717">
        <v>2</v>
      </c>
      <c r="F717">
        <f t="shared" si="55"/>
        <v>22</v>
      </c>
      <c r="G717">
        <f t="shared" si="56"/>
        <v>0</v>
      </c>
      <c r="H717">
        <f t="shared" si="57"/>
        <v>0</v>
      </c>
      <c r="I717">
        <f t="shared" si="58"/>
        <v>0</v>
      </c>
      <c r="J717">
        <f t="shared" si="59"/>
        <v>0</v>
      </c>
    </row>
    <row r="718" spans="1:10" x14ac:dyDescent="0.3">
      <c r="A718" s="1">
        <v>41935</v>
      </c>
      <c r="B718" s="1">
        <v>41956</v>
      </c>
      <c r="C718">
        <v>11.69</v>
      </c>
      <c r="D718">
        <v>0.31</v>
      </c>
      <c r="E718">
        <v>2</v>
      </c>
      <c r="F718">
        <f t="shared" si="55"/>
        <v>21</v>
      </c>
      <c r="G718">
        <f t="shared" si="56"/>
        <v>0</v>
      </c>
      <c r="H718">
        <f t="shared" si="57"/>
        <v>0</v>
      </c>
      <c r="I718">
        <f t="shared" si="58"/>
        <v>0</v>
      </c>
      <c r="J718">
        <f t="shared" si="59"/>
        <v>0</v>
      </c>
    </row>
    <row r="719" spans="1:10" x14ac:dyDescent="0.3">
      <c r="A719" s="1">
        <v>41935</v>
      </c>
      <c r="B719" s="1">
        <v>41960</v>
      </c>
      <c r="C719">
        <v>10.79</v>
      </c>
      <c r="D719">
        <v>0.28000000000000003</v>
      </c>
      <c r="E719">
        <v>3</v>
      </c>
      <c r="F719">
        <f t="shared" si="55"/>
        <v>0</v>
      </c>
      <c r="G719">
        <f t="shared" si="56"/>
        <v>25</v>
      </c>
      <c r="H719">
        <f t="shared" si="57"/>
        <v>0</v>
      </c>
      <c r="I719">
        <f t="shared" si="58"/>
        <v>0</v>
      </c>
      <c r="J719">
        <f t="shared" si="59"/>
        <v>0</v>
      </c>
    </row>
    <row r="720" spans="1:10" x14ac:dyDescent="0.3">
      <c r="A720" s="1">
        <v>41935</v>
      </c>
      <c r="B720" s="1">
        <v>41946</v>
      </c>
      <c r="C720">
        <v>14.13</v>
      </c>
      <c r="D720">
        <v>0.37</v>
      </c>
      <c r="E720">
        <v>6</v>
      </c>
      <c r="F720">
        <f t="shared" si="55"/>
        <v>0</v>
      </c>
      <c r="G720">
        <f t="shared" si="56"/>
        <v>0</v>
      </c>
      <c r="H720">
        <f t="shared" si="57"/>
        <v>0</v>
      </c>
      <c r="I720">
        <f t="shared" si="58"/>
        <v>0</v>
      </c>
      <c r="J720">
        <f t="shared" si="59"/>
        <v>11</v>
      </c>
    </row>
    <row r="721" spans="1:10" x14ac:dyDescent="0.3">
      <c r="A721" s="1">
        <v>41935</v>
      </c>
      <c r="B721" s="1">
        <v>41959</v>
      </c>
      <c r="C721">
        <v>8.7200000000000006</v>
      </c>
      <c r="D721">
        <v>0.23</v>
      </c>
      <c r="E721">
        <v>2</v>
      </c>
      <c r="F721">
        <f t="shared" si="55"/>
        <v>24</v>
      </c>
      <c r="G721">
        <f t="shared" si="56"/>
        <v>0</v>
      </c>
      <c r="H721">
        <f t="shared" si="57"/>
        <v>0</v>
      </c>
      <c r="I721">
        <f t="shared" si="58"/>
        <v>0</v>
      </c>
      <c r="J721">
        <f t="shared" si="59"/>
        <v>0</v>
      </c>
    </row>
    <row r="722" spans="1:10" x14ac:dyDescent="0.3">
      <c r="A722" s="1">
        <v>41936</v>
      </c>
      <c r="B722" s="1">
        <v>41951</v>
      </c>
      <c r="C722">
        <v>3.94</v>
      </c>
      <c r="D722">
        <v>0.1</v>
      </c>
      <c r="E722">
        <v>5</v>
      </c>
      <c r="F722">
        <f t="shared" si="55"/>
        <v>0</v>
      </c>
      <c r="G722">
        <f t="shared" si="56"/>
        <v>0</v>
      </c>
      <c r="H722">
        <f t="shared" si="57"/>
        <v>0</v>
      </c>
      <c r="I722">
        <f t="shared" si="58"/>
        <v>15</v>
      </c>
      <c r="J722">
        <f t="shared" si="59"/>
        <v>0</v>
      </c>
    </row>
    <row r="723" spans="1:10" x14ac:dyDescent="0.3">
      <c r="A723" s="1">
        <v>41936</v>
      </c>
      <c r="B723" s="1">
        <v>41964</v>
      </c>
      <c r="C723">
        <v>3.73</v>
      </c>
      <c r="D723">
        <v>0.1</v>
      </c>
      <c r="E723">
        <v>3</v>
      </c>
      <c r="F723">
        <f t="shared" si="55"/>
        <v>0</v>
      </c>
      <c r="G723">
        <f t="shared" si="56"/>
        <v>28</v>
      </c>
      <c r="H723">
        <f t="shared" si="57"/>
        <v>0</v>
      </c>
      <c r="I723">
        <f t="shared" si="58"/>
        <v>0</v>
      </c>
      <c r="J723">
        <f t="shared" si="59"/>
        <v>0</v>
      </c>
    </row>
    <row r="724" spans="1:10" x14ac:dyDescent="0.3">
      <c r="A724" s="1">
        <v>41937</v>
      </c>
      <c r="B724" s="1">
        <v>41963</v>
      </c>
      <c r="C724">
        <v>3.94</v>
      </c>
      <c r="D724">
        <v>0.1</v>
      </c>
      <c r="E724">
        <v>4</v>
      </c>
      <c r="F724">
        <f t="shared" si="55"/>
        <v>0</v>
      </c>
      <c r="G724">
        <f t="shared" si="56"/>
        <v>0</v>
      </c>
      <c r="H724">
        <f t="shared" si="57"/>
        <v>26</v>
      </c>
      <c r="I724">
        <f t="shared" si="58"/>
        <v>0</v>
      </c>
      <c r="J724">
        <f t="shared" si="59"/>
        <v>0</v>
      </c>
    </row>
    <row r="725" spans="1:10" x14ac:dyDescent="0.3">
      <c r="A725" s="1">
        <v>41937</v>
      </c>
      <c r="B725" s="1">
        <v>41964</v>
      </c>
      <c r="C725">
        <v>3.57</v>
      </c>
      <c r="D725">
        <v>0.09</v>
      </c>
      <c r="E725">
        <v>2</v>
      </c>
      <c r="F725">
        <f t="shared" si="55"/>
        <v>27</v>
      </c>
      <c r="G725">
        <f t="shared" si="56"/>
        <v>0</v>
      </c>
      <c r="H725">
        <f t="shared" si="57"/>
        <v>0</v>
      </c>
      <c r="I725">
        <f t="shared" si="58"/>
        <v>0</v>
      </c>
      <c r="J725">
        <f t="shared" si="59"/>
        <v>0</v>
      </c>
    </row>
    <row r="726" spans="1:10" x14ac:dyDescent="0.3">
      <c r="A726" s="1">
        <v>41937</v>
      </c>
      <c r="B726" s="1">
        <v>41943</v>
      </c>
      <c r="C726">
        <v>7.31</v>
      </c>
      <c r="D726">
        <v>0.19</v>
      </c>
      <c r="E726">
        <v>3</v>
      </c>
      <c r="F726">
        <f t="shared" si="55"/>
        <v>0</v>
      </c>
      <c r="G726">
        <f t="shared" si="56"/>
        <v>6</v>
      </c>
      <c r="H726">
        <f t="shared" si="57"/>
        <v>0</v>
      </c>
      <c r="I726">
        <f t="shared" si="58"/>
        <v>0</v>
      </c>
      <c r="J726">
        <f t="shared" si="59"/>
        <v>0</v>
      </c>
    </row>
    <row r="727" spans="1:10" x14ac:dyDescent="0.3">
      <c r="A727" s="1">
        <v>41938</v>
      </c>
      <c r="B727" s="1">
        <v>41964</v>
      </c>
      <c r="C727">
        <v>6.58</v>
      </c>
      <c r="D727">
        <v>0.17</v>
      </c>
      <c r="E727">
        <v>5</v>
      </c>
      <c r="F727">
        <f t="shared" si="55"/>
        <v>0</v>
      </c>
      <c r="G727">
        <f t="shared" si="56"/>
        <v>0</v>
      </c>
      <c r="H727">
        <f t="shared" si="57"/>
        <v>0</v>
      </c>
      <c r="I727">
        <f t="shared" si="58"/>
        <v>26</v>
      </c>
      <c r="J727">
        <f t="shared" si="59"/>
        <v>0</v>
      </c>
    </row>
    <row r="728" spans="1:10" x14ac:dyDescent="0.3">
      <c r="A728" s="1">
        <v>41939</v>
      </c>
      <c r="B728" s="1">
        <v>41964</v>
      </c>
      <c r="C728">
        <v>3.94</v>
      </c>
      <c r="D728">
        <v>0.1</v>
      </c>
      <c r="E728">
        <v>5</v>
      </c>
      <c r="F728">
        <f t="shared" si="55"/>
        <v>0</v>
      </c>
      <c r="G728">
        <f t="shared" si="56"/>
        <v>0</v>
      </c>
      <c r="H728">
        <f t="shared" si="57"/>
        <v>0</v>
      </c>
      <c r="I728">
        <f t="shared" si="58"/>
        <v>25</v>
      </c>
      <c r="J728">
        <f t="shared" si="59"/>
        <v>0</v>
      </c>
    </row>
    <row r="729" spans="1:10" x14ac:dyDescent="0.3">
      <c r="A729" s="1">
        <v>41940</v>
      </c>
      <c r="B729" s="1">
        <v>41946</v>
      </c>
      <c r="C729">
        <v>5.47</v>
      </c>
      <c r="D729">
        <v>0.14000000000000001</v>
      </c>
      <c r="E729">
        <v>5</v>
      </c>
      <c r="F729">
        <f t="shared" si="55"/>
        <v>0</v>
      </c>
      <c r="G729">
        <f t="shared" si="56"/>
        <v>0</v>
      </c>
      <c r="H729">
        <f t="shared" si="57"/>
        <v>0</v>
      </c>
      <c r="I729">
        <f t="shared" si="58"/>
        <v>6</v>
      </c>
      <c r="J729">
        <f t="shared" si="59"/>
        <v>0</v>
      </c>
    </row>
    <row r="730" spans="1:10" x14ac:dyDescent="0.3">
      <c r="A730" s="1">
        <v>41941</v>
      </c>
      <c r="B730" s="1">
        <v>41958</v>
      </c>
      <c r="C730">
        <v>5.23</v>
      </c>
      <c r="D730">
        <v>0.14000000000000001</v>
      </c>
      <c r="E730">
        <v>3</v>
      </c>
      <c r="F730">
        <f t="shared" si="55"/>
        <v>0</v>
      </c>
      <c r="G730">
        <f t="shared" si="56"/>
        <v>17</v>
      </c>
      <c r="H730">
        <f t="shared" si="57"/>
        <v>0</v>
      </c>
      <c r="I730">
        <f t="shared" si="58"/>
        <v>0</v>
      </c>
      <c r="J730">
        <f t="shared" si="59"/>
        <v>0</v>
      </c>
    </row>
    <row r="731" spans="1:10" x14ac:dyDescent="0.3">
      <c r="A731" s="1">
        <v>41941</v>
      </c>
      <c r="B731" s="1">
        <v>41962</v>
      </c>
      <c r="C731">
        <v>6.58</v>
      </c>
      <c r="D731">
        <v>0.17</v>
      </c>
      <c r="E731">
        <v>5</v>
      </c>
      <c r="F731">
        <f t="shared" si="55"/>
        <v>0</v>
      </c>
      <c r="G731">
        <f t="shared" si="56"/>
        <v>0</v>
      </c>
      <c r="H731">
        <f t="shared" si="57"/>
        <v>0</v>
      </c>
      <c r="I731">
        <f t="shared" si="58"/>
        <v>21</v>
      </c>
      <c r="J731">
        <f t="shared" si="59"/>
        <v>0</v>
      </c>
    </row>
    <row r="732" spans="1:10" x14ac:dyDescent="0.3">
      <c r="A732" s="1">
        <v>41941</v>
      </c>
      <c r="B732" s="1">
        <v>41957</v>
      </c>
      <c r="C732">
        <v>3.79</v>
      </c>
      <c r="D732">
        <v>0.1</v>
      </c>
      <c r="E732">
        <v>4</v>
      </c>
      <c r="F732">
        <f t="shared" si="55"/>
        <v>0</v>
      </c>
      <c r="G732">
        <f t="shared" si="56"/>
        <v>0</v>
      </c>
      <c r="H732">
        <f t="shared" si="57"/>
        <v>16</v>
      </c>
      <c r="I732">
        <f t="shared" si="58"/>
        <v>0</v>
      </c>
      <c r="J732">
        <f t="shared" si="59"/>
        <v>0</v>
      </c>
    </row>
    <row r="733" spans="1:10" x14ac:dyDescent="0.3">
      <c r="A733" s="1">
        <v>41941</v>
      </c>
      <c r="B733" s="1">
        <v>41953</v>
      </c>
      <c r="C733">
        <v>5.64</v>
      </c>
      <c r="D733">
        <v>0.15</v>
      </c>
      <c r="E733">
        <v>6</v>
      </c>
      <c r="F733">
        <f t="shared" si="55"/>
        <v>0</v>
      </c>
      <c r="G733">
        <f t="shared" si="56"/>
        <v>0</v>
      </c>
      <c r="H733">
        <f t="shared" si="57"/>
        <v>0</v>
      </c>
      <c r="I733">
        <f t="shared" si="58"/>
        <v>0</v>
      </c>
      <c r="J733">
        <f t="shared" si="59"/>
        <v>12</v>
      </c>
    </row>
    <row r="734" spans="1:10" x14ac:dyDescent="0.3">
      <c r="A734" s="1">
        <v>41941</v>
      </c>
      <c r="B734" s="1">
        <v>41944</v>
      </c>
      <c r="C734">
        <v>11.37</v>
      </c>
      <c r="D734">
        <v>0.3</v>
      </c>
      <c r="E734">
        <v>2</v>
      </c>
      <c r="F734">
        <f t="shared" si="55"/>
        <v>3</v>
      </c>
      <c r="G734">
        <f t="shared" si="56"/>
        <v>0</v>
      </c>
      <c r="H734">
        <f t="shared" si="57"/>
        <v>0</v>
      </c>
      <c r="I734">
        <f t="shared" si="58"/>
        <v>0</v>
      </c>
      <c r="J734">
        <f t="shared" si="59"/>
        <v>0</v>
      </c>
    </row>
    <row r="735" spans="1:10" x14ac:dyDescent="0.3">
      <c r="A735" s="1">
        <v>41941</v>
      </c>
      <c r="B735" s="1">
        <v>41969</v>
      </c>
      <c r="C735">
        <v>8.9499999999999993</v>
      </c>
      <c r="D735">
        <v>0.24</v>
      </c>
      <c r="E735">
        <v>2</v>
      </c>
      <c r="F735">
        <f t="shared" si="55"/>
        <v>28</v>
      </c>
      <c r="G735">
        <f t="shared" si="56"/>
        <v>0</v>
      </c>
      <c r="H735">
        <f t="shared" si="57"/>
        <v>0</v>
      </c>
      <c r="I735">
        <f t="shared" si="58"/>
        <v>0</v>
      </c>
      <c r="J735">
        <f t="shared" si="59"/>
        <v>0</v>
      </c>
    </row>
    <row r="736" spans="1:10" x14ac:dyDescent="0.3">
      <c r="A736" s="1">
        <v>41941</v>
      </c>
      <c r="B736" s="1">
        <v>41961</v>
      </c>
      <c r="C736">
        <v>3.94</v>
      </c>
      <c r="D736">
        <v>0.1</v>
      </c>
      <c r="E736">
        <v>5</v>
      </c>
      <c r="F736">
        <f t="shared" si="55"/>
        <v>0</v>
      </c>
      <c r="G736">
        <f t="shared" si="56"/>
        <v>0</v>
      </c>
      <c r="H736">
        <f t="shared" si="57"/>
        <v>0</v>
      </c>
      <c r="I736">
        <f t="shared" si="58"/>
        <v>20</v>
      </c>
      <c r="J736">
        <f t="shared" si="59"/>
        <v>0</v>
      </c>
    </row>
    <row r="737" spans="1:10" x14ac:dyDescent="0.3">
      <c r="A737" s="1">
        <v>41946</v>
      </c>
      <c r="B737" s="1">
        <v>41962</v>
      </c>
      <c r="C737">
        <v>3.79</v>
      </c>
      <c r="D737">
        <v>0.1</v>
      </c>
      <c r="E737">
        <v>5</v>
      </c>
      <c r="F737">
        <f t="shared" si="55"/>
        <v>0</v>
      </c>
      <c r="G737">
        <f t="shared" si="56"/>
        <v>0</v>
      </c>
      <c r="H737">
        <f t="shared" si="57"/>
        <v>0</v>
      </c>
      <c r="I737">
        <f t="shared" si="58"/>
        <v>16</v>
      </c>
      <c r="J737">
        <f t="shared" si="59"/>
        <v>0</v>
      </c>
    </row>
    <row r="738" spans="1:10" x14ac:dyDescent="0.3">
      <c r="A738" s="1">
        <v>41946</v>
      </c>
      <c r="B738" s="1">
        <v>41971</v>
      </c>
      <c r="C738">
        <v>6.43</v>
      </c>
      <c r="D738">
        <v>0.17</v>
      </c>
      <c r="E738">
        <v>2</v>
      </c>
      <c r="F738">
        <f t="shared" si="55"/>
        <v>25</v>
      </c>
      <c r="G738">
        <f t="shared" si="56"/>
        <v>0</v>
      </c>
      <c r="H738">
        <f t="shared" si="57"/>
        <v>0</v>
      </c>
      <c r="I738">
        <f t="shared" si="58"/>
        <v>0</v>
      </c>
      <c r="J738">
        <f t="shared" si="59"/>
        <v>0</v>
      </c>
    </row>
    <row r="739" spans="1:10" x14ac:dyDescent="0.3">
      <c r="A739" s="1">
        <v>41946</v>
      </c>
      <c r="B739" s="1">
        <v>41948</v>
      </c>
      <c r="C739">
        <v>8.5399999999999991</v>
      </c>
      <c r="D739">
        <v>0.22</v>
      </c>
      <c r="E739">
        <v>6</v>
      </c>
      <c r="F739">
        <f t="shared" si="55"/>
        <v>0</v>
      </c>
      <c r="G739">
        <f t="shared" si="56"/>
        <v>0</v>
      </c>
      <c r="H739">
        <f t="shared" si="57"/>
        <v>0</v>
      </c>
      <c r="I739">
        <f t="shared" si="58"/>
        <v>0</v>
      </c>
      <c r="J739">
        <f t="shared" si="59"/>
        <v>2</v>
      </c>
    </row>
    <row r="740" spans="1:10" x14ac:dyDescent="0.3">
      <c r="A740" s="1">
        <v>41946</v>
      </c>
      <c r="B740" s="1">
        <v>41956</v>
      </c>
      <c r="C740">
        <v>13.02</v>
      </c>
      <c r="D740">
        <v>0.34</v>
      </c>
      <c r="E740">
        <v>3</v>
      </c>
      <c r="F740">
        <f t="shared" si="55"/>
        <v>0</v>
      </c>
      <c r="G740">
        <f t="shared" si="56"/>
        <v>10</v>
      </c>
      <c r="H740">
        <f t="shared" si="57"/>
        <v>0</v>
      </c>
      <c r="I740">
        <f t="shared" si="58"/>
        <v>0</v>
      </c>
      <c r="J740">
        <f t="shared" si="59"/>
        <v>0</v>
      </c>
    </row>
    <row r="741" spans="1:10" x14ac:dyDescent="0.3">
      <c r="A741" s="1">
        <v>41946</v>
      </c>
      <c r="B741" s="1">
        <v>41960</v>
      </c>
      <c r="C741">
        <v>5.64</v>
      </c>
      <c r="D741">
        <v>0.15</v>
      </c>
      <c r="E741">
        <v>4</v>
      </c>
      <c r="F741">
        <f t="shared" si="55"/>
        <v>0</v>
      </c>
      <c r="G741">
        <f t="shared" si="56"/>
        <v>0</v>
      </c>
      <c r="H741">
        <f t="shared" si="57"/>
        <v>14</v>
      </c>
      <c r="I741">
        <f t="shared" si="58"/>
        <v>0</v>
      </c>
      <c r="J741">
        <f t="shared" si="59"/>
        <v>0</v>
      </c>
    </row>
    <row r="742" spans="1:10" x14ac:dyDescent="0.3">
      <c r="A742" s="1">
        <v>41946</v>
      </c>
      <c r="B742" s="1">
        <v>41966</v>
      </c>
      <c r="C742">
        <v>4.66</v>
      </c>
      <c r="D742">
        <v>0.12</v>
      </c>
      <c r="E742">
        <v>6</v>
      </c>
      <c r="F742">
        <f t="shared" si="55"/>
        <v>0</v>
      </c>
      <c r="G742">
        <f t="shared" si="56"/>
        <v>0</v>
      </c>
      <c r="H742">
        <f t="shared" si="57"/>
        <v>0</v>
      </c>
      <c r="I742">
        <f t="shared" si="58"/>
        <v>0</v>
      </c>
      <c r="J742">
        <f t="shared" si="59"/>
        <v>20</v>
      </c>
    </row>
    <row r="743" spans="1:10" x14ac:dyDescent="0.3">
      <c r="A743" s="1">
        <v>41946</v>
      </c>
      <c r="B743" s="1">
        <v>41968</v>
      </c>
      <c r="C743">
        <v>7.71</v>
      </c>
      <c r="D743">
        <v>0.2</v>
      </c>
      <c r="E743">
        <v>5</v>
      </c>
      <c r="F743">
        <f t="shared" si="55"/>
        <v>0</v>
      </c>
      <c r="G743">
        <f t="shared" si="56"/>
        <v>0</v>
      </c>
      <c r="H743">
        <f t="shared" si="57"/>
        <v>0</v>
      </c>
      <c r="I743">
        <f t="shared" si="58"/>
        <v>22</v>
      </c>
      <c r="J743">
        <f t="shared" si="59"/>
        <v>0</v>
      </c>
    </row>
    <row r="744" spans="1:10" x14ac:dyDescent="0.3">
      <c r="A744" s="1">
        <v>41946</v>
      </c>
      <c r="B744" s="1">
        <v>41951</v>
      </c>
      <c r="C744">
        <v>7.71</v>
      </c>
      <c r="D744">
        <v>0.2</v>
      </c>
      <c r="E744">
        <v>6</v>
      </c>
      <c r="F744">
        <f t="shared" si="55"/>
        <v>0</v>
      </c>
      <c r="G744">
        <f t="shared" si="56"/>
        <v>0</v>
      </c>
      <c r="H744">
        <f t="shared" si="57"/>
        <v>0</v>
      </c>
      <c r="I744">
        <f t="shared" si="58"/>
        <v>0</v>
      </c>
      <c r="J744">
        <f t="shared" si="59"/>
        <v>5</v>
      </c>
    </row>
    <row r="745" spans="1:10" x14ac:dyDescent="0.3">
      <c r="A745" s="1">
        <v>41946</v>
      </c>
      <c r="B745" s="1">
        <v>41957</v>
      </c>
      <c r="C745">
        <v>6.34</v>
      </c>
      <c r="D745">
        <v>0.17</v>
      </c>
      <c r="E745">
        <v>3</v>
      </c>
      <c r="F745">
        <f t="shared" si="55"/>
        <v>0</v>
      </c>
      <c r="G745">
        <f t="shared" si="56"/>
        <v>11</v>
      </c>
      <c r="H745">
        <f t="shared" si="57"/>
        <v>0</v>
      </c>
      <c r="I745">
        <f t="shared" si="58"/>
        <v>0</v>
      </c>
      <c r="J745">
        <f t="shared" si="59"/>
        <v>0</v>
      </c>
    </row>
    <row r="746" spans="1:10" x14ac:dyDescent="0.3">
      <c r="A746" s="1">
        <v>41946</v>
      </c>
      <c r="B746" s="1">
        <v>41954</v>
      </c>
      <c r="C746">
        <v>11.37</v>
      </c>
      <c r="D746">
        <v>0.3</v>
      </c>
      <c r="E746">
        <v>2</v>
      </c>
      <c r="F746">
        <f t="shared" si="55"/>
        <v>8</v>
      </c>
      <c r="G746">
        <f t="shared" si="56"/>
        <v>0</v>
      </c>
      <c r="H746">
        <f t="shared" si="57"/>
        <v>0</v>
      </c>
      <c r="I746">
        <f t="shared" si="58"/>
        <v>0</v>
      </c>
      <c r="J746">
        <f t="shared" si="59"/>
        <v>0</v>
      </c>
    </row>
    <row r="747" spans="1:10" x14ac:dyDescent="0.3">
      <c r="A747" s="1">
        <v>41946</v>
      </c>
      <c r="B747" s="1">
        <v>41953</v>
      </c>
      <c r="C747">
        <v>6.34</v>
      </c>
      <c r="D747">
        <v>0.17</v>
      </c>
      <c r="E747">
        <v>2</v>
      </c>
      <c r="F747">
        <f t="shared" si="55"/>
        <v>7</v>
      </c>
      <c r="G747">
        <f t="shared" si="56"/>
        <v>0</v>
      </c>
      <c r="H747">
        <f t="shared" si="57"/>
        <v>0</v>
      </c>
      <c r="I747">
        <f t="shared" si="58"/>
        <v>0</v>
      </c>
      <c r="J747">
        <f t="shared" si="59"/>
        <v>0</v>
      </c>
    </row>
    <row r="748" spans="1:10" x14ac:dyDescent="0.3">
      <c r="A748" s="1">
        <v>41946</v>
      </c>
      <c r="B748" s="1">
        <v>41955</v>
      </c>
      <c r="C748">
        <v>3.57</v>
      </c>
      <c r="D748">
        <v>0.09</v>
      </c>
      <c r="E748">
        <v>6</v>
      </c>
      <c r="F748">
        <f t="shared" si="55"/>
        <v>0</v>
      </c>
      <c r="G748">
        <f t="shared" si="56"/>
        <v>0</v>
      </c>
      <c r="H748">
        <f t="shared" si="57"/>
        <v>0</v>
      </c>
      <c r="I748">
        <f t="shared" si="58"/>
        <v>0</v>
      </c>
      <c r="J748">
        <f t="shared" si="59"/>
        <v>9</v>
      </c>
    </row>
    <row r="749" spans="1:10" x14ac:dyDescent="0.3">
      <c r="A749" s="1">
        <v>41946</v>
      </c>
      <c r="B749" s="1">
        <v>41964</v>
      </c>
      <c r="C749">
        <v>7.31</v>
      </c>
      <c r="D749">
        <v>0.19</v>
      </c>
      <c r="E749">
        <v>3</v>
      </c>
      <c r="F749">
        <f t="shared" si="55"/>
        <v>0</v>
      </c>
      <c r="G749">
        <f t="shared" si="56"/>
        <v>18</v>
      </c>
      <c r="H749">
        <f t="shared" si="57"/>
        <v>0</v>
      </c>
      <c r="I749">
        <f t="shared" si="58"/>
        <v>0</v>
      </c>
      <c r="J749">
        <f t="shared" si="59"/>
        <v>0</v>
      </c>
    </row>
    <row r="750" spans="1:10" x14ac:dyDescent="0.3">
      <c r="A750" s="1">
        <v>41946</v>
      </c>
      <c r="B750" s="1">
        <v>41966</v>
      </c>
      <c r="C750">
        <v>5.64</v>
      </c>
      <c r="D750">
        <v>0.15</v>
      </c>
      <c r="E750">
        <v>6</v>
      </c>
      <c r="F750">
        <f t="shared" si="55"/>
        <v>0</v>
      </c>
      <c r="G750">
        <f t="shared" si="56"/>
        <v>0</v>
      </c>
      <c r="H750">
        <f t="shared" si="57"/>
        <v>0</v>
      </c>
      <c r="I750">
        <f t="shared" si="58"/>
        <v>0</v>
      </c>
      <c r="J750">
        <f t="shared" si="59"/>
        <v>20</v>
      </c>
    </row>
    <row r="751" spans="1:10" x14ac:dyDescent="0.3">
      <c r="A751" s="1">
        <v>41946</v>
      </c>
      <c r="B751" s="1">
        <v>41964</v>
      </c>
      <c r="C751">
        <v>4.25</v>
      </c>
      <c r="D751">
        <v>0.11</v>
      </c>
      <c r="E751">
        <v>6</v>
      </c>
      <c r="F751">
        <f t="shared" si="55"/>
        <v>0</v>
      </c>
      <c r="G751">
        <f t="shared" si="56"/>
        <v>0</v>
      </c>
      <c r="H751">
        <f t="shared" si="57"/>
        <v>0</v>
      </c>
      <c r="I751">
        <f t="shared" si="58"/>
        <v>0</v>
      </c>
      <c r="J751">
        <f t="shared" si="59"/>
        <v>18</v>
      </c>
    </row>
    <row r="752" spans="1:10" x14ac:dyDescent="0.3">
      <c r="A752" s="1">
        <v>41946</v>
      </c>
      <c r="B752" s="1">
        <v>41953</v>
      </c>
      <c r="C752">
        <v>9.1300000000000008</v>
      </c>
      <c r="D752">
        <v>0.24</v>
      </c>
      <c r="E752">
        <v>5</v>
      </c>
      <c r="F752">
        <f t="shared" si="55"/>
        <v>0</v>
      </c>
      <c r="G752">
        <f t="shared" si="56"/>
        <v>0</v>
      </c>
      <c r="H752">
        <f t="shared" si="57"/>
        <v>0</v>
      </c>
      <c r="I752">
        <f t="shared" si="58"/>
        <v>7</v>
      </c>
      <c r="J752">
        <f t="shared" si="59"/>
        <v>0</v>
      </c>
    </row>
    <row r="753" spans="1:10" x14ac:dyDescent="0.3">
      <c r="A753" s="1">
        <v>41946</v>
      </c>
      <c r="B753" s="1">
        <v>41956</v>
      </c>
      <c r="C753">
        <v>3.79</v>
      </c>
      <c r="D753">
        <v>0.1</v>
      </c>
      <c r="E753">
        <v>6</v>
      </c>
      <c r="F753">
        <f t="shared" si="55"/>
        <v>0</v>
      </c>
      <c r="G753">
        <f t="shared" si="56"/>
        <v>0</v>
      </c>
      <c r="H753">
        <f t="shared" si="57"/>
        <v>0</v>
      </c>
      <c r="I753">
        <f t="shared" si="58"/>
        <v>0</v>
      </c>
      <c r="J753">
        <f t="shared" si="59"/>
        <v>10</v>
      </c>
    </row>
    <row r="754" spans="1:10" x14ac:dyDescent="0.3">
      <c r="A754" s="1">
        <v>41946</v>
      </c>
      <c r="B754" s="1">
        <v>41948</v>
      </c>
      <c r="C754">
        <v>9.1300000000000008</v>
      </c>
      <c r="D754">
        <v>0.24</v>
      </c>
      <c r="E754">
        <v>4</v>
      </c>
      <c r="F754">
        <f t="shared" si="55"/>
        <v>0</v>
      </c>
      <c r="G754">
        <f t="shared" si="56"/>
        <v>0</v>
      </c>
      <c r="H754">
        <f t="shared" si="57"/>
        <v>2</v>
      </c>
      <c r="I754">
        <f t="shared" si="58"/>
        <v>0</v>
      </c>
      <c r="J754">
        <f t="shared" si="59"/>
        <v>0</v>
      </c>
    </row>
    <row r="755" spans="1:10" x14ac:dyDescent="0.3">
      <c r="A755" s="1">
        <v>41947</v>
      </c>
      <c r="B755" s="1">
        <v>41960</v>
      </c>
      <c r="C755">
        <v>11.44</v>
      </c>
      <c r="D755">
        <v>0.3</v>
      </c>
      <c r="E755">
        <v>6</v>
      </c>
      <c r="F755">
        <f t="shared" si="55"/>
        <v>0</v>
      </c>
      <c r="G755">
        <f t="shared" si="56"/>
        <v>0</v>
      </c>
      <c r="H755">
        <f t="shared" si="57"/>
        <v>0</v>
      </c>
      <c r="I755">
        <f t="shared" si="58"/>
        <v>0</v>
      </c>
      <c r="J755">
        <f t="shared" si="59"/>
        <v>13</v>
      </c>
    </row>
    <row r="756" spans="1:10" x14ac:dyDescent="0.3">
      <c r="A756" s="1">
        <v>41947</v>
      </c>
      <c r="B756" s="1">
        <v>41972</v>
      </c>
      <c r="C756">
        <v>5.47</v>
      </c>
      <c r="D756">
        <v>0.14000000000000001</v>
      </c>
      <c r="E756">
        <v>6</v>
      </c>
      <c r="F756">
        <f t="shared" si="55"/>
        <v>0</v>
      </c>
      <c r="G756">
        <f t="shared" si="56"/>
        <v>0</v>
      </c>
      <c r="H756">
        <f t="shared" si="57"/>
        <v>0</v>
      </c>
      <c r="I756">
        <f t="shared" si="58"/>
        <v>0</v>
      </c>
      <c r="J756">
        <f t="shared" si="59"/>
        <v>25</v>
      </c>
    </row>
    <row r="757" spans="1:10" x14ac:dyDescent="0.3">
      <c r="A757" s="1">
        <v>41947</v>
      </c>
      <c r="B757" s="1">
        <v>41968</v>
      </c>
      <c r="C757">
        <v>14.13</v>
      </c>
      <c r="D757">
        <v>0.37</v>
      </c>
      <c r="E757">
        <v>2</v>
      </c>
      <c r="F757">
        <f t="shared" si="55"/>
        <v>21</v>
      </c>
      <c r="G757">
        <f t="shared" si="56"/>
        <v>0</v>
      </c>
      <c r="H757">
        <f t="shared" si="57"/>
        <v>0</v>
      </c>
      <c r="I757">
        <f t="shared" si="58"/>
        <v>0</v>
      </c>
      <c r="J757">
        <f t="shared" si="59"/>
        <v>0</v>
      </c>
    </row>
    <row r="758" spans="1:10" x14ac:dyDescent="0.3">
      <c r="A758" s="1">
        <v>41947</v>
      </c>
      <c r="B758" s="1">
        <v>41956</v>
      </c>
      <c r="C758">
        <v>11.69</v>
      </c>
      <c r="D758">
        <v>0.31</v>
      </c>
      <c r="E758">
        <v>3</v>
      </c>
      <c r="F758">
        <f t="shared" si="55"/>
        <v>0</v>
      </c>
      <c r="G758">
        <f t="shared" si="56"/>
        <v>9</v>
      </c>
      <c r="H758">
        <f t="shared" si="57"/>
        <v>0</v>
      </c>
      <c r="I758">
        <f t="shared" si="58"/>
        <v>0</v>
      </c>
      <c r="J758">
        <f t="shared" si="59"/>
        <v>0</v>
      </c>
    </row>
    <row r="759" spans="1:10" x14ac:dyDescent="0.3">
      <c r="A759" s="1">
        <v>41947</v>
      </c>
      <c r="B759" s="1">
        <v>41970</v>
      </c>
      <c r="C759">
        <v>6.75</v>
      </c>
      <c r="D759">
        <v>0.18</v>
      </c>
      <c r="E759">
        <v>2</v>
      </c>
      <c r="F759">
        <f t="shared" si="55"/>
        <v>23</v>
      </c>
      <c r="G759">
        <f t="shared" si="56"/>
        <v>0</v>
      </c>
      <c r="H759">
        <f t="shared" si="57"/>
        <v>0</v>
      </c>
      <c r="I759">
        <f t="shared" si="58"/>
        <v>0</v>
      </c>
      <c r="J759">
        <f t="shared" si="59"/>
        <v>0</v>
      </c>
    </row>
    <row r="760" spans="1:10" x14ac:dyDescent="0.3">
      <c r="A760" s="1">
        <v>41947</v>
      </c>
      <c r="B760" s="1">
        <v>41962</v>
      </c>
      <c r="C760">
        <v>8.65</v>
      </c>
      <c r="D760">
        <v>0.23</v>
      </c>
      <c r="E760">
        <v>6</v>
      </c>
      <c r="F760">
        <f t="shared" si="55"/>
        <v>0</v>
      </c>
      <c r="G760">
        <f t="shared" si="56"/>
        <v>0</v>
      </c>
      <c r="H760">
        <f t="shared" si="57"/>
        <v>0</v>
      </c>
      <c r="I760">
        <f t="shared" si="58"/>
        <v>0</v>
      </c>
      <c r="J760">
        <f t="shared" si="59"/>
        <v>15</v>
      </c>
    </row>
    <row r="761" spans="1:10" x14ac:dyDescent="0.3">
      <c r="A761" s="1">
        <v>41947</v>
      </c>
      <c r="B761" s="1">
        <v>41975</v>
      </c>
      <c r="C761">
        <v>10.93</v>
      </c>
      <c r="D761">
        <v>0.28999999999999998</v>
      </c>
      <c r="E761">
        <v>5</v>
      </c>
      <c r="F761">
        <f t="shared" si="55"/>
        <v>0</v>
      </c>
      <c r="G761">
        <f t="shared" si="56"/>
        <v>0</v>
      </c>
      <c r="H761">
        <f t="shared" si="57"/>
        <v>0</v>
      </c>
      <c r="I761">
        <f t="shared" si="58"/>
        <v>28</v>
      </c>
      <c r="J761">
        <f t="shared" si="59"/>
        <v>0</v>
      </c>
    </row>
    <row r="762" spans="1:10" x14ac:dyDescent="0.3">
      <c r="A762" s="1">
        <v>41947</v>
      </c>
      <c r="B762" s="1">
        <v>41962</v>
      </c>
      <c r="C762">
        <v>16.55</v>
      </c>
      <c r="D762">
        <v>0.44</v>
      </c>
      <c r="E762">
        <v>6</v>
      </c>
      <c r="F762">
        <f t="shared" si="55"/>
        <v>0</v>
      </c>
      <c r="G762">
        <f t="shared" si="56"/>
        <v>0</v>
      </c>
      <c r="H762">
        <f t="shared" si="57"/>
        <v>0</v>
      </c>
      <c r="I762">
        <f t="shared" si="58"/>
        <v>0</v>
      </c>
      <c r="J762">
        <f t="shared" si="59"/>
        <v>15</v>
      </c>
    </row>
    <row r="763" spans="1:10" x14ac:dyDescent="0.3">
      <c r="A763" s="1">
        <v>41947</v>
      </c>
      <c r="B763" s="1">
        <v>41960</v>
      </c>
      <c r="C763">
        <v>9.06</v>
      </c>
      <c r="D763">
        <v>0.24</v>
      </c>
      <c r="E763">
        <v>4</v>
      </c>
      <c r="F763">
        <f t="shared" si="55"/>
        <v>0</v>
      </c>
      <c r="G763">
        <f t="shared" si="56"/>
        <v>0</v>
      </c>
      <c r="H763">
        <f t="shared" si="57"/>
        <v>13</v>
      </c>
      <c r="I763">
        <f t="shared" si="58"/>
        <v>0</v>
      </c>
      <c r="J763">
        <f t="shared" si="59"/>
        <v>0</v>
      </c>
    </row>
    <row r="764" spans="1:10" x14ac:dyDescent="0.3">
      <c r="A764" s="1">
        <v>41947</v>
      </c>
      <c r="B764" s="1">
        <v>41974</v>
      </c>
      <c r="C764">
        <v>9.06</v>
      </c>
      <c r="D764">
        <v>0.24</v>
      </c>
      <c r="E764">
        <v>4</v>
      </c>
      <c r="F764">
        <f t="shared" si="55"/>
        <v>0</v>
      </c>
      <c r="G764">
        <f t="shared" si="56"/>
        <v>0</v>
      </c>
      <c r="H764">
        <f t="shared" si="57"/>
        <v>27</v>
      </c>
      <c r="I764">
        <f t="shared" si="58"/>
        <v>0</v>
      </c>
      <c r="J764">
        <f t="shared" si="59"/>
        <v>0</v>
      </c>
    </row>
    <row r="765" spans="1:10" x14ac:dyDescent="0.3">
      <c r="A765" s="1">
        <v>41947</v>
      </c>
      <c r="B765" s="1">
        <v>41969</v>
      </c>
      <c r="C765">
        <v>6.43</v>
      </c>
      <c r="D765">
        <v>0.17</v>
      </c>
      <c r="E765">
        <v>2</v>
      </c>
      <c r="F765">
        <f t="shared" si="55"/>
        <v>22</v>
      </c>
      <c r="G765">
        <f t="shared" si="56"/>
        <v>0</v>
      </c>
      <c r="H765">
        <f t="shared" si="57"/>
        <v>0</v>
      </c>
      <c r="I765">
        <f t="shared" si="58"/>
        <v>0</v>
      </c>
      <c r="J765">
        <f t="shared" si="59"/>
        <v>0</v>
      </c>
    </row>
    <row r="766" spans="1:10" x14ac:dyDescent="0.3">
      <c r="A766" s="1">
        <v>41947</v>
      </c>
      <c r="B766" s="1">
        <v>41954</v>
      </c>
      <c r="C766">
        <v>6.23</v>
      </c>
      <c r="D766">
        <v>0.16</v>
      </c>
      <c r="E766">
        <v>3</v>
      </c>
      <c r="F766">
        <f t="shared" si="55"/>
        <v>0</v>
      </c>
      <c r="G766">
        <f t="shared" si="56"/>
        <v>7</v>
      </c>
      <c r="H766">
        <f t="shared" si="57"/>
        <v>0</v>
      </c>
      <c r="I766">
        <f t="shared" si="58"/>
        <v>0</v>
      </c>
      <c r="J766">
        <f t="shared" si="59"/>
        <v>0</v>
      </c>
    </row>
    <row r="767" spans="1:10" x14ac:dyDescent="0.3">
      <c r="A767" s="1">
        <v>41947</v>
      </c>
      <c r="B767" s="1">
        <v>41952</v>
      </c>
      <c r="C767">
        <v>6.75</v>
      </c>
      <c r="D767">
        <v>0.18</v>
      </c>
      <c r="E767">
        <v>3</v>
      </c>
      <c r="F767">
        <f t="shared" si="55"/>
        <v>0</v>
      </c>
      <c r="G767">
        <f t="shared" si="56"/>
        <v>5</v>
      </c>
      <c r="H767">
        <f t="shared" si="57"/>
        <v>0</v>
      </c>
      <c r="I767">
        <f t="shared" si="58"/>
        <v>0</v>
      </c>
      <c r="J767">
        <f t="shared" si="59"/>
        <v>0</v>
      </c>
    </row>
    <row r="768" spans="1:10" x14ac:dyDescent="0.3">
      <c r="A768" s="1">
        <v>41947</v>
      </c>
      <c r="B768" s="1">
        <v>41953</v>
      </c>
      <c r="C768">
        <v>10.79</v>
      </c>
      <c r="D768">
        <v>0.28000000000000003</v>
      </c>
      <c r="E768">
        <v>6</v>
      </c>
      <c r="F768">
        <f t="shared" si="55"/>
        <v>0</v>
      </c>
      <c r="G768">
        <f t="shared" si="56"/>
        <v>0</v>
      </c>
      <c r="H768">
        <f t="shared" si="57"/>
        <v>0</v>
      </c>
      <c r="I768">
        <f t="shared" si="58"/>
        <v>0</v>
      </c>
      <c r="J768">
        <f t="shared" si="59"/>
        <v>6</v>
      </c>
    </row>
    <row r="769" spans="1:10" x14ac:dyDescent="0.3">
      <c r="A769" s="1">
        <v>41949</v>
      </c>
      <c r="B769" s="1">
        <v>41956</v>
      </c>
      <c r="C769">
        <v>5.67</v>
      </c>
      <c r="D769">
        <v>0.15</v>
      </c>
      <c r="E769">
        <v>4</v>
      </c>
      <c r="F769">
        <f t="shared" si="55"/>
        <v>0</v>
      </c>
      <c r="G769">
        <f t="shared" si="56"/>
        <v>0</v>
      </c>
      <c r="H769">
        <f t="shared" si="57"/>
        <v>7</v>
      </c>
      <c r="I769">
        <f t="shared" si="58"/>
        <v>0</v>
      </c>
      <c r="J769">
        <f t="shared" si="59"/>
        <v>0</v>
      </c>
    </row>
    <row r="770" spans="1:10" x14ac:dyDescent="0.3">
      <c r="A770" s="1">
        <v>41949</v>
      </c>
      <c r="B770" s="1">
        <v>41959</v>
      </c>
      <c r="C770">
        <v>11.44</v>
      </c>
      <c r="D770">
        <v>0.3</v>
      </c>
      <c r="E770">
        <v>4</v>
      </c>
      <c r="F770">
        <f t="shared" si="55"/>
        <v>0</v>
      </c>
      <c r="G770">
        <f t="shared" si="56"/>
        <v>0</v>
      </c>
      <c r="H770">
        <f t="shared" si="57"/>
        <v>10</v>
      </c>
      <c r="I770">
        <f t="shared" si="58"/>
        <v>0</v>
      </c>
      <c r="J770">
        <f t="shared" si="59"/>
        <v>0</v>
      </c>
    </row>
    <row r="771" spans="1:10" x14ac:dyDescent="0.3">
      <c r="A771" s="1">
        <v>41950</v>
      </c>
      <c r="B771" s="1">
        <v>41977</v>
      </c>
      <c r="C771">
        <v>4.25</v>
      </c>
      <c r="D771">
        <v>0.11</v>
      </c>
      <c r="E771">
        <v>5</v>
      </c>
      <c r="F771">
        <f t="shared" ref="F771:F834" si="60">IF(EXACT(E771,2),B771-A771,0)</f>
        <v>0</v>
      </c>
      <c r="G771">
        <f t="shared" ref="G771:G834" si="61">IF(EXACT(E771,3),B771-A771,0)</f>
        <v>0</v>
      </c>
      <c r="H771">
        <f t="shared" ref="H771:H834" si="62">IF(EXACT(E771,4),B771-A771,0)</f>
        <v>0</v>
      </c>
      <c r="I771">
        <f t="shared" ref="I771:I834" si="63">IF(EXACT(E771,5),B771-A771,0)</f>
        <v>27</v>
      </c>
      <c r="J771">
        <f t="shared" ref="J771:J834" si="64">IF(EXACT(E771,6),B771-A771,0)</f>
        <v>0</v>
      </c>
    </row>
    <row r="772" spans="1:10" x14ac:dyDescent="0.3">
      <c r="A772" s="1">
        <v>41950</v>
      </c>
      <c r="B772" s="1">
        <v>41953</v>
      </c>
      <c r="C772">
        <v>3.94</v>
      </c>
      <c r="D772">
        <v>0.1</v>
      </c>
      <c r="E772">
        <v>2</v>
      </c>
      <c r="F772">
        <f t="shared" si="60"/>
        <v>3</v>
      </c>
      <c r="G772">
        <f t="shared" si="61"/>
        <v>0</v>
      </c>
      <c r="H772">
        <f t="shared" si="62"/>
        <v>0</v>
      </c>
      <c r="I772">
        <f t="shared" si="63"/>
        <v>0</v>
      </c>
      <c r="J772">
        <f t="shared" si="64"/>
        <v>0</v>
      </c>
    </row>
    <row r="773" spans="1:10" x14ac:dyDescent="0.3">
      <c r="A773" s="1">
        <v>41950</v>
      </c>
      <c r="B773" s="1">
        <v>41972</v>
      </c>
      <c r="C773">
        <v>3.57</v>
      </c>
      <c r="D773">
        <v>0.09</v>
      </c>
      <c r="E773">
        <v>4</v>
      </c>
      <c r="F773">
        <f t="shared" si="60"/>
        <v>0</v>
      </c>
      <c r="G773">
        <f t="shared" si="61"/>
        <v>0</v>
      </c>
      <c r="H773">
        <f t="shared" si="62"/>
        <v>22</v>
      </c>
      <c r="I773">
        <f t="shared" si="63"/>
        <v>0</v>
      </c>
      <c r="J773">
        <f t="shared" si="64"/>
        <v>0</v>
      </c>
    </row>
    <row r="774" spans="1:10" x14ac:dyDescent="0.3">
      <c r="A774" s="1">
        <v>41950</v>
      </c>
      <c r="B774" s="1">
        <v>41952</v>
      </c>
      <c r="C774">
        <v>5.67</v>
      </c>
      <c r="D774">
        <v>0.15</v>
      </c>
      <c r="E774">
        <v>6</v>
      </c>
      <c r="F774">
        <f t="shared" si="60"/>
        <v>0</v>
      </c>
      <c r="G774">
        <f t="shared" si="61"/>
        <v>0</v>
      </c>
      <c r="H774">
        <f t="shared" si="62"/>
        <v>0</v>
      </c>
      <c r="I774">
        <f t="shared" si="63"/>
        <v>0</v>
      </c>
      <c r="J774">
        <f t="shared" si="64"/>
        <v>2</v>
      </c>
    </row>
    <row r="775" spans="1:10" x14ac:dyDescent="0.3">
      <c r="A775" s="1">
        <v>41950</v>
      </c>
      <c r="B775" s="1">
        <v>41967</v>
      </c>
      <c r="C775">
        <v>5.67</v>
      </c>
      <c r="D775">
        <v>0.15</v>
      </c>
      <c r="E775">
        <v>4</v>
      </c>
      <c r="F775">
        <f t="shared" si="60"/>
        <v>0</v>
      </c>
      <c r="G775">
        <f t="shared" si="61"/>
        <v>0</v>
      </c>
      <c r="H775">
        <f t="shared" si="62"/>
        <v>17</v>
      </c>
      <c r="I775">
        <f t="shared" si="63"/>
        <v>0</v>
      </c>
      <c r="J775">
        <f t="shared" si="64"/>
        <v>0</v>
      </c>
    </row>
    <row r="776" spans="1:10" x14ac:dyDescent="0.3">
      <c r="A776" s="1">
        <v>41953</v>
      </c>
      <c r="B776" s="1">
        <v>41978</v>
      </c>
      <c r="C776">
        <v>16.829999999999998</v>
      </c>
      <c r="D776">
        <v>0.44</v>
      </c>
      <c r="E776">
        <v>6</v>
      </c>
      <c r="F776">
        <f t="shared" si="60"/>
        <v>0</v>
      </c>
      <c r="G776">
        <f t="shared" si="61"/>
        <v>0</v>
      </c>
      <c r="H776">
        <f t="shared" si="62"/>
        <v>0</v>
      </c>
      <c r="I776">
        <f t="shared" si="63"/>
        <v>0</v>
      </c>
      <c r="J776">
        <f t="shared" si="64"/>
        <v>25</v>
      </c>
    </row>
    <row r="777" spans="1:10" x14ac:dyDescent="0.3">
      <c r="A777" s="1">
        <v>41956</v>
      </c>
      <c r="B777" s="1">
        <v>41958</v>
      </c>
      <c r="C777">
        <v>5.23</v>
      </c>
      <c r="D777">
        <v>0.14000000000000001</v>
      </c>
      <c r="E777">
        <v>4</v>
      </c>
      <c r="F777">
        <f t="shared" si="60"/>
        <v>0</v>
      </c>
      <c r="G777">
        <f t="shared" si="61"/>
        <v>0</v>
      </c>
      <c r="H777">
        <f t="shared" si="62"/>
        <v>2</v>
      </c>
      <c r="I777">
        <f t="shared" si="63"/>
        <v>0</v>
      </c>
      <c r="J777">
        <f t="shared" si="64"/>
        <v>0</v>
      </c>
    </row>
    <row r="778" spans="1:10" x14ac:dyDescent="0.3">
      <c r="A778" s="1">
        <v>41957</v>
      </c>
      <c r="B778" s="1">
        <v>41966</v>
      </c>
      <c r="C778">
        <v>3.73</v>
      </c>
      <c r="D778">
        <v>0.1</v>
      </c>
      <c r="E778">
        <v>3</v>
      </c>
      <c r="F778">
        <f t="shared" si="60"/>
        <v>0</v>
      </c>
      <c r="G778">
        <f t="shared" si="61"/>
        <v>9</v>
      </c>
      <c r="H778">
        <f t="shared" si="62"/>
        <v>0</v>
      </c>
      <c r="I778">
        <f t="shared" si="63"/>
        <v>0</v>
      </c>
      <c r="J778">
        <f t="shared" si="64"/>
        <v>0</v>
      </c>
    </row>
    <row r="779" spans="1:10" x14ac:dyDescent="0.3">
      <c r="A779" s="1">
        <v>41958</v>
      </c>
      <c r="B779" s="1">
        <v>41985</v>
      </c>
      <c r="C779">
        <v>8.7200000000000006</v>
      </c>
      <c r="D779">
        <v>0.23</v>
      </c>
      <c r="E779">
        <v>6</v>
      </c>
      <c r="F779">
        <f t="shared" si="60"/>
        <v>0</v>
      </c>
      <c r="G779">
        <f t="shared" si="61"/>
        <v>0</v>
      </c>
      <c r="H779">
        <f t="shared" si="62"/>
        <v>0</v>
      </c>
      <c r="I779">
        <f t="shared" si="63"/>
        <v>0</v>
      </c>
      <c r="J779">
        <f t="shared" si="64"/>
        <v>27</v>
      </c>
    </row>
    <row r="780" spans="1:10" x14ac:dyDescent="0.3">
      <c r="A780" s="1">
        <v>41958</v>
      </c>
      <c r="B780" s="1">
        <v>41975</v>
      </c>
      <c r="C780">
        <v>19.54</v>
      </c>
      <c r="D780">
        <v>0.51</v>
      </c>
      <c r="E780">
        <v>2</v>
      </c>
      <c r="F780">
        <f t="shared" si="60"/>
        <v>17</v>
      </c>
      <c r="G780">
        <f t="shared" si="61"/>
        <v>0</v>
      </c>
      <c r="H780">
        <f t="shared" si="62"/>
        <v>0</v>
      </c>
      <c r="I780">
        <f t="shared" si="63"/>
        <v>0</v>
      </c>
      <c r="J780">
        <f t="shared" si="64"/>
        <v>0</v>
      </c>
    </row>
    <row r="781" spans="1:10" x14ac:dyDescent="0.3">
      <c r="A781" s="1">
        <v>41958</v>
      </c>
      <c r="B781" s="1">
        <v>41980</v>
      </c>
      <c r="C781">
        <v>2.29</v>
      </c>
      <c r="D781">
        <v>0.06</v>
      </c>
      <c r="E781">
        <v>4</v>
      </c>
      <c r="F781">
        <f t="shared" si="60"/>
        <v>0</v>
      </c>
      <c r="G781">
        <f t="shared" si="61"/>
        <v>0</v>
      </c>
      <c r="H781">
        <f t="shared" si="62"/>
        <v>22</v>
      </c>
      <c r="I781">
        <f t="shared" si="63"/>
        <v>0</v>
      </c>
      <c r="J781">
        <f t="shared" si="64"/>
        <v>0</v>
      </c>
    </row>
    <row r="782" spans="1:10" x14ac:dyDescent="0.3">
      <c r="A782" s="1">
        <v>41958</v>
      </c>
      <c r="B782" s="1">
        <v>41986</v>
      </c>
      <c r="C782">
        <v>8.9499999999999993</v>
      </c>
      <c r="D782">
        <v>0.24</v>
      </c>
      <c r="E782">
        <v>6</v>
      </c>
      <c r="F782">
        <f t="shared" si="60"/>
        <v>0</v>
      </c>
      <c r="G782">
        <f t="shared" si="61"/>
        <v>0</v>
      </c>
      <c r="H782">
        <f t="shared" si="62"/>
        <v>0</v>
      </c>
      <c r="I782">
        <f t="shared" si="63"/>
        <v>0</v>
      </c>
      <c r="J782">
        <f t="shared" si="64"/>
        <v>28</v>
      </c>
    </row>
    <row r="783" spans="1:10" x14ac:dyDescent="0.3">
      <c r="A783" s="1">
        <v>41958</v>
      </c>
      <c r="B783" s="1">
        <v>41969</v>
      </c>
      <c r="C783">
        <v>5.67</v>
      </c>
      <c r="D783">
        <v>0.15</v>
      </c>
      <c r="E783">
        <v>6</v>
      </c>
      <c r="F783">
        <f t="shared" si="60"/>
        <v>0</v>
      </c>
      <c r="G783">
        <f t="shared" si="61"/>
        <v>0</v>
      </c>
      <c r="H783">
        <f t="shared" si="62"/>
        <v>0</v>
      </c>
      <c r="I783">
        <f t="shared" si="63"/>
        <v>0</v>
      </c>
      <c r="J783">
        <f t="shared" si="64"/>
        <v>11</v>
      </c>
    </row>
    <row r="784" spans="1:10" x14ac:dyDescent="0.3">
      <c r="A784" s="1">
        <v>41958</v>
      </c>
      <c r="B784" s="1">
        <v>41982</v>
      </c>
      <c r="C784">
        <v>8.83</v>
      </c>
      <c r="D784">
        <v>0.23</v>
      </c>
      <c r="E784">
        <v>4</v>
      </c>
      <c r="F784">
        <f t="shared" si="60"/>
        <v>0</v>
      </c>
      <c r="G784">
        <f t="shared" si="61"/>
        <v>0</v>
      </c>
      <c r="H784">
        <f t="shared" si="62"/>
        <v>24</v>
      </c>
      <c r="I784">
        <f t="shared" si="63"/>
        <v>0</v>
      </c>
      <c r="J784">
        <f t="shared" si="64"/>
        <v>0</v>
      </c>
    </row>
    <row r="785" spans="1:10" x14ac:dyDescent="0.3">
      <c r="A785" s="1">
        <v>41958</v>
      </c>
      <c r="B785" s="1">
        <v>41963</v>
      </c>
      <c r="C785">
        <v>10.79</v>
      </c>
      <c r="D785">
        <v>0.28000000000000003</v>
      </c>
      <c r="E785">
        <v>4</v>
      </c>
      <c r="F785">
        <f t="shared" si="60"/>
        <v>0</v>
      </c>
      <c r="G785">
        <f t="shared" si="61"/>
        <v>0</v>
      </c>
      <c r="H785">
        <f t="shared" si="62"/>
        <v>5</v>
      </c>
      <c r="I785">
        <f t="shared" si="63"/>
        <v>0</v>
      </c>
      <c r="J785">
        <f t="shared" si="64"/>
        <v>0</v>
      </c>
    </row>
    <row r="786" spans="1:10" x14ac:dyDescent="0.3">
      <c r="A786" s="1">
        <v>41958</v>
      </c>
      <c r="B786" s="1">
        <v>41961</v>
      </c>
      <c r="C786">
        <v>5.67</v>
      </c>
      <c r="D786">
        <v>0.15</v>
      </c>
      <c r="E786">
        <v>6</v>
      </c>
      <c r="F786">
        <f t="shared" si="60"/>
        <v>0</v>
      </c>
      <c r="G786">
        <f t="shared" si="61"/>
        <v>0</v>
      </c>
      <c r="H786">
        <f t="shared" si="62"/>
        <v>0</v>
      </c>
      <c r="I786">
        <f t="shared" si="63"/>
        <v>0</v>
      </c>
      <c r="J786">
        <f t="shared" si="64"/>
        <v>3</v>
      </c>
    </row>
    <row r="787" spans="1:10" x14ac:dyDescent="0.3">
      <c r="A787" s="1">
        <v>41958</v>
      </c>
      <c r="B787" s="1">
        <v>41972</v>
      </c>
      <c r="C787">
        <v>14.31</v>
      </c>
      <c r="D787">
        <v>0.38</v>
      </c>
      <c r="E787">
        <v>5</v>
      </c>
      <c r="F787">
        <f t="shared" si="60"/>
        <v>0</v>
      </c>
      <c r="G787">
        <f t="shared" si="61"/>
        <v>0</v>
      </c>
      <c r="H787">
        <f t="shared" si="62"/>
        <v>0</v>
      </c>
      <c r="I787">
        <f t="shared" si="63"/>
        <v>14</v>
      </c>
      <c r="J787">
        <f t="shared" si="64"/>
        <v>0</v>
      </c>
    </row>
    <row r="788" spans="1:10" x14ac:dyDescent="0.3">
      <c r="A788" s="1">
        <v>41958</v>
      </c>
      <c r="B788" s="1">
        <v>41976</v>
      </c>
      <c r="C788">
        <v>5.67</v>
      </c>
      <c r="D788">
        <v>0.15</v>
      </c>
      <c r="E788">
        <v>6</v>
      </c>
      <c r="F788">
        <f t="shared" si="60"/>
        <v>0</v>
      </c>
      <c r="G788">
        <f t="shared" si="61"/>
        <v>0</v>
      </c>
      <c r="H788">
        <f t="shared" si="62"/>
        <v>0</v>
      </c>
      <c r="I788">
        <f t="shared" si="63"/>
        <v>0</v>
      </c>
      <c r="J788">
        <f t="shared" si="64"/>
        <v>18</v>
      </c>
    </row>
    <row r="789" spans="1:10" x14ac:dyDescent="0.3">
      <c r="A789" s="1">
        <v>41958</v>
      </c>
      <c r="B789" s="1">
        <v>41961</v>
      </c>
      <c r="C789">
        <v>6.75</v>
      </c>
      <c r="D789">
        <v>0.18</v>
      </c>
      <c r="E789">
        <v>6</v>
      </c>
      <c r="F789">
        <f t="shared" si="60"/>
        <v>0</v>
      </c>
      <c r="G789">
        <f t="shared" si="61"/>
        <v>0</v>
      </c>
      <c r="H789">
        <f t="shared" si="62"/>
        <v>0</v>
      </c>
      <c r="I789">
        <f t="shared" si="63"/>
        <v>0</v>
      </c>
      <c r="J789">
        <f t="shared" si="64"/>
        <v>3</v>
      </c>
    </row>
    <row r="790" spans="1:10" x14ac:dyDescent="0.3">
      <c r="A790" s="1">
        <v>41958</v>
      </c>
      <c r="B790" s="1">
        <v>41964</v>
      </c>
      <c r="C790">
        <v>12.01</v>
      </c>
      <c r="D790">
        <v>0.32</v>
      </c>
      <c r="E790">
        <v>4</v>
      </c>
      <c r="F790">
        <f t="shared" si="60"/>
        <v>0</v>
      </c>
      <c r="G790">
        <f t="shared" si="61"/>
        <v>0</v>
      </c>
      <c r="H790">
        <f t="shared" si="62"/>
        <v>6</v>
      </c>
      <c r="I790">
        <f t="shared" si="63"/>
        <v>0</v>
      </c>
      <c r="J790">
        <f t="shared" si="64"/>
        <v>0</v>
      </c>
    </row>
    <row r="791" spans="1:10" x14ac:dyDescent="0.3">
      <c r="A791" s="1">
        <v>41958</v>
      </c>
      <c r="B791" s="1">
        <v>41973</v>
      </c>
      <c r="C791">
        <v>5.23</v>
      </c>
      <c r="D791">
        <v>0.14000000000000001</v>
      </c>
      <c r="E791">
        <v>6</v>
      </c>
      <c r="F791">
        <f t="shared" si="60"/>
        <v>0</v>
      </c>
      <c r="G791">
        <f t="shared" si="61"/>
        <v>0</v>
      </c>
      <c r="H791">
        <f t="shared" si="62"/>
        <v>0</v>
      </c>
      <c r="I791">
        <f t="shared" si="63"/>
        <v>0</v>
      </c>
      <c r="J791">
        <f t="shared" si="64"/>
        <v>15</v>
      </c>
    </row>
    <row r="792" spans="1:10" x14ac:dyDescent="0.3">
      <c r="A792" s="1">
        <v>41958</v>
      </c>
      <c r="B792" s="1">
        <v>41978</v>
      </c>
      <c r="C792">
        <v>13.81</v>
      </c>
      <c r="D792">
        <v>0.36</v>
      </c>
      <c r="E792">
        <v>4</v>
      </c>
      <c r="F792">
        <f t="shared" si="60"/>
        <v>0</v>
      </c>
      <c r="G792">
        <f t="shared" si="61"/>
        <v>0</v>
      </c>
      <c r="H792">
        <f t="shared" si="62"/>
        <v>20</v>
      </c>
      <c r="I792">
        <f t="shared" si="63"/>
        <v>0</v>
      </c>
      <c r="J792">
        <f t="shared" si="64"/>
        <v>0</v>
      </c>
    </row>
    <row r="793" spans="1:10" x14ac:dyDescent="0.3">
      <c r="A793" s="1">
        <v>41958</v>
      </c>
      <c r="B793" s="1">
        <v>41970</v>
      </c>
      <c r="C793">
        <v>5.23</v>
      </c>
      <c r="D793">
        <v>0.14000000000000001</v>
      </c>
      <c r="E793">
        <v>3</v>
      </c>
      <c r="F793">
        <f t="shared" si="60"/>
        <v>0</v>
      </c>
      <c r="G793">
        <f t="shared" si="61"/>
        <v>12</v>
      </c>
      <c r="H793">
        <f t="shared" si="62"/>
        <v>0</v>
      </c>
      <c r="I793">
        <f t="shared" si="63"/>
        <v>0</v>
      </c>
      <c r="J793">
        <f t="shared" si="64"/>
        <v>0</v>
      </c>
    </row>
    <row r="794" spans="1:10" x14ac:dyDescent="0.3">
      <c r="A794" s="1">
        <v>41959</v>
      </c>
      <c r="B794" s="1">
        <v>41968</v>
      </c>
      <c r="C794">
        <v>4.25</v>
      </c>
      <c r="D794">
        <v>0.11</v>
      </c>
      <c r="E794">
        <v>6</v>
      </c>
      <c r="F794">
        <f t="shared" si="60"/>
        <v>0</v>
      </c>
      <c r="G794">
        <f t="shared" si="61"/>
        <v>0</v>
      </c>
      <c r="H794">
        <f t="shared" si="62"/>
        <v>0</v>
      </c>
      <c r="I794">
        <f t="shared" si="63"/>
        <v>0</v>
      </c>
      <c r="J794">
        <f t="shared" si="64"/>
        <v>9</v>
      </c>
    </row>
    <row r="795" spans="1:10" x14ac:dyDescent="0.3">
      <c r="A795" s="1">
        <v>41959</v>
      </c>
      <c r="B795" s="1">
        <v>41984</v>
      </c>
      <c r="C795">
        <v>5.23</v>
      </c>
      <c r="D795">
        <v>0.14000000000000001</v>
      </c>
      <c r="E795">
        <v>4</v>
      </c>
      <c r="F795">
        <f t="shared" si="60"/>
        <v>0</v>
      </c>
      <c r="G795">
        <f t="shared" si="61"/>
        <v>0</v>
      </c>
      <c r="H795">
        <f t="shared" si="62"/>
        <v>25</v>
      </c>
      <c r="I795">
        <f t="shared" si="63"/>
        <v>0</v>
      </c>
      <c r="J795">
        <f t="shared" si="64"/>
        <v>0</v>
      </c>
    </row>
    <row r="796" spans="1:10" x14ac:dyDescent="0.3">
      <c r="A796" s="1">
        <v>41959</v>
      </c>
      <c r="B796" s="1">
        <v>41983</v>
      </c>
      <c r="C796">
        <v>6.23</v>
      </c>
      <c r="D796">
        <v>0.16</v>
      </c>
      <c r="E796">
        <v>2</v>
      </c>
      <c r="F796">
        <f t="shared" si="60"/>
        <v>24</v>
      </c>
      <c r="G796">
        <f t="shared" si="61"/>
        <v>0</v>
      </c>
      <c r="H796">
        <f t="shared" si="62"/>
        <v>0</v>
      </c>
      <c r="I796">
        <f t="shared" si="63"/>
        <v>0</v>
      </c>
      <c r="J796">
        <f t="shared" si="64"/>
        <v>0</v>
      </c>
    </row>
    <row r="797" spans="1:10" x14ac:dyDescent="0.3">
      <c r="A797" s="1">
        <v>41959</v>
      </c>
      <c r="B797" s="1">
        <v>41971</v>
      </c>
      <c r="C797">
        <v>16.55</v>
      </c>
      <c r="D797">
        <v>0.44</v>
      </c>
      <c r="E797">
        <v>5</v>
      </c>
      <c r="F797">
        <f t="shared" si="60"/>
        <v>0</v>
      </c>
      <c r="G797">
        <f t="shared" si="61"/>
        <v>0</v>
      </c>
      <c r="H797">
        <f t="shared" si="62"/>
        <v>0</v>
      </c>
      <c r="I797">
        <f t="shared" si="63"/>
        <v>12</v>
      </c>
      <c r="J797">
        <f t="shared" si="64"/>
        <v>0</v>
      </c>
    </row>
    <row r="798" spans="1:10" x14ac:dyDescent="0.3">
      <c r="A798" s="1">
        <v>41959</v>
      </c>
      <c r="B798" s="1">
        <v>41966</v>
      </c>
      <c r="C798">
        <v>5.78</v>
      </c>
      <c r="D798">
        <v>0.15</v>
      </c>
      <c r="E798">
        <v>6</v>
      </c>
      <c r="F798">
        <f t="shared" si="60"/>
        <v>0</v>
      </c>
      <c r="G798">
        <f t="shared" si="61"/>
        <v>0</v>
      </c>
      <c r="H798">
        <f t="shared" si="62"/>
        <v>0</v>
      </c>
      <c r="I798">
        <f t="shared" si="63"/>
        <v>0</v>
      </c>
      <c r="J798">
        <f t="shared" si="64"/>
        <v>7</v>
      </c>
    </row>
    <row r="799" spans="1:10" x14ac:dyDescent="0.3">
      <c r="A799" s="1">
        <v>41959</v>
      </c>
      <c r="B799" s="1">
        <v>41978</v>
      </c>
      <c r="C799">
        <v>11.69</v>
      </c>
      <c r="D799">
        <v>0.31</v>
      </c>
      <c r="E799">
        <v>5</v>
      </c>
      <c r="F799">
        <f t="shared" si="60"/>
        <v>0</v>
      </c>
      <c r="G799">
        <f t="shared" si="61"/>
        <v>0</v>
      </c>
      <c r="H799">
        <f t="shared" si="62"/>
        <v>0</v>
      </c>
      <c r="I799">
        <f t="shared" si="63"/>
        <v>19</v>
      </c>
      <c r="J799">
        <f t="shared" si="64"/>
        <v>0</v>
      </c>
    </row>
    <row r="800" spans="1:10" x14ac:dyDescent="0.3">
      <c r="A800" s="1">
        <v>41959</v>
      </c>
      <c r="B800" s="1">
        <v>41985</v>
      </c>
      <c r="C800">
        <v>11.78</v>
      </c>
      <c r="D800">
        <v>0.31</v>
      </c>
      <c r="E800">
        <v>2</v>
      </c>
      <c r="F800">
        <f t="shared" si="60"/>
        <v>26</v>
      </c>
      <c r="G800">
        <f t="shared" si="61"/>
        <v>0</v>
      </c>
      <c r="H800">
        <f t="shared" si="62"/>
        <v>0</v>
      </c>
      <c r="I800">
        <f t="shared" si="63"/>
        <v>0</v>
      </c>
      <c r="J800">
        <f t="shared" si="64"/>
        <v>0</v>
      </c>
    </row>
    <row r="801" spans="1:10" x14ac:dyDescent="0.3">
      <c r="A801" s="1">
        <v>41959</v>
      </c>
      <c r="B801" s="1">
        <v>41974</v>
      </c>
      <c r="C801">
        <v>8.39</v>
      </c>
      <c r="D801">
        <v>0.22</v>
      </c>
      <c r="E801">
        <v>6</v>
      </c>
      <c r="F801">
        <f t="shared" si="60"/>
        <v>0</v>
      </c>
      <c r="G801">
        <f t="shared" si="61"/>
        <v>0</v>
      </c>
      <c r="H801">
        <f t="shared" si="62"/>
        <v>0</v>
      </c>
      <c r="I801">
        <f t="shared" si="63"/>
        <v>0</v>
      </c>
      <c r="J801">
        <f t="shared" si="64"/>
        <v>15</v>
      </c>
    </row>
    <row r="802" spans="1:10" x14ac:dyDescent="0.3">
      <c r="A802" s="1">
        <v>41959</v>
      </c>
      <c r="B802" s="1">
        <v>41976</v>
      </c>
      <c r="C802">
        <v>6.75</v>
      </c>
      <c r="D802">
        <v>0.18</v>
      </c>
      <c r="E802">
        <v>6</v>
      </c>
      <c r="F802">
        <f t="shared" si="60"/>
        <v>0</v>
      </c>
      <c r="G802">
        <f t="shared" si="61"/>
        <v>0</v>
      </c>
      <c r="H802">
        <f t="shared" si="62"/>
        <v>0</v>
      </c>
      <c r="I802">
        <f t="shared" si="63"/>
        <v>0</v>
      </c>
      <c r="J802">
        <f t="shared" si="64"/>
        <v>17</v>
      </c>
    </row>
    <row r="803" spans="1:10" x14ac:dyDescent="0.3">
      <c r="A803" s="1">
        <v>41960</v>
      </c>
      <c r="B803" s="1">
        <v>41964</v>
      </c>
      <c r="C803">
        <v>3.94</v>
      </c>
      <c r="D803">
        <v>0.1</v>
      </c>
      <c r="E803">
        <v>6</v>
      </c>
      <c r="F803">
        <f t="shared" si="60"/>
        <v>0</v>
      </c>
      <c r="G803">
        <f t="shared" si="61"/>
        <v>0</v>
      </c>
      <c r="H803">
        <f t="shared" si="62"/>
        <v>0</v>
      </c>
      <c r="I803">
        <f t="shared" si="63"/>
        <v>0</v>
      </c>
      <c r="J803">
        <f t="shared" si="64"/>
        <v>4</v>
      </c>
    </row>
    <row r="804" spans="1:10" x14ac:dyDescent="0.3">
      <c r="A804" s="1">
        <v>41960</v>
      </c>
      <c r="B804" s="1">
        <v>41980</v>
      </c>
      <c r="C804">
        <v>3.57</v>
      </c>
      <c r="D804">
        <v>0.09</v>
      </c>
      <c r="E804">
        <v>6</v>
      </c>
      <c r="F804">
        <f t="shared" si="60"/>
        <v>0</v>
      </c>
      <c r="G804">
        <f t="shared" si="61"/>
        <v>0</v>
      </c>
      <c r="H804">
        <f t="shared" si="62"/>
        <v>0</v>
      </c>
      <c r="I804">
        <f t="shared" si="63"/>
        <v>0</v>
      </c>
      <c r="J804">
        <f t="shared" si="64"/>
        <v>20</v>
      </c>
    </row>
    <row r="805" spans="1:10" x14ac:dyDescent="0.3">
      <c r="A805" s="1">
        <v>41960</v>
      </c>
      <c r="B805" s="1">
        <v>41980</v>
      </c>
      <c r="C805">
        <v>14.13</v>
      </c>
      <c r="D805">
        <v>0.37</v>
      </c>
      <c r="E805">
        <v>5</v>
      </c>
      <c r="F805">
        <f t="shared" si="60"/>
        <v>0</v>
      </c>
      <c r="G805">
        <f t="shared" si="61"/>
        <v>0</v>
      </c>
      <c r="H805">
        <f t="shared" si="62"/>
        <v>0</v>
      </c>
      <c r="I805">
        <f t="shared" si="63"/>
        <v>20</v>
      </c>
      <c r="J805">
        <f t="shared" si="64"/>
        <v>0</v>
      </c>
    </row>
    <row r="806" spans="1:10" x14ac:dyDescent="0.3">
      <c r="A806" s="1">
        <v>41960</v>
      </c>
      <c r="B806" s="1">
        <v>41967</v>
      </c>
      <c r="C806">
        <v>5.57</v>
      </c>
      <c r="D806">
        <v>0.15</v>
      </c>
      <c r="E806">
        <v>2</v>
      </c>
      <c r="F806">
        <f t="shared" si="60"/>
        <v>7</v>
      </c>
      <c r="G806">
        <f t="shared" si="61"/>
        <v>0</v>
      </c>
      <c r="H806">
        <f t="shared" si="62"/>
        <v>0</v>
      </c>
      <c r="I806">
        <f t="shared" si="63"/>
        <v>0</v>
      </c>
      <c r="J806">
        <f t="shared" si="64"/>
        <v>0</v>
      </c>
    </row>
    <row r="807" spans="1:10" x14ac:dyDescent="0.3">
      <c r="A807" s="1">
        <v>41960</v>
      </c>
      <c r="B807" s="1">
        <v>41979</v>
      </c>
      <c r="C807">
        <v>8.7200000000000006</v>
      </c>
      <c r="D807">
        <v>0.23</v>
      </c>
      <c r="E807">
        <v>2</v>
      </c>
      <c r="F807">
        <f t="shared" si="60"/>
        <v>19</v>
      </c>
      <c r="G807">
        <f t="shared" si="61"/>
        <v>0</v>
      </c>
      <c r="H807">
        <f t="shared" si="62"/>
        <v>0</v>
      </c>
      <c r="I807">
        <f t="shared" si="63"/>
        <v>0</v>
      </c>
      <c r="J807">
        <f t="shared" si="64"/>
        <v>0</v>
      </c>
    </row>
    <row r="808" spans="1:10" x14ac:dyDescent="0.3">
      <c r="A808" s="1">
        <v>41961</v>
      </c>
      <c r="B808" s="1">
        <v>41987</v>
      </c>
      <c r="C808">
        <v>5.67</v>
      </c>
      <c r="D808">
        <v>0.15</v>
      </c>
      <c r="E808">
        <v>3</v>
      </c>
      <c r="F808">
        <f t="shared" si="60"/>
        <v>0</v>
      </c>
      <c r="G808">
        <f t="shared" si="61"/>
        <v>26</v>
      </c>
      <c r="H808">
        <f t="shared" si="62"/>
        <v>0</v>
      </c>
      <c r="I808">
        <f t="shared" si="63"/>
        <v>0</v>
      </c>
      <c r="J808">
        <f t="shared" si="64"/>
        <v>0</v>
      </c>
    </row>
    <row r="809" spans="1:10" x14ac:dyDescent="0.3">
      <c r="A809" s="1">
        <v>41961</v>
      </c>
      <c r="B809" s="1">
        <v>41972</v>
      </c>
      <c r="C809">
        <v>3.94</v>
      </c>
      <c r="D809">
        <v>0.1</v>
      </c>
      <c r="E809">
        <v>4</v>
      </c>
      <c r="F809">
        <f t="shared" si="60"/>
        <v>0</v>
      </c>
      <c r="G809">
        <f t="shared" si="61"/>
        <v>0</v>
      </c>
      <c r="H809">
        <f t="shared" si="62"/>
        <v>11</v>
      </c>
      <c r="I809">
        <f t="shared" si="63"/>
        <v>0</v>
      </c>
      <c r="J809">
        <f t="shared" si="64"/>
        <v>0</v>
      </c>
    </row>
    <row r="810" spans="1:10" x14ac:dyDescent="0.3">
      <c r="A810" s="1">
        <v>41961</v>
      </c>
      <c r="B810" s="1">
        <v>41966</v>
      </c>
      <c r="C810">
        <v>5.67</v>
      </c>
      <c r="D810">
        <v>0.15</v>
      </c>
      <c r="E810">
        <v>3</v>
      </c>
      <c r="F810">
        <f t="shared" si="60"/>
        <v>0</v>
      </c>
      <c r="G810">
        <f t="shared" si="61"/>
        <v>5</v>
      </c>
      <c r="H810">
        <f t="shared" si="62"/>
        <v>0</v>
      </c>
      <c r="I810">
        <f t="shared" si="63"/>
        <v>0</v>
      </c>
      <c r="J810">
        <f t="shared" si="64"/>
        <v>0</v>
      </c>
    </row>
    <row r="811" spans="1:10" x14ac:dyDescent="0.3">
      <c r="A811" s="1">
        <v>41962</v>
      </c>
      <c r="B811" s="1">
        <v>41984</v>
      </c>
      <c r="C811">
        <v>6.34</v>
      </c>
      <c r="D811">
        <v>0.17</v>
      </c>
      <c r="E811">
        <v>6</v>
      </c>
      <c r="F811">
        <f t="shared" si="60"/>
        <v>0</v>
      </c>
      <c r="G811">
        <f t="shared" si="61"/>
        <v>0</v>
      </c>
      <c r="H811">
        <f t="shared" si="62"/>
        <v>0</v>
      </c>
      <c r="I811">
        <f t="shared" si="63"/>
        <v>0</v>
      </c>
      <c r="J811">
        <f t="shared" si="64"/>
        <v>22</v>
      </c>
    </row>
    <row r="812" spans="1:10" x14ac:dyDescent="0.3">
      <c r="A812" s="1">
        <v>41962</v>
      </c>
      <c r="B812" s="1">
        <v>41970</v>
      </c>
      <c r="C812">
        <v>2.0099999999999998</v>
      </c>
      <c r="D812">
        <v>0.05</v>
      </c>
      <c r="E812">
        <v>4</v>
      </c>
      <c r="F812">
        <f t="shared" si="60"/>
        <v>0</v>
      </c>
      <c r="G812">
        <f t="shared" si="61"/>
        <v>0</v>
      </c>
      <c r="H812">
        <f t="shared" si="62"/>
        <v>8</v>
      </c>
      <c r="I812">
        <f t="shared" si="63"/>
        <v>0</v>
      </c>
      <c r="J812">
        <f t="shared" si="64"/>
        <v>0</v>
      </c>
    </row>
    <row r="813" spans="1:10" x14ac:dyDescent="0.3">
      <c r="A813" s="1">
        <v>41962</v>
      </c>
      <c r="B813" s="1">
        <v>41972</v>
      </c>
      <c r="C813">
        <v>5.67</v>
      </c>
      <c r="D813">
        <v>0.15</v>
      </c>
      <c r="E813">
        <v>3</v>
      </c>
      <c r="F813">
        <f t="shared" si="60"/>
        <v>0</v>
      </c>
      <c r="G813">
        <f t="shared" si="61"/>
        <v>10</v>
      </c>
      <c r="H813">
        <f t="shared" si="62"/>
        <v>0</v>
      </c>
      <c r="I813">
        <f t="shared" si="63"/>
        <v>0</v>
      </c>
      <c r="J813">
        <f t="shared" si="64"/>
        <v>0</v>
      </c>
    </row>
    <row r="814" spans="1:10" x14ac:dyDescent="0.3">
      <c r="A814" s="1">
        <v>41962</v>
      </c>
      <c r="B814" s="1">
        <v>41969</v>
      </c>
      <c r="C814">
        <v>6.43</v>
      </c>
      <c r="D814">
        <v>0.17</v>
      </c>
      <c r="E814">
        <v>5</v>
      </c>
      <c r="F814">
        <f t="shared" si="60"/>
        <v>0</v>
      </c>
      <c r="G814">
        <f t="shared" si="61"/>
        <v>0</v>
      </c>
      <c r="H814">
        <f t="shared" si="62"/>
        <v>0</v>
      </c>
      <c r="I814">
        <f t="shared" si="63"/>
        <v>7</v>
      </c>
      <c r="J814">
        <f t="shared" si="64"/>
        <v>0</v>
      </c>
    </row>
    <row r="815" spans="1:10" x14ac:dyDescent="0.3">
      <c r="A815" s="1">
        <v>41963</v>
      </c>
      <c r="B815" s="1">
        <v>41971</v>
      </c>
      <c r="C815">
        <v>8.39</v>
      </c>
      <c r="D815">
        <v>0.22</v>
      </c>
      <c r="E815">
        <v>6</v>
      </c>
      <c r="F815">
        <f t="shared" si="60"/>
        <v>0</v>
      </c>
      <c r="G815">
        <f t="shared" si="61"/>
        <v>0</v>
      </c>
      <c r="H815">
        <f t="shared" si="62"/>
        <v>0</v>
      </c>
      <c r="I815">
        <f t="shared" si="63"/>
        <v>0</v>
      </c>
      <c r="J815">
        <f t="shared" si="64"/>
        <v>8</v>
      </c>
    </row>
    <row r="816" spans="1:10" x14ac:dyDescent="0.3">
      <c r="A816" s="1">
        <v>41963</v>
      </c>
      <c r="B816" s="1">
        <v>41968</v>
      </c>
      <c r="C816">
        <v>5.67</v>
      </c>
      <c r="D816">
        <v>0.15</v>
      </c>
      <c r="E816">
        <v>5</v>
      </c>
      <c r="F816">
        <f t="shared" si="60"/>
        <v>0</v>
      </c>
      <c r="G816">
        <f t="shared" si="61"/>
        <v>0</v>
      </c>
      <c r="H816">
        <f t="shared" si="62"/>
        <v>0</v>
      </c>
      <c r="I816">
        <f t="shared" si="63"/>
        <v>5</v>
      </c>
      <c r="J816">
        <f t="shared" si="64"/>
        <v>0</v>
      </c>
    </row>
    <row r="817" spans="1:10" x14ac:dyDescent="0.3">
      <c r="A817" s="1">
        <v>41963</v>
      </c>
      <c r="B817" s="1">
        <v>41965</v>
      </c>
      <c r="C817">
        <v>2.72</v>
      </c>
      <c r="D817">
        <v>7.0000000000000007E-2</v>
      </c>
      <c r="E817">
        <v>2</v>
      </c>
      <c r="F817">
        <f t="shared" si="60"/>
        <v>2</v>
      </c>
      <c r="G817">
        <f t="shared" si="61"/>
        <v>0</v>
      </c>
      <c r="H817">
        <f t="shared" si="62"/>
        <v>0</v>
      </c>
      <c r="I817">
        <f t="shared" si="63"/>
        <v>0</v>
      </c>
      <c r="J817">
        <f t="shared" si="64"/>
        <v>0</v>
      </c>
    </row>
    <row r="818" spans="1:10" x14ac:dyDescent="0.3">
      <c r="A818" s="1">
        <v>41964</v>
      </c>
      <c r="B818" s="1">
        <v>41980</v>
      </c>
      <c r="C818">
        <v>7.31</v>
      </c>
      <c r="D818">
        <v>0.19</v>
      </c>
      <c r="E818">
        <v>4</v>
      </c>
      <c r="F818">
        <f t="shared" si="60"/>
        <v>0</v>
      </c>
      <c r="G818">
        <f t="shared" si="61"/>
        <v>0</v>
      </c>
      <c r="H818">
        <f t="shared" si="62"/>
        <v>16</v>
      </c>
      <c r="I818">
        <f t="shared" si="63"/>
        <v>0</v>
      </c>
      <c r="J818">
        <f t="shared" si="64"/>
        <v>0</v>
      </c>
    </row>
    <row r="819" spans="1:10" x14ac:dyDescent="0.3">
      <c r="A819" s="1">
        <v>41964</v>
      </c>
      <c r="B819" s="1">
        <v>41990</v>
      </c>
      <c r="C819">
        <v>5.23</v>
      </c>
      <c r="D819">
        <v>0.14000000000000001</v>
      </c>
      <c r="E819">
        <v>6</v>
      </c>
      <c r="F819">
        <f t="shared" si="60"/>
        <v>0</v>
      </c>
      <c r="G819">
        <f t="shared" si="61"/>
        <v>0</v>
      </c>
      <c r="H819">
        <f t="shared" si="62"/>
        <v>0</v>
      </c>
      <c r="I819">
        <f t="shared" si="63"/>
        <v>0</v>
      </c>
      <c r="J819">
        <f t="shared" si="64"/>
        <v>26</v>
      </c>
    </row>
    <row r="820" spans="1:10" x14ac:dyDescent="0.3">
      <c r="A820" s="1">
        <v>41965</v>
      </c>
      <c r="B820" s="1">
        <v>41968</v>
      </c>
      <c r="C820">
        <v>8.83</v>
      </c>
      <c r="D820">
        <v>0.23</v>
      </c>
      <c r="E820">
        <v>6</v>
      </c>
      <c r="F820">
        <f t="shared" si="60"/>
        <v>0</v>
      </c>
      <c r="G820">
        <f t="shared" si="61"/>
        <v>0</v>
      </c>
      <c r="H820">
        <f t="shared" si="62"/>
        <v>0</v>
      </c>
      <c r="I820">
        <f t="shared" si="63"/>
        <v>0</v>
      </c>
      <c r="J820">
        <f t="shared" si="64"/>
        <v>3</v>
      </c>
    </row>
    <row r="821" spans="1:10" x14ac:dyDescent="0.3">
      <c r="A821" s="1">
        <v>41965</v>
      </c>
      <c r="B821" s="1">
        <v>41971</v>
      </c>
      <c r="C821">
        <v>2.0099999999999998</v>
      </c>
      <c r="D821">
        <v>0.05</v>
      </c>
      <c r="E821">
        <v>5</v>
      </c>
      <c r="F821">
        <f t="shared" si="60"/>
        <v>0</v>
      </c>
      <c r="G821">
        <f t="shared" si="61"/>
        <v>0</v>
      </c>
      <c r="H821">
        <f t="shared" si="62"/>
        <v>0</v>
      </c>
      <c r="I821">
        <f t="shared" si="63"/>
        <v>6</v>
      </c>
      <c r="J821">
        <f t="shared" si="64"/>
        <v>0</v>
      </c>
    </row>
    <row r="822" spans="1:10" x14ac:dyDescent="0.3">
      <c r="A822" s="1">
        <v>41965</v>
      </c>
      <c r="B822" s="1">
        <v>41983</v>
      </c>
      <c r="C822">
        <v>8.89</v>
      </c>
      <c r="D822">
        <v>0.23</v>
      </c>
      <c r="E822">
        <v>6</v>
      </c>
      <c r="F822">
        <f t="shared" si="60"/>
        <v>0</v>
      </c>
      <c r="G822">
        <f t="shared" si="61"/>
        <v>0</v>
      </c>
      <c r="H822">
        <f t="shared" si="62"/>
        <v>0</v>
      </c>
      <c r="I822">
        <f t="shared" si="63"/>
        <v>0</v>
      </c>
      <c r="J822">
        <f t="shared" si="64"/>
        <v>18</v>
      </c>
    </row>
    <row r="823" spans="1:10" x14ac:dyDescent="0.3">
      <c r="A823" s="1">
        <v>41965</v>
      </c>
      <c r="B823" s="1">
        <v>41984</v>
      </c>
      <c r="C823">
        <v>6.34</v>
      </c>
      <c r="D823">
        <v>0.17</v>
      </c>
      <c r="E823">
        <v>6</v>
      </c>
      <c r="F823">
        <f t="shared" si="60"/>
        <v>0</v>
      </c>
      <c r="G823">
        <f t="shared" si="61"/>
        <v>0</v>
      </c>
      <c r="H823">
        <f t="shared" si="62"/>
        <v>0</v>
      </c>
      <c r="I823">
        <f t="shared" si="63"/>
        <v>0</v>
      </c>
      <c r="J823">
        <f t="shared" si="64"/>
        <v>19</v>
      </c>
    </row>
    <row r="824" spans="1:10" x14ac:dyDescent="0.3">
      <c r="A824" s="1">
        <v>41965</v>
      </c>
      <c r="B824" s="1">
        <v>41968</v>
      </c>
      <c r="C824">
        <v>14.31</v>
      </c>
      <c r="D824">
        <v>0.38</v>
      </c>
      <c r="E824">
        <v>3</v>
      </c>
      <c r="F824">
        <f t="shared" si="60"/>
        <v>0</v>
      </c>
      <c r="G824">
        <f t="shared" si="61"/>
        <v>3</v>
      </c>
      <c r="H824">
        <f t="shared" si="62"/>
        <v>0</v>
      </c>
      <c r="I824">
        <f t="shared" si="63"/>
        <v>0</v>
      </c>
      <c r="J824">
        <f t="shared" si="64"/>
        <v>0</v>
      </c>
    </row>
    <row r="825" spans="1:10" x14ac:dyDescent="0.3">
      <c r="A825" s="1">
        <v>41965</v>
      </c>
      <c r="B825" s="1">
        <v>41973</v>
      </c>
      <c r="C825">
        <v>11.42</v>
      </c>
      <c r="D825">
        <v>0.3</v>
      </c>
      <c r="E825">
        <v>6</v>
      </c>
      <c r="F825">
        <f t="shared" si="60"/>
        <v>0</v>
      </c>
      <c r="G825">
        <f t="shared" si="61"/>
        <v>0</v>
      </c>
      <c r="H825">
        <f t="shared" si="62"/>
        <v>0</v>
      </c>
      <c r="I825">
        <f t="shared" si="63"/>
        <v>0</v>
      </c>
      <c r="J825">
        <f t="shared" si="64"/>
        <v>8</v>
      </c>
    </row>
    <row r="826" spans="1:10" x14ac:dyDescent="0.3">
      <c r="A826" s="1">
        <v>41965</v>
      </c>
      <c r="B826" s="1">
        <v>41969</v>
      </c>
      <c r="C826">
        <v>9.4600000000000009</v>
      </c>
      <c r="D826">
        <v>0.25</v>
      </c>
      <c r="E826">
        <v>4</v>
      </c>
      <c r="F826">
        <f t="shared" si="60"/>
        <v>0</v>
      </c>
      <c r="G826">
        <f t="shared" si="61"/>
        <v>0</v>
      </c>
      <c r="H826">
        <f t="shared" si="62"/>
        <v>4</v>
      </c>
      <c r="I826">
        <f t="shared" si="63"/>
        <v>0</v>
      </c>
      <c r="J826">
        <f t="shared" si="64"/>
        <v>0</v>
      </c>
    </row>
    <row r="827" spans="1:10" x14ac:dyDescent="0.3">
      <c r="A827" s="1">
        <v>41966</v>
      </c>
      <c r="B827" s="1">
        <v>41984</v>
      </c>
      <c r="C827">
        <v>6.58</v>
      </c>
      <c r="D827">
        <v>0.17</v>
      </c>
      <c r="E827">
        <v>5</v>
      </c>
      <c r="F827">
        <f t="shared" si="60"/>
        <v>0</v>
      </c>
      <c r="G827">
        <f t="shared" si="61"/>
        <v>0</v>
      </c>
      <c r="H827">
        <f t="shared" si="62"/>
        <v>0</v>
      </c>
      <c r="I827">
        <f t="shared" si="63"/>
        <v>18</v>
      </c>
      <c r="J827">
        <f t="shared" si="64"/>
        <v>0</v>
      </c>
    </row>
    <row r="828" spans="1:10" x14ac:dyDescent="0.3">
      <c r="A828" s="1">
        <v>41967</v>
      </c>
      <c r="B828" s="1">
        <v>41991</v>
      </c>
      <c r="C828">
        <v>11.42</v>
      </c>
      <c r="D828">
        <v>0.3</v>
      </c>
      <c r="E828">
        <v>4</v>
      </c>
      <c r="F828">
        <f t="shared" si="60"/>
        <v>0</v>
      </c>
      <c r="G828">
        <f t="shared" si="61"/>
        <v>0</v>
      </c>
      <c r="H828">
        <f t="shared" si="62"/>
        <v>24</v>
      </c>
      <c r="I828">
        <f t="shared" si="63"/>
        <v>0</v>
      </c>
      <c r="J828">
        <f t="shared" si="64"/>
        <v>0</v>
      </c>
    </row>
    <row r="829" spans="1:10" x14ac:dyDescent="0.3">
      <c r="A829" s="1">
        <v>41967</v>
      </c>
      <c r="B829" s="1">
        <v>41988</v>
      </c>
      <c r="C829">
        <v>2.29</v>
      </c>
      <c r="D829">
        <v>0.06</v>
      </c>
      <c r="E829">
        <v>6</v>
      </c>
      <c r="F829">
        <f t="shared" si="60"/>
        <v>0</v>
      </c>
      <c r="G829">
        <f t="shared" si="61"/>
        <v>0</v>
      </c>
      <c r="H829">
        <f t="shared" si="62"/>
        <v>0</v>
      </c>
      <c r="I829">
        <f t="shared" si="63"/>
        <v>0</v>
      </c>
      <c r="J829">
        <f t="shared" si="64"/>
        <v>21</v>
      </c>
    </row>
    <row r="830" spans="1:10" x14ac:dyDescent="0.3">
      <c r="A830" s="1">
        <v>41968</v>
      </c>
      <c r="B830" s="1">
        <v>41993</v>
      </c>
      <c r="C830">
        <v>8.7200000000000006</v>
      </c>
      <c r="D830">
        <v>0.23</v>
      </c>
      <c r="E830">
        <v>3</v>
      </c>
      <c r="F830">
        <f t="shared" si="60"/>
        <v>0</v>
      </c>
      <c r="G830">
        <f t="shared" si="61"/>
        <v>25</v>
      </c>
      <c r="H830">
        <f t="shared" si="62"/>
        <v>0</v>
      </c>
      <c r="I830">
        <f t="shared" si="63"/>
        <v>0</v>
      </c>
      <c r="J830">
        <f t="shared" si="64"/>
        <v>0</v>
      </c>
    </row>
    <row r="831" spans="1:10" x14ac:dyDescent="0.3">
      <c r="A831" s="1">
        <v>41968</v>
      </c>
      <c r="B831" s="1">
        <v>41974</v>
      </c>
      <c r="C831">
        <v>2.29</v>
      </c>
      <c r="D831">
        <v>0.06</v>
      </c>
      <c r="E831">
        <v>3</v>
      </c>
      <c r="F831">
        <f t="shared" si="60"/>
        <v>0</v>
      </c>
      <c r="G831">
        <f t="shared" si="61"/>
        <v>6</v>
      </c>
      <c r="H831">
        <f t="shared" si="62"/>
        <v>0</v>
      </c>
      <c r="I831">
        <f t="shared" si="63"/>
        <v>0</v>
      </c>
      <c r="J831">
        <f t="shared" si="64"/>
        <v>0</v>
      </c>
    </row>
    <row r="832" spans="1:10" x14ac:dyDescent="0.3">
      <c r="A832" s="1">
        <v>41968</v>
      </c>
      <c r="B832" s="1">
        <v>41975</v>
      </c>
      <c r="C832">
        <v>6.58</v>
      </c>
      <c r="D832">
        <v>0.17</v>
      </c>
      <c r="E832">
        <v>3</v>
      </c>
      <c r="F832">
        <f t="shared" si="60"/>
        <v>0</v>
      </c>
      <c r="G832">
        <f t="shared" si="61"/>
        <v>7</v>
      </c>
      <c r="H832">
        <f t="shared" si="62"/>
        <v>0</v>
      </c>
      <c r="I832">
        <f t="shared" si="63"/>
        <v>0</v>
      </c>
      <c r="J832">
        <f t="shared" si="64"/>
        <v>0</v>
      </c>
    </row>
    <row r="833" spans="1:10" x14ac:dyDescent="0.3">
      <c r="A833" s="1">
        <v>41970</v>
      </c>
      <c r="B833" s="1">
        <v>41972</v>
      </c>
      <c r="C833">
        <v>7.35</v>
      </c>
      <c r="D833">
        <v>0.19</v>
      </c>
      <c r="E833">
        <v>6</v>
      </c>
      <c r="F833">
        <f t="shared" si="60"/>
        <v>0</v>
      </c>
      <c r="G833">
        <f t="shared" si="61"/>
        <v>0</v>
      </c>
      <c r="H833">
        <f t="shared" si="62"/>
        <v>0</v>
      </c>
      <c r="I833">
        <f t="shared" si="63"/>
        <v>0</v>
      </c>
      <c r="J833">
        <f t="shared" si="64"/>
        <v>2</v>
      </c>
    </row>
    <row r="834" spans="1:10" x14ac:dyDescent="0.3">
      <c r="A834" s="1">
        <v>41970</v>
      </c>
      <c r="B834" s="1">
        <v>41982</v>
      </c>
      <c r="C834">
        <v>6.43</v>
      </c>
      <c r="D834">
        <v>0.17</v>
      </c>
      <c r="E834">
        <v>4</v>
      </c>
      <c r="F834">
        <f t="shared" si="60"/>
        <v>0</v>
      </c>
      <c r="G834">
        <f t="shared" si="61"/>
        <v>0</v>
      </c>
      <c r="H834">
        <f t="shared" si="62"/>
        <v>12</v>
      </c>
      <c r="I834">
        <f t="shared" si="63"/>
        <v>0</v>
      </c>
      <c r="J834">
        <f t="shared" si="64"/>
        <v>0</v>
      </c>
    </row>
    <row r="835" spans="1:10" x14ac:dyDescent="0.3">
      <c r="A835" s="1">
        <v>41970</v>
      </c>
      <c r="B835" s="1">
        <v>41987</v>
      </c>
      <c r="C835">
        <v>8.65</v>
      </c>
      <c r="D835">
        <v>0.23</v>
      </c>
      <c r="E835">
        <v>3</v>
      </c>
      <c r="F835">
        <f t="shared" ref="F835:F898" si="65">IF(EXACT(E835,2),B835-A835,0)</f>
        <v>0</v>
      </c>
      <c r="G835">
        <f t="shared" ref="G835:G898" si="66">IF(EXACT(E835,3),B835-A835,0)</f>
        <v>17</v>
      </c>
      <c r="H835">
        <f t="shared" ref="H835:H898" si="67">IF(EXACT(E835,4),B835-A835,0)</f>
        <v>0</v>
      </c>
      <c r="I835">
        <f t="shared" ref="I835:I898" si="68">IF(EXACT(E835,5),B835-A835,0)</f>
        <v>0</v>
      </c>
      <c r="J835">
        <f t="shared" ref="J835:J898" si="69">IF(EXACT(E835,6),B835-A835,0)</f>
        <v>0</v>
      </c>
    </row>
    <row r="836" spans="1:10" x14ac:dyDescent="0.3">
      <c r="A836" s="1">
        <v>41970</v>
      </c>
      <c r="B836" s="1">
        <v>41994</v>
      </c>
      <c r="C836">
        <v>13.82</v>
      </c>
      <c r="D836">
        <v>0.36</v>
      </c>
      <c r="E836">
        <v>3</v>
      </c>
      <c r="F836">
        <f t="shared" si="65"/>
        <v>0</v>
      </c>
      <c r="G836">
        <f t="shared" si="66"/>
        <v>24</v>
      </c>
      <c r="H836">
        <f t="shared" si="67"/>
        <v>0</v>
      </c>
      <c r="I836">
        <f t="shared" si="68"/>
        <v>0</v>
      </c>
      <c r="J836">
        <f t="shared" si="69"/>
        <v>0</v>
      </c>
    </row>
    <row r="837" spans="1:10" x14ac:dyDescent="0.3">
      <c r="A837" s="1">
        <v>41970</v>
      </c>
      <c r="B837" s="1">
        <v>41992</v>
      </c>
      <c r="C837">
        <v>5.67</v>
      </c>
      <c r="D837">
        <v>0.15</v>
      </c>
      <c r="E837">
        <v>4</v>
      </c>
      <c r="F837">
        <f t="shared" si="65"/>
        <v>0</v>
      </c>
      <c r="G837">
        <f t="shared" si="66"/>
        <v>0</v>
      </c>
      <c r="H837">
        <f t="shared" si="67"/>
        <v>22</v>
      </c>
      <c r="I837">
        <f t="shared" si="68"/>
        <v>0</v>
      </c>
      <c r="J837">
        <f t="shared" si="69"/>
        <v>0</v>
      </c>
    </row>
    <row r="838" spans="1:10" x14ac:dyDescent="0.3">
      <c r="A838" s="1">
        <v>41970</v>
      </c>
      <c r="B838" s="1">
        <v>41986</v>
      </c>
      <c r="C838">
        <v>6.75</v>
      </c>
      <c r="D838">
        <v>0.18</v>
      </c>
      <c r="E838">
        <v>2</v>
      </c>
      <c r="F838">
        <f t="shared" si="65"/>
        <v>16</v>
      </c>
      <c r="G838">
        <f t="shared" si="66"/>
        <v>0</v>
      </c>
      <c r="H838">
        <f t="shared" si="67"/>
        <v>0</v>
      </c>
      <c r="I838">
        <f t="shared" si="68"/>
        <v>0</v>
      </c>
      <c r="J838">
        <f t="shared" si="69"/>
        <v>0</v>
      </c>
    </row>
    <row r="839" spans="1:10" x14ac:dyDescent="0.3">
      <c r="A839" s="1">
        <v>41970</v>
      </c>
      <c r="B839" s="1">
        <v>41992</v>
      </c>
      <c r="C839">
        <v>5.67</v>
      </c>
      <c r="D839">
        <v>0.15</v>
      </c>
      <c r="E839">
        <v>5</v>
      </c>
      <c r="F839">
        <f t="shared" si="65"/>
        <v>0</v>
      </c>
      <c r="G839">
        <f t="shared" si="66"/>
        <v>0</v>
      </c>
      <c r="H839">
        <f t="shared" si="67"/>
        <v>0</v>
      </c>
      <c r="I839">
        <f t="shared" si="68"/>
        <v>22</v>
      </c>
      <c r="J839">
        <f t="shared" si="69"/>
        <v>0</v>
      </c>
    </row>
    <row r="840" spans="1:10" x14ac:dyDescent="0.3">
      <c r="A840" s="1">
        <v>41970</v>
      </c>
      <c r="B840" s="1">
        <v>41987</v>
      </c>
      <c r="C840">
        <v>14.31</v>
      </c>
      <c r="D840">
        <v>0.38</v>
      </c>
      <c r="E840">
        <v>3</v>
      </c>
      <c r="F840">
        <f t="shared" si="65"/>
        <v>0</v>
      </c>
      <c r="G840">
        <f t="shared" si="66"/>
        <v>17</v>
      </c>
      <c r="H840">
        <f t="shared" si="67"/>
        <v>0</v>
      </c>
      <c r="I840">
        <f t="shared" si="68"/>
        <v>0</v>
      </c>
      <c r="J840">
        <f t="shared" si="69"/>
        <v>0</v>
      </c>
    </row>
    <row r="841" spans="1:10" x14ac:dyDescent="0.3">
      <c r="A841" s="1">
        <v>41970</v>
      </c>
      <c r="B841" s="1">
        <v>41979</v>
      </c>
      <c r="C841">
        <v>16.55</v>
      </c>
      <c r="D841">
        <v>0.44</v>
      </c>
      <c r="E841">
        <v>4</v>
      </c>
      <c r="F841">
        <f t="shared" si="65"/>
        <v>0</v>
      </c>
      <c r="G841">
        <f t="shared" si="66"/>
        <v>0</v>
      </c>
      <c r="H841">
        <f t="shared" si="67"/>
        <v>9</v>
      </c>
      <c r="I841">
        <f t="shared" si="68"/>
        <v>0</v>
      </c>
      <c r="J841">
        <f t="shared" si="69"/>
        <v>0</v>
      </c>
    </row>
    <row r="842" spans="1:10" x14ac:dyDescent="0.3">
      <c r="A842" s="1">
        <v>41970</v>
      </c>
      <c r="B842" s="1">
        <v>41974</v>
      </c>
      <c r="C842">
        <v>11.44</v>
      </c>
      <c r="D842">
        <v>0.3</v>
      </c>
      <c r="E842">
        <v>4</v>
      </c>
      <c r="F842">
        <f t="shared" si="65"/>
        <v>0</v>
      </c>
      <c r="G842">
        <f t="shared" si="66"/>
        <v>0</v>
      </c>
      <c r="H842">
        <f t="shared" si="67"/>
        <v>4</v>
      </c>
      <c r="I842">
        <f t="shared" si="68"/>
        <v>0</v>
      </c>
      <c r="J842">
        <f t="shared" si="69"/>
        <v>0</v>
      </c>
    </row>
    <row r="843" spans="1:10" x14ac:dyDescent="0.3">
      <c r="A843" s="1">
        <v>41970</v>
      </c>
      <c r="B843" s="1">
        <v>41992</v>
      </c>
      <c r="C843">
        <v>4.66</v>
      </c>
      <c r="D843">
        <v>0.12</v>
      </c>
      <c r="E843">
        <v>4</v>
      </c>
      <c r="F843">
        <f t="shared" si="65"/>
        <v>0</v>
      </c>
      <c r="G843">
        <f t="shared" si="66"/>
        <v>0</v>
      </c>
      <c r="H843">
        <f t="shared" si="67"/>
        <v>22</v>
      </c>
      <c r="I843">
        <f t="shared" si="68"/>
        <v>0</v>
      </c>
      <c r="J843">
        <f t="shared" si="69"/>
        <v>0</v>
      </c>
    </row>
    <row r="844" spans="1:10" x14ac:dyDescent="0.3">
      <c r="A844" s="1">
        <v>41970</v>
      </c>
      <c r="B844" s="1">
        <v>41995</v>
      </c>
      <c r="C844">
        <v>3.73</v>
      </c>
      <c r="D844">
        <v>0.1</v>
      </c>
      <c r="E844">
        <v>6</v>
      </c>
      <c r="F844">
        <f t="shared" si="65"/>
        <v>0</v>
      </c>
      <c r="G844">
        <f t="shared" si="66"/>
        <v>0</v>
      </c>
      <c r="H844">
        <f t="shared" si="67"/>
        <v>0</v>
      </c>
      <c r="I844">
        <f t="shared" si="68"/>
        <v>0</v>
      </c>
      <c r="J844">
        <f t="shared" si="69"/>
        <v>25</v>
      </c>
    </row>
    <row r="845" spans="1:10" x14ac:dyDescent="0.3">
      <c r="A845" s="1">
        <v>41970</v>
      </c>
      <c r="B845" s="1">
        <v>41982</v>
      </c>
      <c r="C845">
        <v>6.75</v>
      </c>
      <c r="D845">
        <v>0.18</v>
      </c>
      <c r="E845">
        <v>3</v>
      </c>
      <c r="F845">
        <f t="shared" si="65"/>
        <v>0</v>
      </c>
      <c r="G845">
        <f t="shared" si="66"/>
        <v>12</v>
      </c>
      <c r="H845">
        <f t="shared" si="67"/>
        <v>0</v>
      </c>
      <c r="I845">
        <f t="shared" si="68"/>
        <v>0</v>
      </c>
      <c r="J845">
        <f t="shared" si="69"/>
        <v>0</v>
      </c>
    </row>
    <row r="846" spans="1:10" x14ac:dyDescent="0.3">
      <c r="A846" s="1">
        <v>41970</v>
      </c>
      <c r="B846" s="1">
        <v>41981</v>
      </c>
      <c r="C846">
        <v>2.72</v>
      </c>
      <c r="D846">
        <v>7.0000000000000007E-2</v>
      </c>
      <c r="E846">
        <v>6</v>
      </c>
      <c r="F846">
        <f t="shared" si="65"/>
        <v>0</v>
      </c>
      <c r="G846">
        <f t="shared" si="66"/>
        <v>0</v>
      </c>
      <c r="H846">
        <f t="shared" si="67"/>
        <v>0</v>
      </c>
      <c r="I846">
        <f t="shared" si="68"/>
        <v>0</v>
      </c>
      <c r="J846">
        <f t="shared" si="69"/>
        <v>11</v>
      </c>
    </row>
    <row r="847" spans="1:10" x14ac:dyDescent="0.3">
      <c r="A847" s="1">
        <v>41970</v>
      </c>
      <c r="B847" s="1">
        <v>41990</v>
      </c>
      <c r="C847">
        <v>7.71</v>
      </c>
      <c r="D847">
        <v>0.2</v>
      </c>
      <c r="E847">
        <v>6</v>
      </c>
      <c r="F847">
        <f t="shared" si="65"/>
        <v>0</v>
      </c>
      <c r="G847">
        <f t="shared" si="66"/>
        <v>0</v>
      </c>
      <c r="H847">
        <f t="shared" si="67"/>
        <v>0</v>
      </c>
      <c r="I847">
        <f t="shared" si="68"/>
        <v>0</v>
      </c>
      <c r="J847">
        <f t="shared" si="69"/>
        <v>20</v>
      </c>
    </row>
    <row r="848" spans="1:10" x14ac:dyDescent="0.3">
      <c r="A848" s="1">
        <v>41970</v>
      </c>
      <c r="B848" s="1">
        <v>41972</v>
      </c>
      <c r="C848">
        <v>6.58</v>
      </c>
      <c r="D848">
        <v>0.17</v>
      </c>
      <c r="E848">
        <v>6</v>
      </c>
      <c r="F848">
        <f t="shared" si="65"/>
        <v>0</v>
      </c>
      <c r="G848">
        <f t="shared" si="66"/>
        <v>0</v>
      </c>
      <c r="H848">
        <f t="shared" si="67"/>
        <v>0</v>
      </c>
      <c r="I848">
        <f t="shared" si="68"/>
        <v>0</v>
      </c>
      <c r="J848">
        <f t="shared" si="69"/>
        <v>2</v>
      </c>
    </row>
    <row r="849" spans="1:10" x14ac:dyDescent="0.3">
      <c r="A849" s="1">
        <v>41970</v>
      </c>
      <c r="B849" s="1">
        <v>41986</v>
      </c>
      <c r="C849">
        <v>8.89</v>
      </c>
      <c r="D849">
        <v>0.23</v>
      </c>
      <c r="E849">
        <v>2</v>
      </c>
      <c r="F849">
        <f t="shared" si="65"/>
        <v>16</v>
      </c>
      <c r="G849">
        <f t="shared" si="66"/>
        <v>0</v>
      </c>
      <c r="H849">
        <f t="shared" si="67"/>
        <v>0</v>
      </c>
      <c r="I849">
        <f t="shared" si="68"/>
        <v>0</v>
      </c>
      <c r="J849">
        <f t="shared" si="69"/>
        <v>0</v>
      </c>
    </row>
    <row r="850" spans="1:10" x14ac:dyDescent="0.3">
      <c r="A850" s="1">
        <v>41970</v>
      </c>
      <c r="B850" s="1">
        <v>41986</v>
      </c>
      <c r="C850">
        <v>5.47</v>
      </c>
      <c r="D850">
        <v>0.14000000000000001</v>
      </c>
      <c r="E850">
        <v>4</v>
      </c>
      <c r="F850">
        <f t="shared" si="65"/>
        <v>0</v>
      </c>
      <c r="G850">
        <f t="shared" si="66"/>
        <v>0</v>
      </c>
      <c r="H850">
        <f t="shared" si="67"/>
        <v>16</v>
      </c>
      <c r="I850">
        <f t="shared" si="68"/>
        <v>0</v>
      </c>
      <c r="J850">
        <f t="shared" si="69"/>
        <v>0</v>
      </c>
    </row>
    <row r="851" spans="1:10" x14ac:dyDescent="0.3">
      <c r="A851" s="1">
        <v>41971</v>
      </c>
      <c r="B851" s="1">
        <v>41987</v>
      </c>
      <c r="C851">
        <v>12.01</v>
      </c>
      <c r="D851">
        <v>0.32</v>
      </c>
      <c r="E851">
        <v>2</v>
      </c>
      <c r="F851">
        <f t="shared" si="65"/>
        <v>16</v>
      </c>
      <c r="G851">
        <f t="shared" si="66"/>
        <v>0</v>
      </c>
      <c r="H851">
        <f t="shared" si="67"/>
        <v>0</v>
      </c>
      <c r="I851">
        <f t="shared" si="68"/>
        <v>0</v>
      </c>
      <c r="J851">
        <f t="shared" si="69"/>
        <v>0</v>
      </c>
    </row>
    <row r="852" spans="1:10" x14ac:dyDescent="0.3">
      <c r="A852" s="1">
        <v>41971</v>
      </c>
      <c r="B852" s="1">
        <v>41976</v>
      </c>
      <c r="C852">
        <v>11.44</v>
      </c>
      <c r="D852">
        <v>0.3</v>
      </c>
      <c r="E852">
        <v>3</v>
      </c>
      <c r="F852">
        <f t="shared" si="65"/>
        <v>0</v>
      </c>
      <c r="G852">
        <f t="shared" si="66"/>
        <v>5</v>
      </c>
      <c r="H852">
        <f t="shared" si="67"/>
        <v>0</v>
      </c>
      <c r="I852">
        <f t="shared" si="68"/>
        <v>0</v>
      </c>
      <c r="J852">
        <f t="shared" si="69"/>
        <v>0</v>
      </c>
    </row>
    <row r="853" spans="1:10" x14ac:dyDescent="0.3">
      <c r="A853" s="1">
        <v>41971</v>
      </c>
      <c r="B853" s="1">
        <v>41986</v>
      </c>
      <c r="C853">
        <v>14.13</v>
      </c>
      <c r="D853">
        <v>0.37</v>
      </c>
      <c r="E853">
        <v>3</v>
      </c>
      <c r="F853">
        <f t="shared" si="65"/>
        <v>0</v>
      </c>
      <c r="G853">
        <f t="shared" si="66"/>
        <v>15</v>
      </c>
      <c r="H853">
        <f t="shared" si="67"/>
        <v>0</v>
      </c>
      <c r="I853">
        <f t="shared" si="68"/>
        <v>0</v>
      </c>
      <c r="J853">
        <f t="shared" si="69"/>
        <v>0</v>
      </c>
    </row>
    <row r="854" spans="1:10" x14ac:dyDescent="0.3">
      <c r="A854" s="1">
        <v>41971</v>
      </c>
      <c r="B854" s="1">
        <v>41983</v>
      </c>
      <c r="C854">
        <v>8.9499999999999993</v>
      </c>
      <c r="D854">
        <v>0.24</v>
      </c>
      <c r="E854">
        <v>6</v>
      </c>
      <c r="F854">
        <f t="shared" si="65"/>
        <v>0</v>
      </c>
      <c r="G854">
        <f t="shared" si="66"/>
        <v>0</v>
      </c>
      <c r="H854">
        <f t="shared" si="67"/>
        <v>0</v>
      </c>
      <c r="I854">
        <f t="shared" si="68"/>
        <v>0</v>
      </c>
      <c r="J854">
        <f t="shared" si="69"/>
        <v>12</v>
      </c>
    </row>
    <row r="855" spans="1:10" x14ac:dyDescent="0.3">
      <c r="A855" s="1">
        <v>41971</v>
      </c>
      <c r="B855" s="1">
        <v>41973</v>
      </c>
      <c r="C855">
        <v>8.89</v>
      </c>
      <c r="D855">
        <v>0.23</v>
      </c>
      <c r="E855">
        <v>2</v>
      </c>
      <c r="F855">
        <f t="shared" si="65"/>
        <v>2</v>
      </c>
      <c r="G855">
        <f t="shared" si="66"/>
        <v>0</v>
      </c>
      <c r="H855">
        <f t="shared" si="67"/>
        <v>0</v>
      </c>
      <c r="I855">
        <f t="shared" si="68"/>
        <v>0</v>
      </c>
      <c r="J855">
        <f t="shared" si="69"/>
        <v>0</v>
      </c>
    </row>
    <row r="856" spans="1:10" x14ac:dyDescent="0.3">
      <c r="A856" s="1">
        <v>41971</v>
      </c>
      <c r="B856" s="1">
        <v>41975</v>
      </c>
      <c r="C856">
        <v>6.43</v>
      </c>
      <c r="D856">
        <v>0.17</v>
      </c>
      <c r="E856">
        <v>5</v>
      </c>
      <c r="F856">
        <f t="shared" si="65"/>
        <v>0</v>
      </c>
      <c r="G856">
        <f t="shared" si="66"/>
        <v>0</v>
      </c>
      <c r="H856">
        <f t="shared" si="67"/>
        <v>0</v>
      </c>
      <c r="I856">
        <f t="shared" si="68"/>
        <v>4</v>
      </c>
      <c r="J856">
        <f t="shared" si="69"/>
        <v>0</v>
      </c>
    </row>
    <row r="857" spans="1:10" x14ac:dyDescent="0.3">
      <c r="A857" s="1">
        <v>41971</v>
      </c>
      <c r="B857" s="1">
        <v>41974</v>
      </c>
      <c r="C857">
        <v>3.94</v>
      </c>
      <c r="D857">
        <v>0.1</v>
      </c>
      <c r="E857">
        <v>3</v>
      </c>
      <c r="F857">
        <f t="shared" si="65"/>
        <v>0</v>
      </c>
      <c r="G857">
        <f t="shared" si="66"/>
        <v>3</v>
      </c>
      <c r="H857">
        <f t="shared" si="67"/>
        <v>0</v>
      </c>
      <c r="I857">
        <f t="shared" si="68"/>
        <v>0</v>
      </c>
      <c r="J857">
        <f t="shared" si="69"/>
        <v>0</v>
      </c>
    </row>
    <row r="858" spans="1:10" x14ac:dyDescent="0.3">
      <c r="A858" s="1">
        <v>41971</v>
      </c>
      <c r="B858" s="1">
        <v>41973</v>
      </c>
      <c r="C858">
        <v>6.23</v>
      </c>
      <c r="D858">
        <v>0.16</v>
      </c>
      <c r="E858">
        <v>3</v>
      </c>
      <c r="F858">
        <f t="shared" si="65"/>
        <v>0</v>
      </c>
      <c r="G858">
        <f t="shared" si="66"/>
        <v>2</v>
      </c>
      <c r="H858">
        <f t="shared" si="67"/>
        <v>0</v>
      </c>
      <c r="I858">
        <f t="shared" si="68"/>
        <v>0</v>
      </c>
      <c r="J858">
        <f t="shared" si="69"/>
        <v>0</v>
      </c>
    </row>
    <row r="859" spans="1:10" x14ac:dyDescent="0.3">
      <c r="A859" s="1">
        <v>41971</v>
      </c>
      <c r="B859" s="1">
        <v>41999</v>
      </c>
      <c r="C859">
        <v>13.82</v>
      </c>
      <c r="D859">
        <v>0.36</v>
      </c>
      <c r="E859">
        <v>3</v>
      </c>
      <c r="F859">
        <f t="shared" si="65"/>
        <v>0</v>
      </c>
      <c r="G859">
        <f t="shared" si="66"/>
        <v>28</v>
      </c>
      <c r="H859">
        <f t="shared" si="67"/>
        <v>0</v>
      </c>
      <c r="I859">
        <f t="shared" si="68"/>
        <v>0</v>
      </c>
      <c r="J859">
        <f t="shared" si="69"/>
        <v>0</v>
      </c>
    </row>
    <row r="860" spans="1:10" x14ac:dyDescent="0.3">
      <c r="A860" s="1">
        <v>41971</v>
      </c>
      <c r="B860" s="1">
        <v>41987</v>
      </c>
      <c r="C860">
        <v>4.66</v>
      </c>
      <c r="D860">
        <v>0.12</v>
      </c>
      <c r="E860">
        <v>4</v>
      </c>
      <c r="F860">
        <f t="shared" si="65"/>
        <v>0</v>
      </c>
      <c r="G860">
        <f t="shared" si="66"/>
        <v>0</v>
      </c>
      <c r="H860">
        <f t="shared" si="67"/>
        <v>16</v>
      </c>
      <c r="I860">
        <f t="shared" si="68"/>
        <v>0</v>
      </c>
      <c r="J860">
        <f t="shared" si="69"/>
        <v>0</v>
      </c>
    </row>
    <row r="861" spans="1:10" x14ac:dyDescent="0.3">
      <c r="A861" s="1">
        <v>41971</v>
      </c>
      <c r="B861" s="1">
        <v>41998</v>
      </c>
      <c r="C861">
        <v>6.58</v>
      </c>
      <c r="D861">
        <v>0.17</v>
      </c>
      <c r="E861">
        <v>6</v>
      </c>
      <c r="F861">
        <f t="shared" si="65"/>
        <v>0</v>
      </c>
      <c r="G861">
        <f t="shared" si="66"/>
        <v>0</v>
      </c>
      <c r="H861">
        <f t="shared" si="67"/>
        <v>0</v>
      </c>
      <c r="I861">
        <f t="shared" si="68"/>
        <v>0</v>
      </c>
      <c r="J861">
        <f t="shared" si="69"/>
        <v>27</v>
      </c>
    </row>
    <row r="862" spans="1:10" x14ac:dyDescent="0.3">
      <c r="A862" s="1">
        <v>41971</v>
      </c>
      <c r="B862" s="1">
        <v>41987</v>
      </c>
      <c r="C862">
        <v>5.23</v>
      </c>
      <c r="D862">
        <v>0.14000000000000001</v>
      </c>
      <c r="E862">
        <v>2</v>
      </c>
      <c r="F862">
        <f t="shared" si="65"/>
        <v>16</v>
      </c>
      <c r="G862">
        <f t="shared" si="66"/>
        <v>0</v>
      </c>
      <c r="H862">
        <f t="shared" si="67"/>
        <v>0</v>
      </c>
      <c r="I862">
        <f t="shared" si="68"/>
        <v>0</v>
      </c>
      <c r="J862">
        <f t="shared" si="69"/>
        <v>0</v>
      </c>
    </row>
    <row r="863" spans="1:10" x14ac:dyDescent="0.3">
      <c r="A863" s="1">
        <v>41971</v>
      </c>
      <c r="B863" s="1">
        <v>41999</v>
      </c>
      <c r="C863">
        <v>14</v>
      </c>
      <c r="D863">
        <v>0.37</v>
      </c>
      <c r="E863">
        <v>6</v>
      </c>
      <c r="F863">
        <f t="shared" si="65"/>
        <v>0</v>
      </c>
      <c r="G863">
        <f t="shared" si="66"/>
        <v>0</v>
      </c>
      <c r="H863">
        <f t="shared" si="67"/>
        <v>0</v>
      </c>
      <c r="I863">
        <f t="shared" si="68"/>
        <v>0</v>
      </c>
      <c r="J863">
        <f t="shared" si="69"/>
        <v>28</v>
      </c>
    </row>
    <row r="864" spans="1:10" x14ac:dyDescent="0.3">
      <c r="A864" s="1">
        <v>41971</v>
      </c>
      <c r="B864" s="1">
        <v>41993</v>
      </c>
      <c r="C864">
        <v>8.65</v>
      </c>
      <c r="D864">
        <v>0.23</v>
      </c>
      <c r="E864">
        <v>2</v>
      </c>
      <c r="F864">
        <f t="shared" si="65"/>
        <v>22</v>
      </c>
      <c r="G864">
        <f t="shared" si="66"/>
        <v>0</v>
      </c>
      <c r="H864">
        <f t="shared" si="67"/>
        <v>0</v>
      </c>
      <c r="I864">
        <f t="shared" si="68"/>
        <v>0</v>
      </c>
      <c r="J864">
        <f t="shared" si="69"/>
        <v>0</v>
      </c>
    </row>
    <row r="865" spans="1:10" x14ac:dyDescent="0.3">
      <c r="A865" s="1">
        <v>41971</v>
      </c>
      <c r="B865" s="1">
        <v>41988</v>
      </c>
      <c r="C865">
        <v>19.54</v>
      </c>
      <c r="D865">
        <v>0.51</v>
      </c>
      <c r="E865">
        <v>6</v>
      </c>
      <c r="F865">
        <f t="shared" si="65"/>
        <v>0</v>
      </c>
      <c r="G865">
        <f t="shared" si="66"/>
        <v>0</v>
      </c>
      <c r="H865">
        <f t="shared" si="67"/>
        <v>0</v>
      </c>
      <c r="I865">
        <f t="shared" si="68"/>
        <v>0</v>
      </c>
      <c r="J865">
        <f t="shared" si="69"/>
        <v>17</v>
      </c>
    </row>
    <row r="866" spans="1:10" x14ac:dyDescent="0.3">
      <c r="A866" s="1">
        <v>41971</v>
      </c>
      <c r="B866" s="1">
        <v>41994</v>
      </c>
      <c r="C866">
        <v>8.83</v>
      </c>
      <c r="D866">
        <v>0.23</v>
      </c>
      <c r="E866">
        <v>2</v>
      </c>
      <c r="F866">
        <f t="shared" si="65"/>
        <v>23</v>
      </c>
      <c r="G866">
        <f t="shared" si="66"/>
        <v>0</v>
      </c>
      <c r="H866">
        <f t="shared" si="67"/>
        <v>0</v>
      </c>
      <c r="I866">
        <f t="shared" si="68"/>
        <v>0</v>
      </c>
      <c r="J866">
        <f t="shared" si="69"/>
        <v>0</v>
      </c>
    </row>
    <row r="867" spans="1:10" x14ac:dyDescent="0.3">
      <c r="A867" s="1">
        <v>41971</v>
      </c>
      <c r="B867" s="1">
        <v>41994</v>
      </c>
      <c r="C867">
        <v>5.64</v>
      </c>
      <c r="D867">
        <v>0.15</v>
      </c>
      <c r="E867">
        <v>3</v>
      </c>
      <c r="F867">
        <f t="shared" si="65"/>
        <v>0</v>
      </c>
      <c r="G867">
        <f t="shared" si="66"/>
        <v>23</v>
      </c>
      <c r="H867">
        <f t="shared" si="67"/>
        <v>0</v>
      </c>
      <c r="I867">
        <f t="shared" si="68"/>
        <v>0</v>
      </c>
      <c r="J867">
        <f t="shared" si="69"/>
        <v>0</v>
      </c>
    </row>
    <row r="868" spans="1:10" x14ac:dyDescent="0.3">
      <c r="A868" s="1">
        <v>41971</v>
      </c>
      <c r="B868" s="1">
        <v>41995</v>
      </c>
      <c r="C868">
        <v>8.89</v>
      </c>
      <c r="D868">
        <v>0.23</v>
      </c>
      <c r="E868">
        <v>4</v>
      </c>
      <c r="F868">
        <f t="shared" si="65"/>
        <v>0</v>
      </c>
      <c r="G868">
        <f t="shared" si="66"/>
        <v>0</v>
      </c>
      <c r="H868">
        <f t="shared" si="67"/>
        <v>24</v>
      </c>
      <c r="I868">
        <f t="shared" si="68"/>
        <v>0</v>
      </c>
      <c r="J868">
        <f t="shared" si="69"/>
        <v>0</v>
      </c>
    </row>
    <row r="869" spans="1:10" x14ac:dyDescent="0.3">
      <c r="A869" s="1">
        <v>41971</v>
      </c>
      <c r="B869" s="1">
        <v>41981</v>
      </c>
      <c r="C869">
        <v>16.829999999999998</v>
      </c>
      <c r="D869">
        <v>0.44</v>
      </c>
      <c r="E869">
        <v>2</v>
      </c>
      <c r="F869">
        <f t="shared" si="65"/>
        <v>10</v>
      </c>
      <c r="G869">
        <f t="shared" si="66"/>
        <v>0</v>
      </c>
      <c r="H869">
        <f t="shared" si="67"/>
        <v>0</v>
      </c>
      <c r="I869">
        <f t="shared" si="68"/>
        <v>0</v>
      </c>
      <c r="J869">
        <f t="shared" si="69"/>
        <v>0</v>
      </c>
    </row>
    <row r="870" spans="1:10" x14ac:dyDescent="0.3">
      <c r="A870" s="1">
        <v>41971</v>
      </c>
      <c r="B870" s="1">
        <v>41982</v>
      </c>
      <c r="C870">
        <v>11.42</v>
      </c>
      <c r="D870">
        <v>0.3</v>
      </c>
      <c r="E870">
        <v>2</v>
      </c>
      <c r="F870">
        <f t="shared" si="65"/>
        <v>11</v>
      </c>
      <c r="G870">
        <f t="shared" si="66"/>
        <v>0</v>
      </c>
      <c r="H870">
        <f t="shared" si="67"/>
        <v>0</v>
      </c>
      <c r="I870">
        <f t="shared" si="68"/>
        <v>0</v>
      </c>
      <c r="J870">
        <f t="shared" si="69"/>
        <v>0</v>
      </c>
    </row>
    <row r="871" spans="1:10" x14ac:dyDescent="0.3">
      <c r="A871" s="1">
        <v>41972</v>
      </c>
      <c r="B871" s="1">
        <v>41979</v>
      </c>
      <c r="C871">
        <v>5.64</v>
      </c>
      <c r="D871">
        <v>0.15</v>
      </c>
      <c r="E871">
        <v>3</v>
      </c>
      <c r="F871">
        <f t="shared" si="65"/>
        <v>0</v>
      </c>
      <c r="G871">
        <f t="shared" si="66"/>
        <v>7</v>
      </c>
      <c r="H871">
        <f t="shared" si="67"/>
        <v>0</v>
      </c>
      <c r="I871">
        <f t="shared" si="68"/>
        <v>0</v>
      </c>
      <c r="J871">
        <f t="shared" si="69"/>
        <v>0</v>
      </c>
    </row>
    <row r="872" spans="1:10" x14ac:dyDescent="0.3">
      <c r="A872" s="1">
        <v>41974</v>
      </c>
      <c r="B872" s="1">
        <v>41985</v>
      </c>
      <c r="C872">
        <v>8.7200000000000006</v>
      </c>
      <c r="D872">
        <v>0.23</v>
      </c>
      <c r="E872">
        <v>6</v>
      </c>
      <c r="F872">
        <f t="shared" si="65"/>
        <v>0</v>
      </c>
      <c r="G872">
        <f t="shared" si="66"/>
        <v>0</v>
      </c>
      <c r="H872">
        <f t="shared" si="67"/>
        <v>0</v>
      </c>
      <c r="I872">
        <f t="shared" si="68"/>
        <v>0</v>
      </c>
      <c r="J872">
        <f t="shared" si="69"/>
        <v>11</v>
      </c>
    </row>
    <row r="873" spans="1:10" x14ac:dyDescent="0.3">
      <c r="A873" s="1">
        <v>41974</v>
      </c>
      <c r="B873" s="1">
        <v>41994</v>
      </c>
      <c r="C873">
        <v>5.67</v>
      </c>
      <c r="D873">
        <v>0.15</v>
      </c>
      <c r="E873">
        <v>5</v>
      </c>
      <c r="F873">
        <f t="shared" si="65"/>
        <v>0</v>
      </c>
      <c r="G873">
        <f t="shared" si="66"/>
        <v>0</v>
      </c>
      <c r="H873">
        <f t="shared" si="67"/>
        <v>0</v>
      </c>
      <c r="I873">
        <f t="shared" si="68"/>
        <v>20</v>
      </c>
      <c r="J873">
        <f t="shared" si="69"/>
        <v>0</v>
      </c>
    </row>
    <row r="874" spans="1:10" x14ac:dyDescent="0.3">
      <c r="A874" s="1">
        <v>41974</v>
      </c>
      <c r="B874" s="1">
        <v>41995</v>
      </c>
      <c r="C874">
        <v>3.88</v>
      </c>
      <c r="D874">
        <v>0.1</v>
      </c>
      <c r="E874">
        <v>5</v>
      </c>
      <c r="F874">
        <f t="shared" si="65"/>
        <v>0</v>
      </c>
      <c r="G874">
        <f t="shared" si="66"/>
        <v>0</v>
      </c>
      <c r="H874">
        <f t="shared" si="67"/>
        <v>0</v>
      </c>
      <c r="I874">
        <f t="shared" si="68"/>
        <v>21</v>
      </c>
      <c r="J874">
        <f t="shared" si="69"/>
        <v>0</v>
      </c>
    </row>
    <row r="875" spans="1:10" x14ac:dyDescent="0.3">
      <c r="A875" s="1">
        <v>41974</v>
      </c>
      <c r="B875" s="1">
        <v>41989</v>
      </c>
      <c r="C875">
        <v>6.58</v>
      </c>
      <c r="D875">
        <v>0.17</v>
      </c>
      <c r="E875">
        <v>5</v>
      </c>
      <c r="F875">
        <f t="shared" si="65"/>
        <v>0</v>
      </c>
      <c r="G875">
        <f t="shared" si="66"/>
        <v>0</v>
      </c>
      <c r="H875">
        <f t="shared" si="67"/>
        <v>0</v>
      </c>
      <c r="I875">
        <f t="shared" si="68"/>
        <v>15</v>
      </c>
      <c r="J875">
        <f t="shared" si="69"/>
        <v>0</v>
      </c>
    </row>
    <row r="876" spans="1:10" x14ac:dyDescent="0.3">
      <c r="A876" s="1">
        <v>41974</v>
      </c>
      <c r="B876" s="1">
        <v>41994</v>
      </c>
      <c r="C876">
        <v>5.67</v>
      </c>
      <c r="D876">
        <v>0.15</v>
      </c>
      <c r="E876">
        <v>2</v>
      </c>
      <c r="F876">
        <f t="shared" si="65"/>
        <v>20</v>
      </c>
      <c r="G876">
        <f t="shared" si="66"/>
        <v>0</v>
      </c>
      <c r="H876">
        <f t="shared" si="67"/>
        <v>0</v>
      </c>
      <c r="I876">
        <f t="shared" si="68"/>
        <v>0</v>
      </c>
      <c r="J876">
        <f t="shared" si="69"/>
        <v>0</v>
      </c>
    </row>
    <row r="877" spans="1:10" x14ac:dyDescent="0.3">
      <c r="A877" s="1">
        <v>41974</v>
      </c>
      <c r="B877" s="1">
        <v>41994</v>
      </c>
      <c r="C877">
        <v>6.34</v>
      </c>
      <c r="D877">
        <v>0.17</v>
      </c>
      <c r="E877">
        <v>6</v>
      </c>
      <c r="F877">
        <f t="shared" si="65"/>
        <v>0</v>
      </c>
      <c r="G877">
        <f t="shared" si="66"/>
        <v>0</v>
      </c>
      <c r="H877">
        <f t="shared" si="67"/>
        <v>0</v>
      </c>
      <c r="I877">
        <f t="shared" si="68"/>
        <v>0</v>
      </c>
      <c r="J877">
        <f t="shared" si="69"/>
        <v>20</v>
      </c>
    </row>
    <row r="878" spans="1:10" x14ac:dyDescent="0.3">
      <c r="A878" s="1">
        <v>41974</v>
      </c>
      <c r="B878" s="1">
        <v>41985</v>
      </c>
      <c r="C878">
        <v>6.58</v>
      </c>
      <c r="D878">
        <v>0.17</v>
      </c>
      <c r="E878">
        <v>6</v>
      </c>
      <c r="F878">
        <f t="shared" si="65"/>
        <v>0</v>
      </c>
      <c r="G878">
        <f t="shared" si="66"/>
        <v>0</v>
      </c>
      <c r="H878">
        <f t="shared" si="67"/>
        <v>0</v>
      </c>
      <c r="I878">
        <f t="shared" si="68"/>
        <v>0</v>
      </c>
      <c r="J878">
        <f t="shared" si="69"/>
        <v>11</v>
      </c>
    </row>
    <row r="879" spans="1:10" x14ac:dyDescent="0.3">
      <c r="A879" s="1">
        <v>41975</v>
      </c>
      <c r="B879" s="1">
        <v>41977</v>
      </c>
      <c r="C879">
        <v>5.67</v>
      </c>
      <c r="D879">
        <v>0.15</v>
      </c>
      <c r="E879">
        <v>3</v>
      </c>
      <c r="F879">
        <f t="shared" si="65"/>
        <v>0</v>
      </c>
      <c r="G879">
        <f t="shared" si="66"/>
        <v>2</v>
      </c>
      <c r="H879">
        <f t="shared" si="67"/>
        <v>0</v>
      </c>
      <c r="I879">
        <f t="shared" si="68"/>
        <v>0</v>
      </c>
      <c r="J879">
        <f t="shared" si="69"/>
        <v>0</v>
      </c>
    </row>
    <row r="880" spans="1:10" x14ac:dyDescent="0.3">
      <c r="A880" s="1">
        <v>41975</v>
      </c>
      <c r="B880" s="1">
        <v>41981</v>
      </c>
      <c r="C880">
        <v>4.25</v>
      </c>
      <c r="D880">
        <v>0.11</v>
      </c>
      <c r="E880">
        <v>3</v>
      </c>
      <c r="F880">
        <f t="shared" si="65"/>
        <v>0</v>
      </c>
      <c r="G880">
        <f t="shared" si="66"/>
        <v>6</v>
      </c>
      <c r="H880">
        <f t="shared" si="67"/>
        <v>0</v>
      </c>
      <c r="I880">
        <f t="shared" si="68"/>
        <v>0</v>
      </c>
      <c r="J880">
        <f t="shared" si="69"/>
        <v>0</v>
      </c>
    </row>
    <row r="881" spans="1:10" x14ac:dyDescent="0.3">
      <c r="A881" s="1">
        <v>41975</v>
      </c>
      <c r="B881" s="1">
        <v>41992</v>
      </c>
      <c r="C881">
        <v>8.84</v>
      </c>
      <c r="D881">
        <v>0.23</v>
      </c>
      <c r="E881">
        <v>3</v>
      </c>
      <c r="F881">
        <f t="shared" si="65"/>
        <v>0</v>
      </c>
      <c r="G881">
        <f t="shared" si="66"/>
        <v>17</v>
      </c>
      <c r="H881">
        <f t="shared" si="67"/>
        <v>0</v>
      </c>
      <c r="I881">
        <f t="shared" si="68"/>
        <v>0</v>
      </c>
      <c r="J881">
        <f t="shared" si="69"/>
        <v>0</v>
      </c>
    </row>
    <row r="882" spans="1:10" x14ac:dyDescent="0.3">
      <c r="A882" s="1">
        <v>41975</v>
      </c>
      <c r="B882" s="1">
        <v>41990</v>
      </c>
      <c r="C882">
        <v>3.57</v>
      </c>
      <c r="D882">
        <v>0.09</v>
      </c>
      <c r="E882">
        <v>5</v>
      </c>
      <c r="F882">
        <f t="shared" si="65"/>
        <v>0</v>
      </c>
      <c r="G882">
        <f t="shared" si="66"/>
        <v>0</v>
      </c>
      <c r="H882">
        <f t="shared" si="67"/>
        <v>0</v>
      </c>
      <c r="I882">
        <f t="shared" si="68"/>
        <v>15</v>
      </c>
      <c r="J882">
        <f t="shared" si="69"/>
        <v>0</v>
      </c>
    </row>
    <row r="883" spans="1:10" x14ac:dyDescent="0.3">
      <c r="A883" s="1">
        <v>41975</v>
      </c>
      <c r="B883" s="1">
        <v>41990</v>
      </c>
      <c r="C883">
        <v>2.0099999999999998</v>
      </c>
      <c r="D883">
        <v>0.05</v>
      </c>
      <c r="E883">
        <v>2</v>
      </c>
      <c r="F883">
        <f t="shared" si="65"/>
        <v>15</v>
      </c>
      <c r="G883">
        <f t="shared" si="66"/>
        <v>0</v>
      </c>
      <c r="H883">
        <f t="shared" si="67"/>
        <v>0</v>
      </c>
      <c r="I883">
        <f t="shared" si="68"/>
        <v>0</v>
      </c>
      <c r="J883">
        <f t="shared" si="69"/>
        <v>0</v>
      </c>
    </row>
    <row r="884" spans="1:10" x14ac:dyDescent="0.3">
      <c r="A884" s="1">
        <v>41975</v>
      </c>
      <c r="B884" s="1">
        <v>41992</v>
      </c>
      <c r="C884">
        <v>3.73</v>
      </c>
      <c r="D884">
        <v>0.1</v>
      </c>
      <c r="E884">
        <v>3</v>
      </c>
      <c r="F884">
        <f t="shared" si="65"/>
        <v>0</v>
      </c>
      <c r="G884">
        <f t="shared" si="66"/>
        <v>17</v>
      </c>
      <c r="H884">
        <f t="shared" si="67"/>
        <v>0</v>
      </c>
      <c r="I884">
        <f t="shared" si="68"/>
        <v>0</v>
      </c>
      <c r="J884">
        <f t="shared" si="69"/>
        <v>0</v>
      </c>
    </row>
    <row r="885" spans="1:10" x14ac:dyDescent="0.3">
      <c r="A885" s="1">
        <v>41976</v>
      </c>
      <c r="B885" s="1">
        <v>41978</v>
      </c>
      <c r="C885">
        <v>3.57</v>
      </c>
      <c r="D885">
        <v>0.09</v>
      </c>
      <c r="E885">
        <v>5</v>
      </c>
      <c r="F885">
        <f t="shared" si="65"/>
        <v>0</v>
      </c>
      <c r="G885">
        <f t="shared" si="66"/>
        <v>0</v>
      </c>
      <c r="H885">
        <f t="shared" si="67"/>
        <v>0</v>
      </c>
      <c r="I885">
        <f t="shared" si="68"/>
        <v>2</v>
      </c>
      <c r="J885">
        <f t="shared" si="69"/>
        <v>0</v>
      </c>
    </row>
    <row r="886" spans="1:10" x14ac:dyDescent="0.3">
      <c r="A886" s="1">
        <v>41977</v>
      </c>
      <c r="B886" s="1">
        <v>41993</v>
      </c>
      <c r="C886">
        <v>6.58</v>
      </c>
      <c r="D886">
        <v>0.17</v>
      </c>
      <c r="E886">
        <v>4</v>
      </c>
      <c r="F886">
        <f t="shared" si="65"/>
        <v>0</v>
      </c>
      <c r="G886">
        <f t="shared" si="66"/>
        <v>0</v>
      </c>
      <c r="H886">
        <f t="shared" si="67"/>
        <v>16</v>
      </c>
      <c r="I886">
        <f t="shared" si="68"/>
        <v>0</v>
      </c>
      <c r="J886">
        <f t="shared" si="69"/>
        <v>0</v>
      </c>
    </row>
    <row r="887" spans="1:10" x14ac:dyDescent="0.3">
      <c r="A887" s="1">
        <v>41977</v>
      </c>
      <c r="B887" s="1">
        <v>42005</v>
      </c>
      <c r="C887">
        <v>5.64</v>
      </c>
      <c r="D887">
        <v>0.15</v>
      </c>
      <c r="E887">
        <v>6</v>
      </c>
      <c r="F887">
        <f t="shared" si="65"/>
        <v>0</v>
      </c>
      <c r="G887">
        <f t="shared" si="66"/>
        <v>0</v>
      </c>
      <c r="H887">
        <f t="shared" si="67"/>
        <v>0</v>
      </c>
      <c r="I887">
        <f t="shared" si="68"/>
        <v>0</v>
      </c>
      <c r="J887">
        <f t="shared" si="69"/>
        <v>28</v>
      </c>
    </row>
    <row r="888" spans="1:10" x14ac:dyDescent="0.3">
      <c r="A888" s="1">
        <v>41977</v>
      </c>
      <c r="B888" s="1">
        <v>41989</v>
      </c>
      <c r="C888">
        <v>3.88</v>
      </c>
      <c r="D888">
        <v>0.1</v>
      </c>
      <c r="E888">
        <v>2</v>
      </c>
      <c r="F888">
        <f t="shared" si="65"/>
        <v>12</v>
      </c>
      <c r="G888">
        <f t="shared" si="66"/>
        <v>0</v>
      </c>
      <c r="H888">
        <f t="shared" si="67"/>
        <v>0</v>
      </c>
      <c r="I888">
        <f t="shared" si="68"/>
        <v>0</v>
      </c>
      <c r="J888">
        <f t="shared" si="69"/>
        <v>0</v>
      </c>
    </row>
    <row r="889" spans="1:10" x14ac:dyDescent="0.3">
      <c r="A889" s="1">
        <v>41977</v>
      </c>
      <c r="B889" s="1">
        <v>42000</v>
      </c>
      <c r="C889">
        <v>3.79</v>
      </c>
      <c r="D889">
        <v>0.1</v>
      </c>
      <c r="E889">
        <v>6</v>
      </c>
      <c r="F889">
        <f t="shared" si="65"/>
        <v>0</v>
      </c>
      <c r="G889">
        <f t="shared" si="66"/>
        <v>0</v>
      </c>
      <c r="H889">
        <f t="shared" si="67"/>
        <v>0</v>
      </c>
      <c r="I889">
        <f t="shared" si="68"/>
        <v>0</v>
      </c>
      <c r="J889">
        <f t="shared" si="69"/>
        <v>23</v>
      </c>
    </row>
    <row r="890" spans="1:10" x14ac:dyDescent="0.3">
      <c r="A890" s="1">
        <v>41977</v>
      </c>
      <c r="B890" s="1">
        <v>41984</v>
      </c>
      <c r="C890">
        <v>11.37</v>
      </c>
      <c r="D890">
        <v>0.3</v>
      </c>
      <c r="E890">
        <v>2</v>
      </c>
      <c r="F890">
        <f t="shared" si="65"/>
        <v>7</v>
      </c>
      <c r="G890">
        <f t="shared" si="66"/>
        <v>0</v>
      </c>
      <c r="H890">
        <f t="shared" si="67"/>
        <v>0</v>
      </c>
      <c r="I890">
        <f t="shared" si="68"/>
        <v>0</v>
      </c>
      <c r="J890">
        <f t="shared" si="69"/>
        <v>0</v>
      </c>
    </row>
    <row r="891" spans="1:10" x14ac:dyDescent="0.3">
      <c r="A891" s="1">
        <v>41977</v>
      </c>
      <c r="B891" s="1">
        <v>41994</v>
      </c>
      <c r="C891">
        <v>16.55</v>
      </c>
      <c r="D891">
        <v>0.44</v>
      </c>
      <c r="E891">
        <v>6</v>
      </c>
      <c r="F891">
        <f t="shared" si="65"/>
        <v>0</v>
      </c>
      <c r="G891">
        <f t="shared" si="66"/>
        <v>0</v>
      </c>
      <c r="H891">
        <f t="shared" si="67"/>
        <v>0</v>
      </c>
      <c r="I891">
        <f t="shared" si="68"/>
        <v>0</v>
      </c>
      <c r="J891">
        <f t="shared" si="69"/>
        <v>17</v>
      </c>
    </row>
    <row r="892" spans="1:10" x14ac:dyDescent="0.3">
      <c r="A892" s="1">
        <v>41977</v>
      </c>
      <c r="B892" s="1">
        <v>42001</v>
      </c>
      <c r="C892">
        <v>6.88</v>
      </c>
      <c r="D892">
        <v>0.18</v>
      </c>
      <c r="E892">
        <v>4</v>
      </c>
      <c r="F892">
        <f t="shared" si="65"/>
        <v>0</v>
      </c>
      <c r="G892">
        <f t="shared" si="66"/>
        <v>0</v>
      </c>
      <c r="H892">
        <f t="shared" si="67"/>
        <v>24</v>
      </c>
      <c r="I892">
        <f t="shared" si="68"/>
        <v>0</v>
      </c>
      <c r="J892">
        <f t="shared" si="69"/>
        <v>0</v>
      </c>
    </row>
    <row r="893" spans="1:10" x14ac:dyDescent="0.3">
      <c r="A893" s="1">
        <v>41982</v>
      </c>
      <c r="B893" s="1">
        <v>42001</v>
      </c>
      <c r="C893">
        <v>5.64</v>
      </c>
      <c r="D893">
        <v>0.15</v>
      </c>
      <c r="E893">
        <v>4</v>
      </c>
      <c r="F893">
        <f t="shared" si="65"/>
        <v>0</v>
      </c>
      <c r="G893">
        <f t="shared" si="66"/>
        <v>0</v>
      </c>
      <c r="H893">
        <f t="shared" si="67"/>
        <v>19</v>
      </c>
      <c r="I893">
        <f t="shared" si="68"/>
        <v>0</v>
      </c>
      <c r="J893">
        <f t="shared" si="69"/>
        <v>0</v>
      </c>
    </row>
    <row r="894" spans="1:10" x14ac:dyDescent="0.3">
      <c r="A894" s="1">
        <v>41982</v>
      </c>
      <c r="B894" s="1">
        <v>42004</v>
      </c>
      <c r="C894">
        <v>3.57</v>
      </c>
      <c r="D894">
        <v>0.09</v>
      </c>
      <c r="E894">
        <v>4</v>
      </c>
      <c r="F894">
        <f t="shared" si="65"/>
        <v>0</v>
      </c>
      <c r="G894">
        <f t="shared" si="66"/>
        <v>0</v>
      </c>
      <c r="H894">
        <f t="shared" si="67"/>
        <v>22</v>
      </c>
      <c r="I894">
        <f t="shared" si="68"/>
        <v>0</v>
      </c>
      <c r="J894">
        <f t="shared" si="69"/>
        <v>0</v>
      </c>
    </row>
    <row r="895" spans="1:10" x14ac:dyDescent="0.3">
      <c r="A895" s="1">
        <v>41982</v>
      </c>
      <c r="B895" s="1">
        <v>42007</v>
      </c>
      <c r="C895">
        <v>9.4600000000000009</v>
      </c>
      <c r="D895">
        <v>0.25</v>
      </c>
      <c r="E895">
        <v>6</v>
      </c>
      <c r="F895">
        <f t="shared" si="65"/>
        <v>0</v>
      </c>
      <c r="G895">
        <f t="shared" si="66"/>
        <v>0</v>
      </c>
      <c r="H895">
        <f t="shared" si="67"/>
        <v>0</v>
      </c>
      <c r="I895">
        <f t="shared" si="68"/>
        <v>0</v>
      </c>
      <c r="J895">
        <f t="shared" si="69"/>
        <v>25</v>
      </c>
    </row>
    <row r="896" spans="1:10" x14ac:dyDescent="0.3">
      <c r="A896" s="1">
        <v>41982</v>
      </c>
      <c r="B896" s="1">
        <v>41992</v>
      </c>
      <c r="C896">
        <v>4.25</v>
      </c>
      <c r="D896">
        <v>0.11</v>
      </c>
      <c r="E896">
        <v>5</v>
      </c>
      <c r="F896">
        <f t="shared" si="65"/>
        <v>0</v>
      </c>
      <c r="G896">
        <f t="shared" si="66"/>
        <v>0</v>
      </c>
      <c r="H896">
        <f t="shared" si="67"/>
        <v>0</v>
      </c>
      <c r="I896">
        <f t="shared" si="68"/>
        <v>10</v>
      </c>
      <c r="J896">
        <f t="shared" si="69"/>
        <v>0</v>
      </c>
    </row>
    <row r="897" spans="1:10" x14ac:dyDescent="0.3">
      <c r="A897" s="1">
        <v>41982</v>
      </c>
      <c r="B897" s="1">
        <v>41988</v>
      </c>
      <c r="C897">
        <v>5.67</v>
      </c>
      <c r="D897">
        <v>0.15</v>
      </c>
      <c r="E897">
        <v>5</v>
      </c>
      <c r="F897">
        <f t="shared" si="65"/>
        <v>0</v>
      </c>
      <c r="G897">
        <f t="shared" si="66"/>
        <v>0</v>
      </c>
      <c r="H897">
        <f t="shared" si="67"/>
        <v>0</v>
      </c>
      <c r="I897">
        <f t="shared" si="68"/>
        <v>6</v>
      </c>
      <c r="J897">
        <f t="shared" si="69"/>
        <v>0</v>
      </c>
    </row>
    <row r="898" spans="1:10" x14ac:dyDescent="0.3">
      <c r="A898" s="1">
        <v>41982</v>
      </c>
      <c r="B898" s="1">
        <v>41999</v>
      </c>
      <c r="C898">
        <v>6.34</v>
      </c>
      <c r="D898">
        <v>0.17</v>
      </c>
      <c r="E898">
        <v>2</v>
      </c>
      <c r="F898">
        <f t="shared" si="65"/>
        <v>17</v>
      </c>
      <c r="G898">
        <f t="shared" si="66"/>
        <v>0</v>
      </c>
      <c r="H898">
        <f t="shared" si="67"/>
        <v>0</v>
      </c>
      <c r="I898">
        <f t="shared" si="68"/>
        <v>0</v>
      </c>
      <c r="J898">
        <f t="shared" si="69"/>
        <v>0</v>
      </c>
    </row>
    <row r="899" spans="1:10" x14ac:dyDescent="0.3">
      <c r="A899" s="1">
        <v>41982</v>
      </c>
      <c r="B899" s="1">
        <v>41991</v>
      </c>
      <c r="C899">
        <v>14.13</v>
      </c>
      <c r="D899">
        <v>0.37</v>
      </c>
      <c r="E899">
        <v>6</v>
      </c>
      <c r="F899">
        <f t="shared" ref="F899:F962" si="70">IF(EXACT(E899,2),B899-A899,0)</f>
        <v>0</v>
      </c>
      <c r="G899">
        <f t="shared" ref="G899:G962" si="71">IF(EXACT(E899,3),B899-A899,0)</f>
        <v>0</v>
      </c>
      <c r="H899">
        <f t="shared" ref="H899:H962" si="72">IF(EXACT(E899,4),B899-A899,0)</f>
        <v>0</v>
      </c>
      <c r="I899">
        <f t="shared" ref="I899:I962" si="73">IF(EXACT(E899,5),B899-A899,0)</f>
        <v>0</v>
      </c>
      <c r="J899">
        <f t="shared" ref="J899:J962" si="74">IF(EXACT(E899,6),B899-A899,0)</f>
        <v>9</v>
      </c>
    </row>
    <row r="900" spans="1:10" x14ac:dyDescent="0.3">
      <c r="A900" s="1">
        <v>41982</v>
      </c>
      <c r="B900" s="1">
        <v>42007</v>
      </c>
      <c r="C900">
        <v>8.83</v>
      </c>
      <c r="D900">
        <v>0.23</v>
      </c>
      <c r="E900">
        <v>5</v>
      </c>
      <c r="F900">
        <f t="shared" si="70"/>
        <v>0</v>
      </c>
      <c r="G900">
        <f t="shared" si="71"/>
        <v>0</v>
      </c>
      <c r="H900">
        <f t="shared" si="72"/>
        <v>0</v>
      </c>
      <c r="I900">
        <f t="shared" si="73"/>
        <v>25</v>
      </c>
      <c r="J900">
        <f t="shared" si="74"/>
        <v>0</v>
      </c>
    </row>
    <row r="901" spans="1:10" x14ac:dyDescent="0.3">
      <c r="A901" s="1">
        <v>41982</v>
      </c>
      <c r="B901" s="1">
        <v>42003</v>
      </c>
      <c r="C901">
        <v>7.31</v>
      </c>
      <c r="D901">
        <v>0.19</v>
      </c>
      <c r="E901">
        <v>2</v>
      </c>
      <c r="F901">
        <f t="shared" si="70"/>
        <v>21</v>
      </c>
      <c r="G901">
        <f t="shared" si="71"/>
        <v>0</v>
      </c>
      <c r="H901">
        <f t="shared" si="72"/>
        <v>0</v>
      </c>
      <c r="I901">
        <f t="shared" si="73"/>
        <v>0</v>
      </c>
      <c r="J901">
        <f t="shared" si="74"/>
        <v>0</v>
      </c>
    </row>
    <row r="902" spans="1:10" x14ac:dyDescent="0.3">
      <c r="A902" s="1">
        <v>41982</v>
      </c>
      <c r="B902" s="1">
        <v>41997</v>
      </c>
      <c r="C902">
        <v>9.74</v>
      </c>
      <c r="D902">
        <v>0.26</v>
      </c>
      <c r="E902">
        <v>6</v>
      </c>
      <c r="F902">
        <f t="shared" si="70"/>
        <v>0</v>
      </c>
      <c r="G902">
        <f t="shared" si="71"/>
        <v>0</v>
      </c>
      <c r="H902">
        <f t="shared" si="72"/>
        <v>0</v>
      </c>
      <c r="I902">
        <f t="shared" si="73"/>
        <v>0</v>
      </c>
      <c r="J902">
        <f t="shared" si="74"/>
        <v>15</v>
      </c>
    </row>
    <row r="903" spans="1:10" x14ac:dyDescent="0.3">
      <c r="A903" s="1">
        <v>41982</v>
      </c>
      <c r="B903" s="1">
        <v>42006</v>
      </c>
      <c r="C903">
        <v>11.42</v>
      </c>
      <c r="D903">
        <v>0.3</v>
      </c>
      <c r="E903">
        <v>4</v>
      </c>
      <c r="F903">
        <f t="shared" si="70"/>
        <v>0</v>
      </c>
      <c r="G903">
        <f t="shared" si="71"/>
        <v>0</v>
      </c>
      <c r="H903">
        <f t="shared" si="72"/>
        <v>24</v>
      </c>
      <c r="I903">
        <f t="shared" si="73"/>
        <v>0</v>
      </c>
      <c r="J903">
        <f t="shared" si="74"/>
        <v>0</v>
      </c>
    </row>
    <row r="904" spans="1:10" x14ac:dyDescent="0.3">
      <c r="A904" s="1">
        <v>41982</v>
      </c>
      <c r="B904" s="1">
        <v>41995</v>
      </c>
      <c r="C904">
        <v>11.44</v>
      </c>
      <c r="D904">
        <v>0.3</v>
      </c>
      <c r="E904">
        <v>4</v>
      </c>
      <c r="F904">
        <f t="shared" si="70"/>
        <v>0</v>
      </c>
      <c r="G904">
        <f t="shared" si="71"/>
        <v>0</v>
      </c>
      <c r="H904">
        <f t="shared" si="72"/>
        <v>13</v>
      </c>
      <c r="I904">
        <f t="shared" si="73"/>
        <v>0</v>
      </c>
      <c r="J904">
        <f t="shared" si="74"/>
        <v>0</v>
      </c>
    </row>
    <row r="905" spans="1:10" x14ac:dyDescent="0.3">
      <c r="A905" s="1">
        <v>41982</v>
      </c>
      <c r="B905" s="1">
        <v>41988</v>
      </c>
      <c r="C905">
        <v>7.35</v>
      </c>
      <c r="D905">
        <v>0.19</v>
      </c>
      <c r="E905">
        <v>3</v>
      </c>
      <c r="F905">
        <f t="shared" si="70"/>
        <v>0</v>
      </c>
      <c r="G905">
        <f t="shared" si="71"/>
        <v>6</v>
      </c>
      <c r="H905">
        <f t="shared" si="72"/>
        <v>0</v>
      </c>
      <c r="I905">
        <f t="shared" si="73"/>
        <v>0</v>
      </c>
      <c r="J905">
        <f t="shared" si="74"/>
        <v>0</v>
      </c>
    </row>
    <row r="906" spans="1:10" x14ac:dyDescent="0.3">
      <c r="A906" s="1">
        <v>41982</v>
      </c>
      <c r="B906" s="1">
        <v>41993</v>
      </c>
      <c r="C906">
        <v>7.3</v>
      </c>
      <c r="D906">
        <v>0.19</v>
      </c>
      <c r="E906">
        <v>2</v>
      </c>
      <c r="F906">
        <f t="shared" si="70"/>
        <v>11</v>
      </c>
      <c r="G906">
        <f t="shared" si="71"/>
        <v>0</v>
      </c>
      <c r="H906">
        <f t="shared" si="72"/>
        <v>0</v>
      </c>
      <c r="I906">
        <f t="shared" si="73"/>
        <v>0</v>
      </c>
      <c r="J906">
        <f t="shared" si="74"/>
        <v>0</v>
      </c>
    </row>
    <row r="907" spans="1:10" x14ac:dyDescent="0.3">
      <c r="A907" s="1">
        <v>41982</v>
      </c>
      <c r="B907" s="1">
        <v>41989</v>
      </c>
      <c r="C907">
        <v>8.65</v>
      </c>
      <c r="D907">
        <v>0.23</v>
      </c>
      <c r="E907">
        <v>4</v>
      </c>
      <c r="F907">
        <f t="shared" si="70"/>
        <v>0</v>
      </c>
      <c r="G907">
        <f t="shared" si="71"/>
        <v>0</v>
      </c>
      <c r="H907">
        <f t="shared" si="72"/>
        <v>7</v>
      </c>
      <c r="I907">
        <f t="shared" si="73"/>
        <v>0</v>
      </c>
      <c r="J907">
        <f t="shared" si="74"/>
        <v>0</v>
      </c>
    </row>
    <row r="908" spans="1:10" x14ac:dyDescent="0.3">
      <c r="A908" s="1">
        <v>41982</v>
      </c>
      <c r="B908" s="1">
        <v>41991</v>
      </c>
      <c r="C908">
        <v>8.39</v>
      </c>
      <c r="D908">
        <v>0.22</v>
      </c>
      <c r="E908">
        <v>2</v>
      </c>
      <c r="F908">
        <f t="shared" si="70"/>
        <v>9</v>
      </c>
      <c r="G908">
        <f t="shared" si="71"/>
        <v>0</v>
      </c>
      <c r="H908">
        <f t="shared" si="72"/>
        <v>0</v>
      </c>
      <c r="I908">
        <f t="shared" si="73"/>
        <v>0</v>
      </c>
      <c r="J908">
        <f t="shared" si="74"/>
        <v>0</v>
      </c>
    </row>
    <row r="909" spans="1:10" x14ac:dyDescent="0.3">
      <c r="A909" s="1">
        <v>41982</v>
      </c>
      <c r="B909" s="1">
        <v>41993</v>
      </c>
      <c r="C909">
        <v>11.42</v>
      </c>
      <c r="D909">
        <v>0.3</v>
      </c>
      <c r="E909">
        <v>3</v>
      </c>
      <c r="F909">
        <f t="shared" si="70"/>
        <v>0</v>
      </c>
      <c r="G909">
        <f t="shared" si="71"/>
        <v>11</v>
      </c>
      <c r="H909">
        <f t="shared" si="72"/>
        <v>0</v>
      </c>
      <c r="I909">
        <f t="shared" si="73"/>
        <v>0</v>
      </c>
      <c r="J909">
        <f t="shared" si="74"/>
        <v>0</v>
      </c>
    </row>
    <row r="910" spans="1:10" x14ac:dyDescent="0.3">
      <c r="A910" s="1">
        <v>41982</v>
      </c>
      <c r="B910" s="1">
        <v>41994</v>
      </c>
      <c r="C910">
        <v>9.74</v>
      </c>
      <c r="D910">
        <v>0.26</v>
      </c>
      <c r="E910">
        <v>2</v>
      </c>
      <c r="F910">
        <f t="shared" si="70"/>
        <v>12</v>
      </c>
      <c r="G910">
        <f t="shared" si="71"/>
        <v>0</v>
      </c>
      <c r="H910">
        <f t="shared" si="72"/>
        <v>0</v>
      </c>
      <c r="I910">
        <f t="shared" si="73"/>
        <v>0</v>
      </c>
      <c r="J910">
        <f t="shared" si="74"/>
        <v>0</v>
      </c>
    </row>
    <row r="911" spans="1:10" x14ac:dyDescent="0.3">
      <c r="A911" s="1">
        <v>41982</v>
      </c>
      <c r="B911" s="1">
        <v>42002</v>
      </c>
      <c r="C911">
        <v>13.07</v>
      </c>
      <c r="D911">
        <v>0.34</v>
      </c>
      <c r="E911">
        <v>2</v>
      </c>
      <c r="F911">
        <f t="shared" si="70"/>
        <v>20</v>
      </c>
      <c r="G911">
        <f t="shared" si="71"/>
        <v>0</v>
      </c>
      <c r="H911">
        <f t="shared" si="72"/>
        <v>0</v>
      </c>
      <c r="I911">
        <f t="shared" si="73"/>
        <v>0</v>
      </c>
      <c r="J911">
        <f t="shared" si="74"/>
        <v>0</v>
      </c>
    </row>
    <row r="912" spans="1:10" x14ac:dyDescent="0.3">
      <c r="A912" s="1">
        <v>41982</v>
      </c>
      <c r="B912" s="1">
        <v>42006</v>
      </c>
      <c r="C912">
        <v>6.75</v>
      </c>
      <c r="D912">
        <v>0.18</v>
      </c>
      <c r="E912">
        <v>4</v>
      </c>
      <c r="F912">
        <f t="shared" si="70"/>
        <v>0</v>
      </c>
      <c r="G912">
        <f t="shared" si="71"/>
        <v>0</v>
      </c>
      <c r="H912">
        <f t="shared" si="72"/>
        <v>24</v>
      </c>
      <c r="I912">
        <f t="shared" si="73"/>
        <v>0</v>
      </c>
      <c r="J912">
        <f t="shared" si="74"/>
        <v>0</v>
      </c>
    </row>
    <row r="913" spans="1:10" x14ac:dyDescent="0.3">
      <c r="A913" s="1">
        <v>41982</v>
      </c>
      <c r="B913" s="1">
        <v>42010</v>
      </c>
      <c r="C913">
        <v>6.75</v>
      </c>
      <c r="D913">
        <v>0.18</v>
      </c>
      <c r="E913">
        <v>2</v>
      </c>
      <c r="F913">
        <f t="shared" si="70"/>
        <v>28</v>
      </c>
      <c r="G913">
        <f t="shared" si="71"/>
        <v>0</v>
      </c>
      <c r="H913">
        <f t="shared" si="72"/>
        <v>0</v>
      </c>
      <c r="I913">
        <f t="shared" si="73"/>
        <v>0</v>
      </c>
      <c r="J913">
        <f t="shared" si="74"/>
        <v>0</v>
      </c>
    </row>
    <row r="914" spans="1:10" x14ac:dyDescent="0.3">
      <c r="A914" s="1">
        <v>41983</v>
      </c>
      <c r="B914" s="1">
        <v>41990</v>
      </c>
      <c r="C914">
        <v>9.06</v>
      </c>
      <c r="D914">
        <v>0.24</v>
      </c>
      <c r="E914">
        <v>4</v>
      </c>
      <c r="F914">
        <f t="shared" si="70"/>
        <v>0</v>
      </c>
      <c r="G914">
        <f t="shared" si="71"/>
        <v>0</v>
      </c>
      <c r="H914">
        <f t="shared" si="72"/>
        <v>7</v>
      </c>
      <c r="I914">
        <f t="shared" si="73"/>
        <v>0</v>
      </c>
      <c r="J914">
        <f t="shared" si="74"/>
        <v>0</v>
      </c>
    </row>
    <row r="915" spans="1:10" x14ac:dyDescent="0.3">
      <c r="A915" s="1">
        <v>41983</v>
      </c>
      <c r="B915" s="1">
        <v>42004</v>
      </c>
      <c r="C915">
        <v>4.25</v>
      </c>
      <c r="D915">
        <v>0.11</v>
      </c>
      <c r="E915">
        <v>5</v>
      </c>
      <c r="F915">
        <f t="shared" si="70"/>
        <v>0</v>
      </c>
      <c r="G915">
        <f t="shared" si="71"/>
        <v>0</v>
      </c>
      <c r="H915">
        <f t="shared" si="72"/>
        <v>0</v>
      </c>
      <c r="I915">
        <f t="shared" si="73"/>
        <v>21</v>
      </c>
      <c r="J915">
        <f t="shared" si="74"/>
        <v>0</v>
      </c>
    </row>
    <row r="916" spans="1:10" x14ac:dyDescent="0.3">
      <c r="A916" s="1">
        <v>41983</v>
      </c>
      <c r="B916" s="1">
        <v>41993</v>
      </c>
      <c r="C916">
        <v>7.06</v>
      </c>
      <c r="D916">
        <v>0.19</v>
      </c>
      <c r="E916">
        <v>2</v>
      </c>
      <c r="F916">
        <f t="shared" si="70"/>
        <v>10</v>
      </c>
      <c r="G916">
        <f t="shared" si="71"/>
        <v>0</v>
      </c>
      <c r="H916">
        <f t="shared" si="72"/>
        <v>0</v>
      </c>
      <c r="I916">
        <f t="shared" si="73"/>
        <v>0</v>
      </c>
      <c r="J916">
        <f t="shared" si="74"/>
        <v>0</v>
      </c>
    </row>
    <row r="917" spans="1:10" x14ac:dyDescent="0.3">
      <c r="A917" s="1">
        <v>41983</v>
      </c>
      <c r="B917" s="1">
        <v>41992</v>
      </c>
      <c r="C917">
        <v>14.31</v>
      </c>
      <c r="D917">
        <v>0.38</v>
      </c>
      <c r="E917">
        <v>4</v>
      </c>
      <c r="F917">
        <f t="shared" si="70"/>
        <v>0</v>
      </c>
      <c r="G917">
        <f t="shared" si="71"/>
        <v>0</v>
      </c>
      <c r="H917">
        <f t="shared" si="72"/>
        <v>9</v>
      </c>
      <c r="I917">
        <f t="shared" si="73"/>
        <v>0</v>
      </c>
      <c r="J917">
        <f t="shared" si="74"/>
        <v>0</v>
      </c>
    </row>
    <row r="918" spans="1:10" x14ac:dyDescent="0.3">
      <c r="A918" s="1">
        <v>41983</v>
      </c>
      <c r="B918" s="1">
        <v>42011</v>
      </c>
      <c r="C918">
        <v>5.64</v>
      </c>
      <c r="D918">
        <v>0.15</v>
      </c>
      <c r="E918">
        <v>5</v>
      </c>
      <c r="F918">
        <f t="shared" si="70"/>
        <v>0</v>
      </c>
      <c r="G918">
        <f t="shared" si="71"/>
        <v>0</v>
      </c>
      <c r="H918">
        <f t="shared" si="72"/>
        <v>0</v>
      </c>
      <c r="I918">
        <f t="shared" si="73"/>
        <v>28</v>
      </c>
      <c r="J918">
        <f t="shared" si="74"/>
        <v>0</v>
      </c>
    </row>
    <row r="919" spans="1:10" x14ac:dyDescent="0.3">
      <c r="A919" s="1">
        <v>41983</v>
      </c>
      <c r="B919" s="1">
        <v>41996</v>
      </c>
      <c r="C919">
        <v>5.67</v>
      </c>
      <c r="D919">
        <v>0.15</v>
      </c>
      <c r="E919">
        <v>3</v>
      </c>
      <c r="F919">
        <f t="shared" si="70"/>
        <v>0</v>
      </c>
      <c r="G919">
        <f t="shared" si="71"/>
        <v>13</v>
      </c>
      <c r="H919">
        <f t="shared" si="72"/>
        <v>0</v>
      </c>
      <c r="I919">
        <f t="shared" si="73"/>
        <v>0</v>
      </c>
      <c r="J919">
        <f t="shared" si="74"/>
        <v>0</v>
      </c>
    </row>
    <row r="920" spans="1:10" x14ac:dyDescent="0.3">
      <c r="A920" s="1">
        <v>41983</v>
      </c>
      <c r="B920" s="1">
        <v>41990</v>
      </c>
      <c r="C920">
        <v>11.69</v>
      </c>
      <c r="D920">
        <v>0.31</v>
      </c>
      <c r="E920">
        <v>2</v>
      </c>
      <c r="F920">
        <f t="shared" si="70"/>
        <v>7</v>
      </c>
      <c r="G920">
        <f t="shared" si="71"/>
        <v>0</v>
      </c>
      <c r="H920">
        <f t="shared" si="72"/>
        <v>0</v>
      </c>
      <c r="I920">
        <f t="shared" si="73"/>
        <v>0</v>
      </c>
      <c r="J920">
        <f t="shared" si="74"/>
        <v>0</v>
      </c>
    </row>
    <row r="921" spans="1:10" x14ac:dyDescent="0.3">
      <c r="A921" s="1">
        <v>41983</v>
      </c>
      <c r="B921" s="1">
        <v>42002</v>
      </c>
      <c r="C921">
        <v>13.02</v>
      </c>
      <c r="D921">
        <v>0.34</v>
      </c>
      <c r="E921">
        <v>3</v>
      </c>
      <c r="F921">
        <f t="shared" si="70"/>
        <v>0</v>
      </c>
      <c r="G921">
        <f t="shared" si="71"/>
        <v>19</v>
      </c>
      <c r="H921">
        <f t="shared" si="72"/>
        <v>0</v>
      </c>
      <c r="I921">
        <f t="shared" si="73"/>
        <v>0</v>
      </c>
      <c r="J921">
        <f t="shared" si="74"/>
        <v>0</v>
      </c>
    </row>
    <row r="922" spans="1:10" x14ac:dyDescent="0.3">
      <c r="A922" s="1">
        <v>41983</v>
      </c>
      <c r="B922" s="1">
        <v>41986</v>
      </c>
      <c r="C922">
        <v>4.25</v>
      </c>
      <c r="D922">
        <v>0.11</v>
      </c>
      <c r="E922">
        <v>3</v>
      </c>
      <c r="F922">
        <f t="shared" si="70"/>
        <v>0</v>
      </c>
      <c r="G922">
        <f t="shared" si="71"/>
        <v>3</v>
      </c>
      <c r="H922">
        <f t="shared" si="72"/>
        <v>0</v>
      </c>
      <c r="I922">
        <f t="shared" si="73"/>
        <v>0</v>
      </c>
      <c r="J922">
        <f t="shared" si="74"/>
        <v>0</v>
      </c>
    </row>
    <row r="923" spans="1:10" x14ac:dyDescent="0.3">
      <c r="A923" s="1">
        <v>41983</v>
      </c>
      <c r="B923" s="1">
        <v>41995</v>
      </c>
      <c r="C923">
        <v>12.23</v>
      </c>
      <c r="D923">
        <v>0.32</v>
      </c>
      <c r="E923">
        <v>3</v>
      </c>
      <c r="F923">
        <f t="shared" si="70"/>
        <v>0</v>
      </c>
      <c r="G923">
        <f t="shared" si="71"/>
        <v>12</v>
      </c>
      <c r="H923">
        <f t="shared" si="72"/>
        <v>0</v>
      </c>
      <c r="I923">
        <f t="shared" si="73"/>
        <v>0</v>
      </c>
      <c r="J923">
        <f t="shared" si="74"/>
        <v>0</v>
      </c>
    </row>
    <row r="924" spans="1:10" x14ac:dyDescent="0.3">
      <c r="A924" s="1">
        <v>41983</v>
      </c>
      <c r="B924" s="1">
        <v>42009</v>
      </c>
      <c r="C924">
        <v>14.13</v>
      </c>
      <c r="D924">
        <v>0.37</v>
      </c>
      <c r="E924">
        <v>5</v>
      </c>
      <c r="F924">
        <f t="shared" si="70"/>
        <v>0</v>
      </c>
      <c r="G924">
        <f t="shared" si="71"/>
        <v>0</v>
      </c>
      <c r="H924">
        <f t="shared" si="72"/>
        <v>0</v>
      </c>
      <c r="I924">
        <f t="shared" si="73"/>
        <v>26</v>
      </c>
      <c r="J924">
        <f t="shared" si="74"/>
        <v>0</v>
      </c>
    </row>
    <row r="925" spans="1:10" x14ac:dyDescent="0.3">
      <c r="A925" s="1">
        <v>41983</v>
      </c>
      <c r="B925" s="1">
        <v>42008</v>
      </c>
      <c r="C925">
        <v>6.23</v>
      </c>
      <c r="D925">
        <v>0.16</v>
      </c>
      <c r="E925">
        <v>3</v>
      </c>
      <c r="F925">
        <f t="shared" si="70"/>
        <v>0</v>
      </c>
      <c r="G925">
        <f t="shared" si="71"/>
        <v>25</v>
      </c>
      <c r="H925">
        <f t="shared" si="72"/>
        <v>0</v>
      </c>
      <c r="I925">
        <f t="shared" si="73"/>
        <v>0</v>
      </c>
      <c r="J925">
        <f t="shared" si="74"/>
        <v>0</v>
      </c>
    </row>
    <row r="926" spans="1:10" x14ac:dyDescent="0.3">
      <c r="A926" s="1">
        <v>41983</v>
      </c>
      <c r="B926" s="1">
        <v>42006</v>
      </c>
      <c r="C926">
        <v>8.5399999999999991</v>
      </c>
      <c r="D926">
        <v>0.22</v>
      </c>
      <c r="E926">
        <v>2</v>
      </c>
      <c r="F926">
        <f t="shared" si="70"/>
        <v>23</v>
      </c>
      <c r="G926">
        <f t="shared" si="71"/>
        <v>0</v>
      </c>
      <c r="H926">
        <f t="shared" si="72"/>
        <v>0</v>
      </c>
      <c r="I926">
        <f t="shared" si="73"/>
        <v>0</v>
      </c>
      <c r="J926">
        <f t="shared" si="74"/>
        <v>0</v>
      </c>
    </row>
    <row r="927" spans="1:10" x14ac:dyDescent="0.3">
      <c r="A927" s="1">
        <v>41983</v>
      </c>
      <c r="B927" s="1">
        <v>42001</v>
      </c>
      <c r="C927">
        <v>7.55</v>
      </c>
      <c r="D927">
        <v>0.2</v>
      </c>
      <c r="E927">
        <v>2</v>
      </c>
      <c r="F927">
        <f t="shared" si="70"/>
        <v>18</v>
      </c>
      <c r="G927">
        <f t="shared" si="71"/>
        <v>0</v>
      </c>
      <c r="H927">
        <f t="shared" si="72"/>
        <v>0</v>
      </c>
      <c r="I927">
        <f t="shared" si="73"/>
        <v>0</v>
      </c>
      <c r="J927">
        <f t="shared" si="74"/>
        <v>0</v>
      </c>
    </row>
    <row r="928" spans="1:10" x14ac:dyDescent="0.3">
      <c r="A928" s="1">
        <v>41983</v>
      </c>
      <c r="B928" s="1">
        <v>41989</v>
      </c>
      <c r="C928">
        <v>14</v>
      </c>
      <c r="D928">
        <v>0.37</v>
      </c>
      <c r="E928">
        <v>4</v>
      </c>
      <c r="F928">
        <f t="shared" si="70"/>
        <v>0</v>
      </c>
      <c r="G928">
        <f t="shared" si="71"/>
        <v>0</v>
      </c>
      <c r="H928">
        <f t="shared" si="72"/>
        <v>6</v>
      </c>
      <c r="I928">
        <f t="shared" si="73"/>
        <v>0</v>
      </c>
      <c r="J928">
        <f t="shared" si="74"/>
        <v>0</v>
      </c>
    </row>
    <row r="929" spans="1:10" x14ac:dyDescent="0.3">
      <c r="A929" s="1">
        <v>41983</v>
      </c>
      <c r="B929" s="1">
        <v>41986</v>
      </c>
      <c r="C929">
        <v>13.02</v>
      </c>
      <c r="D929">
        <v>0.34</v>
      </c>
      <c r="E929">
        <v>2</v>
      </c>
      <c r="F929">
        <f t="shared" si="70"/>
        <v>3</v>
      </c>
      <c r="G929">
        <f t="shared" si="71"/>
        <v>0</v>
      </c>
      <c r="H929">
        <f t="shared" si="72"/>
        <v>0</v>
      </c>
      <c r="I929">
        <f t="shared" si="73"/>
        <v>0</v>
      </c>
      <c r="J929">
        <f t="shared" si="74"/>
        <v>0</v>
      </c>
    </row>
    <row r="930" spans="1:10" x14ac:dyDescent="0.3">
      <c r="A930" s="1">
        <v>41983</v>
      </c>
      <c r="B930" s="1">
        <v>42009</v>
      </c>
      <c r="C930">
        <v>8.39</v>
      </c>
      <c r="D930">
        <v>0.22</v>
      </c>
      <c r="E930">
        <v>6</v>
      </c>
      <c r="F930">
        <f t="shared" si="70"/>
        <v>0</v>
      </c>
      <c r="G930">
        <f t="shared" si="71"/>
        <v>0</v>
      </c>
      <c r="H930">
        <f t="shared" si="72"/>
        <v>0</v>
      </c>
      <c r="I930">
        <f t="shared" si="73"/>
        <v>0</v>
      </c>
      <c r="J930">
        <f t="shared" si="74"/>
        <v>26</v>
      </c>
    </row>
    <row r="931" spans="1:10" x14ac:dyDescent="0.3">
      <c r="A931" s="1">
        <v>41983</v>
      </c>
      <c r="B931" s="1">
        <v>41990</v>
      </c>
      <c r="C931">
        <v>5.23</v>
      </c>
      <c r="D931">
        <v>0.14000000000000001</v>
      </c>
      <c r="E931">
        <v>4</v>
      </c>
      <c r="F931">
        <f t="shared" si="70"/>
        <v>0</v>
      </c>
      <c r="G931">
        <f t="shared" si="71"/>
        <v>0</v>
      </c>
      <c r="H931">
        <f t="shared" si="72"/>
        <v>7</v>
      </c>
      <c r="I931">
        <f t="shared" si="73"/>
        <v>0</v>
      </c>
      <c r="J931">
        <f t="shared" si="74"/>
        <v>0</v>
      </c>
    </row>
    <row r="932" spans="1:10" x14ac:dyDescent="0.3">
      <c r="A932" s="1">
        <v>41983</v>
      </c>
      <c r="B932" s="1">
        <v>41988</v>
      </c>
      <c r="C932">
        <v>2.0099999999999998</v>
      </c>
      <c r="D932">
        <v>0.05</v>
      </c>
      <c r="E932">
        <v>2</v>
      </c>
      <c r="F932">
        <f t="shared" si="70"/>
        <v>5</v>
      </c>
      <c r="G932">
        <f t="shared" si="71"/>
        <v>0</v>
      </c>
      <c r="H932">
        <f t="shared" si="72"/>
        <v>0</v>
      </c>
      <c r="I932">
        <f t="shared" si="73"/>
        <v>0</v>
      </c>
      <c r="J932">
        <f t="shared" si="74"/>
        <v>0</v>
      </c>
    </row>
    <row r="933" spans="1:10" x14ac:dyDescent="0.3">
      <c r="A933" s="1">
        <v>41983</v>
      </c>
      <c r="B933" s="1">
        <v>42008</v>
      </c>
      <c r="C933">
        <v>7.06</v>
      </c>
      <c r="D933">
        <v>0.19</v>
      </c>
      <c r="E933">
        <v>5</v>
      </c>
      <c r="F933">
        <f t="shared" si="70"/>
        <v>0</v>
      </c>
      <c r="G933">
        <f t="shared" si="71"/>
        <v>0</v>
      </c>
      <c r="H933">
        <f t="shared" si="72"/>
        <v>0</v>
      </c>
      <c r="I933">
        <f t="shared" si="73"/>
        <v>25</v>
      </c>
      <c r="J933">
        <f t="shared" si="74"/>
        <v>0</v>
      </c>
    </row>
    <row r="934" spans="1:10" x14ac:dyDescent="0.3">
      <c r="A934" s="1">
        <v>41983</v>
      </c>
      <c r="B934" s="1">
        <v>42004</v>
      </c>
      <c r="C934">
        <v>19.54</v>
      </c>
      <c r="D934">
        <v>0.51</v>
      </c>
      <c r="E934">
        <v>3</v>
      </c>
      <c r="F934">
        <f t="shared" si="70"/>
        <v>0</v>
      </c>
      <c r="G934">
        <f t="shared" si="71"/>
        <v>21</v>
      </c>
      <c r="H934">
        <f t="shared" si="72"/>
        <v>0</v>
      </c>
      <c r="I934">
        <f t="shared" si="73"/>
        <v>0</v>
      </c>
      <c r="J934">
        <f t="shared" si="74"/>
        <v>0</v>
      </c>
    </row>
    <row r="935" spans="1:10" x14ac:dyDescent="0.3">
      <c r="A935" s="1">
        <v>41983</v>
      </c>
      <c r="B935" s="1">
        <v>41993</v>
      </c>
      <c r="C935">
        <v>5.23</v>
      </c>
      <c r="D935">
        <v>0.14000000000000001</v>
      </c>
      <c r="E935">
        <v>4</v>
      </c>
      <c r="F935">
        <f t="shared" si="70"/>
        <v>0</v>
      </c>
      <c r="G935">
        <f t="shared" si="71"/>
        <v>0</v>
      </c>
      <c r="H935">
        <f t="shared" si="72"/>
        <v>10</v>
      </c>
      <c r="I935">
        <f t="shared" si="73"/>
        <v>0</v>
      </c>
      <c r="J935">
        <f t="shared" si="74"/>
        <v>0</v>
      </c>
    </row>
    <row r="936" spans="1:10" x14ac:dyDescent="0.3">
      <c r="A936" s="1">
        <v>41984</v>
      </c>
      <c r="B936" s="1">
        <v>42002</v>
      </c>
      <c r="C936">
        <v>9.06</v>
      </c>
      <c r="D936">
        <v>0.24</v>
      </c>
      <c r="E936">
        <v>4</v>
      </c>
      <c r="F936">
        <f t="shared" si="70"/>
        <v>0</v>
      </c>
      <c r="G936">
        <f t="shared" si="71"/>
        <v>0</v>
      </c>
      <c r="H936">
        <f t="shared" si="72"/>
        <v>18</v>
      </c>
      <c r="I936">
        <f t="shared" si="73"/>
        <v>0</v>
      </c>
      <c r="J936">
        <f t="shared" si="74"/>
        <v>0</v>
      </c>
    </row>
    <row r="937" spans="1:10" x14ac:dyDescent="0.3">
      <c r="A937" s="1">
        <v>41984</v>
      </c>
      <c r="B937" s="1">
        <v>41988</v>
      </c>
      <c r="C937">
        <v>3.73</v>
      </c>
      <c r="D937">
        <v>0.1</v>
      </c>
      <c r="E937">
        <v>6</v>
      </c>
      <c r="F937">
        <f t="shared" si="70"/>
        <v>0</v>
      </c>
      <c r="G937">
        <f t="shared" si="71"/>
        <v>0</v>
      </c>
      <c r="H937">
        <f t="shared" si="72"/>
        <v>0</v>
      </c>
      <c r="I937">
        <f t="shared" si="73"/>
        <v>0</v>
      </c>
      <c r="J937">
        <f t="shared" si="74"/>
        <v>4</v>
      </c>
    </row>
    <row r="938" spans="1:10" x14ac:dyDescent="0.3">
      <c r="A938" s="1">
        <v>41985</v>
      </c>
      <c r="B938" s="1">
        <v>42012</v>
      </c>
      <c r="C938">
        <v>5.67</v>
      </c>
      <c r="D938">
        <v>0.15</v>
      </c>
      <c r="E938">
        <v>2</v>
      </c>
      <c r="F938">
        <f t="shared" si="70"/>
        <v>27</v>
      </c>
      <c r="G938">
        <f t="shared" si="71"/>
        <v>0</v>
      </c>
      <c r="H938">
        <f t="shared" si="72"/>
        <v>0</v>
      </c>
      <c r="I938">
        <f t="shared" si="73"/>
        <v>0</v>
      </c>
      <c r="J938">
        <f t="shared" si="74"/>
        <v>0</v>
      </c>
    </row>
    <row r="939" spans="1:10" x14ac:dyDescent="0.3">
      <c r="A939" s="1">
        <v>41985</v>
      </c>
      <c r="B939" s="1">
        <v>41989</v>
      </c>
      <c r="C939">
        <v>5.67</v>
      </c>
      <c r="D939">
        <v>0.15</v>
      </c>
      <c r="E939">
        <v>4</v>
      </c>
      <c r="F939">
        <f t="shared" si="70"/>
        <v>0</v>
      </c>
      <c r="G939">
        <f t="shared" si="71"/>
        <v>0</v>
      </c>
      <c r="H939">
        <f t="shared" si="72"/>
        <v>4</v>
      </c>
      <c r="I939">
        <f t="shared" si="73"/>
        <v>0</v>
      </c>
      <c r="J939">
        <f t="shared" si="74"/>
        <v>0</v>
      </c>
    </row>
    <row r="940" spans="1:10" x14ac:dyDescent="0.3">
      <c r="A940" s="1">
        <v>41985</v>
      </c>
      <c r="B940" s="1">
        <v>41995</v>
      </c>
      <c r="C940">
        <v>3.57</v>
      </c>
      <c r="D940">
        <v>0.09</v>
      </c>
      <c r="E940">
        <v>2</v>
      </c>
      <c r="F940">
        <f t="shared" si="70"/>
        <v>10</v>
      </c>
      <c r="G940">
        <f t="shared" si="71"/>
        <v>0</v>
      </c>
      <c r="H940">
        <f t="shared" si="72"/>
        <v>0</v>
      </c>
      <c r="I940">
        <f t="shared" si="73"/>
        <v>0</v>
      </c>
      <c r="J940">
        <f t="shared" si="74"/>
        <v>0</v>
      </c>
    </row>
    <row r="941" spans="1:10" x14ac:dyDescent="0.3">
      <c r="A941" s="1">
        <v>41985</v>
      </c>
      <c r="B941" s="1">
        <v>41995</v>
      </c>
      <c r="C941">
        <v>3.57</v>
      </c>
      <c r="D941">
        <v>0.09</v>
      </c>
      <c r="E941">
        <v>3</v>
      </c>
      <c r="F941">
        <f t="shared" si="70"/>
        <v>0</v>
      </c>
      <c r="G941">
        <f t="shared" si="71"/>
        <v>10</v>
      </c>
      <c r="H941">
        <f t="shared" si="72"/>
        <v>0</v>
      </c>
      <c r="I941">
        <f t="shared" si="73"/>
        <v>0</v>
      </c>
      <c r="J941">
        <f t="shared" si="74"/>
        <v>0</v>
      </c>
    </row>
    <row r="942" spans="1:10" x14ac:dyDescent="0.3">
      <c r="A942" s="1">
        <v>41985</v>
      </c>
      <c r="B942" s="1">
        <v>42013</v>
      </c>
      <c r="C942">
        <v>2.29</v>
      </c>
      <c r="D942">
        <v>0.06</v>
      </c>
      <c r="E942">
        <v>2</v>
      </c>
      <c r="F942">
        <f t="shared" si="70"/>
        <v>28</v>
      </c>
      <c r="G942">
        <f t="shared" si="71"/>
        <v>0</v>
      </c>
      <c r="H942">
        <f t="shared" si="72"/>
        <v>0</v>
      </c>
      <c r="I942">
        <f t="shared" si="73"/>
        <v>0</v>
      </c>
      <c r="J942">
        <f t="shared" si="74"/>
        <v>0</v>
      </c>
    </row>
    <row r="943" spans="1:10" x14ac:dyDescent="0.3">
      <c r="A943" s="1">
        <v>41985</v>
      </c>
      <c r="B943" s="1">
        <v>42003</v>
      </c>
      <c r="C943">
        <v>7.35</v>
      </c>
      <c r="D943">
        <v>0.19</v>
      </c>
      <c r="E943">
        <v>5</v>
      </c>
      <c r="F943">
        <f t="shared" si="70"/>
        <v>0</v>
      </c>
      <c r="G943">
        <f t="shared" si="71"/>
        <v>0</v>
      </c>
      <c r="H943">
        <f t="shared" si="72"/>
        <v>0</v>
      </c>
      <c r="I943">
        <f t="shared" si="73"/>
        <v>18</v>
      </c>
      <c r="J943">
        <f t="shared" si="74"/>
        <v>0</v>
      </c>
    </row>
    <row r="944" spans="1:10" x14ac:dyDescent="0.3">
      <c r="A944" s="1">
        <v>41985</v>
      </c>
      <c r="B944" s="1">
        <v>42011</v>
      </c>
      <c r="C944">
        <v>3.94</v>
      </c>
      <c r="D944">
        <v>0.1</v>
      </c>
      <c r="E944">
        <v>4</v>
      </c>
      <c r="F944">
        <f t="shared" si="70"/>
        <v>0</v>
      </c>
      <c r="G944">
        <f t="shared" si="71"/>
        <v>0</v>
      </c>
      <c r="H944">
        <f t="shared" si="72"/>
        <v>26</v>
      </c>
      <c r="I944">
        <f t="shared" si="73"/>
        <v>0</v>
      </c>
      <c r="J944">
        <f t="shared" si="74"/>
        <v>0</v>
      </c>
    </row>
    <row r="945" spans="1:10" x14ac:dyDescent="0.3">
      <c r="A945" s="1">
        <v>41985</v>
      </c>
      <c r="B945" s="1">
        <v>41995</v>
      </c>
      <c r="C945">
        <v>3.94</v>
      </c>
      <c r="D945">
        <v>0.1</v>
      </c>
      <c r="E945">
        <v>2</v>
      </c>
      <c r="F945">
        <f t="shared" si="70"/>
        <v>10</v>
      </c>
      <c r="G945">
        <f t="shared" si="71"/>
        <v>0</v>
      </c>
      <c r="H945">
        <f t="shared" si="72"/>
        <v>0</v>
      </c>
      <c r="I945">
        <f t="shared" si="73"/>
        <v>0</v>
      </c>
      <c r="J945">
        <f t="shared" si="74"/>
        <v>0</v>
      </c>
    </row>
    <row r="946" spans="1:10" x14ac:dyDescent="0.3">
      <c r="A946" s="1">
        <v>41985</v>
      </c>
      <c r="B946" s="1">
        <v>42006</v>
      </c>
      <c r="C946">
        <v>13.07</v>
      </c>
      <c r="D946">
        <v>0.34</v>
      </c>
      <c r="E946">
        <v>3</v>
      </c>
      <c r="F946">
        <f t="shared" si="70"/>
        <v>0</v>
      </c>
      <c r="G946">
        <f t="shared" si="71"/>
        <v>21</v>
      </c>
      <c r="H946">
        <f t="shared" si="72"/>
        <v>0</v>
      </c>
      <c r="I946">
        <f t="shared" si="73"/>
        <v>0</v>
      </c>
      <c r="J946">
        <f t="shared" si="74"/>
        <v>0</v>
      </c>
    </row>
    <row r="947" spans="1:10" x14ac:dyDescent="0.3">
      <c r="A947" s="1">
        <v>41986</v>
      </c>
      <c r="B947" s="1">
        <v>41990</v>
      </c>
      <c r="C947">
        <v>6.43</v>
      </c>
      <c r="D947">
        <v>0.17</v>
      </c>
      <c r="E947">
        <v>5</v>
      </c>
      <c r="F947">
        <f t="shared" si="70"/>
        <v>0</v>
      </c>
      <c r="G947">
        <f t="shared" si="71"/>
        <v>0</v>
      </c>
      <c r="H947">
        <f t="shared" si="72"/>
        <v>0</v>
      </c>
      <c r="I947">
        <f t="shared" si="73"/>
        <v>4</v>
      </c>
      <c r="J947">
        <f t="shared" si="74"/>
        <v>0</v>
      </c>
    </row>
    <row r="948" spans="1:10" x14ac:dyDescent="0.3">
      <c r="A948" s="1">
        <v>41986</v>
      </c>
      <c r="B948" s="1">
        <v>42005</v>
      </c>
      <c r="C948">
        <v>6.43</v>
      </c>
      <c r="D948">
        <v>0.17</v>
      </c>
      <c r="E948">
        <v>3</v>
      </c>
      <c r="F948">
        <f t="shared" si="70"/>
        <v>0</v>
      </c>
      <c r="G948">
        <f t="shared" si="71"/>
        <v>19</v>
      </c>
      <c r="H948">
        <f t="shared" si="72"/>
        <v>0</v>
      </c>
      <c r="I948">
        <f t="shared" si="73"/>
        <v>0</v>
      </c>
      <c r="J948">
        <f t="shared" si="74"/>
        <v>0</v>
      </c>
    </row>
    <row r="949" spans="1:10" x14ac:dyDescent="0.3">
      <c r="A949" s="1">
        <v>41987</v>
      </c>
      <c r="B949" s="1">
        <v>42012</v>
      </c>
      <c r="C949">
        <v>2.72</v>
      </c>
      <c r="D949">
        <v>7.0000000000000007E-2</v>
      </c>
      <c r="E949">
        <v>4</v>
      </c>
      <c r="F949">
        <f t="shared" si="70"/>
        <v>0</v>
      </c>
      <c r="G949">
        <f t="shared" si="71"/>
        <v>0</v>
      </c>
      <c r="H949">
        <f t="shared" si="72"/>
        <v>25</v>
      </c>
      <c r="I949">
        <f t="shared" si="73"/>
        <v>0</v>
      </c>
      <c r="J949">
        <f t="shared" si="74"/>
        <v>0</v>
      </c>
    </row>
    <row r="950" spans="1:10" x14ac:dyDescent="0.3">
      <c r="A950" s="1">
        <v>41987</v>
      </c>
      <c r="B950" s="1">
        <v>42007</v>
      </c>
      <c r="C950">
        <v>6.43</v>
      </c>
      <c r="D950">
        <v>0.17</v>
      </c>
      <c r="E950">
        <v>6</v>
      </c>
      <c r="F950">
        <f t="shared" si="70"/>
        <v>0</v>
      </c>
      <c r="G950">
        <f t="shared" si="71"/>
        <v>0</v>
      </c>
      <c r="H950">
        <f t="shared" si="72"/>
        <v>0</v>
      </c>
      <c r="I950">
        <f t="shared" si="73"/>
        <v>0</v>
      </c>
      <c r="J950">
        <f t="shared" si="74"/>
        <v>20</v>
      </c>
    </row>
    <row r="951" spans="1:10" x14ac:dyDescent="0.3">
      <c r="A951" s="1">
        <v>41988</v>
      </c>
      <c r="B951" s="1">
        <v>42014</v>
      </c>
      <c r="C951">
        <v>2.0099999999999998</v>
      </c>
      <c r="D951">
        <v>0.05</v>
      </c>
      <c r="E951">
        <v>3</v>
      </c>
      <c r="F951">
        <f t="shared" si="70"/>
        <v>0</v>
      </c>
      <c r="G951">
        <f t="shared" si="71"/>
        <v>26</v>
      </c>
      <c r="H951">
        <f t="shared" si="72"/>
        <v>0</v>
      </c>
      <c r="I951">
        <f t="shared" si="73"/>
        <v>0</v>
      </c>
      <c r="J951">
        <f t="shared" si="74"/>
        <v>0</v>
      </c>
    </row>
    <row r="952" spans="1:10" x14ac:dyDescent="0.3">
      <c r="A952" s="1">
        <v>41988</v>
      </c>
      <c r="B952" s="1">
        <v>42005</v>
      </c>
      <c r="C952">
        <v>2.72</v>
      </c>
      <c r="D952">
        <v>7.0000000000000007E-2</v>
      </c>
      <c r="E952">
        <v>2</v>
      </c>
      <c r="F952">
        <f t="shared" si="70"/>
        <v>17</v>
      </c>
      <c r="G952">
        <f t="shared" si="71"/>
        <v>0</v>
      </c>
      <c r="H952">
        <f t="shared" si="72"/>
        <v>0</v>
      </c>
      <c r="I952">
        <f t="shared" si="73"/>
        <v>0</v>
      </c>
      <c r="J952">
        <f t="shared" si="74"/>
        <v>0</v>
      </c>
    </row>
    <row r="953" spans="1:10" x14ac:dyDescent="0.3">
      <c r="A953" s="1">
        <v>41988</v>
      </c>
      <c r="B953" s="1">
        <v>41996</v>
      </c>
      <c r="C953">
        <v>2.0099999999999998</v>
      </c>
      <c r="D953">
        <v>0.05</v>
      </c>
      <c r="E953">
        <v>5</v>
      </c>
      <c r="F953">
        <f t="shared" si="70"/>
        <v>0</v>
      </c>
      <c r="G953">
        <f t="shared" si="71"/>
        <v>0</v>
      </c>
      <c r="H953">
        <f t="shared" si="72"/>
        <v>0</v>
      </c>
      <c r="I953">
        <f t="shared" si="73"/>
        <v>8</v>
      </c>
      <c r="J953">
        <f t="shared" si="74"/>
        <v>0</v>
      </c>
    </row>
    <row r="954" spans="1:10" x14ac:dyDescent="0.3">
      <c r="A954" s="1">
        <v>41989</v>
      </c>
      <c r="B954" s="1">
        <v>41991</v>
      </c>
      <c r="C954">
        <v>11.42</v>
      </c>
      <c r="D954">
        <v>0.3</v>
      </c>
      <c r="E954">
        <v>5</v>
      </c>
      <c r="F954">
        <f t="shared" si="70"/>
        <v>0</v>
      </c>
      <c r="G954">
        <f t="shared" si="71"/>
        <v>0</v>
      </c>
      <c r="H954">
        <f t="shared" si="72"/>
        <v>0</v>
      </c>
      <c r="I954">
        <f t="shared" si="73"/>
        <v>2</v>
      </c>
      <c r="J954">
        <f t="shared" si="74"/>
        <v>0</v>
      </c>
    </row>
    <row r="955" spans="1:10" x14ac:dyDescent="0.3">
      <c r="A955" s="1">
        <v>41989</v>
      </c>
      <c r="B955" s="1">
        <v>42003</v>
      </c>
      <c r="C955">
        <v>10.93</v>
      </c>
      <c r="D955">
        <v>0.28999999999999998</v>
      </c>
      <c r="E955">
        <v>3</v>
      </c>
      <c r="F955">
        <f t="shared" si="70"/>
        <v>0</v>
      </c>
      <c r="G955">
        <f t="shared" si="71"/>
        <v>14</v>
      </c>
      <c r="H955">
        <f t="shared" si="72"/>
        <v>0</v>
      </c>
      <c r="I955">
        <f t="shared" si="73"/>
        <v>0</v>
      </c>
      <c r="J955">
        <f t="shared" si="74"/>
        <v>0</v>
      </c>
    </row>
    <row r="956" spans="1:10" x14ac:dyDescent="0.3">
      <c r="A956" s="1">
        <v>41989</v>
      </c>
      <c r="B956" s="1">
        <v>41997</v>
      </c>
      <c r="C956">
        <v>9.06</v>
      </c>
      <c r="D956">
        <v>0.24</v>
      </c>
      <c r="E956">
        <v>2</v>
      </c>
      <c r="F956">
        <f t="shared" si="70"/>
        <v>8</v>
      </c>
      <c r="G956">
        <f t="shared" si="71"/>
        <v>0</v>
      </c>
      <c r="H956">
        <f t="shared" si="72"/>
        <v>0</v>
      </c>
      <c r="I956">
        <f t="shared" si="73"/>
        <v>0</v>
      </c>
      <c r="J956">
        <f t="shared" si="74"/>
        <v>0</v>
      </c>
    </row>
    <row r="957" spans="1:10" x14ac:dyDescent="0.3">
      <c r="A957" s="1">
        <v>41989</v>
      </c>
      <c r="B957" s="1">
        <v>41998</v>
      </c>
      <c r="C957">
        <v>5.67</v>
      </c>
      <c r="D957">
        <v>0.15</v>
      </c>
      <c r="E957">
        <v>3</v>
      </c>
      <c r="F957">
        <f t="shared" si="70"/>
        <v>0</v>
      </c>
      <c r="G957">
        <f t="shared" si="71"/>
        <v>9</v>
      </c>
      <c r="H957">
        <f t="shared" si="72"/>
        <v>0</v>
      </c>
      <c r="I957">
        <f t="shared" si="73"/>
        <v>0</v>
      </c>
      <c r="J957">
        <f t="shared" si="74"/>
        <v>0</v>
      </c>
    </row>
    <row r="958" spans="1:10" x14ac:dyDescent="0.3">
      <c r="A958" s="1">
        <v>41989</v>
      </c>
      <c r="B958" s="1">
        <v>42015</v>
      </c>
      <c r="C958">
        <v>3.57</v>
      </c>
      <c r="D958">
        <v>0.09</v>
      </c>
      <c r="E958">
        <v>4</v>
      </c>
      <c r="F958">
        <f t="shared" si="70"/>
        <v>0</v>
      </c>
      <c r="G958">
        <f t="shared" si="71"/>
        <v>0</v>
      </c>
      <c r="H958">
        <f t="shared" si="72"/>
        <v>26</v>
      </c>
      <c r="I958">
        <f t="shared" si="73"/>
        <v>0</v>
      </c>
      <c r="J958">
        <f t="shared" si="74"/>
        <v>0</v>
      </c>
    </row>
    <row r="959" spans="1:10" x14ac:dyDescent="0.3">
      <c r="A959" s="1">
        <v>41989</v>
      </c>
      <c r="B959" s="1">
        <v>42011</v>
      </c>
      <c r="C959">
        <v>3.79</v>
      </c>
      <c r="D959">
        <v>0.1</v>
      </c>
      <c r="E959">
        <v>5</v>
      </c>
      <c r="F959">
        <f t="shared" si="70"/>
        <v>0</v>
      </c>
      <c r="G959">
        <f t="shared" si="71"/>
        <v>0</v>
      </c>
      <c r="H959">
        <f t="shared" si="72"/>
        <v>0</v>
      </c>
      <c r="I959">
        <f t="shared" si="73"/>
        <v>22</v>
      </c>
      <c r="J959">
        <f t="shared" si="74"/>
        <v>0</v>
      </c>
    </row>
    <row r="960" spans="1:10" x14ac:dyDescent="0.3">
      <c r="A960" s="1">
        <v>41990</v>
      </c>
      <c r="B960" s="1">
        <v>41996</v>
      </c>
      <c r="C960">
        <v>4.66</v>
      </c>
      <c r="D960">
        <v>0.12</v>
      </c>
      <c r="E960">
        <v>3</v>
      </c>
      <c r="F960">
        <f t="shared" si="70"/>
        <v>0</v>
      </c>
      <c r="G960">
        <f t="shared" si="71"/>
        <v>6</v>
      </c>
      <c r="H960">
        <f t="shared" si="72"/>
        <v>0</v>
      </c>
      <c r="I960">
        <f t="shared" si="73"/>
        <v>0</v>
      </c>
      <c r="J960">
        <f t="shared" si="74"/>
        <v>0</v>
      </c>
    </row>
    <row r="961" spans="1:10" x14ac:dyDescent="0.3">
      <c r="A961" s="1">
        <v>41990</v>
      </c>
      <c r="B961" s="1">
        <v>42004</v>
      </c>
      <c r="C961">
        <v>6.43</v>
      </c>
      <c r="D961">
        <v>0.17</v>
      </c>
      <c r="E961">
        <v>6</v>
      </c>
      <c r="F961">
        <f t="shared" si="70"/>
        <v>0</v>
      </c>
      <c r="G961">
        <f t="shared" si="71"/>
        <v>0</v>
      </c>
      <c r="H961">
        <f t="shared" si="72"/>
        <v>0</v>
      </c>
      <c r="I961">
        <f t="shared" si="73"/>
        <v>0</v>
      </c>
      <c r="J961">
        <f t="shared" si="74"/>
        <v>14</v>
      </c>
    </row>
    <row r="962" spans="1:10" x14ac:dyDescent="0.3">
      <c r="A962" s="1">
        <v>41990</v>
      </c>
      <c r="B962" s="1">
        <v>41998</v>
      </c>
      <c r="C962">
        <v>6.58</v>
      </c>
      <c r="D962">
        <v>0.17</v>
      </c>
      <c r="E962">
        <v>4</v>
      </c>
      <c r="F962">
        <f t="shared" si="70"/>
        <v>0</v>
      </c>
      <c r="G962">
        <f t="shared" si="71"/>
        <v>0</v>
      </c>
      <c r="H962">
        <f t="shared" si="72"/>
        <v>8</v>
      </c>
      <c r="I962">
        <f t="shared" si="73"/>
        <v>0</v>
      </c>
      <c r="J962">
        <f t="shared" si="74"/>
        <v>0</v>
      </c>
    </row>
    <row r="963" spans="1:10" x14ac:dyDescent="0.3">
      <c r="A963" s="1">
        <v>41991</v>
      </c>
      <c r="B963" s="1">
        <v>41998</v>
      </c>
      <c r="C963">
        <v>4.66</v>
      </c>
      <c r="D963">
        <v>0.12</v>
      </c>
      <c r="E963">
        <v>6</v>
      </c>
      <c r="F963">
        <f t="shared" ref="F963:F1001" si="75">IF(EXACT(E963,2),B963-A963,0)</f>
        <v>0</v>
      </c>
      <c r="G963">
        <f t="shared" ref="G963:G1001" si="76">IF(EXACT(E963,3),B963-A963,0)</f>
        <v>0</v>
      </c>
      <c r="H963">
        <f t="shared" ref="H963:H1001" si="77">IF(EXACT(E963,4),B963-A963,0)</f>
        <v>0</v>
      </c>
      <c r="I963">
        <f t="shared" ref="I963:I1001" si="78">IF(EXACT(E963,5),B963-A963,0)</f>
        <v>0</v>
      </c>
      <c r="J963">
        <f t="shared" ref="J963:J1001" si="79">IF(EXACT(E963,6),B963-A963,0)</f>
        <v>7</v>
      </c>
    </row>
    <row r="964" spans="1:10" x14ac:dyDescent="0.3">
      <c r="A964" s="1">
        <v>41991</v>
      </c>
      <c r="B964" s="1">
        <v>42003</v>
      </c>
      <c r="C964">
        <v>4.66</v>
      </c>
      <c r="D964">
        <v>0.12</v>
      </c>
      <c r="E964">
        <v>5</v>
      </c>
      <c r="F964">
        <f t="shared" si="75"/>
        <v>0</v>
      </c>
      <c r="G964">
        <f t="shared" si="76"/>
        <v>0</v>
      </c>
      <c r="H964">
        <f t="shared" si="77"/>
        <v>0</v>
      </c>
      <c r="I964">
        <f t="shared" si="78"/>
        <v>12</v>
      </c>
      <c r="J964">
        <f t="shared" si="79"/>
        <v>0</v>
      </c>
    </row>
    <row r="965" spans="1:10" x14ac:dyDescent="0.3">
      <c r="A965" s="1">
        <v>41991</v>
      </c>
      <c r="B965" s="1">
        <v>41999</v>
      </c>
      <c r="C965">
        <v>3.73</v>
      </c>
      <c r="D965">
        <v>0.1</v>
      </c>
      <c r="E965">
        <v>5</v>
      </c>
      <c r="F965">
        <f t="shared" si="75"/>
        <v>0</v>
      </c>
      <c r="G965">
        <f t="shared" si="76"/>
        <v>0</v>
      </c>
      <c r="H965">
        <f t="shared" si="77"/>
        <v>0</v>
      </c>
      <c r="I965">
        <f t="shared" si="78"/>
        <v>8</v>
      </c>
      <c r="J965">
        <f t="shared" si="79"/>
        <v>0</v>
      </c>
    </row>
    <row r="966" spans="1:10" x14ac:dyDescent="0.3">
      <c r="A966" s="1">
        <v>41991</v>
      </c>
      <c r="B966" s="1">
        <v>41995</v>
      </c>
      <c r="C966">
        <v>4.25</v>
      </c>
      <c r="D966">
        <v>0.11</v>
      </c>
      <c r="E966">
        <v>4</v>
      </c>
      <c r="F966">
        <f t="shared" si="75"/>
        <v>0</v>
      </c>
      <c r="G966">
        <f t="shared" si="76"/>
        <v>0</v>
      </c>
      <c r="H966">
        <f t="shared" si="77"/>
        <v>4</v>
      </c>
      <c r="I966">
        <f t="shared" si="78"/>
        <v>0</v>
      </c>
      <c r="J966">
        <f t="shared" si="79"/>
        <v>0</v>
      </c>
    </row>
    <row r="967" spans="1:10" x14ac:dyDescent="0.3">
      <c r="A967" s="1">
        <v>41991</v>
      </c>
      <c r="B967" s="1">
        <v>42014</v>
      </c>
      <c r="C967">
        <v>6.34</v>
      </c>
      <c r="D967">
        <v>0.17</v>
      </c>
      <c r="E967">
        <v>5</v>
      </c>
      <c r="F967">
        <f t="shared" si="75"/>
        <v>0</v>
      </c>
      <c r="G967">
        <f t="shared" si="76"/>
        <v>0</v>
      </c>
      <c r="H967">
        <f t="shared" si="77"/>
        <v>0</v>
      </c>
      <c r="I967">
        <f t="shared" si="78"/>
        <v>23</v>
      </c>
      <c r="J967">
        <f t="shared" si="79"/>
        <v>0</v>
      </c>
    </row>
    <row r="968" spans="1:10" x14ac:dyDescent="0.3">
      <c r="A968" s="1">
        <v>41992</v>
      </c>
      <c r="B968" s="1">
        <v>42016</v>
      </c>
      <c r="C968">
        <v>2.0099999999999998</v>
      </c>
      <c r="D968">
        <v>0.05</v>
      </c>
      <c r="E968">
        <v>6</v>
      </c>
      <c r="F968">
        <f t="shared" si="75"/>
        <v>0</v>
      </c>
      <c r="G968">
        <f t="shared" si="76"/>
        <v>0</v>
      </c>
      <c r="H968">
        <f t="shared" si="77"/>
        <v>0</v>
      </c>
      <c r="I968">
        <f t="shared" si="78"/>
        <v>0</v>
      </c>
      <c r="J968">
        <f t="shared" si="79"/>
        <v>24</v>
      </c>
    </row>
    <row r="969" spans="1:10" x14ac:dyDescent="0.3">
      <c r="A969" s="1">
        <v>41992</v>
      </c>
      <c r="B969" s="1">
        <v>42007</v>
      </c>
      <c r="C969">
        <v>6.34</v>
      </c>
      <c r="D969">
        <v>0.17</v>
      </c>
      <c r="E969">
        <v>6</v>
      </c>
      <c r="F969">
        <f t="shared" si="75"/>
        <v>0</v>
      </c>
      <c r="G969">
        <f t="shared" si="76"/>
        <v>0</v>
      </c>
      <c r="H969">
        <f t="shared" si="77"/>
        <v>0</v>
      </c>
      <c r="I969">
        <f t="shared" si="78"/>
        <v>0</v>
      </c>
      <c r="J969">
        <f t="shared" si="79"/>
        <v>15</v>
      </c>
    </row>
    <row r="970" spans="1:10" x14ac:dyDescent="0.3">
      <c r="A970" s="1">
        <v>41993</v>
      </c>
      <c r="B970" s="1">
        <v>42014</v>
      </c>
      <c r="C970">
        <v>3.94</v>
      </c>
      <c r="D970">
        <v>0.1</v>
      </c>
      <c r="E970">
        <v>4</v>
      </c>
      <c r="F970">
        <f t="shared" si="75"/>
        <v>0</v>
      </c>
      <c r="G970">
        <f t="shared" si="76"/>
        <v>0</v>
      </c>
      <c r="H970">
        <f t="shared" si="77"/>
        <v>21</v>
      </c>
      <c r="I970">
        <f t="shared" si="78"/>
        <v>0</v>
      </c>
      <c r="J970">
        <f t="shared" si="79"/>
        <v>0</v>
      </c>
    </row>
    <row r="971" spans="1:10" x14ac:dyDescent="0.3">
      <c r="A971" s="1">
        <v>41993</v>
      </c>
      <c r="B971" s="1">
        <v>42021</v>
      </c>
      <c r="C971">
        <v>8.7200000000000006</v>
      </c>
      <c r="D971">
        <v>0.23</v>
      </c>
      <c r="E971">
        <v>4</v>
      </c>
      <c r="F971">
        <f t="shared" si="75"/>
        <v>0</v>
      </c>
      <c r="G971">
        <f t="shared" si="76"/>
        <v>0</v>
      </c>
      <c r="H971">
        <f t="shared" si="77"/>
        <v>28</v>
      </c>
      <c r="I971">
        <f t="shared" si="78"/>
        <v>0</v>
      </c>
      <c r="J971">
        <f t="shared" si="79"/>
        <v>0</v>
      </c>
    </row>
    <row r="972" spans="1:10" x14ac:dyDescent="0.3">
      <c r="A972" s="1">
        <v>41994</v>
      </c>
      <c r="B972" s="1">
        <v>42012</v>
      </c>
      <c r="C972">
        <v>5.67</v>
      </c>
      <c r="D972">
        <v>0.15</v>
      </c>
      <c r="E972">
        <v>6</v>
      </c>
      <c r="F972">
        <f t="shared" si="75"/>
        <v>0</v>
      </c>
      <c r="G972">
        <f t="shared" si="76"/>
        <v>0</v>
      </c>
      <c r="H972">
        <f t="shared" si="77"/>
        <v>0</v>
      </c>
      <c r="I972">
        <f t="shared" si="78"/>
        <v>0</v>
      </c>
      <c r="J972">
        <f t="shared" si="79"/>
        <v>18</v>
      </c>
    </row>
    <row r="973" spans="1:10" x14ac:dyDescent="0.3">
      <c r="A973" s="1">
        <v>41994</v>
      </c>
      <c r="B973" s="1">
        <v>42021</v>
      </c>
      <c r="C973">
        <v>6.58</v>
      </c>
      <c r="D973">
        <v>0.17</v>
      </c>
      <c r="E973">
        <v>5</v>
      </c>
      <c r="F973">
        <f t="shared" si="75"/>
        <v>0</v>
      </c>
      <c r="G973">
        <f t="shared" si="76"/>
        <v>0</v>
      </c>
      <c r="H973">
        <f t="shared" si="77"/>
        <v>0</v>
      </c>
      <c r="I973">
        <f t="shared" si="78"/>
        <v>27</v>
      </c>
      <c r="J973">
        <f t="shared" si="79"/>
        <v>0</v>
      </c>
    </row>
    <row r="974" spans="1:10" x14ac:dyDescent="0.3">
      <c r="A974" s="1">
        <v>41994</v>
      </c>
      <c r="B974" s="1">
        <v>42022</v>
      </c>
      <c r="C974">
        <v>8.7200000000000006</v>
      </c>
      <c r="D974">
        <v>0.23</v>
      </c>
      <c r="E974">
        <v>6</v>
      </c>
      <c r="F974">
        <f t="shared" si="75"/>
        <v>0</v>
      </c>
      <c r="G974">
        <f t="shared" si="76"/>
        <v>0</v>
      </c>
      <c r="H974">
        <f t="shared" si="77"/>
        <v>0</v>
      </c>
      <c r="I974">
        <f t="shared" si="78"/>
        <v>0</v>
      </c>
      <c r="J974">
        <f t="shared" si="79"/>
        <v>28</v>
      </c>
    </row>
    <row r="975" spans="1:10" x14ac:dyDescent="0.3">
      <c r="A975" s="1">
        <v>41994</v>
      </c>
      <c r="B975" s="1">
        <v>42000</v>
      </c>
      <c r="C975">
        <v>6.43</v>
      </c>
      <c r="D975">
        <v>0.17</v>
      </c>
      <c r="E975">
        <v>2</v>
      </c>
      <c r="F975">
        <f t="shared" si="75"/>
        <v>6</v>
      </c>
      <c r="G975">
        <f t="shared" si="76"/>
        <v>0</v>
      </c>
      <c r="H975">
        <f t="shared" si="77"/>
        <v>0</v>
      </c>
      <c r="I975">
        <f t="shared" si="78"/>
        <v>0</v>
      </c>
      <c r="J975">
        <f t="shared" si="79"/>
        <v>0</v>
      </c>
    </row>
    <row r="976" spans="1:10" x14ac:dyDescent="0.3">
      <c r="A976" s="1">
        <v>41994</v>
      </c>
      <c r="B976" s="1">
        <v>42001</v>
      </c>
      <c r="C976">
        <v>3.73</v>
      </c>
      <c r="D976">
        <v>0.1</v>
      </c>
      <c r="E976">
        <v>2</v>
      </c>
      <c r="F976">
        <f t="shared" si="75"/>
        <v>7</v>
      </c>
      <c r="G976">
        <f t="shared" si="76"/>
        <v>0</v>
      </c>
      <c r="H976">
        <f t="shared" si="77"/>
        <v>0</v>
      </c>
      <c r="I976">
        <f t="shared" si="78"/>
        <v>0</v>
      </c>
      <c r="J976">
        <f t="shared" si="79"/>
        <v>0</v>
      </c>
    </row>
    <row r="977" spans="1:10" x14ac:dyDescent="0.3">
      <c r="A977" s="1">
        <v>41994</v>
      </c>
      <c r="B977" s="1">
        <v>42015</v>
      </c>
      <c r="C977">
        <v>7.71</v>
      </c>
      <c r="D977">
        <v>0.2</v>
      </c>
      <c r="E977">
        <v>6</v>
      </c>
      <c r="F977">
        <f t="shared" si="75"/>
        <v>0</v>
      </c>
      <c r="G977">
        <f t="shared" si="76"/>
        <v>0</v>
      </c>
      <c r="H977">
        <f t="shared" si="77"/>
        <v>0</v>
      </c>
      <c r="I977">
        <f t="shared" si="78"/>
        <v>0</v>
      </c>
      <c r="J977">
        <f t="shared" si="79"/>
        <v>21</v>
      </c>
    </row>
    <row r="978" spans="1:10" x14ac:dyDescent="0.3">
      <c r="A978" s="1">
        <v>41994</v>
      </c>
      <c r="B978" s="1">
        <v>42007</v>
      </c>
      <c r="C978">
        <v>7.31</v>
      </c>
      <c r="D978">
        <v>0.19</v>
      </c>
      <c r="E978">
        <v>5</v>
      </c>
      <c r="F978">
        <f t="shared" si="75"/>
        <v>0</v>
      </c>
      <c r="G978">
        <f t="shared" si="76"/>
        <v>0</v>
      </c>
      <c r="H978">
        <f t="shared" si="77"/>
        <v>0</v>
      </c>
      <c r="I978">
        <f t="shared" si="78"/>
        <v>13</v>
      </c>
      <c r="J978">
        <f t="shared" si="79"/>
        <v>0</v>
      </c>
    </row>
    <row r="979" spans="1:10" x14ac:dyDescent="0.3">
      <c r="A979" s="1">
        <v>41994</v>
      </c>
      <c r="B979" s="1">
        <v>42016</v>
      </c>
      <c r="C979">
        <v>4.25</v>
      </c>
      <c r="D979">
        <v>0.11</v>
      </c>
      <c r="E979">
        <v>4</v>
      </c>
      <c r="F979">
        <f t="shared" si="75"/>
        <v>0</v>
      </c>
      <c r="G979">
        <f t="shared" si="76"/>
        <v>0</v>
      </c>
      <c r="H979">
        <f t="shared" si="77"/>
        <v>22</v>
      </c>
      <c r="I979">
        <f t="shared" si="78"/>
        <v>0</v>
      </c>
      <c r="J979">
        <f t="shared" si="79"/>
        <v>0</v>
      </c>
    </row>
    <row r="980" spans="1:10" x14ac:dyDescent="0.3">
      <c r="A980" s="1">
        <v>41995</v>
      </c>
      <c r="B980" s="1">
        <v>42018</v>
      </c>
      <c r="C980">
        <v>6.43</v>
      </c>
      <c r="D980">
        <v>0.17</v>
      </c>
      <c r="E980">
        <v>2</v>
      </c>
      <c r="F980">
        <f t="shared" si="75"/>
        <v>23</v>
      </c>
      <c r="G980">
        <f t="shared" si="76"/>
        <v>0</v>
      </c>
      <c r="H980">
        <f t="shared" si="77"/>
        <v>0</v>
      </c>
      <c r="I980">
        <f t="shared" si="78"/>
        <v>0</v>
      </c>
      <c r="J980">
        <f t="shared" si="79"/>
        <v>0</v>
      </c>
    </row>
    <row r="981" spans="1:10" x14ac:dyDescent="0.3">
      <c r="A981" s="1">
        <v>41995</v>
      </c>
      <c r="B981" s="1">
        <v>42017</v>
      </c>
      <c r="C981">
        <v>4.66</v>
      </c>
      <c r="D981">
        <v>0.12</v>
      </c>
      <c r="E981">
        <v>5</v>
      </c>
      <c r="F981">
        <f t="shared" si="75"/>
        <v>0</v>
      </c>
      <c r="G981">
        <f t="shared" si="76"/>
        <v>0</v>
      </c>
      <c r="H981">
        <f t="shared" si="77"/>
        <v>0</v>
      </c>
      <c r="I981">
        <f t="shared" si="78"/>
        <v>22</v>
      </c>
      <c r="J981">
        <f t="shared" si="79"/>
        <v>0</v>
      </c>
    </row>
    <row r="982" spans="1:10" x14ac:dyDescent="0.3">
      <c r="A982" s="1">
        <v>41995</v>
      </c>
      <c r="B982" s="1">
        <v>42006</v>
      </c>
      <c r="C982">
        <v>6.23</v>
      </c>
      <c r="D982">
        <v>0.16</v>
      </c>
      <c r="E982">
        <v>5</v>
      </c>
      <c r="F982">
        <f t="shared" si="75"/>
        <v>0</v>
      </c>
      <c r="G982">
        <f t="shared" si="76"/>
        <v>0</v>
      </c>
      <c r="H982">
        <f t="shared" si="77"/>
        <v>0</v>
      </c>
      <c r="I982">
        <f t="shared" si="78"/>
        <v>11</v>
      </c>
      <c r="J982">
        <f t="shared" si="79"/>
        <v>0</v>
      </c>
    </row>
    <row r="983" spans="1:10" x14ac:dyDescent="0.3">
      <c r="A983" s="1">
        <v>41995</v>
      </c>
      <c r="B983" s="1">
        <v>42018</v>
      </c>
      <c r="C983">
        <v>3.73</v>
      </c>
      <c r="D983">
        <v>0.1</v>
      </c>
      <c r="E983">
        <v>3</v>
      </c>
      <c r="F983">
        <f t="shared" si="75"/>
        <v>0</v>
      </c>
      <c r="G983">
        <f t="shared" si="76"/>
        <v>23</v>
      </c>
      <c r="H983">
        <f t="shared" si="77"/>
        <v>0</v>
      </c>
      <c r="I983">
        <f t="shared" si="78"/>
        <v>0</v>
      </c>
      <c r="J983">
        <f t="shared" si="79"/>
        <v>0</v>
      </c>
    </row>
    <row r="984" spans="1:10" x14ac:dyDescent="0.3">
      <c r="A984" s="1">
        <v>41995</v>
      </c>
      <c r="B984" s="1">
        <v>42006</v>
      </c>
      <c r="C984">
        <v>3.79</v>
      </c>
      <c r="D984">
        <v>0.1</v>
      </c>
      <c r="E984">
        <v>2</v>
      </c>
      <c r="F984">
        <f t="shared" si="75"/>
        <v>11</v>
      </c>
      <c r="G984">
        <f t="shared" si="76"/>
        <v>0</v>
      </c>
      <c r="H984">
        <f t="shared" si="77"/>
        <v>0</v>
      </c>
      <c r="I984">
        <f t="shared" si="78"/>
        <v>0</v>
      </c>
      <c r="J984">
        <f t="shared" si="79"/>
        <v>0</v>
      </c>
    </row>
    <row r="985" spans="1:10" x14ac:dyDescent="0.3">
      <c r="A985" s="1">
        <v>41995</v>
      </c>
      <c r="B985" s="1">
        <v>42000</v>
      </c>
      <c r="C985">
        <v>2.0099999999999998</v>
      </c>
      <c r="D985">
        <v>0.05</v>
      </c>
      <c r="E985">
        <v>6</v>
      </c>
      <c r="F985">
        <f t="shared" si="75"/>
        <v>0</v>
      </c>
      <c r="G985">
        <f t="shared" si="76"/>
        <v>0</v>
      </c>
      <c r="H985">
        <f t="shared" si="77"/>
        <v>0</v>
      </c>
      <c r="I985">
        <f t="shared" si="78"/>
        <v>0</v>
      </c>
      <c r="J985">
        <f t="shared" si="79"/>
        <v>5</v>
      </c>
    </row>
    <row r="986" spans="1:10" x14ac:dyDescent="0.3">
      <c r="A986" s="1">
        <v>41995</v>
      </c>
      <c r="B986" s="1">
        <v>42003</v>
      </c>
      <c r="C986">
        <v>6.43</v>
      </c>
      <c r="D986">
        <v>0.17</v>
      </c>
      <c r="E986">
        <v>3</v>
      </c>
      <c r="F986">
        <f t="shared" si="75"/>
        <v>0</v>
      </c>
      <c r="G986">
        <f t="shared" si="76"/>
        <v>8</v>
      </c>
      <c r="H986">
        <f t="shared" si="77"/>
        <v>0</v>
      </c>
      <c r="I986">
        <f t="shared" si="78"/>
        <v>0</v>
      </c>
      <c r="J986">
        <f t="shared" si="79"/>
        <v>0</v>
      </c>
    </row>
    <row r="987" spans="1:10" x14ac:dyDescent="0.3">
      <c r="A987" s="1">
        <v>41995</v>
      </c>
      <c r="B987" s="1">
        <v>42022</v>
      </c>
      <c r="C987">
        <v>2.72</v>
      </c>
      <c r="D987">
        <v>7.0000000000000007E-2</v>
      </c>
      <c r="E987">
        <v>3</v>
      </c>
      <c r="F987">
        <f t="shared" si="75"/>
        <v>0</v>
      </c>
      <c r="G987">
        <f t="shared" si="76"/>
        <v>27</v>
      </c>
      <c r="H987">
        <f t="shared" si="77"/>
        <v>0</v>
      </c>
      <c r="I987">
        <f t="shared" si="78"/>
        <v>0</v>
      </c>
      <c r="J987">
        <f t="shared" si="79"/>
        <v>0</v>
      </c>
    </row>
    <row r="988" spans="1:10" x14ac:dyDescent="0.3">
      <c r="A988" s="1">
        <v>41995</v>
      </c>
      <c r="B988" s="1">
        <v>42005</v>
      </c>
      <c r="C988">
        <v>9.06</v>
      </c>
      <c r="D988">
        <v>0.24</v>
      </c>
      <c r="E988">
        <v>3</v>
      </c>
      <c r="F988">
        <f t="shared" si="75"/>
        <v>0</v>
      </c>
      <c r="G988">
        <f t="shared" si="76"/>
        <v>10</v>
      </c>
      <c r="H988">
        <f t="shared" si="77"/>
        <v>0</v>
      </c>
      <c r="I988">
        <f t="shared" si="78"/>
        <v>0</v>
      </c>
      <c r="J988">
        <f t="shared" si="79"/>
        <v>0</v>
      </c>
    </row>
    <row r="989" spans="1:10" x14ac:dyDescent="0.3">
      <c r="A989" s="1">
        <v>41995</v>
      </c>
      <c r="B989" s="1">
        <v>42007</v>
      </c>
      <c r="C989">
        <v>5.67</v>
      </c>
      <c r="D989">
        <v>0.15</v>
      </c>
      <c r="E989">
        <v>3</v>
      </c>
      <c r="F989">
        <f t="shared" si="75"/>
        <v>0</v>
      </c>
      <c r="G989">
        <f t="shared" si="76"/>
        <v>12</v>
      </c>
      <c r="H989">
        <f t="shared" si="77"/>
        <v>0</v>
      </c>
      <c r="I989">
        <f t="shared" si="78"/>
        <v>0</v>
      </c>
      <c r="J989">
        <f t="shared" si="79"/>
        <v>0</v>
      </c>
    </row>
    <row r="990" spans="1:10" x14ac:dyDescent="0.3">
      <c r="A990" s="1">
        <v>41995</v>
      </c>
      <c r="B990" s="1">
        <v>42009</v>
      </c>
      <c r="C990">
        <v>4.25</v>
      </c>
      <c r="D990">
        <v>0.11</v>
      </c>
      <c r="E990">
        <v>6</v>
      </c>
      <c r="F990">
        <f t="shared" si="75"/>
        <v>0</v>
      </c>
      <c r="G990">
        <f t="shared" si="76"/>
        <v>0</v>
      </c>
      <c r="H990">
        <f t="shared" si="77"/>
        <v>0</v>
      </c>
      <c r="I990">
        <f t="shared" si="78"/>
        <v>0</v>
      </c>
      <c r="J990">
        <f t="shared" si="79"/>
        <v>14</v>
      </c>
    </row>
    <row r="991" spans="1:10" x14ac:dyDescent="0.3">
      <c r="A991" s="1">
        <v>41995</v>
      </c>
      <c r="B991" s="1">
        <v>42009</v>
      </c>
      <c r="C991">
        <v>3.57</v>
      </c>
      <c r="D991">
        <v>0.09</v>
      </c>
      <c r="E991">
        <v>2</v>
      </c>
      <c r="F991">
        <f t="shared" si="75"/>
        <v>14</v>
      </c>
      <c r="G991">
        <f t="shared" si="76"/>
        <v>0</v>
      </c>
      <c r="H991">
        <f t="shared" si="77"/>
        <v>0</v>
      </c>
      <c r="I991">
        <f t="shared" si="78"/>
        <v>0</v>
      </c>
      <c r="J991">
        <f t="shared" si="79"/>
        <v>0</v>
      </c>
    </row>
    <row r="992" spans="1:10" x14ac:dyDescent="0.3">
      <c r="A992" s="1">
        <v>41995</v>
      </c>
      <c r="B992" s="1">
        <v>42008</v>
      </c>
      <c r="C992">
        <v>8.39</v>
      </c>
      <c r="D992">
        <v>0.22</v>
      </c>
      <c r="E992">
        <v>5</v>
      </c>
      <c r="F992">
        <f t="shared" si="75"/>
        <v>0</v>
      </c>
      <c r="G992">
        <f t="shared" si="76"/>
        <v>0</v>
      </c>
      <c r="H992">
        <f t="shared" si="77"/>
        <v>0</v>
      </c>
      <c r="I992">
        <f t="shared" si="78"/>
        <v>13</v>
      </c>
      <c r="J992">
        <f t="shared" si="79"/>
        <v>0</v>
      </c>
    </row>
    <row r="993" spans="1:10" x14ac:dyDescent="0.3">
      <c r="A993" s="1">
        <v>41995</v>
      </c>
      <c r="B993" s="1">
        <v>42021</v>
      </c>
      <c r="C993">
        <v>2.29</v>
      </c>
      <c r="D993">
        <v>0.06</v>
      </c>
      <c r="E993">
        <v>5</v>
      </c>
      <c r="F993">
        <f t="shared" si="75"/>
        <v>0</v>
      </c>
      <c r="G993">
        <f t="shared" si="76"/>
        <v>0</v>
      </c>
      <c r="H993">
        <f t="shared" si="77"/>
        <v>0</v>
      </c>
      <c r="I993">
        <f t="shared" si="78"/>
        <v>26</v>
      </c>
      <c r="J993">
        <f t="shared" si="79"/>
        <v>0</v>
      </c>
    </row>
    <row r="994" spans="1:10" x14ac:dyDescent="0.3">
      <c r="A994" s="1">
        <v>42001</v>
      </c>
      <c r="B994" s="1">
        <v>42010</v>
      </c>
      <c r="C994">
        <v>3.79</v>
      </c>
      <c r="D994">
        <v>0.1</v>
      </c>
      <c r="E994">
        <v>4</v>
      </c>
      <c r="F994">
        <f t="shared" si="75"/>
        <v>0</v>
      </c>
      <c r="G994">
        <f t="shared" si="76"/>
        <v>0</v>
      </c>
      <c r="H994">
        <f t="shared" si="77"/>
        <v>9</v>
      </c>
      <c r="I994">
        <f t="shared" si="78"/>
        <v>0</v>
      </c>
      <c r="J994">
        <f t="shared" si="79"/>
        <v>0</v>
      </c>
    </row>
    <row r="995" spans="1:10" x14ac:dyDescent="0.3">
      <c r="A995" s="1">
        <v>42001</v>
      </c>
      <c r="B995" s="1">
        <v>42006</v>
      </c>
      <c r="C995">
        <v>7.55</v>
      </c>
      <c r="D995">
        <v>0.2</v>
      </c>
      <c r="E995">
        <v>3</v>
      </c>
      <c r="F995">
        <f t="shared" si="75"/>
        <v>0</v>
      </c>
      <c r="G995">
        <f t="shared" si="76"/>
        <v>5</v>
      </c>
      <c r="H995">
        <f t="shared" si="77"/>
        <v>0</v>
      </c>
      <c r="I995">
        <f t="shared" si="78"/>
        <v>0</v>
      </c>
      <c r="J995">
        <f t="shared" si="79"/>
        <v>0</v>
      </c>
    </row>
    <row r="996" spans="1:10" x14ac:dyDescent="0.3">
      <c r="A996" s="1">
        <v>42002</v>
      </c>
      <c r="B996" s="1">
        <v>42028</v>
      </c>
      <c r="C996">
        <v>7.71</v>
      </c>
      <c r="D996">
        <v>0.2</v>
      </c>
      <c r="E996">
        <v>6</v>
      </c>
      <c r="F996">
        <f t="shared" si="75"/>
        <v>0</v>
      </c>
      <c r="G996">
        <f t="shared" si="76"/>
        <v>0</v>
      </c>
      <c r="H996">
        <f t="shared" si="77"/>
        <v>0</v>
      </c>
      <c r="I996">
        <f t="shared" si="78"/>
        <v>0</v>
      </c>
      <c r="J996">
        <f t="shared" si="79"/>
        <v>26</v>
      </c>
    </row>
    <row r="997" spans="1:10" x14ac:dyDescent="0.3">
      <c r="A997" s="1">
        <v>42002</v>
      </c>
      <c r="B997" s="1">
        <v>42004</v>
      </c>
      <c r="C997">
        <v>6.34</v>
      </c>
      <c r="D997">
        <v>0.17</v>
      </c>
      <c r="E997">
        <v>4</v>
      </c>
      <c r="F997">
        <f t="shared" si="75"/>
        <v>0</v>
      </c>
      <c r="G997">
        <f t="shared" si="76"/>
        <v>0</v>
      </c>
      <c r="H997">
        <f t="shared" si="77"/>
        <v>2</v>
      </c>
      <c r="I997">
        <f t="shared" si="78"/>
        <v>0</v>
      </c>
      <c r="J997">
        <f t="shared" si="79"/>
        <v>0</v>
      </c>
    </row>
    <row r="998" spans="1:10" x14ac:dyDescent="0.3">
      <c r="A998" s="1">
        <v>42002</v>
      </c>
      <c r="B998" s="1">
        <v>42012</v>
      </c>
      <c r="C998">
        <v>6.58</v>
      </c>
      <c r="D998">
        <v>0.17</v>
      </c>
      <c r="E998">
        <v>2</v>
      </c>
      <c r="F998">
        <f t="shared" si="75"/>
        <v>10</v>
      </c>
      <c r="G998">
        <f t="shared" si="76"/>
        <v>0</v>
      </c>
      <c r="H998">
        <f t="shared" si="77"/>
        <v>0</v>
      </c>
      <c r="I998">
        <f t="shared" si="78"/>
        <v>0</v>
      </c>
      <c r="J998">
        <f t="shared" si="79"/>
        <v>0</v>
      </c>
    </row>
    <row r="999" spans="1:10" x14ac:dyDescent="0.3">
      <c r="A999" s="1">
        <v>42002</v>
      </c>
      <c r="B999" s="1">
        <v>42028</v>
      </c>
      <c r="C999">
        <v>6.34</v>
      </c>
      <c r="D999">
        <v>0.17</v>
      </c>
      <c r="E999">
        <v>6</v>
      </c>
      <c r="F999">
        <f t="shared" si="75"/>
        <v>0</v>
      </c>
      <c r="G999">
        <f t="shared" si="76"/>
        <v>0</v>
      </c>
      <c r="H999">
        <f t="shared" si="77"/>
        <v>0</v>
      </c>
      <c r="I999">
        <f t="shared" si="78"/>
        <v>0</v>
      </c>
      <c r="J999">
        <f t="shared" si="79"/>
        <v>26</v>
      </c>
    </row>
    <row r="1000" spans="1:10" x14ac:dyDescent="0.3">
      <c r="A1000" s="1">
        <v>42002</v>
      </c>
      <c r="B1000" s="1">
        <v>42019</v>
      </c>
      <c r="C1000">
        <v>5.67</v>
      </c>
      <c r="D1000">
        <v>0.15</v>
      </c>
      <c r="E1000">
        <v>4</v>
      </c>
      <c r="F1000">
        <f t="shared" si="75"/>
        <v>0</v>
      </c>
      <c r="G1000">
        <f t="shared" si="76"/>
        <v>0</v>
      </c>
      <c r="H1000">
        <f t="shared" si="77"/>
        <v>17</v>
      </c>
      <c r="I1000">
        <f t="shared" si="78"/>
        <v>0</v>
      </c>
      <c r="J1000">
        <f t="shared" si="79"/>
        <v>0</v>
      </c>
    </row>
    <row r="1001" spans="1:10" x14ac:dyDescent="0.3">
      <c r="A1001" s="1">
        <v>42002</v>
      </c>
      <c r="B1001" s="1">
        <v>42009</v>
      </c>
      <c r="C1001">
        <v>4.25</v>
      </c>
      <c r="D1001">
        <v>0.11</v>
      </c>
      <c r="E1001">
        <v>4</v>
      </c>
      <c r="F1001">
        <f t="shared" si="75"/>
        <v>0</v>
      </c>
      <c r="G1001">
        <f t="shared" si="76"/>
        <v>0</v>
      </c>
      <c r="H1001">
        <f t="shared" si="77"/>
        <v>7</v>
      </c>
      <c r="I1001">
        <f t="shared" si="78"/>
        <v>0</v>
      </c>
      <c r="J1001">
        <f t="shared" si="79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1"/>
  <sheetViews>
    <sheetView workbookViewId="0">
      <selection activeCell="U8" sqref="U8"/>
    </sheetView>
  </sheetViews>
  <sheetFormatPr defaultRowHeight="14.4" x14ac:dyDescent="0.3"/>
  <cols>
    <col min="1" max="1" width="13.33203125" bestFit="1" customWidth="1"/>
    <col min="2" max="2" width="12.21875" bestFit="1" customWidth="1"/>
    <col min="3" max="3" width="7" bestFit="1" customWidth="1"/>
    <col min="4" max="4" width="5.5546875" bestFit="1" customWidth="1"/>
    <col min="5" max="5" width="3.5546875" bestFit="1" customWidth="1"/>
    <col min="21" max="21" width="11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5</v>
      </c>
      <c r="O1" t="s">
        <v>6</v>
      </c>
      <c r="P1" t="s">
        <v>7</v>
      </c>
      <c r="Q1" t="s">
        <v>8</v>
      </c>
      <c r="R1" t="s">
        <v>9</v>
      </c>
    </row>
    <row r="2" spans="1:21" x14ac:dyDescent="0.3">
      <c r="A2" s="1">
        <v>41641</v>
      </c>
      <c r="B2" s="1">
        <v>41650</v>
      </c>
      <c r="C2">
        <v>39.35</v>
      </c>
      <c r="D2">
        <v>1.04</v>
      </c>
      <c r="E2">
        <v>5</v>
      </c>
      <c r="F2">
        <f>IF(EXACT(E2,2),B2-A2,0)</f>
        <v>0</v>
      </c>
      <c r="G2">
        <f>IF(EXACT(E2,3),B2-A2,0)</f>
        <v>0</v>
      </c>
      <c r="H2">
        <f>IF(EXACT(E2,4),B2-A2,0)</f>
        <v>0</v>
      </c>
      <c r="I2">
        <f>IF(EXACT(E2,5),B2-A2,0)</f>
        <v>9</v>
      </c>
      <c r="J2">
        <f>IF(EXACT(E2,6),B2-A2,0)</f>
        <v>0</v>
      </c>
      <c r="K2">
        <f>10 * E2 * (F2+G2+H2+I2+J2)</f>
        <v>450</v>
      </c>
      <c r="L2">
        <f>C2+D2</f>
        <v>40.39</v>
      </c>
      <c r="M2">
        <f>K2+L2</f>
        <v>490.39</v>
      </c>
      <c r="N2">
        <f>IF(EXACT(E2,2),M2,0)</f>
        <v>0</v>
      </c>
      <c r="O2">
        <f>IF(EXACT(E2,3),M2,0)</f>
        <v>0</v>
      </c>
      <c r="P2">
        <f>IF(EXACT(E2,4),M2,0)</f>
        <v>0</v>
      </c>
      <c r="Q2">
        <f>IF(EXACT(E2,5),M2,0)</f>
        <v>490.39</v>
      </c>
      <c r="R2">
        <f>IF(EXACT(E2,6),M2,0)</f>
        <v>0</v>
      </c>
      <c r="T2" s="4" t="s">
        <v>9</v>
      </c>
      <c r="U2" s="4">
        <f>SUM(R:R)</f>
        <v>196335.25000000006</v>
      </c>
    </row>
    <row r="3" spans="1:21" x14ac:dyDescent="0.3">
      <c r="A3" s="1">
        <v>41641</v>
      </c>
      <c r="B3" s="1">
        <v>41662</v>
      </c>
      <c r="C3">
        <v>3.79</v>
      </c>
      <c r="D3">
        <v>0.1</v>
      </c>
      <c r="E3">
        <v>6</v>
      </c>
      <c r="F3">
        <f t="shared" ref="F3:F66" si="0">IF(EXACT(E3,2),B3-A3,0)</f>
        <v>0</v>
      </c>
      <c r="G3">
        <f t="shared" ref="G3:G66" si="1">IF(EXACT(E3,3),B3-A3,0)</f>
        <v>0</v>
      </c>
      <c r="H3">
        <f t="shared" ref="H3:H66" si="2">IF(EXACT(E3,4),B3-A3,0)</f>
        <v>0</v>
      </c>
      <c r="I3">
        <f t="shared" ref="I3:I66" si="3">IF(EXACT(E3,5),B3-A3,0)</f>
        <v>0</v>
      </c>
      <c r="J3">
        <f t="shared" ref="J3:J66" si="4">IF(EXACT(E3,6),B3-A3,0)</f>
        <v>21</v>
      </c>
      <c r="K3">
        <f t="shared" ref="K3:K66" si="5">10 * E3 * (F3+G3+H3+I3+J3)</f>
        <v>1260</v>
      </c>
      <c r="L3">
        <f t="shared" ref="L3:L66" si="6">C3+D3</f>
        <v>3.89</v>
      </c>
      <c r="M3">
        <f t="shared" ref="M3:M66" si="7">K3+L3</f>
        <v>1263.8900000000001</v>
      </c>
      <c r="N3">
        <f t="shared" ref="N3:N66" si="8">IF(EXACT(E3,2),M3,0)</f>
        <v>0</v>
      </c>
      <c r="O3">
        <f t="shared" ref="O3:O66" si="9">IF(EXACT(E3,3),M3,0)</f>
        <v>0</v>
      </c>
      <c r="P3">
        <f t="shared" ref="P3:P66" si="10">IF(EXACT(E3,4),M3,0)</f>
        <v>0</v>
      </c>
      <c r="Q3">
        <f t="shared" ref="Q3:Q66" si="11">IF(EXACT(E3,5),M3,0)</f>
        <v>0</v>
      </c>
      <c r="R3">
        <f t="shared" ref="R3:R66" si="12">IF(EXACT(E3,6),M3,0)</f>
        <v>1263.8900000000001</v>
      </c>
      <c r="T3" s="4" t="s">
        <v>8</v>
      </c>
      <c r="U3" s="4">
        <f>SUM(Q:Q)</f>
        <v>151509.94000000009</v>
      </c>
    </row>
    <row r="4" spans="1:21" x14ac:dyDescent="0.3">
      <c r="A4" s="1">
        <v>41641</v>
      </c>
      <c r="B4" s="1">
        <v>41653</v>
      </c>
      <c r="C4">
        <v>3.88</v>
      </c>
      <c r="D4">
        <v>0.1</v>
      </c>
      <c r="E4">
        <v>6</v>
      </c>
      <c r="F4">
        <f t="shared" si="0"/>
        <v>0</v>
      </c>
      <c r="G4">
        <f t="shared" si="1"/>
        <v>0</v>
      </c>
      <c r="H4">
        <f t="shared" si="2"/>
        <v>0</v>
      </c>
      <c r="I4">
        <f t="shared" si="3"/>
        <v>0</v>
      </c>
      <c r="J4">
        <f t="shared" si="4"/>
        <v>12</v>
      </c>
      <c r="K4">
        <f t="shared" si="5"/>
        <v>720</v>
      </c>
      <c r="L4">
        <f t="shared" si="6"/>
        <v>3.98</v>
      </c>
      <c r="M4">
        <f t="shared" si="7"/>
        <v>723.98</v>
      </c>
      <c r="N4">
        <f t="shared" si="8"/>
        <v>0</v>
      </c>
      <c r="O4">
        <f t="shared" si="9"/>
        <v>0</v>
      </c>
      <c r="P4">
        <f t="shared" si="10"/>
        <v>0</v>
      </c>
      <c r="Q4">
        <f t="shared" si="11"/>
        <v>0</v>
      </c>
      <c r="R4">
        <f t="shared" si="12"/>
        <v>723.98</v>
      </c>
      <c r="T4" s="4" t="s">
        <v>7</v>
      </c>
      <c r="U4" s="4">
        <f>SUM(P:P)</f>
        <v>119478.24000000006</v>
      </c>
    </row>
    <row r="5" spans="1:21" x14ac:dyDescent="0.3">
      <c r="A5" s="1">
        <v>41641</v>
      </c>
      <c r="B5" s="1">
        <v>41661</v>
      </c>
      <c r="C5">
        <v>6.43</v>
      </c>
      <c r="D5">
        <v>0.17</v>
      </c>
      <c r="E5">
        <v>5</v>
      </c>
      <c r="F5">
        <f t="shared" si="0"/>
        <v>0</v>
      </c>
      <c r="G5">
        <f t="shared" si="1"/>
        <v>0</v>
      </c>
      <c r="H5">
        <f t="shared" si="2"/>
        <v>0</v>
      </c>
      <c r="I5">
        <f t="shared" si="3"/>
        <v>20</v>
      </c>
      <c r="J5">
        <f t="shared" si="4"/>
        <v>0</v>
      </c>
      <c r="K5">
        <f t="shared" si="5"/>
        <v>1000</v>
      </c>
      <c r="L5">
        <f t="shared" si="6"/>
        <v>6.6</v>
      </c>
      <c r="M5">
        <f t="shared" si="7"/>
        <v>1006.6</v>
      </c>
      <c r="N5">
        <f t="shared" si="8"/>
        <v>0</v>
      </c>
      <c r="O5">
        <f t="shared" si="9"/>
        <v>0</v>
      </c>
      <c r="P5">
        <f t="shared" si="10"/>
        <v>0</v>
      </c>
      <c r="Q5">
        <f t="shared" si="11"/>
        <v>1006.6</v>
      </c>
      <c r="R5">
        <f t="shared" si="12"/>
        <v>0</v>
      </c>
      <c r="T5" s="4" t="s">
        <v>6</v>
      </c>
      <c r="U5" s="4">
        <f>SUM(O:O)</f>
        <v>86170.730000000054</v>
      </c>
    </row>
    <row r="6" spans="1:21" x14ac:dyDescent="0.3">
      <c r="A6" s="1">
        <v>41641</v>
      </c>
      <c r="B6" s="1">
        <v>41666</v>
      </c>
      <c r="C6">
        <v>8.39</v>
      </c>
      <c r="D6">
        <v>0.22</v>
      </c>
      <c r="E6">
        <v>2</v>
      </c>
      <c r="F6">
        <f t="shared" si="0"/>
        <v>25</v>
      </c>
      <c r="G6">
        <f t="shared" si="1"/>
        <v>0</v>
      </c>
      <c r="H6">
        <f t="shared" si="2"/>
        <v>0</v>
      </c>
      <c r="I6">
        <f t="shared" si="3"/>
        <v>0</v>
      </c>
      <c r="J6">
        <f t="shared" si="4"/>
        <v>0</v>
      </c>
      <c r="K6">
        <f t="shared" si="5"/>
        <v>500</v>
      </c>
      <c r="L6">
        <f t="shared" si="6"/>
        <v>8.6100000000000012</v>
      </c>
      <c r="M6">
        <f t="shared" si="7"/>
        <v>508.61</v>
      </c>
      <c r="N6">
        <f t="shared" si="8"/>
        <v>508.61</v>
      </c>
      <c r="O6">
        <f t="shared" si="9"/>
        <v>0</v>
      </c>
      <c r="P6">
        <f t="shared" si="10"/>
        <v>0</v>
      </c>
      <c r="Q6">
        <f t="shared" si="11"/>
        <v>0</v>
      </c>
      <c r="R6">
        <f t="shared" si="12"/>
        <v>0</v>
      </c>
      <c r="T6" s="4" t="s">
        <v>5</v>
      </c>
      <c r="U6" s="4">
        <f>SUM(N:N)</f>
        <v>61401.000000000029</v>
      </c>
    </row>
    <row r="7" spans="1:21" x14ac:dyDescent="0.3">
      <c r="A7" s="1">
        <v>41641</v>
      </c>
      <c r="B7" s="1">
        <v>41669</v>
      </c>
      <c r="C7">
        <v>11.42</v>
      </c>
      <c r="D7">
        <v>0.3</v>
      </c>
      <c r="E7">
        <v>2</v>
      </c>
      <c r="F7">
        <f t="shared" si="0"/>
        <v>28</v>
      </c>
      <c r="G7">
        <f t="shared" si="1"/>
        <v>0</v>
      </c>
      <c r="H7">
        <f t="shared" si="2"/>
        <v>0</v>
      </c>
      <c r="I7">
        <f t="shared" si="3"/>
        <v>0</v>
      </c>
      <c r="J7">
        <f t="shared" si="4"/>
        <v>0</v>
      </c>
      <c r="K7">
        <f t="shared" si="5"/>
        <v>560</v>
      </c>
      <c r="L7">
        <f t="shared" si="6"/>
        <v>11.72</v>
      </c>
      <c r="M7">
        <f t="shared" si="7"/>
        <v>571.72</v>
      </c>
      <c r="N7">
        <f t="shared" si="8"/>
        <v>571.72</v>
      </c>
      <c r="O7">
        <f t="shared" si="9"/>
        <v>0</v>
      </c>
      <c r="P7">
        <f t="shared" si="10"/>
        <v>0</v>
      </c>
      <c r="Q7">
        <f t="shared" si="11"/>
        <v>0</v>
      </c>
      <c r="R7">
        <f t="shared" si="12"/>
        <v>0</v>
      </c>
    </row>
    <row r="8" spans="1:21" x14ac:dyDescent="0.3">
      <c r="A8" s="1">
        <v>41642</v>
      </c>
      <c r="B8" s="1">
        <v>41670</v>
      </c>
      <c r="C8">
        <v>5.64</v>
      </c>
      <c r="D8">
        <v>0.15</v>
      </c>
      <c r="E8">
        <v>5</v>
      </c>
      <c r="F8">
        <f t="shared" si="0"/>
        <v>0</v>
      </c>
      <c r="G8">
        <f t="shared" si="1"/>
        <v>0</v>
      </c>
      <c r="H8">
        <f t="shared" si="2"/>
        <v>0</v>
      </c>
      <c r="I8">
        <f t="shared" si="3"/>
        <v>28</v>
      </c>
      <c r="J8">
        <f t="shared" si="4"/>
        <v>0</v>
      </c>
      <c r="K8">
        <f t="shared" si="5"/>
        <v>1400</v>
      </c>
      <c r="L8">
        <f t="shared" si="6"/>
        <v>5.79</v>
      </c>
      <c r="M8">
        <f t="shared" si="7"/>
        <v>1405.79</v>
      </c>
      <c r="N8">
        <f t="shared" si="8"/>
        <v>0</v>
      </c>
      <c r="O8">
        <f t="shared" si="9"/>
        <v>0</v>
      </c>
      <c r="P8">
        <f t="shared" si="10"/>
        <v>0</v>
      </c>
      <c r="Q8">
        <f t="shared" si="11"/>
        <v>1405.79</v>
      </c>
      <c r="R8">
        <f t="shared" si="12"/>
        <v>0</v>
      </c>
    </row>
    <row r="9" spans="1:21" x14ac:dyDescent="0.3">
      <c r="A9" s="1">
        <v>41642</v>
      </c>
      <c r="B9" s="1">
        <v>41645</v>
      </c>
      <c r="C9">
        <v>10.59</v>
      </c>
      <c r="D9">
        <v>0.28000000000000003</v>
      </c>
      <c r="E9">
        <v>5</v>
      </c>
      <c r="F9">
        <f t="shared" si="0"/>
        <v>0</v>
      </c>
      <c r="G9">
        <f t="shared" si="1"/>
        <v>0</v>
      </c>
      <c r="H9">
        <f t="shared" si="2"/>
        <v>0</v>
      </c>
      <c r="I9">
        <f t="shared" si="3"/>
        <v>3</v>
      </c>
      <c r="J9">
        <f t="shared" si="4"/>
        <v>0</v>
      </c>
      <c r="K9">
        <f t="shared" si="5"/>
        <v>150</v>
      </c>
      <c r="L9">
        <f t="shared" si="6"/>
        <v>10.87</v>
      </c>
      <c r="M9">
        <f t="shared" si="7"/>
        <v>160.87</v>
      </c>
      <c r="N9">
        <f t="shared" si="8"/>
        <v>0</v>
      </c>
      <c r="O9">
        <f t="shared" si="9"/>
        <v>0</v>
      </c>
      <c r="P9">
        <f t="shared" si="10"/>
        <v>0</v>
      </c>
      <c r="Q9">
        <f t="shared" si="11"/>
        <v>160.87</v>
      </c>
      <c r="R9">
        <f t="shared" si="12"/>
        <v>0</v>
      </c>
    </row>
    <row r="10" spans="1:21" x14ac:dyDescent="0.3">
      <c r="A10" s="1">
        <v>41642</v>
      </c>
      <c r="B10" s="1">
        <v>41669</v>
      </c>
      <c r="C10">
        <v>4.25</v>
      </c>
      <c r="D10">
        <v>0.11</v>
      </c>
      <c r="E10">
        <v>2</v>
      </c>
      <c r="F10">
        <f t="shared" si="0"/>
        <v>27</v>
      </c>
      <c r="G10">
        <f t="shared" si="1"/>
        <v>0</v>
      </c>
      <c r="H10">
        <f t="shared" si="2"/>
        <v>0</v>
      </c>
      <c r="I10">
        <f t="shared" si="3"/>
        <v>0</v>
      </c>
      <c r="J10">
        <f t="shared" si="4"/>
        <v>0</v>
      </c>
      <c r="K10">
        <f t="shared" si="5"/>
        <v>540</v>
      </c>
      <c r="L10">
        <f t="shared" si="6"/>
        <v>4.3600000000000003</v>
      </c>
      <c r="M10">
        <f t="shared" si="7"/>
        <v>544.36</v>
      </c>
      <c r="N10">
        <f t="shared" si="8"/>
        <v>544.36</v>
      </c>
      <c r="O10">
        <f t="shared" si="9"/>
        <v>0</v>
      </c>
      <c r="P10">
        <f t="shared" si="10"/>
        <v>0</v>
      </c>
      <c r="Q10">
        <f t="shared" si="11"/>
        <v>0</v>
      </c>
      <c r="R10">
        <f t="shared" si="12"/>
        <v>0</v>
      </c>
    </row>
    <row r="11" spans="1:21" x14ac:dyDescent="0.3">
      <c r="A11" s="1">
        <v>41642</v>
      </c>
      <c r="B11" s="1">
        <v>41660</v>
      </c>
      <c r="C11">
        <v>5.64</v>
      </c>
      <c r="D11">
        <v>0.15</v>
      </c>
      <c r="E11">
        <v>4</v>
      </c>
      <c r="F11">
        <f t="shared" si="0"/>
        <v>0</v>
      </c>
      <c r="G11">
        <f t="shared" si="1"/>
        <v>0</v>
      </c>
      <c r="H11">
        <f t="shared" si="2"/>
        <v>18</v>
      </c>
      <c r="I11">
        <f t="shared" si="3"/>
        <v>0</v>
      </c>
      <c r="J11">
        <f t="shared" si="4"/>
        <v>0</v>
      </c>
      <c r="K11">
        <f t="shared" si="5"/>
        <v>720</v>
      </c>
      <c r="L11">
        <f t="shared" si="6"/>
        <v>5.79</v>
      </c>
      <c r="M11">
        <f t="shared" si="7"/>
        <v>725.79</v>
      </c>
      <c r="N11">
        <f t="shared" si="8"/>
        <v>0</v>
      </c>
      <c r="O11">
        <f t="shared" si="9"/>
        <v>0</v>
      </c>
      <c r="P11">
        <f t="shared" si="10"/>
        <v>725.79</v>
      </c>
      <c r="Q11">
        <f t="shared" si="11"/>
        <v>0</v>
      </c>
      <c r="R11">
        <f t="shared" si="12"/>
        <v>0</v>
      </c>
    </row>
    <row r="12" spans="1:21" x14ac:dyDescent="0.3">
      <c r="A12" s="1">
        <v>41642</v>
      </c>
      <c r="B12" s="1">
        <v>41669</v>
      </c>
      <c r="C12">
        <v>5.78</v>
      </c>
      <c r="D12">
        <v>0.15</v>
      </c>
      <c r="E12">
        <v>5</v>
      </c>
      <c r="F12">
        <f t="shared" si="0"/>
        <v>0</v>
      </c>
      <c r="G12">
        <f t="shared" si="1"/>
        <v>0</v>
      </c>
      <c r="H12">
        <f t="shared" si="2"/>
        <v>0</v>
      </c>
      <c r="I12">
        <f t="shared" si="3"/>
        <v>27</v>
      </c>
      <c r="J12">
        <f t="shared" si="4"/>
        <v>0</v>
      </c>
      <c r="K12">
        <f t="shared" si="5"/>
        <v>1350</v>
      </c>
      <c r="L12">
        <f t="shared" si="6"/>
        <v>5.9300000000000006</v>
      </c>
      <c r="M12">
        <f t="shared" si="7"/>
        <v>1355.93</v>
      </c>
      <c r="N12">
        <f t="shared" si="8"/>
        <v>0</v>
      </c>
      <c r="O12">
        <f t="shared" si="9"/>
        <v>0</v>
      </c>
      <c r="P12">
        <f t="shared" si="10"/>
        <v>0</v>
      </c>
      <c r="Q12">
        <f t="shared" si="11"/>
        <v>1355.93</v>
      </c>
      <c r="R12">
        <f t="shared" si="12"/>
        <v>0</v>
      </c>
    </row>
    <row r="13" spans="1:21" x14ac:dyDescent="0.3">
      <c r="A13" s="1">
        <v>41642</v>
      </c>
      <c r="B13" s="1">
        <v>41669</v>
      </c>
      <c r="C13">
        <v>2.29</v>
      </c>
      <c r="D13">
        <v>0.06</v>
      </c>
      <c r="E13">
        <v>4</v>
      </c>
      <c r="F13">
        <f t="shared" si="0"/>
        <v>0</v>
      </c>
      <c r="G13">
        <f t="shared" si="1"/>
        <v>0</v>
      </c>
      <c r="H13">
        <f t="shared" si="2"/>
        <v>27</v>
      </c>
      <c r="I13">
        <f t="shared" si="3"/>
        <v>0</v>
      </c>
      <c r="J13">
        <f t="shared" si="4"/>
        <v>0</v>
      </c>
      <c r="K13">
        <f t="shared" si="5"/>
        <v>1080</v>
      </c>
      <c r="L13">
        <f t="shared" si="6"/>
        <v>2.35</v>
      </c>
      <c r="M13">
        <f t="shared" si="7"/>
        <v>1082.3499999999999</v>
      </c>
      <c r="N13">
        <f t="shared" si="8"/>
        <v>0</v>
      </c>
      <c r="O13">
        <f t="shared" si="9"/>
        <v>0</v>
      </c>
      <c r="P13">
        <f t="shared" si="10"/>
        <v>1082.3499999999999</v>
      </c>
      <c r="Q13">
        <f t="shared" si="11"/>
        <v>0</v>
      </c>
      <c r="R13">
        <f t="shared" si="12"/>
        <v>0</v>
      </c>
    </row>
    <row r="14" spans="1:21" x14ac:dyDescent="0.3">
      <c r="A14" s="1">
        <v>41642</v>
      </c>
      <c r="B14" s="1">
        <v>41665</v>
      </c>
      <c r="C14">
        <v>5.23</v>
      </c>
      <c r="D14">
        <v>0.14000000000000001</v>
      </c>
      <c r="E14">
        <v>2</v>
      </c>
      <c r="F14">
        <f t="shared" si="0"/>
        <v>23</v>
      </c>
      <c r="G14">
        <f t="shared" si="1"/>
        <v>0</v>
      </c>
      <c r="H14">
        <f t="shared" si="2"/>
        <v>0</v>
      </c>
      <c r="I14">
        <f t="shared" si="3"/>
        <v>0</v>
      </c>
      <c r="J14">
        <f t="shared" si="4"/>
        <v>0</v>
      </c>
      <c r="K14">
        <f t="shared" si="5"/>
        <v>460</v>
      </c>
      <c r="L14">
        <f t="shared" si="6"/>
        <v>5.37</v>
      </c>
      <c r="M14">
        <f t="shared" si="7"/>
        <v>465.37</v>
      </c>
      <c r="N14">
        <f t="shared" si="8"/>
        <v>465.37</v>
      </c>
      <c r="O14">
        <f t="shared" si="9"/>
        <v>0</v>
      </c>
      <c r="P14">
        <f t="shared" si="10"/>
        <v>0</v>
      </c>
      <c r="Q14">
        <f t="shared" si="11"/>
        <v>0</v>
      </c>
      <c r="R14">
        <f t="shared" si="12"/>
        <v>0</v>
      </c>
    </row>
    <row r="15" spans="1:21" x14ac:dyDescent="0.3">
      <c r="A15" s="1">
        <v>41642</v>
      </c>
      <c r="B15" s="1">
        <v>41649</v>
      </c>
      <c r="C15">
        <v>5.67</v>
      </c>
      <c r="D15">
        <v>0.15</v>
      </c>
      <c r="E15">
        <v>2</v>
      </c>
      <c r="F15">
        <f t="shared" si="0"/>
        <v>7</v>
      </c>
      <c r="G15">
        <f t="shared" si="1"/>
        <v>0</v>
      </c>
      <c r="H15">
        <f t="shared" si="2"/>
        <v>0</v>
      </c>
      <c r="I15">
        <f t="shared" si="3"/>
        <v>0</v>
      </c>
      <c r="J15">
        <f t="shared" si="4"/>
        <v>0</v>
      </c>
      <c r="K15">
        <f t="shared" si="5"/>
        <v>140</v>
      </c>
      <c r="L15">
        <f t="shared" si="6"/>
        <v>5.82</v>
      </c>
      <c r="M15">
        <f t="shared" si="7"/>
        <v>145.82</v>
      </c>
      <c r="N15">
        <f t="shared" si="8"/>
        <v>145.82</v>
      </c>
      <c r="O15">
        <f t="shared" si="9"/>
        <v>0</v>
      </c>
      <c r="P15">
        <f t="shared" si="10"/>
        <v>0</v>
      </c>
      <c r="Q15">
        <f t="shared" si="11"/>
        <v>0</v>
      </c>
      <c r="R15">
        <f t="shared" si="12"/>
        <v>0</v>
      </c>
    </row>
    <row r="16" spans="1:21" x14ac:dyDescent="0.3">
      <c r="A16" s="1">
        <v>41643</v>
      </c>
      <c r="B16" s="1">
        <v>41649</v>
      </c>
      <c r="C16">
        <v>5.64</v>
      </c>
      <c r="D16">
        <v>0.15</v>
      </c>
      <c r="E16">
        <v>2</v>
      </c>
      <c r="F16">
        <f t="shared" si="0"/>
        <v>6</v>
      </c>
      <c r="G16">
        <f t="shared" si="1"/>
        <v>0</v>
      </c>
      <c r="H16">
        <f t="shared" si="2"/>
        <v>0</v>
      </c>
      <c r="I16">
        <f t="shared" si="3"/>
        <v>0</v>
      </c>
      <c r="J16">
        <f t="shared" si="4"/>
        <v>0</v>
      </c>
      <c r="K16">
        <f t="shared" si="5"/>
        <v>120</v>
      </c>
      <c r="L16">
        <f t="shared" si="6"/>
        <v>5.79</v>
      </c>
      <c r="M16">
        <f t="shared" si="7"/>
        <v>125.79</v>
      </c>
      <c r="N16">
        <f t="shared" si="8"/>
        <v>125.79</v>
      </c>
      <c r="O16">
        <f t="shared" si="9"/>
        <v>0</v>
      </c>
      <c r="P16">
        <f t="shared" si="10"/>
        <v>0</v>
      </c>
      <c r="Q16">
        <f t="shared" si="11"/>
        <v>0</v>
      </c>
      <c r="R16">
        <f t="shared" si="12"/>
        <v>0</v>
      </c>
    </row>
    <row r="17" spans="1:18" x14ac:dyDescent="0.3">
      <c r="A17" s="1">
        <v>41643</v>
      </c>
      <c r="B17" s="1">
        <v>41650</v>
      </c>
      <c r="C17">
        <v>4.25</v>
      </c>
      <c r="D17">
        <v>0.11</v>
      </c>
      <c r="E17">
        <v>4</v>
      </c>
      <c r="F17">
        <f t="shared" si="0"/>
        <v>0</v>
      </c>
      <c r="G17">
        <f t="shared" si="1"/>
        <v>0</v>
      </c>
      <c r="H17">
        <f t="shared" si="2"/>
        <v>7</v>
      </c>
      <c r="I17">
        <f t="shared" si="3"/>
        <v>0</v>
      </c>
      <c r="J17">
        <f t="shared" si="4"/>
        <v>0</v>
      </c>
      <c r="K17">
        <f t="shared" si="5"/>
        <v>280</v>
      </c>
      <c r="L17">
        <f t="shared" si="6"/>
        <v>4.3600000000000003</v>
      </c>
      <c r="M17">
        <f t="shared" si="7"/>
        <v>284.36</v>
      </c>
      <c r="N17">
        <f t="shared" si="8"/>
        <v>0</v>
      </c>
      <c r="O17">
        <f t="shared" si="9"/>
        <v>0</v>
      </c>
      <c r="P17">
        <f t="shared" si="10"/>
        <v>284.36</v>
      </c>
      <c r="Q17">
        <f t="shared" si="11"/>
        <v>0</v>
      </c>
      <c r="R17">
        <f t="shared" si="12"/>
        <v>0</v>
      </c>
    </row>
    <row r="18" spans="1:18" x14ac:dyDescent="0.3">
      <c r="A18" s="1">
        <v>41643</v>
      </c>
      <c r="B18" s="1">
        <v>41660</v>
      </c>
      <c r="C18">
        <v>6.58</v>
      </c>
      <c r="D18">
        <v>0.17</v>
      </c>
      <c r="E18">
        <v>6</v>
      </c>
      <c r="F18">
        <f t="shared" si="0"/>
        <v>0</v>
      </c>
      <c r="G18">
        <f t="shared" si="1"/>
        <v>0</v>
      </c>
      <c r="H18">
        <f t="shared" si="2"/>
        <v>0</v>
      </c>
      <c r="I18">
        <f t="shared" si="3"/>
        <v>0</v>
      </c>
      <c r="J18">
        <f t="shared" si="4"/>
        <v>17</v>
      </c>
      <c r="K18">
        <f t="shared" si="5"/>
        <v>1020</v>
      </c>
      <c r="L18">
        <f t="shared" si="6"/>
        <v>6.75</v>
      </c>
      <c r="M18">
        <f t="shared" si="7"/>
        <v>1026.75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1026.75</v>
      </c>
    </row>
    <row r="19" spans="1:18" x14ac:dyDescent="0.3">
      <c r="A19" s="1">
        <v>41644</v>
      </c>
      <c r="B19" s="1">
        <v>41661</v>
      </c>
      <c r="C19">
        <v>6.43</v>
      </c>
      <c r="D19">
        <v>0.17</v>
      </c>
      <c r="E19">
        <v>3</v>
      </c>
      <c r="F19">
        <f t="shared" si="0"/>
        <v>0</v>
      </c>
      <c r="G19">
        <f t="shared" si="1"/>
        <v>17</v>
      </c>
      <c r="H19">
        <f t="shared" si="2"/>
        <v>0</v>
      </c>
      <c r="I19">
        <f t="shared" si="3"/>
        <v>0</v>
      </c>
      <c r="J19">
        <f t="shared" si="4"/>
        <v>0</v>
      </c>
      <c r="K19">
        <f t="shared" si="5"/>
        <v>510</v>
      </c>
      <c r="L19">
        <f t="shared" si="6"/>
        <v>6.6</v>
      </c>
      <c r="M19">
        <f t="shared" si="7"/>
        <v>516.6</v>
      </c>
      <c r="N19">
        <f t="shared" si="8"/>
        <v>0</v>
      </c>
      <c r="O19">
        <f t="shared" si="9"/>
        <v>516.6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1:18" x14ac:dyDescent="0.3">
      <c r="A20" s="1">
        <v>41644</v>
      </c>
      <c r="B20" s="1">
        <v>41662</v>
      </c>
      <c r="C20">
        <v>5.67</v>
      </c>
      <c r="D20">
        <v>0.15</v>
      </c>
      <c r="E20">
        <v>5</v>
      </c>
      <c r="F20">
        <f t="shared" si="0"/>
        <v>0</v>
      </c>
      <c r="G20">
        <f t="shared" si="1"/>
        <v>0</v>
      </c>
      <c r="H20">
        <f t="shared" si="2"/>
        <v>0</v>
      </c>
      <c r="I20">
        <f t="shared" si="3"/>
        <v>18</v>
      </c>
      <c r="J20">
        <f t="shared" si="4"/>
        <v>0</v>
      </c>
      <c r="K20">
        <f t="shared" si="5"/>
        <v>900</v>
      </c>
      <c r="L20">
        <f t="shared" si="6"/>
        <v>5.82</v>
      </c>
      <c r="M20">
        <f t="shared" si="7"/>
        <v>905.82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905.82</v>
      </c>
      <c r="R20">
        <f t="shared" si="12"/>
        <v>0</v>
      </c>
    </row>
    <row r="21" spans="1:18" x14ac:dyDescent="0.3">
      <c r="A21" s="1">
        <v>41645</v>
      </c>
      <c r="B21" s="1">
        <v>41654</v>
      </c>
      <c r="C21">
        <v>4.66</v>
      </c>
      <c r="D21">
        <v>0.12</v>
      </c>
      <c r="E21">
        <v>2</v>
      </c>
      <c r="F21">
        <f t="shared" si="0"/>
        <v>9</v>
      </c>
      <c r="G21">
        <f t="shared" si="1"/>
        <v>0</v>
      </c>
      <c r="H21">
        <f t="shared" si="2"/>
        <v>0</v>
      </c>
      <c r="I21">
        <f t="shared" si="3"/>
        <v>0</v>
      </c>
      <c r="J21">
        <f t="shared" si="4"/>
        <v>0</v>
      </c>
      <c r="K21">
        <f t="shared" si="5"/>
        <v>180</v>
      </c>
      <c r="L21">
        <f t="shared" si="6"/>
        <v>4.78</v>
      </c>
      <c r="M21">
        <f t="shared" si="7"/>
        <v>184.78</v>
      </c>
      <c r="N21">
        <f t="shared" si="8"/>
        <v>184.78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1:18" x14ac:dyDescent="0.3">
      <c r="A22" s="1">
        <v>41646</v>
      </c>
      <c r="B22" s="1">
        <v>41663</v>
      </c>
      <c r="C22">
        <v>2.0099999999999998</v>
      </c>
      <c r="D22">
        <v>0.05</v>
      </c>
      <c r="E22">
        <v>4</v>
      </c>
      <c r="F22">
        <f t="shared" si="0"/>
        <v>0</v>
      </c>
      <c r="G22">
        <f t="shared" si="1"/>
        <v>0</v>
      </c>
      <c r="H22">
        <f t="shared" si="2"/>
        <v>17</v>
      </c>
      <c r="I22">
        <f t="shared" si="3"/>
        <v>0</v>
      </c>
      <c r="J22">
        <f t="shared" si="4"/>
        <v>0</v>
      </c>
      <c r="K22">
        <f t="shared" si="5"/>
        <v>680</v>
      </c>
      <c r="L22">
        <f t="shared" si="6"/>
        <v>2.0599999999999996</v>
      </c>
      <c r="M22">
        <f t="shared" si="7"/>
        <v>682.06</v>
      </c>
      <c r="N22">
        <f t="shared" si="8"/>
        <v>0</v>
      </c>
      <c r="O22">
        <f t="shared" si="9"/>
        <v>0</v>
      </c>
      <c r="P22">
        <f t="shared" si="10"/>
        <v>682.06</v>
      </c>
      <c r="Q22">
        <f t="shared" si="11"/>
        <v>0</v>
      </c>
      <c r="R22">
        <f t="shared" si="12"/>
        <v>0</v>
      </c>
    </row>
    <row r="23" spans="1:18" x14ac:dyDescent="0.3">
      <c r="A23" s="1">
        <v>41646</v>
      </c>
      <c r="B23" s="1">
        <v>41670</v>
      </c>
      <c r="C23">
        <v>3.57</v>
      </c>
      <c r="D23">
        <v>0.09</v>
      </c>
      <c r="E23">
        <v>3</v>
      </c>
      <c r="F23">
        <f t="shared" si="0"/>
        <v>0</v>
      </c>
      <c r="G23">
        <f t="shared" si="1"/>
        <v>24</v>
      </c>
      <c r="H23">
        <f t="shared" si="2"/>
        <v>0</v>
      </c>
      <c r="I23">
        <f t="shared" si="3"/>
        <v>0</v>
      </c>
      <c r="J23">
        <f t="shared" si="4"/>
        <v>0</v>
      </c>
      <c r="K23">
        <f t="shared" si="5"/>
        <v>720</v>
      </c>
      <c r="L23">
        <f t="shared" si="6"/>
        <v>3.6599999999999997</v>
      </c>
      <c r="M23">
        <f t="shared" si="7"/>
        <v>723.66</v>
      </c>
      <c r="N23">
        <f t="shared" si="8"/>
        <v>0</v>
      </c>
      <c r="O23">
        <f t="shared" si="9"/>
        <v>723.66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1:18" x14ac:dyDescent="0.3">
      <c r="A24" s="1">
        <v>41646</v>
      </c>
      <c r="B24" s="1">
        <v>41649</v>
      </c>
      <c r="C24">
        <v>2.29</v>
      </c>
      <c r="D24">
        <v>0.06</v>
      </c>
      <c r="E24">
        <v>5</v>
      </c>
      <c r="F24">
        <f t="shared" si="0"/>
        <v>0</v>
      </c>
      <c r="G24">
        <f t="shared" si="1"/>
        <v>0</v>
      </c>
      <c r="H24">
        <f t="shared" si="2"/>
        <v>0</v>
      </c>
      <c r="I24">
        <f t="shared" si="3"/>
        <v>3</v>
      </c>
      <c r="J24">
        <f t="shared" si="4"/>
        <v>0</v>
      </c>
      <c r="K24">
        <f t="shared" si="5"/>
        <v>150</v>
      </c>
      <c r="L24">
        <f t="shared" si="6"/>
        <v>2.35</v>
      </c>
      <c r="M24">
        <f t="shared" si="7"/>
        <v>152.35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152.35</v>
      </c>
      <c r="R24">
        <f t="shared" si="12"/>
        <v>0</v>
      </c>
    </row>
    <row r="25" spans="1:18" x14ac:dyDescent="0.3">
      <c r="A25" s="1">
        <v>41646</v>
      </c>
      <c r="B25" s="1">
        <v>41649</v>
      </c>
      <c r="C25">
        <v>2.72</v>
      </c>
      <c r="D25">
        <v>7.0000000000000007E-2</v>
      </c>
      <c r="E25">
        <v>4</v>
      </c>
      <c r="F25">
        <f t="shared" si="0"/>
        <v>0</v>
      </c>
      <c r="G25">
        <f t="shared" si="1"/>
        <v>0</v>
      </c>
      <c r="H25">
        <f t="shared" si="2"/>
        <v>3</v>
      </c>
      <c r="I25">
        <f t="shared" si="3"/>
        <v>0</v>
      </c>
      <c r="J25">
        <f t="shared" si="4"/>
        <v>0</v>
      </c>
      <c r="K25">
        <f t="shared" si="5"/>
        <v>120</v>
      </c>
      <c r="L25">
        <f t="shared" si="6"/>
        <v>2.79</v>
      </c>
      <c r="M25">
        <f t="shared" si="7"/>
        <v>122.79</v>
      </c>
      <c r="N25">
        <f t="shared" si="8"/>
        <v>0</v>
      </c>
      <c r="O25">
        <f t="shared" si="9"/>
        <v>0</v>
      </c>
      <c r="P25">
        <f t="shared" si="10"/>
        <v>122.79</v>
      </c>
      <c r="Q25">
        <f t="shared" si="11"/>
        <v>0</v>
      </c>
      <c r="R25">
        <f t="shared" si="12"/>
        <v>0</v>
      </c>
    </row>
    <row r="26" spans="1:18" x14ac:dyDescent="0.3">
      <c r="A26" s="1">
        <v>41646</v>
      </c>
      <c r="B26" s="1">
        <v>41651</v>
      </c>
      <c r="C26">
        <v>3.73</v>
      </c>
      <c r="D26">
        <v>0.1</v>
      </c>
      <c r="E26">
        <v>3</v>
      </c>
      <c r="F26">
        <f t="shared" si="0"/>
        <v>0</v>
      </c>
      <c r="G26">
        <f t="shared" si="1"/>
        <v>5</v>
      </c>
      <c r="H26">
        <f t="shared" si="2"/>
        <v>0</v>
      </c>
      <c r="I26">
        <f t="shared" si="3"/>
        <v>0</v>
      </c>
      <c r="J26">
        <f t="shared" si="4"/>
        <v>0</v>
      </c>
      <c r="K26">
        <f t="shared" si="5"/>
        <v>150</v>
      </c>
      <c r="L26">
        <f t="shared" si="6"/>
        <v>3.83</v>
      </c>
      <c r="M26">
        <f t="shared" si="7"/>
        <v>153.83000000000001</v>
      </c>
      <c r="N26">
        <f t="shared" si="8"/>
        <v>0</v>
      </c>
      <c r="O26">
        <f t="shared" si="9"/>
        <v>153.83000000000001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1:18" x14ac:dyDescent="0.3">
      <c r="A27" s="1">
        <v>41647</v>
      </c>
      <c r="B27" s="1">
        <v>41665</v>
      </c>
      <c r="C27">
        <v>6.58</v>
      </c>
      <c r="D27">
        <v>0.17</v>
      </c>
      <c r="E27">
        <v>3</v>
      </c>
      <c r="F27">
        <f t="shared" si="0"/>
        <v>0</v>
      </c>
      <c r="G27">
        <f t="shared" si="1"/>
        <v>18</v>
      </c>
      <c r="H27">
        <f t="shared" si="2"/>
        <v>0</v>
      </c>
      <c r="I27">
        <f t="shared" si="3"/>
        <v>0</v>
      </c>
      <c r="J27">
        <f t="shared" si="4"/>
        <v>0</v>
      </c>
      <c r="K27">
        <f t="shared" si="5"/>
        <v>540</v>
      </c>
      <c r="L27">
        <f t="shared" si="6"/>
        <v>6.75</v>
      </c>
      <c r="M27">
        <f t="shared" si="7"/>
        <v>546.75</v>
      </c>
      <c r="N27">
        <f t="shared" si="8"/>
        <v>0</v>
      </c>
      <c r="O27">
        <f t="shared" si="9"/>
        <v>546.75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1:18" x14ac:dyDescent="0.3">
      <c r="A28" s="1">
        <v>41647</v>
      </c>
      <c r="B28" s="1">
        <v>41664</v>
      </c>
      <c r="C28">
        <v>6.58</v>
      </c>
      <c r="D28">
        <v>0.17</v>
      </c>
      <c r="E28">
        <v>2</v>
      </c>
      <c r="F28">
        <f t="shared" si="0"/>
        <v>17</v>
      </c>
      <c r="G28">
        <f t="shared" si="1"/>
        <v>0</v>
      </c>
      <c r="H28">
        <f t="shared" si="2"/>
        <v>0</v>
      </c>
      <c r="I28">
        <f t="shared" si="3"/>
        <v>0</v>
      </c>
      <c r="J28">
        <f t="shared" si="4"/>
        <v>0</v>
      </c>
      <c r="K28">
        <f t="shared" si="5"/>
        <v>340</v>
      </c>
      <c r="L28">
        <f t="shared" si="6"/>
        <v>6.75</v>
      </c>
      <c r="M28">
        <f t="shared" si="7"/>
        <v>346.75</v>
      </c>
      <c r="N28">
        <f t="shared" si="8"/>
        <v>346.75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1:18" x14ac:dyDescent="0.3">
      <c r="A29" s="1">
        <v>41647</v>
      </c>
      <c r="B29" s="1">
        <v>41658</v>
      </c>
      <c r="C29">
        <v>5.67</v>
      </c>
      <c r="D29">
        <v>0.15</v>
      </c>
      <c r="E29">
        <v>5</v>
      </c>
      <c r="F29">
        <f t="shared" si="0"/>
        <v>0</v>
      </c>
      <c r="G29">
        <f t="shared" si="1"/>
        <v>0</v>
      </c>
      <c r="H29">
        <f t="shared" si="2"/>
        <v>0</v>
      </c>
      <c r="I29">
        <f t="shared" si="3"/>
        <v>11</v>
      </c>
      <c r="J29">
        <f t="shared" si="4"/>
        <v>0</v>
      </c>
      <c r="K29">
        <f t="shared" si="5"/>
        <v>550</v>
      </c>
      <c r="L29">
        <f t="shared" si="6"/>
        <v>5.82</v>
      </c>
      <c r="M29">
        <f t="shared" si="7"/>
        <v>555.82000000000005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555.82000000000005</v>
      </c>
      <c r="R29">
        <f t="shared" si="12"/>
        <v>0</v>
      </c>
    </row>
    <row r="30" spans="1:18" x14ac:dyDescent="0.3">
      <c r="A30" s="1">
        <v>41648</v>
      </c>
      <c r="B30" s="1">
        <v>41674</v>
      </c>
      <c r="C30">
        <v>9.1300000000000008</v>
      </c>
      <c r="D30">
        <v>0.24</v>
      </c>
      <c r="E30">
        <v>2</v>
      </c>
      <c r="F30">
        <f t="shared" si="0"/>
        <v>26</v>
      </c>
      <c r="G30">
        <f t="shared" si="1"/>
        <v>0</v>
      </c>
      <c r="H30">
        <f t="shared" si="2"/>
        <v>0</v>
      </c>
      <c r="I30">
        <f t="shared" si="3"/>
        <v>0</v>
      </c>
      <c r="J30">
        <f t="shared" si="4"/>
        <v>0</v>
      </c>
      <c r="K30">
        <f t="shared" si="5"/>
        <v>520</v>
      </c>
      <c r="L30">
        <f t="shared" si="6"/>
        <v>9.370000000000001</v>
      </c>
      <c r="M30">
        <f t="shared" si="7"/>
        <v>529.37</v>
      </c>
      <c r="N30">
        <f t="shared" si="8"/>
        <v>529.37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1:18" x14ac:dyDescent="0.3">
      <c r="A31" s="1">
        <v>41648</v>
      </c>
      <c r="B31" s="1">
        <v>41658</v>
      </c>
      <c r="C31">
        <v>14.31</v>
      </c>
      <c r="D31">
        <v>0.38</v>
      </c>
      <c r="E31">
        <v>6</v>
      </c>
      <c r="F31">
        <f t="shared" si="0"/>
        <v>0</v>
      </c>
      <c r="G31">
        <f t="shared" si="1"/>
        <v>0</v>
      </c>
      <c r="H31">
        <f t="shared" si="2"/>
        <v>0</v>
      </c>
      <c r="I31">
        <f t="shared" si="3"/>
        <v>0</v>
      </c>
      <c r="J31">
        <f t="shared" si="4"/>
        <v>10</v>
      </c>
      <c r="K31">
        <f t="shared" si="5"/>
        <v>600</v>
      </c>
      <c r="L31">
        <f t="shared" si="6"/>
        <v>14.690000000000001</v>
      </c>
      <c r="M31">
        <f t="shared" si="7"/>
        <v>614.69000000000005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614.69000000000005</v>
      </c>
    </row>
    <row r="32" spans="1:18" x14ac:dyDescent="0.3">
      <c r="A32" s="1">
        <v>41648</v>
      </c>
      <c r="B32" s="1">
        <v>41675</v>
      </c>
      <c r="C32">
        <v>3.79</v>
      </c>
      <c r="D32">
        <v>0.1</v>
      </c>
      <c r="E32">
        <v>5</v>
      </c>
      <c r="F32">
        <f t="shared" si="0"/>
        <v>0</v>
      </c>
      <c r="G32">
        <f t="shared" si="1"/>
        <v>0</v>
      </c>
      <c r="H32">
        <f t="shared" si="2"/>
        <v>0</v>
      </c>
      <c r="I32">
        <f t="shared" si="3"/>
        <v>27</v>
      </c>
      <c r="J32">
        <f t="shared" si="4"/>
        <v>0</v>
      </c>
      <c r="K32">
        <f t="shared" si="5"/>
        <v>1350</v>
      </c>
      <c r="L32">
        <f t="shared" si="6"/>
        <v>3.89</v>
      </c>
      <c r="M32">
        <f t="shared" si="7"/>
        <v>1353.89</v>
      </c>
      <c r="N32">
        <f t="shared" si="8"/>
        <v>0</v>
      </c>
      <c r="O32">
        <f t="shared" si="9"/>
        <v>0</v>
      </c>
      <c r="P32">
        <f t="shared" si="10"/>
        <v>0</v>
      </c>
      <c r="Q32">
        <f t="shared" si="11"/>
        <v>1353.89</v>
      </c>
      <c r="R32">
        <f t="shared" si="12"/>
        <v>0</v>
      </c>
    </row>
    <row r="33" spans="1:18" x14ac:dyDescent="0.3">
      <c r="A33" s="1">
        <v>41648</v>
      </c>
      <c r="B33" s="1">
        <v>41666</v>
      </c>
      <c r="C33">
        <v>6.23</v>
      </c>
      <c r="D33">
        <v>0.16</v>
      </c>
      <c r="E33">
        <v>5</v>
      </c>
      <c r="F33">
        <f t="shared" si="0"/>
        <v>0</v>
      </c>
      <c r="G33">
        <f t="shared" si="1"/>
        <v>0</v>
      </c>
      <c r="H33">
        <f t="shared" si="2"/>
        <v>0</v>
      </c>
      <c r="I33">
        <f t="shared" si="3"/>
        <v>18</v>
      </c>
      <c r="J33">
        <f t="shared" si="4"/>
        <v>0</v>
      </c>
      <c r="K33">
        <f t="shared" si="5"/>
        <v>900</v>
      </c>
      <c r="L33">
        <f t="shared" si="6"/>
        <v>6.3900000000000006</v>
      </c>
      <c r="M33">
        <f t="shared" si="7"/>
        <v>906.39</v>
      </c>
      <c r="N33">
        <f t="shared" si="8"/>
        <v>0</v>
      </c>
      <c r="O33">
        <f t="shared" si="9"/>
        <v>0</v>
      </c>
      <c r="P33">
        <f t="shared" si="10"/>
        <v>0</v>
      </c>
      <c r="Q33">
        <f t="shared" si="11"/>
        <v>906.39</v>
      </c>
      <c r="R33">
        <f t="shared" si="12"/>
        <v>0</v>
      </c>
    </row>
    <row r="34" spans="1:18" x14ac:dyDescent="0.3">
      <c r="A34" s="1">
        <v>41649</v>
      </c>
      <c r="B34" s="1">
        <v>41659</v>
      </c>
      <c r="C34">
        <v>3.57</v>
      </c>
      <c r="D34">
        <v>0.09</v>
      </c>
      <c r="E34">
        <v>6</v>
      </c>
      <c r="F34">
        <f t="shared" si="0"/>
        <v>0</v>
      </c>
      <c r="G34">
        <f t="shared" si="1"/>
        <v>0</v>
      </c>
      <c r="H34">
        <f t="shared" si="2"/>
        <v>0</v>
      </c>
      <c r="I34">
        <f t="shared" si="3"/>
        <v>0</v>
      </c>
      <c r="J34">
        <f t="shared" si="4"/>
        <v>10</v>
      </c>
      <c r="K34">
        <f t="shared" si="5"/>
        <v>600</v>
      </c>
      <c r="L34">
        <f t="shared" si="6"/>
        <v>3.6599999999999997</v>
      </c>
      <c r="M34">
        <f t="shared" si="7"/>
        <v>603.66</v>
      </c>
      <c r="N34">
        <f t="shared" si="8"/>
        <v>0</v>
      </c>
      <c r="O34">
        <f t="shared" si="9"/>
        <v>0</v>
      </c>
      <c r="P34">
        <f t="shared" si="10"/>
        <v>0</v>
      </c>
      <c r="Q34">
        <f t="shared" si="11"/>
        <v>0</v>
      </c>
      <c r="R34">
        <f t="shared" si="12"/>
        <v>603.66</v>
      </c>
    </row>
    <row r="35" spans="1:18" x14ac:dyDescent="0.3">
      <c r="A35" s="1">
        <v>41649</v>
      </c>
      <c r="B35" s="1">
        <v>41652</v>
      </c>
      <c r="C35">
        <v>5.67</v>
      </c>
      <c r="D35">
        <v>0.15</v>
      </c>
      <c r="E35">
        <v>6</v>
      </c>
      <c r="F35">
        <f t="shared" si="0"/>
        <v>0</v>
      </c>
      <c r="G35">
        <f t="shared" si="1"/>
        <v>0</v>
      </c>
      <c r="H35">
        <f t="shared" si="2"/>
        <v>0</v>
      </c>
      <c r="I35">
        <f t="shared" si="3"/>
        <v>0</v>
      </c>
      <c r="J35">
        <f t="shared" si="4"/>
        <v>3</v>
      </c>
      <c r="K35">
        <f t="shared" si="5"/>
        <v>180</v>
      </c>
      <c r="L35">
        <f t="shared" si="6"/>
        <v>5.82</v>
      </c>
      <c r="M35">
        <f t="shared" si="7"/>
        <v>185.82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185.82</v>
      </c>
    </row>
    <row r="36" spans="1:18" x14ac:dyDescent="0.3">
      <c r="A36" s="1">
        <v>41649</v>
      </c>
      <c r="B36" s="1">
        <v>41667</v>
      </c>
      <c r="C36">
        <v>8.7200000000000006</v>
      </c>
      <c r="D36">
        <v>0.23</v>
      </c>
      <c r="E36">
        <v>5</v>
      </c>
      <c r="F36">
        <f t="shared" si="0"/>
        <v>0</v>
      </c>
      <c r="G36">
        <f t="shared" si="1"/>
        <v>0</v>
      </c>
      <c r="H36">
        <f t="shared" si="2"/>
        <v>0</v>
      </c>
      <c r="I36">
        <f t="shared" si="3"/>
        <v>18</v>
      </c>
      <c r="J36">
        <f t="shared" si="4"/>
        <v>0</v>
      </c>
      <c r="K36">
        <f t="shared" si="5"/>
        <v>900</v>
      </c>
      <c r="L36">
        <f t="shared" si="6"/>
        <v>8.9500000000000011</v>
      </c>
      <c r="M36">
        <f t="shared" si="7"/>
        <v>908.95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908.95</v>
      </c>
      <c r="R36">
        <f t="shared" si="12"/>
        <v>0</v>
      </c>
    </row>
    <row r="37" spans="1:18" x14ac:dyDescent="0.3">
      <c r="A37" s="1">
        <v>41649</v>
      </c>
      <c r="B37" s="1">
        <v>41654</v>
      </c>
      <c r="C37">
        <v>4.66</v>
      </c>
      <c r="D37">
        <v>0.12</v>
      </c>
      <c r="E37">
        <v>3</v>
      </c>
      <c r="F37">
        <f t="shared" si="0"/>
        <v>0</v>
      </c>
      <c r="G37">
        <f t="shared" si="1"/>
        <v>5</v>
      </c>
      <c r="H37">
        <f t="shared" si="2"/>
        <v>0</v>
      </c>
      <c r="I37">
        <f t="shared" si="3"/>
        <v>0</v>
      </c>
      <c r="J37">
        <f t="shared" si="4"/>
        <v>0</v>
      </c>
      <c r="K37">
        <f t="shared" si="5"/>
        <v>150</v>
      </c>
      <c r="L37">
        <f t="shared" si="6"/>
        <v>4.78</v>
      </c>
      <c r="M37">
        <f t="shared" si="7"/>
        <v>154.78</v>
      </c>
      <c r="N37">
        <f t="shared" si="8"/>
        <v>0</v>
      </c>
      <c r="O37">
        <f t="shared" si="9"/>
        <v>154.78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1:18" x14ac:dyDescent="0.3">
      <c r="A38" s="1">
        <v>41651</v>
      </c>
      <c r="B38" s="1">
        <v>41659</v>
      </c>
      <c r="C38">
        <v>5.67</v>
      </c>
      <c r="D38">
        <v>0.15</v>
      </c>
      <c r="E38">
        <v>3</v>
      </c>
      <c r="F38">
        <f t="shared" si="0"/>
        <v>0</v>
      </c>
      <c r="G38">
        <f t="shared" si="1"/>
        <v>8</v>
      </c>
      <c r="H38">
        <f t="shared" si="2"/>
        <v>0</v>
      </c>
      <c r="I38">
        <f t="shared" si="3"/>
        <v>0</v>
      </c>
      <c r="J38">
        <f t="shared" si="4"/>
        <v>0</v>
      </c>
      <c r="K38">
        <f t="shared" si="5"/>
        <v>240</v>
      </c>
      <c r="L38">
        <f t="shared" si="6"/>
        <v>5.82</v>
      </c>
      <c r="M38">
        <f t="shared" si="7"/>
        <v>245.82</v>
      </c>
      <c r="N38">
        <f t="shared" si="8"/>
        <v>0</v>
      </c>
      <c r="O38">
        <f t="shared" si="9"/>
        <v>245.82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1:18" x14ac:dyDescent="0.3">
      <c r="A39" s="1">
        <v>41652</v>
      </c>
      <c r="B39" s="1">
        <v>41654</v>
      </c>
      <c r="C39">
        <v>7.06</v>
      </c>
      <c r="D39">
        <v>0.19</v>
      </c>
      <c r="E39">
        <v>2</v>
      </c>
      <c r="F39">
        <f t="shared" si="0"/>
        <v>2</v>
      </c>
      <c r="G39">
        <f t="shared" si="1"/>
        <v>0</v>
      </c>
      <c r="H39">
        <f t="shared" si="2"/>
        <v>0</v>
      </c>
      <c r="I39">
        <f t="shared" si="3"/>
        <v>0</v>
      </c>
      <c r="J39">
        <f t="shared" si="4"/>
        <v>0</v>
      </c>
      <c r="K39">
        <f t="shared" si="5"/>
        <v>40</v>
      </c>
      <c r="L39">
        <f t="shared" si="6"/>
        <v>7.25</v>
      </c>
      <c r="M39">
        <f t="shared" si="7"/>
        <v>47.25</v>
      </c>
      <c r="N39">
        <f t="shared" si="8"/>
        <v>47.25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1:18" x14ac:dyDescent="0.3">
      <c r="A40" s="1">
        <v>41652</v>
      </c>
      <c r="B40" s="1">
        <v>41661</v>
      </c>
      <c r="C40">
        <v>5.67</v>
      </c>
      <c r="D40">
        <v>0.15</v>
      </c>
      <c r="E40">
        <v>5</v>
      </c>
      <c r="F40">
        <f t="shared" si="0"/>
        <v>0</v>
      </c>
      <c r="G40">
        <f t="shared" si="1"/>
        <v>0</v>
      </c>
      <c r="H40">
        <f t="shared" si="2"/>
        <v>0</v>
      </c>
      <c r="I40">
        <f t="shared" si="3"/>
        <v>9</v>
      </c>
      <c r="J40">
        <f t="shared" si="4"/>
        <v>0</v>
      </c>
      <c r="K40">
        <f t="shared" si="5"/>
        <v>450</v>
      </c>
      <c r="L40">
        <f t="shared" si="6"/>
        <v>5.82</v>
      </c>
      <c r="M40">
        <f t="shared" si="7"/>
        <v>455.82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455.82</v>
      </c>
      <c r="R40">
        <f t="shared" si="12"/>
        <v>0</v>
      </c>
    </row>
    <row r="41" spans="1:18" x14ac:dyDescent="0.3">
      <c r="A41" s="1">
        <v>41652</v>
      </c>
      <c r="B41" s="1">
        <v>41671</v>
      </c>
      <c r="C41">
        <v>6.34</v>
      </c>
      <c r="D41">
        <v>0.17</v>
      </c>
      <c r="E41">
        <v>3</v>
      </c>
      <c r="F41">
        <f t="shared" si="0"/>
        <v>0</v>
      </c>
      <c r="G41">
        <f t="shared" si="1"/>
        <v>19</v>
      </c>
      <c r="H41">
        <f t="shared" si="2"/>
        <v>0</v>
      </c>
      <c r="I41">
        <f t="shared" si="3"/>
        <v>0</v>
      </c>
      <c r="J41">
        <f t="shared" si="4"/>
        <v>0</v>
      </c>
      <c r="K41">
        <f t="shared" si="5"/>
        <v>570</v>
      </c>
      <c r="L41">
        <f t="shared" si="6"/>
        <v>6.51</v>
      </c>
      <c r="M41">
        <f t="shared" si="7"/>
        <v>576.51</v>
      </c>
      <c r="N41">
        <f t="shared" si="8"/>
        <v>0</v>
      </c>
      <c r="O41">
        <f t="shared" si="9"/>
        <v>576.51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1:18" x14ac:dyDescent="0.3">
      <c r="A42" s="1">
        <v>41652</v>
      </c>
      <c r="B42" s="1">
        <v>41656</v>
      </c>
      <c r="C42">
        <v>7.31</v>
      </c>
      <c r="D42">
        <v>0.19</v>
      </c>
      <c r="E42">
        <v>3</v>
      </c>
      <c r="F42">
        <f t="shared" si="0"/>
        <v>0</v>
      </c>
      <c r="G42">
        <f t="shared" si="1"/>
        <v>4</v>
      </c>
      <c r="H42">
        <f t="shared" si="2"/>
        <v>0</v>
      </c>
      <c r="I42">
        <f t="shared" si="3"/>
        <v>0</v>
      </c>
      <c r="J42">
        <f t="shared" si="4"/>
        <v>0</v>
      </c>
      <c r="K42">
        <f t="shared" si="5"/>
        <v>120</v>
      </c>
      <c r="L42">
        <f t="shared" si="6"/>
        <v>7.5</v>
      </c>
      <c r="M42">
        <f t="shared" si="7"/>
        <v>127.5</v>
      </c>
      <c r="N42">
        <f t="shared" si="8"/>
        <v>0</v>
      </c>
      <c r="O42">
        <f t="shared" si="9"/>
        <v>127.5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1:18" x14ac:dyDescent="0.3">
      <c r="A43" s="1">
        <v>41652</v>
      </c>
      <c r="B43" s="1">
        <v>41668</v>
      </c>
      <c r="C43">
        <v>6.75</v>
      </c>
      <c r="D43">
        <v>0.18</v>
      </c>
      <c r="E43">
        <v>3</v>
      </c>
      <c r="F43">
        <f t="shared" si="0"/>
        <v>0</v>
      </c>
      <c r="G43">
        <f t="shared" si="1"/>
        <v>16</v>
      </c>
      <c r="H43">
        <f t="shared" si="2"/>
        <v>0</v>
      </c>
      <c r="I43">
        <f t="shared" si="3"/>
        <v>0</v>
      </c>
      <c r="J43">
        <f t="shared" si="4"/>
        <v>0</v>
      </c>
      <c r="K43">
        <f t="shared" si="5"/>
        <v>480</v>
      </c>
      <c r="L43">
        <f t="shared" si="6"/>
        <v>6.93</v>
      </c>
      <c r="M43">
        <f t="shared" si="7"/>
        <v>486.93</v>
      </c>
      <c r="N43">
        <f t="shared" si="8"/>
        <v>0</v>
      </c>
      <c r="O43">
        <f t="shared" si="9"/>
        <v>486.93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1:18" x14ac:dyDescent="0.3">
      <c r="A44" s="1">
        <v>41652</v>
      </c>
      <c r="B44" s="1">
        <v>41680</v>
      </c>
      <c r="C44">
        <v>3.57</v>
      </c>
      <c r="D44">
        <v>0.09</v>
      </c>
      <c r="E44">
        <v>2</v>
      </c>
      <c r="F44">
        <f t="shared" si="0"/>
        <v>28</v>
      </c>
      <c r="G44">
        <f t="shared" si="1"/>
        <v>0</v>
      </c>
      <c r="H44">
        <f t="shared" si="2"/>
        <v>0</v>
      </c>
      <c r="I44">
        <f t="shared" si="3"/>
        <v>0</v>
      </c>
      <c r="J44">
        <f t="shared" si="4"/>
        <v>0</v>
      </c>
      <c r="K44">
        <f t="shared" si="5"/>
        <v>560</v>
      </c>
      <c r="L44">
        <f t="shared" si="6"/>
        <v>3.6599999999999997</v>
      </c>
      <c r="M44">
        <f t="shared" si="7"/>
        <v>563.66</v>
      </c>
      <c r="N44">
        <f t="shared" si="8"/>
        <v>563.66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1:18" x14ac:dyDescent="0.3">
      <c r="A45" s="1">
        <v>41653</v>
      </c>
      <c r="B45" s="1">
        <v>41664</v>
      </c>
      <c r="C45">
        <v>8.5399999999999991</v>
      </c>
      <c r="D45">
        <v>0.22</v>
      </c>
      <c r="E45">
        <v>2</v>
      </c>
      <c r="F45">
        <f t="shared" si="0"/>
        <v>11</v>
      </c>
      <c r="G45">
        <f t="shared" si="1"/>
        <v>0</v>
      </c>
      <c r="H45">
        <f t="shared" si="2"/>
        <v>0</v>
      </c>
      <c r="I45">
        <f t="shared" si="3"/>
        <v>0</v>
      </c>
      <c r="J45">
        <f t="shared" si="4"/>
        <v>0</v>
      </c>
      <c r="K45">
        <f t="shared" si="5"/>
        <v>220</v>
      </c>
      <c r="L45">
        <f t="shared" si="6"/>
        <v>8.76</v>
      </c>
      <c r="M45">
        <f t="shared" si="7"/>
        <v>228.76</v>
      </c>
      <c r="N45">
        <f t="shared" si="8"/>
        <v>228.76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1:18" x14ac:dyDescent="0.3">
      <c r="A46" s="1">
        <v>41653</v>
      </c>
      <c r="B46" s="1">
        <v>41655</v>
      </c>
      <c r="C46">
        <v>8.9499999999999993</v>
      </c>
      <c r="D46">
        <v>0.24</v>
      </c>
      <c r="E46">
        <v>4</v>
      </c>
      <c r="F46">
        <f t="shared" si="0"/>
        <v>0</v>
      </c>
      <c r="G46">
        <f t="shared" si="1"/>
        <v>0</v>
      </c>
      <c r="H46">
        <f t="shared" si="2"/>
        <v>2</v>
      </c>
      <c r="I46">
        <f t="shared" si="3"/>
        <v>0</v>
      </c>
      <c r="J46">
        <f t="shared" si="4"/>
        <v>0</v>
      </c>
      <c r="K46">
        <f t="shared" si="5"/>
        <v>80</v>
      </c>
      <c r="L46">
        <f t="shared" si="6"/>
        <v>9.19</v>
      </c>
      <c r="M46">
        <f t="shared" si="7"/>
        <v>89.19</v>
      </c>
      <c r="N46">
        <f t="shared" si="8"/>
        <v>0</v>
      </c>
      <c r="O46">
        <f t="shared" si="9"/>
        <v>0</v>
      </c>
      <c r="P46">
        <f t="shared" si="10"/>
        <v>89.19</v>
      </c>
      <c r="Q46">
        <f t="shared" si="11"/>
        <v>0</v>
      </c>
      <c r="R46">
        <f t="shared" si="12"/>
        <v>0</v>
      </c>
    </row>
    <row r="47" spans="1:18" x14ac:dyDescent="0.3">
      <c r="A47" s="1">
        <v>41653</v>
      </c>
      <c r="B47" s="1">
        <v>41677</v>
      </c>
      <c r="C47">
        <v>6.34</v>
      </c>
      <c r="D47">
        <v>0.17</v>
      </c>
      <c r="E47">
        <v>6</v>
      </c>
      <c r="F47">
        <f t="shared" si="0"/>
        <v>0</v>
      </c>
      <c r="G47">
        <f t="shared" si="1"/>
        <v>0</v>
      </c>
      <c r="H47">
        <f t="shared" si="2"/>
        <v>0</v>
      </c>
      <c r="I47">
        <f t="shared" si="3"/>
        <v>0</v>
      </c>
      <c r="J47">
        <f t="shared" si="4"/>
        <v>24</v>
      </c>
      <c r="K47">
        <f t="shared" si="5"/>
        <v>1440</v>
      </c>
      <c r="L47">
        <f t="shared" si="6"/>
        <v>6.51</v>
      </c>
      <c r="M47">
        <f t="shared" si="7"/>
        <v>1446.51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1446.51</v>
      </c>
    </row>
    <row r="48" spans="1:18" x14ac:dyDescent="0.3">
      <c r="A48" s="1">
        <v>41653</v>
      </c>
      <c r="B48" s="1">
        <v>41672</v>
      </c>
      <c r="C48">
        <v>12.23</v>
      </c>
      <c r="D48">
        <v>0.32</v>
      </c>
      <c r="E48">
        <v>3</v>
      </c>
      <c r="F48">
        <f t="shared" si="0"/>
        <v>0</v>
      </c>
      <c r="G48">
        <f t="shared" si="1"/>
        <v>19</v>
      </c>
      <c r="H48">
        <f t="shared" si="2"/>
        <v>0</v>
      </c>
      <c r="I48">
        <f t="shared" si="3"/>
        <v>0</v>
      </c>
      <c r="J48">
        <f t="shared" si="4"/>
        <v>0</v>
      </c>
      <c r="K48">
        <f t="shared" si="5"/>
        <v>570</v>
      </c>
      <c r="L48">
        <f t="shared" si="6"/>
        <v>12.55</v>
      </c>
      <c r="M48">
        <f t="shared" si="7"/>
        <v>582.54999999999995</v>
      </c>
      <c r="N48">
        <f t="shared" si="8"/>
        <v>0</v>
      </c>
      <c r="O48">
        <f t="shared" si="9"/>
        <v>582.54999999999995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1:18" x14ac:dyDescent="0.3">
      <c r="A49" s="1">
        <v>41653</v>
      </c>
      <c r="B49" s="1">
        <v>41668</v>
      </c>
      <c r="C49">
        <v>8.7200000000000006</v>
      </c>
      <c r="D49">
        <v>0.23</v>
      </c>
      <c r="E49">
        <v>5</v>
      </c>
      <c r="F49">
        <f t="shared" si="0"/>
        <v>0</v>
      </c>
      <c r="G49">
        <f t="shared" si="1"/>
        <v>0</v>
      </c>
      <c r="H49">
        <f t="shared" si="2"/>
        <v>0</v>
      </c>
      <c r="I49">
        <f t="shared" si="3"/>
        <v>15</v>
      </c>
      <c r="J49">
        <f t="shared" si="4"/>
        <v>0</v>
      </c>
      <c r="K49">
        <f t="shared" si="5"/>
        <v>750</v>
      </c>
      <c r="L49">
        <f t="shared" si="6"/>
        <v>8.9500000000000011</v>
      </c>
      <c r="M49">
        <f t="shared" si="7"/>
        <v>758.95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758.95</v>
      </c>
      <c r="R49">
        <f t="shared" si="12"/>
        <v>0</v>
      </c>
    </row>
    <row r="50" spans="1:18" x14ac:dyDescent="0.3">
      <c r="A50" s="1">
        <v>41653</v>
      </c>
      <c r="B50" s="1">
        <v>41671</v>
      </c>
      <c r="C50">
        <v>16.55</v>
      </c>
      <c r="D50">
        <v>0.44</v>
      </c>
      <c r="E50">
        <v>6</v>
      </c>
      <c r="F50">
        <f t="shared" si="0"/>
        <v>0</v>
      </c>
      <c r="G50">
        <f t="shared" si="1"/>
        <v>0</v>
      </c>
      <c r="H50">
        <f t="shared" si="2"/>
        <v>0</v>
      </c>
      <c r="I50">
        <f t="shared" si="3"/>
        <v>0</v>
      </c>
      <c r="J50">
        <f t="shared" si="4"/>
        <v>18</v>
      </c>
      <c r="K50">
        <f t="shared" si="5"/>
        <v>1080</v>
      </c>
      <c r="L50">
        <f t="shared" si="6"/>
        <v>16.990000000000002</v>
      </c>
      <c r="M50">
        <f t="shared" si="7"/>
        <v>1096.99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1096.99</v>
      </c>
    </row>
    <row r="51" spans="1:18" x14ac:dyDescent="0.3">
      <c r="A51" s="1">
        <v>41653</v>
      </c>
      <c r="B51" s="1">
        <v>41656</v>
      </c>
      <c r="C51">
        <v>7.55</v>
      </c>
      <c r="D51">
        <v>0.2</v>
      </c>
      <c r="E51">
        <v>2</v>
      </c>
      <c r="F51">
        <f t="shared" si="0"/>
        <v>3</v>
      </c>
      <c r="G51">
        <f t="shared" si="1"/>
        <v>0</v>
      </c>
      <c r="H51">
        <f t="shared" si="2"/>
        <v>0</v>
      </c>
      <c r="I51">
        <f t="shared" si="3"/>
        <v>0</v>
      </c>
      <c r="J51">
        <f t="shared" si="4"/>
        <v>0</v>
      </c>
      <c r="K51">
        <f t="shared" si="5"/>
        <v>60</v>
      </c>
      <c r="L51">
        <f t="shared" si="6"/>
        <v>7.75</v>
      </c>
      <c r="M51">
        <f t="shared" si="7"/>
        <v>67.75</v>
      </c>
      <c r="N51">
        <f t="shared" si="8"/>
        <v>67.75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  <row r="52" spans="1:18" x14ac:dyDescent="0.3">
      <c r="A52" s="1">
        <v>41653</v>
      </c>
      <c r="B52" s="1">
        <v>41668</v>
      </c>
      <c r="C52">
        <v>5.78</v>
      </c>
      <c r="D52">
        <v>0.15</v>
      </c>
      <c r="E52">
        <v>2</v>
      </c>
      <c r="F52">
        <f t="shared" si="0"/>
        <v>15</v>
      </c>
      <c r="G52">
        <f t="shared" si="1"/>
        <v>0</v>
      </c>
      <c r="H52">
        <f t="shared" si="2"/>
        <v>0</v>
      </c>
      <c r="I52">
        <f t="shared" si="3"/>
        <v>0</v>
      </c>
      <c r="J52">
        <f t="shared" si="4"/>
        <v>0</v>
      </c>
      <c r="K52">
        <f t="shared" si="5"/>
        <v>300</v>
      </c>
      <c r="L52">
        <f t="shared" si="6"/>
        <v>5.9300000000000006</v>
      </c>
      <c r="M52">
        <f t="shared" si="7"/>
        <v>305.93</v>
      </c>
      <c r="N52">
        <f t="shared" si="8"/>
        <v>305.93</v>
      </c>
      <c r="O52">
        <f t="shared" si="9"/>
        <v>0</v>
      </c>
      <c r="P52">
        <f t="shared" si="10"/>
        <v>0</v>
      </c>
      <c r="Q52">
        <f t="shared" si="11"/>
        <v>0</v>
      </c>
      <c r="R52">
        <f t="shared" si="12"/>
        <v>0</v>
      </c>
    </row>
    <row r="53" spans="1:18" x14ac:dyDescent="0.3">
      <c r="A53" s="1">
        <v>41653</v>
      </c>
      <c r="B53" s="1">
        <v>41658</v>
      </c>
      <c r="C53">
        <v>8.83</v>
      </c>
      <c r="D53">
        <v>0.23</v>
      </c>
      <c r="E53">
        <v>3</v>
      </c>
      <c r="F53">
        <f t="shared" si="0"/>
        <v>0</v>
      </c>
      <c r="G53">
        <f t="shared" si="1"/>
        <v>5</v>
      </c>
      <c r="H53">
        <f t="shared" si="2"/>
        <v>0</v>
      </c>
      <c r="I53">
        <f t="shared" si="3"/>
        <v>0</v>
      </c>
      <c r="J53">
        <f t="shared" si="4"/>
        <v>0</v>
      </c>
      <c r="K53">
        <f t="shared" si="5"/>
        <v>150</v>
      </c>
      <c r="L53">
        <f t="shared" si="6"/>
        <v>9.06</v>
      </c>
      <c r="M53">
        <f t="shared" si="7"/>
        <v>159.06</v>
      </c>
      <c r="N53">
        <f t="shared" si="8"/>
        <v>0</v>
      </c>
      <c r="O53">
        <f t="shared" si="9"/>
        <v>159.06</v>
      </c>
      <c r="P53">
        <f t="shared" si="10"/>
        <v>0</v>
      </c>
      <c r="Q53">
        <f t="shared" si="11"/>
        <v>0</v>
      </c>
      <c r="R53">
        <f t="shared" si="12"/>
        <v>0</v>
      </c>
    </row>
    <row r="54" spans="1:18" x14ac:dyDescent="0.3">
      <c r="A54" s="1">
        <v>41653</v>
      </c>
      <c r="B54" s="1">
        <v>41655</v>
      </c>
      <c r="C54">
        <v>8.89</v>
      </c>
      <c r="D54">
        <v>0.23</v>
      </c>
      <c r="E54">
        <v>4</v>
      </c>
      <c r="F54">
        <f t="shared" si="0"/>
        <v>0</v>
      </c>
      <c r="G54">
        <f t="shared" si="1"/>
        <v>0</v>
      </c>
      <c r="H54">
        <f t="shared" si="2"/>
        <v>2</v>
      </c>
      <c r="I54">
        <f t="shared" si="3"/>
        <v>0</v>
      </c>
      <c r="J54">
        <f t="shared" si="4"/>
        <v>0</v>
      </c>
      <c r="K54">
        <f t="shared" si="5"/>
        <v>80</v>
      </c>
      <c r="L54">
        <f t="shared" si="6"/>
        <v>9.120000000000001</v>
      </c>
      <c r="M54">
        <f t="shared" si="7"/>
        <v>89.12</v>
      </c>
      <c r="N54">
        <f t="shared" si="8"/>
        <v>0</v>
      </c>
      <c r="O54">
        <f t="shared" si="9"/>
        <v>0</v>
      </c>
      <c r="P54">
        <f t="shared" si="10"/>
        <v>89.12</v>
      </c>
      <c r="Q54">
        <f t="shared" si="11"/>
        <v>0</v>
      </c>
      <c r="R54">
        <f t="shared" si="12"/>
        <v>0</v>
      </c>
    </row>
    <row r="55" spans="1:18" x14ac:dyDescent="0.3">
      <c r="A55" s="1">
        <v>41653</v>
      </c>
      <c r="B55" s="1">
        <v>41657</v>
      </c>
      <c r="C55">
        <v>2.72</v>
      </c>
      <c r="D55">
        <v>7.0000000000000007E-2</v>
      </c>
      <c r="E55">
        <v>6</v>
      </c>
      <c r="F55">
        <f t="shared" si="0"/>
        <v>0</v>
      </c>
      <c r="G55">
        <f t="shared" si="1"/>
        <v>0</v>
      </c>
      <c r="H55">
        <f t="shared" si="2"/>
        <v>0</v>
      </c>
      <c r="I55">
        <f t="shared" si="3"/>
        <v>0</v>
      </c>
      <c r="J55">
        <f t="shared" si="4"/>
        <v>4</v>
      </c>
      <c r="K55">
        <f t="shared" si="5"/>
        <v>240</v>
      </c>
      <c r="L55">
        <f t="shared" si="6"/>
        <v>2.79</v>
      </c>
      <c r="M55">
        <f t="shared" si="7"/>
        <v>242.79</v>
      </c>
      <c r="N55">
        <f t="shared" si="8"/>
        <v>0</v>
      </c>
      <c r="O55">
        <f t="shared" si="9"/>
        <v>0</v>
      </c>
      <c r="P55">
        <f t="shared" si="10"/>
        <v>0</v>
      </c>
      <c r="Q55">
        <f t="shared" si="11"/>
        <v>0</v>
      </c>
      <c r="R55">
        <f t="shared" si="12"/>
        <v>242.79</v>
      </c>
    </row>
    <row r="56" spans="1:18" x14ac:dyDescent="0.3">
      <c r="A56" s="1">
        <v>41653</v>
      </c>
      <c r="B56" s="1">
        <v>41675</v>
      </c>
      <c r="C56">
        <v>11.42</v>
      </c>
      <c r="D56">
        <v>0.3</v>
      </c>
      <c r="E56">
        <v>2</v>
      </c>
      <c r="F56">
        <f t="shared" si="0"/>
        <v>22</v>
      </c>
      <c r="G56">
        <f t="shared" si="1"/>
        <v>0</v>
      </c>
      <c r="H56">
        <f t="shared" si="2"/>
        <v>0</v>
      </c>
      <c r="I56">
        <f t="shared" si="3"/>
        <v>0</v>
      </c>
      <c r="J56">
        <f t="shared" si="4"/>
        <v>0</v>
      </c>
      <c r="K56">
        <f t="shared" si="5"/>
        <v>440</v>
      </c>
      <c r="L56">
        <f t="shared" si="6"/>
        <v>11.72</v>
      </c>
      <c r="M56">
        <f t="shared" si="7"/>
        <v>451.72</v>
      </c>
      <c r="N56">
        <f t="shared" si="8"/>
        <v>451.72</v>
      </c>
      <c r="O56">
        <f t="shared" si="9"/>
        <v>0</v>
      </c>
      <c r="P56">
        <f t="shared" si="10"/>
        <v>0</v>
      </c>
      <c r="Q56">
        <f t="shared" si="11"/>
        <v>0</v>
      </c>
      <c r="R56">
        <f t="shared" si="12"/>
        <v>0</v>
      </c>
    </row>
    <row r="57" spans="1:18" x14ac:dyDescent="0.3">
      <c r="A57" s="1">
        <v>41653</v>
      </c>
      <c r="B57" s="1">
        <v>41675</v>
      </c>
      <c r="C57">
        <v>5.23</v>
      </c>
      <c r="D57">
        <v>0.14000000000000001</v>
      </c>
      <c r="E57">
        <v>2</v>
      </c>
      <c r="F57">
        <f t="shared" si="0"/>
        <v>22</v>
      </c>
      <c r="G57">
        <f t="shared" si="1"/>
        <v>0</v>
      </c>
      <c r="H57">
        <f t="shared" si="2"/>
        <v>0</v>
      </c>
      <c r="I57">
        <f t="shared" si="3"/>
        <v>0</v>
      </c>
      <c r="J57">
        <f t="shared" si="4"/>
        <v>0</v>
      </c>
      <c r="K57">
        <f t="shared" si="5"/>
        <v>440</v>
      </c>
      <c r="L57">
        <f t="shared" si="6"/>
        <v>5.37</v>
      </c>
      <c r="M57">
        <f t="shared" si="7"/>
        <v>445.37</v>
      </c>
      <c r="N57">
        <f t="shared" si="8"/>
        <v>445.37</v>
      </c>
      <c r="O57">
        <f t="shared" si="9"/>
        <v>0</v>
      </c>
      <c r="P57">
        <f t="shared" si="10"/>
        <v>0</v>
      </c>
      <c r="Q57">
        <f t="shared" si="11"/>
        <v>0</v>
      </c>
      <c r="R57">
        <f t="shared" si="12"/>
        <v>0</v>
      </c>
    </row>
    <row r="58" spans="1:18" x14ac:dyDescent="0.3">
      <c r="A58" s="1">
        <v>41653</v>
      </c>
      <c r="B58" s="1">
        <v>41657</v>
      </c>
      <c r="C58">
        <v>6.58</v>
      </c>
      <c r="D58">
        <v>0.17</v>
      </c>
      <c r="E58">
        <v>4</v>
      </c>
      <c r="F58">
        <f t="shared" si="0"/>
        <v>0</v>
      </c>
      <c r="G58">
        <f t="shared" si="1"/>
        <v>0</v>
      </c>
      <c r="H58">
        <f t="shared" si="2"/>
        <v>4</v>
      </c>
      <c r="I58">
        <f t="shared" si="3"/>
        <v>0</v>
      </c>
      <c r="J58">
        <f t="shared" si="4"/>
        <v>0</v>
      </c>
      <c r="K58">
        <f t="shared" si="5"/>
        <v>160</v>
      </c>
      <c r="L58">
        <f t="shared" si="6"/>
        <v>6.75</v>
      </c>
      <c r="M58">
        <f t="shared" si="7"/>
        <v>166.75</v>
      </c>
      <c r="N58">
        <f t="shared" si="8"/>
        <v>0</v>
      </c>
      <c r="O58">
        <f t="shared" si="9"/>
        <v>0</v>
      </c>
      <c r="P58">
        <f t="shared" si="10"/>
        <v>166.75</v>
      </c>
      <c r="Q58">
        <f t="shared" si="11"/>
        <v>0</v>
      </c>
      <c r="R58">
        <f t="shared" si="12"/>
        <v>0</v>
      </c>
    </row>
    <row r="59" spans="1:18" x14ac:dyDescent="0.3">
      <c r="A59" s="1">
        <v>41653</v>
      </c>
      <c r="B59" s="1">
        <v>41679</v>
      </c>
      <c r="C59">
        <v>9.74</v>
      </c>
      <c r="D59">
        <v>0.26</v>
      </c>
      <c r="E59">
        <v>4</v>
      </c>
      <c r="F59">
        <f t="shared" si="0"/>
        <v>0</v>
      </c>
      <c r="G59">
        <f t="shared" si="1"/>
        <v>0</v>
      </c>
      <c r="H59">
        <f t="shared" si="2"/>
        <v>26</v>
      </c>
      <c r="I59">
        <f t="shared" si="3"/>
        <v>0</v>
      </c>
      <c r="J59">
        <f t="shared" si="4"/>
        <v>0</v>
      </c>
      <c r="K59">
        <f t="shared" si="5"/>
        <v>1040</v>
      </c>
      <c r="L59">
        <f t="shared" si="6"/>
        <v>10</v>
      </c>
      <c r="M59">
        <f t="shared" si="7"/>
        <v>1050</v>
      </c>
      <c r="N59">
        <f t="shared" si="8"/>
        <v>0</v>
      </c>
      <c r="O59">
        <f t="shared" si="9"/>
        <v>0</v>
      </c>
      <c r="P59">
        <f t="shared" si="10"/>
        <v>1050</v>
      </c>
      <c r="Q59">
        <f t="shared" si="11"/>
        <v>0</v>
      </c>
      <c r="R59">
        <f t="shared" si="12"/>
        <v>0</v>
      </c>
    </row>
    <row r="60" spans="1:18" x14ac:dyDescent="0.3">
      <c r="A60" s="1">
        <v>41653</v>
      </c>
      <c r="B60" s="1">
        <v>41659</v>
      </c>
      <c r="C60">
        <v>6.75</v>
      </c>
      <c r="D60">
        <v>0.18</v>
      </c>
      <c r="E60">
        <v>6</v>
      </c>
      <c r="F60">
        <f t="shared" si="0"/>
        <v>0</v>
      </c>
      <c r="G60">
        <f t="shared" si="1"/>
        <v>0</v>
      </c>
      <c r="H60">
        <f t="shared" si="2"/>
        <v>0</v>
      </c>
      <c r="I60">
        <f t="shared" si="3"/>
        <v>0</v>
      </c>
      <c r="J60">
        <f t="shared" si="4"/>
        <v>6</v>
      </c>
      <c r="K60">
        <f t="shared" si="5"/>
        <v>360</v>
      </c>
      <c r="L60">
        <f t="shared" si="6"/>
        <v>6.93</v>
      </c>
      <c r="M60">
        <f t="shared" si="7"/>
        <v>366.93</v>
      </c>
      <c r="N60">
        <f t="shared" si="8"/>
        <v>0</v>
      </c>
      <c r="O60">
        <f t="shared" si="9"/>
        <v>0</v>
      </c>
      <c r="P60">
        <f t="shared" si="10"/>
        <v>0</v>
      </c>
      <c r="Q60">
        <f t="shared" si="11"/>
        <v>0</v>
      </c>
      <c r="R60">
        <f t="shared" si="12"/>
        <v>366.93</v>
      </c>
    </row>
    <row r="61" spans="1:18" x14ac:dyDescent="0.3">
      <c r="A61" s="1">
        <v>41653</v>
      </c>
      <c r="B61" s="1">
        <v>41671</v>
      </c>
      <c r="C61">
        <v>16.829999999999998</v>
      </c>
      <c r="D61">
        <v>0.44</v>
      </c>
      <c r="E61">
        <v>4</v>
      </c>
      <c r="F61">
        <f t="shared" si="0"/>
        <v>0</v>
      </c>
      <c r="G61">
        <f t="shared" si="1"/>
        <v>0</v>
      </c>
      <c r="H61">
        <f t="shared" si="2"/>
        <v>18</v>
      </c>
      <c r="I61">
        <f t="shared" si="3"/>
        <v>0</v>
      </c>
      <c r="J61">
        <f t="shared" si="4"/>
        <v>0</v>
      </c>
      <c r="K61">
        <f t="shared" si="5"/>
        <v>720</v>
      </c>
      <c r="L61">
        <f t="shared" si="6"/>
        <v>17.27</v>
      </c>
      <c r="M61">
        <f t="shared" si="7"/>
        <v>737.27</v>
      </c>
      <c r="N61">
        <f t="shared" si="8"/>
        <v>0</v>
      </c>
      <c r="O61">
        <f t="shared" si="9"/>
        <v>0</v>
      </c>
      <c r="P61">
        <f t="shared" si="10"/>
        <v>737.27</v>
      </c>
      <c r="Q61">
        <f t="shared" si="11"/>
        <v>0</v>
      </c>
      <c r="R61">
        <f t="shared" si="12"/>
        <v>0</v>
      </c>
    </row>
    <row r="62" spans="1:18" x14ac:dyDescent="0.3">
      <c r="A62" s="1">
        <v>41653</v>
      </c>
      <c r="B62" s="1">
        <v>41676</v>
      </c>
      <c r="C62">
        <v>10.79</v>
      </c>
      <c r="D62">
        <v>0.28000000000000003</v>
      </c>
      <c r="E62">
        <v>3</v>
      </c>
      <c r="F62">
        <f t="shared" si="0"/>
        <v>0</v>
      </c>
      <c r="G62">
        <f t="shared" si="1"/>
        <v>23</v>
      </c>
      <c r="H62">
        <f t="shared" si="2"/>
        <v>0</v>
      </c>
      <c r="I62">
        <f t="shared" si="3"/>
        <v>0</v>
      </c>
      <c r="J62">
        <f t="shared" si="4"/>
        <v>0</v>
      </c>
      <c r="K62">
        <f t="shared" si="5"/>
        <v>690</v>
      </c>
      <c r="L62">
        <f t="shared" si="6"/>
        <v>11.069999999999999</v>
      </c>
      <c r="M62">
        <f t="shared" si="7"/>
        <v>701.07</v>
      </c>
      <c r="N62">
        <f t="shared" si="8"/>
        <v>0</v>
      </c>
      <c r="O62">
        <f t="shared" si="9"/>
        <v>701.07</v>
      </c>
      <c r="P62">
        <f t="shared" si="10"/>
        <v>0</v>
      </c>
      <c r="Q62">
        <f t="shared" si="11"/>
        <v>0</v>
      </c>
      <c r="R62">
        <f t="shared" si="12"/>
        <v>0</v>
      </c>
    </row>
    <row r="63" spans="1:18" x14ac:dyDescent="0.3">
      <c r="A63" s="1">
        <v>41653</v>
      </c>
      <c r="B63" s="1">
        <v>41669</v>
      </c>
      <c r="C63">
        <v>10.19</v>
      </c>
      <c r="D63">
        <v>0.27</v>
      </c>
      <c r="E63">
        <v>5</v>
      </c>
      <c r="F63">
        <f t="shared" si="0"/>
        <v>0</v>
      </c>
      <c r="G63">
        <f t="shared" si="1"/>
        <v>0</v>
      </c>
      <c r="H63">
        <f t="shared" si="2"/>
        <v>0</v>
      </c>
      <c r="I63">
        <f t="shared" si="3"/>
        <v>16</v>
      </c>
      <c r="J63">
        <f t="shared" si="4"/>
        <v>0</v>
      </c>
      <c r="K63">
        <f t="shared" si="5"/>
        <v>800</v>
      </c>
      <c r="L63">
        <f t="shared" si="6"/>
        <v>10.459999999999999</v>
      </c>
      <c r="M63">
        <f t="shared" si="7"/>
        <v>810.46</v>
      </c>
      <c r="N63">
        <f t="shared" si="8"/>
        <v>0</v>
      </c>
      <c r="O63">
        <f t="shared" si="9"/>
        <v>0</v>
      </c>
      <c r="P63">
        <f t="shared" si="10"/>
        <v>0</v>
      </c>
      <c r="Q63">
        <f t="shared" si="11"/>
        <v>810.46</v>
      </c>
      <c r="R63">
        <f t="shared" si="12"/>
        <v>0</v>
      </c>
    </row>
    <row r="64" spans="1:18" x14ac:dyDescent="0.3">
      <c r="A64" s="1">
        <v>41653</v>
      </c>
      <c r="B64" s="1">
        <v>41678</v>
      </c>
      <c r="C64">
        <v>10.93</v>
      </c>
      <c r="D64">
        <v>0.28999999999999998</v>
      </c>
      <c r="E64">
        <v>6</v>
      </c>
      <c r="F64">
        <f t="shared" si="0"/>
        <v>0</v>
      </c>
      <c r="G64">
        <f t="shared" si="1"/>
        <v>0</v>
      </c>
      <c r="H64">
        <f t="shared" si="2"/>
        <v>0</v>
      </c>
      <c r="I64">
        <f t="shared" si="3"/>
        <v>0</v>
      </c>
      <c r="J64">
        <f t="shared" si="4"/>
        <v>25</v>
      </c>
      <c r="K64">
        <f t="shared" si="5"/>
        <v>1500</v>
      </c>
      <c r="L64">
        <f t="shared" si="6"/>
        <v>11.219999999999999</v>
      </c>
      <c r="M64">
        <f t="shared" si="7"/>
        <v>1511.22</v>
      </c>
      <c r="N64">
        <f t="shared" si="8"/>
        <v>0</v>
      </c>
      <c r="O64">
        <f t="shared" si="9"/>
        <v>0</v>
      </c>
      <c r="P64">
        <f t="shared" si="10"/>
        <v>0</v>
      </c>
      <c r="Q64">
        <f t="shared" si="11"/>
        <v>0</v>
      </c>
      <c r="R64">
        <f t="shared" si="12"/>
        <v>1511.22</v>
      </c>
    </row>
    <row r="65" spans="1:18" x14ac:dyDescent="0.3">
      <c r="A65" s="1">
        <v>41654</v>
      </c>
      <c r="B65" s="1">
        <v>41661</v>
      </c>
      <c r="C65">
        <v>9.74</v>
      </c>
      <c r="D65">
        <v>0.26</v>
      </c>
      <c r="E65">
        <v>5</v>
      </c>
      <c r="F65">
        <f t="shared" si="0"/>
        <v>0</v>
      </c>
      <c r="G65">
        <f t="shared" si="1"/>
        <v>0</v>
      </c>
      <c r="H65">
        <f t="shared" si="2"/>
        <v>0</v>
      </c>
      <c r="I65">
        <f t="shared" si="3"/>
        <v>7</v>
      </c>
      <c r="J65">
        <f t="shared" si="4"/>
        <v>0</v>
      </c>
      <c r="K65">
        <f t="shared" si="5"/>
        <v>350</v>
      </c>
      <c r="L65">
        <f t="shared" si="6"/>
        <v>10</v>
      </c>
      <c r="M65">
        <f t="shared" si="7"/>
        <v>360</v>
      </c>
      <c r="N65">
        <f t="shared" si="8"/>
        <v>0</v>
      </c>
      <c r="O65">
        <f t="shared" si="9"/>
        <v>0</v>
      </c>
      <c r="P65">
        <f t="shared" si="10"/>
        <v>0</v>
      </c>
      <c r="Q65">
        <f t="shared" si="11"/>
        <v>360</v>
      </c>
      <c r="R65">
        <f t="shared" si="12"/>
        <v>0</v>
      </c>
    </row>
    <row r="66" spans="1:18" x14ac:dyDescent="0.3">
      <c r="A66" s="1">
        <v>41654</v>
      </c>
      <c r="B66" s="1">
        <v>41669</v>
      </c>
      <c r="C66">
        <v>14.31</v>
      </c>
      <c r="D66">
        <v>0.38</v>
      </c>
      <c r="E66">
        <v>6</v>
      </c>
      <c r="F66">
        <f t="shared" si="0"/>
        <v>0</v>
      </c>
      <c r="G66">
        <f t="shared" si="1"/>
        <v>0</v>
      </c>
      <c r="H66">
        <f t="shared" si="2"/>
        <v>0</v>
      </c>
      <c r="I66">
        <f t="shared" si="3"/>
        <v>0</v>
      </c>
      <c r="J66">
        <f t="shared" si="4"/>
        <v>15</v>
      </c>
      <c r="K66">
        <f t="shared" si="5"/>
        <v>900</v>
      </c>
      <c r="L66">
        <f t="shared" si="6"/>
        <v>14.690000000000001</v>
      </c>
      <c r="M66">
        <f t="shared" si="7"/>
        <v>914.69</v>
      </c>
      <c r="N66">
        <f t="shared" si="8"/>
        <v>0</v>
      </c>
      <c r="O66">
        <f t="shared" si="9"/>
        <v>0</v>
      </c>
      <c r="P66">
        <f t="shared" si="10"/>
        <v>0</v>
      </c>
      <c r="Q66">
        <f t="shared" si="11"/>
        <v>0</v>
      </c>
      <c r="R66">
        <f t="shared" si="12"/>
        <v>914.69</v>
      </c>
    </row>
    <row r="67" spans="1:18" x14ac:dyDescent="0.3">
      <c r="A67" s="1">
        <v>41654</v>
      </c>
      <c r="B67" s="1">
        <v>41663</v>
      </c>
      <c r="C67">
        <v>7.35</v>
      </c>
      <c r="D67">
        <v>0.19</v>
      </c>
      <c r="E67">
        <v>4</v>
      </c>
      <c r="F67">
        <f t="shared" ref="F67:F130" si="13">IF(EXACT(E67,2),B67-A67,0)</f>
        <v>0</v>
      </c>
      <c r="G67">
        <f t="shared" ref="G67:G130" si="14">IF(EXACT(E67,3),B67-A67,0)</f>
        <v>0</v>
      </c>
      <c r="H67">
        <f t="shared" ref="H67:H130" si="15">IF(EXACT(E67,4),B67-A67,0)</f>
        <v>9</v>
      </c>
      <c r="I67">
        <f t="shared" ref="I67:I130" si="16">IF(EXACT(E67,5),B67-A67,0)</f>
        <v>0</v>
      </c>
      <c r="J67">
        <f t="shared" ref="J67:J130" si="17">IF(EXACT(E67,6),B67-A67,0)</f>
        <v>0</v>
      </c>
      <c r="K67">
        <f t="shared" ref="K67:K130" si="18">10 * E67 * (F67+G67+H67+I67+J67)</f>
        <v>360</v>
      </c>
      <c r="L67">
        <f t="shared" ref="L67:L130" si="19">C67+D67</f>
        <v>7.54</v>
      </c>
      <c r="M67">
        <f t="shared" ref="M67:M130" si="20">K67+L67</f>
        <v>367.54</v>
      </c>
      <c r="N67">
        <f t="shared" ref="N67:N130" si="21">IF(EXACT(E67,2),M67,0)</f>
        <v>0</v>
      </c>
      <c r="O67">
        <f t="shared" ref="O67:O130" si="22">IF(EXACT(E67,3),M67,0)</f>
        <v>0</v>
      </c>
      <c r="P67">
        <f t="shared" ref="P67:P130" si="23">IF(EXACT(E67,4),M67,0)</f>
        <v>367.54</v>
      </c>
      <c r="Q67">
        <f t="shared" ref="Q67:Q130" si="24">IF(EXACT(E67,5),M67,0)</f>
        <v>0</v>
      </c>
      <c r="R67">
        <f t="shared" ref="R67:R130" si="25">IF(EXACT(E67,6),M67,0)</f>
        <v>0</v>
      </c>
    </row>
    <row r="68" spans="1:18" x14ac:dyDescent="0.3">
      <c r="A68" s="1">
        <v>41654</v>
      </c>
      <c r="B68" s="1">
        <v>41670</v>
      </c>
      <c r="C68">
        <v>9.74</v>
      </c>
      <c r="D68">
        <v>0.26</v>
      </c>
      <c r="E68">
        <v>5</v>
      </c>
      <c r="F68">
        <f t="shared" si="13"/>
        <v>0</v>
      </c>
      <c r="G68">
        <f t="shared" si="14"/>
        <v>0</v>
      </c>
      <c r="H68">
        <f t="shared" si="15"/>
        <v>0</v>
      </c>
      <c r="I68">
        <f t="shared" si="16"/>
        <v>16</v>
      </c>
      <c r="J68">
        <f t="shared" si="17"/>
        <v>0</v>
      </c>
      <c r="K68">
        <f t="shared" si="18"/>
        <v>800</v>
      </c>
      <c r="L68">
        <f t="shared" si="19"/>
        <v>10</v>
      </c>
      <c r="M68">
        <f t="shared" si="20"/>
        <v>810</v>
      </c>
      <c r="N68">
        <f t="shared" si="21"/>
        <v>0</v>
      </c>
      <c r="O68">
        <f t="shared" si="22"/>
        <v>0</v>
      </c>
      <c r="P68">
        <f t="shared" si="23"/>
        <v>0</v>
      </c>
      <c r="Q68">
        <f t="shared" si="24"/>
        <v>810</v>
      </c>
      <c r="R68">
        <f t="shared" si="25"/>
        <v>0</v>
      </c>
    </row>
    <row r="69" spans="1:18" x14ac:dyDescent="0.3">
      <c r="A69" s="1">
        <v>41654</v>
      </c>
      <c r="B69" s="1">
        <v>41666</v>
      </c>
      <c r="C69">
        <v>14.13</v>
      </c>
      <c r="D69">
        <v>0.37</v>
      </c>
      <c r="E69">
        <v>2</v>
      </c>
      <c r="F69">
        <f t="shared" si="13"/>
        <v>12</v>
      </c>
      <c r="G69">
        <f t="shared" si="14"/>
        <v>0</v>
      </c>
      <c r="H69">
        <f t="shared" si="15"/>
        <v>0</v>
      </c>
      <c r="I69">
        <f t="shared" si="16"/>
        <v>0</v>
      </c>
      <c r="J69">
        <f t="shared" si="17"/>
        <v>0</v>
      </c>
      <c r="K69">
        <f t="shared" si="18"/>
        <v>240</v>
      </c>
      <c r="L69">
        <f t="shared" si="19"/>
        <v>14.5</v>
      </c>
      <c r="M69">
        <f t="shared" si="20"/>
        <v>254.5</v>
      </c>
      <c r="N69">
        <f t="shared" si="21"/>
        <v>254.5</v>
      </c>
      <c r="O69">
        <f t="shared" si="22"/>
        <v>0</v>
      </c>
      <c r="P69">
        <f t="shared" si="23"/>
        <v>0</v>
      </c>
      <c r="Q69">
        <f t="shared" si="24"/>
        <v>0</v>
      </c>
      <c r="R69">
        <f t="shared" si="25"/>
        <v>0</v>
      </c>
    </row>
    <row r="70" spans="1:18" x14ac:dyDescent="0.3">
      <c r="A70" s="1">
        <v>41654</v>
      </c>
      <c r="B70" s="1">
        <v>41658</v>
      </c>
      <c r="C70">
        <v>12.01</v>
      </c>
      <c r="D70">
        <v>0.32</v>
      </c>
      <c r="E70">
        <v>3</v>
      </c>
      <c r="F70">
        <f t="shared" si="13"/>
        <v>0</v>
      </c>
      <c r="G70">
        <f t="shared" si="14"/>
        <v>4</v>
      </c>
      <c r="H70">
        <f t="shared" si="15"/>
        <v>0</v>
      </c>
      <c r="I70">
        <f t="shared" si="16"/>
        <v>0</v>
      </c>
      <c r="J70">
        <f t="shared" si="17"/>
        <v>0</v>
      </c>
      <c r="K70">
        <f t="shared" si="18"/>
        <v>120</v>
      </c>
      <c r="L70">
        <f t="shared" si="19"/>
        <v>12.33</v>
      </c>
      <c r="M70">
        <f t="shared" si="20"/>
        <v>132.33000000000001</v>
      </c>
      <c r="N70">
        <f t="shared" si="21"/>
        <v>0</v>
      </c>
      <c r="O70">
        <f t="shared" si="22"/>
        <v>132.33000000000001</v>
      </c>
      <c r="P70">
        <f t="shared" si="23"/>
        <v>0</v>
      </c>
      <c r="Q70">
        <f t="shared" si="24"/>
        <v>0</v>
      </c>
      <c r="R70">
        <f t="shared" si="25"/>
        <v>0</v>
      </c>
    </row>
    <row r="71" spans="1:18" x14ac:dyDescent="0.3">
      <c r="A71" s="1">
        <v>41654</v>
      </c>
      <c r="B71" s="1">
        <v>41669</v>
      </c>
      <c r="C71">
        <v>13.07</v>
      </c>
      <c r="D71">
        <v>0.34</v>
      </c>
      <c r="E71">
        <v>6</v>
      </c>
      <c r="F71">
        <f t="shared" si="13"/>
        <v>0</v>
      </c>
      <c r="G71">
        <f t="shared" si="14"/>
        <v>0</v>
      </c>
      <c r="H71">
        <f t="shared" si="15"/>
        <v>0</v>
      </c>
      <c r="I71">
        <f t="shared" si="16"/>
        <v>0</v>
      </c>
      <c r="J71">
        <f t="shared" si="17"/>
        <v>15</v>
      </c>
      <c r="K71">
        <f t="shared" si="18"/>
        <v>900</v>
      </c>
      <c r="L71">
        <f t="shared" si="19"/>
        <v>13.41</v>
      </c>
      <c r="M71">
        <f t="shared" si="20"/>
        <v>913.41</v>
      </c>
      <c r="N71">
        <f t="shared" si="21"/>
        <v>0</v>
      </c>
      <c r="O71">
        <f t="shared" si="22"/>
        <v>0</v>
      </c>
      <c r="P71">
        <f t="shared" si="23"/>
        <v>0</v>
      </c>
      <c r="Q71">
        <f t="shared" si="24"/>
        <v>0</v>
      </c>
      <c r="R71">
        <f t="shared" si="25"/>
        <v>913.41</v>
      </c>
    </row>
    <row r="72" spans="1:18" x14ac:dyDescent="0.3">
      <c r="A72" s="1">
        <v>41654</v>
      </c>
      <c r="B72" s="1">
        <v>41659</v>
      </c>
      <c r="C72">
        <v>14</v>
      </c>
      <c r="D72">
        <v>0.37</v>
      </c>
      <c r="E72">
        <v>5</v>
      </c>
      <c r="F72">
        <f t="shared" si="13"/>
        <v>0</v>
      </c>
      <c r="G72">
        <f t="shared" si="14"/>
        <v>0</v>
      </c>
      <c r="H72">
        <f t="shared" si="15"/>
        <v>0</v>
      </c>
      <c r="I72">
        <f t="shared" si="16"/>
        <v>5</v>
      </c>
      <c r="J72">
        <f t="shared" si="17"/>
        <v>0</v>
      </c>
      <c r="K72">
        <f t="shared" si="18"/>
        <v>250</v>
      </c>
      <c r="L72">
        <f t="shared" si="19"/>
        <v>14.37</v>
      </c>
      <c r="M72">
        <f t="shared" si="20"/>
        <v>264.37</v>
      </c>
      <c r="N72">
        <f t="shared" si="21"/>
        <v>0</v>
      </c>
      <c r="O72">
        <f t="shared" si="22"/>
        <v>0</v>
      </c>
      <c r="P72">
        <f t="shared" si="23"/>
        <v>0</v>
      </c>
      <c r="Q72">
        <f t="shared" si="24"/>
        <v>264.37</v>
      </c>
      <c r="R72">
        <f t="shared" si="25"/>
        <v>0</v>
      </c>
    </row>
    <row r="73" spans="1:18" x14ac:dyDescent="0.3">
      <c r="A73" s="1">
        <v>41654</v>
      </c>
      <c r="B73" s="1">
        <v>41671</v>
      </c>
      <c r="C73">
        <v>13.02</v>
      </c>
      <c r="D73">
        <v>0.34</v>
      </c>
      <c r="E73">
        <v>2</v>
      </c>
      <c r="F73">
        <f t="shared" si="13"/>
        <v>17</v>
      </c>
      <c r="G73">
        <f t="shared" si="14"/>
        <v>0</v>
      </c>
      <c r="H73">
        <f t="shared" si="15"/>
        <v>0</v>
      </c>
      <c r="I73">
        <f t="shared" si="16"/>
        <v>0</v>
      </c>
      <c r="J73">
        <f t="shared" si="17"/>
        <v>0</v>
      </c>
      <c r="K73">
        <f t="shared" si="18"/>
        <v>340</v>
      </c>
      <c r="L73">
        <f t="shared" si="19"/>
        <v>13.36</v>
      </c>
      <c r="M73">
        <f t="shared" si="20"/>
        <v>353.36</v>
      </c>
      <c r="N73">
        <f t="shared" si="21"/>
        <v>353.36</v>
      </c>
      <c r="O73">
        <f t="shared" si="22"/>
        <v>0</v>
      </c>
      <c r="P73">
        <f t="shared" si="23"/>
        <v>0</v>
      </c>
      <c r="Q73">
        <f t="shared" si="24"/>
        <v>0</v>
      </c>
      <c r="R73">
        <f t="shared" si="25"/>
        <v>0</v>
      </c>
    </row>
    <row r="74" spans="1:18" x14ac:dyDescent="0.3">
      <c r="A74" s="1">
        <v>41654</v>
      </c>
      <c r="B74" s="1">
        <v>41658</v>
      </c>
      <c r="C74">
        <v>6.75</v>
      </c>
      <c r="D74">
        <v>0.18</v>
      </c>
      <c r="E74">
        <v>5</v>
      </c>
      <c r="F74">
        <f t="shared" si="13"/>
        <v>0</v>
      </c>
      <c r="G74">
        <f t="shared" si="14"/>
        <v>0</v>
      </c>
      <c r="H74">
        <f t="shared" si="15"/>
        <v>0</v>
      </c>
      <c r="I74">
        <f t="shared" si="16"/>
        <v>4</v>
      </c>
      <c r="J74">
        <f t="shared" si="17"/>
        <v>0</v>
      </c>
      <c r="K74">
        <f t="shared" si="18"/>
        <v>200</v>
      </c>
      <c r="L74">
        <f t="shared" si="19"/>
        <v>6.93</v>
      </c>
      <c r="M74">
        <f t="shared" si="20"/>
        <v>206.93</v>
      </c>
      <c r="N74">
        <f t="shared" si="21"/>
        <v>0</v>
      </c>
      <c r="O74">
        <f t="shared" si="22"/>
        <v>0</v>
      </c>
      <c r="P74">
        <f t="shared" si="23"/>
        <v>0</v>
      </c>
      <c r="Q74">
        <f t="shared" si="24"/>
        <v>206.93</v>
      </c>
      <c r="R74">
        <f t="shared" si="25"/>
        <v>0</v>
      </c>
    </row>
    <row r="75" spans="1:18" x14ac:dyDescent="0.3">
      <c r="A75" s="1">
        <v>41654</v>
      </c>
      <c r="B75" s="1">
        <v>41670</v>
      </c>
      <c r="C75">
        <v>3.88</v>
      </c>
      <c r="D75">
        <v>0.1</v>
      </c>
      <c r="E75">
        <v>2</v>
      </c>
      <c r="F75">
        <f t="shared" si="13"/>
        <v>16</v>
      </c>
      <c r="G75">
        <f t="shared" si="14"/>
        <v>0</v>
      </c>
      <c r="H75">
        <f t="shared" si="15"/>
        <v>0</v>
      </c>
      <c r="I75">
        <f t="shared" si="16"/>
        <v>0</v>
      </c>
      <c r="J75">
        <f t="shared" si="17"/>
        <v>0</v>
      </c>
      <c r="K75">
        <f t="shared" si="18"/>
        <v>320</v>
      </c>
      <c r="L75">
        <f t="shared" si="19"/>
        <v>3.98</v>
      </c>
      <c r="M75">
        <f t="shared" si="20"/>
        <v>323.98</v>
      </c>
      <c r="N75">
        <f t="shared" si="21"/>
        <v>323.98</v>
      </c>
      <c r="O75">
        <f t="shared" si="22"/>
        <v>0</v>
      </c>
      <c r="P75">
        <f t="shared" si="23"/>
        <v>0</v>
      </c>
      <c r="Q75">
        <f t="shared" si="24"/>
        <v>0</v>
      </c>
      <c r="R75">
        <f t="shared" si="25"/>
        <v>0</v>
      </c>
    </row>
    <row r="76" spans="1:18" x14ac:dyDescent="0.3">
      <c r="A76" s="1">
        <v>41654</v>
      </c>
      <c r="B76" s="1">
        <v>41657</v>
      </c>
      <c r="C76">
        <v>4.66</v>
      </c>
      <c r="D76">
        <v>0.12</v>
      </c>
      <c r="E76">
        <v>6</v>
      </c>
      <c r="F76">
        <f t="shared" si="13"/>
        <v>0</v>
      </c>
      <c r="G76">
        <f t="shared" si="14"/>
        <v>0</v>
      </c>
      <c r="H76">
        <f t="shared" si="15"/>
        <v>0</v>
      </c>
      <c r="I76">
        <f t="shared" si="16"/>
        <v>0</v>
      </c>
      <c r="J76">
        <f t="shared" si="17"/>
        <v>3</v>
      </c>
      <c r="K76">
        <f t="shared" si="18"/>
        <v>180</v>
      </c>
      <c r="L76">
        <f t="shared" si="19"/>
        <v>4.78</v>
      </c>
      <c r="M76">
        <f t="shared" si="20"/>
        <v>184.78</v>
      </c>
      <c r="N76">
        <f t="shared" si="21"/>
        <v>0</v>
      </c>
      <c r="O76">
        <f t="shared" si="22"/>
        <v>0</v>
      </c>
      <c r="P76">
        <f t="shared" si="23"/>
        <v>0</v>
      </c>
      <c r="Q76">
        <f t="shared" si="24"/>
        <v>0</v>
      </c>
      <c r="R76">
        <f t="shared" si="25"/>
        <v>184.78</v>
      </c>
    </row>
    <row r="77" spans="1:18" x14ac:dyDescent="0.3">
      <c r="A77" s="1">
        <v>41654</v>
      </c>
      <c r="B77" s="1">
        <v>41661</v>
      </c>
      <c r="C77">
        <v>2.29</v>
      </c>
      <c r="D77">
        <v>0.06</v>
      </c>
      <c r="E77">
        <v>4</v>
      </c>
      <c r="F77">
        <f t="shared" si="13"/>
        <v>0</v>
      </c>
      <c r="G77">
        <f t="shared" si="14"/>
        <v>0</v>
      </c>
      <c r="H77">
        <f t="shared" si="15"/>
        <v>7</v>
      </c>
      <c r="I77">
        <f t="shared" si="16"/>
        <v>0</v>
      </c>
      <c r="J77">
        <f t="shared" si="17"/>
        <v>0</v>
      </c>
      <c r="K77">
        <f t="shared" si="18"/>
        <v>280</v>
      </c>
      <c r="L77">
        <f t="shared" si="19"/>
        <v>2.35</v>
      </c>
      <c r="M77">
        <f t="shared" si="20"/>
        <v>282.35000000000002</v>
      </c>
      <c r="N77">
        <f t="shared" si="21"/>
        <v>0</v>
      </c>
      <c r="O77">
        <f t="shared" si="22"/>
        <v>0</v>
      </c>
      <c r="P77">
        <f t="shared" si="23"/>
        <v>282.35000000000002</v>
      </c>
      <c r="Q77">
        <f t="shared" si="24"/>
        <v>0</v>
      </c>
      <c r="R77">
        <f t="shared" si="25"/>
        <v>0</v>
      </c>
    </row>
    <row r="78" spans="1:18" x14ac:dyDescent="0.3">
      <c r="A78" s="1">
        <v>41654</v>
      </c>
      <c r="B78" s="1">
        <v>41665</v>
      </c>
      <c r="C78">
        <v>7.31</v>
      </c>
      <c r="D78">
        <v>0.19</v>
      </c>
      <c r="E78">
        <v>6</v>
      </c>
      <c r="F78">
        <f t="shared" si="13"/>
        <v>0</v>
      </c>
      <c r="G78">
        <f t="shared" si="14"/>
        <v>0</v>
      </c>
      <c r="H78">
        <f t="shared" si="15"/>
        <v>0</v>
      </c>
      <c r="I78">
        <f t="shared" si="16"/>
        <v>0</v>
      </c>
      <c r="J78">
        <f t="shared" si="17"/>
        <v>11</v>
      </c>
      <c r="K78">
        <f t="shared" si="18"/>
        <v>660</v>
      </c>
      <c r="L78">
        <f t="shared" si="19"/>
        <v>7.5</v>
      </c>
      <c r="M78">
        <f t="shared" si="20"/>
        <v>667.5</v>
      </c>
      <c r="N78">
        <f t="shared" si="21"/>
        <v>0</v>
      </c>
      <c r="O78">
        <f t="shared" si="22"/>
        <v>0</v>
      </c>
      <c r="P78">
        <f t="shared" si="23"/>
        <v>0</v>
      </c>
      <c r="Q78">
        <f t="shared" si="24"/>
        <v>0</v>
      </c>
      <c r="R78">
        <f t="shared" si="25"/>
        <v>667.5</v>
      </c>
    </row>
    <row r="79" spans="1:18" x14ac:dyDescent="0.3">
      <c r="A79" s="1">
        <v>41654</v>
      </c>
      <c r="B79" s="1">
        <v>41682</v>
      </c>
      <c r="C79">
        <v>6.23</v>
      </c>
      <c r="D79">
        <v>0.16</v>
      </c>
      <c r="E79">
        <v>6</v>
      </c>
      <c r="F79">
        <f t="shared" si="13"/>
        <v>0</v>
      </c>
      <c r="G79">
        <f t="shared" si="14"/>
        <v>0</v>
      </c>
      <c r="H79">
        <f t="shared" si="15"/>
        <v>0</v>
      </c>
      <c r="I79">
        <f t="shared" si="16"/>
        <v>0</v>
      </c>
      <c r="J79">
        <f t="shared" si="17"/>
        <v>28</v>
      </c>
      <c r="K79">
        <f t="shared" si="18"/>
        <v>1680</v>
      </c>
      <c r="L79">
        <f t="shared" si="19"/>
        <v>6.3900000000000006</v>
      </c>
      <c r="M79">
        <f t="shared" si="20"/>
        <v>1686.39</v>
      </c>
      <c r="N79">
        <f t="shared" si="21"/>
        <v>0</v>
      </c>
      <c r="O79">
        <f t="shared" si="22"/>
        <v>0</v>
      </c>
      <c r="P79">
        <f t="shared" si="23"/>
        <v>0</v>
      </c>
      <c r="Q79">
        <f t="shared" si="24"/>
        <v>0</v>
      </c>
      <c r="R79">
        <f t="shared" si="25"/>
        <v>1686.39</v>
      </c>
    </row>
    <row r="80" spans="1:18" x14ac:dyDescent="0.3">
      <c r="A80" s="1">
        <v>41654</v>
      </c>
      <c r="B80" s="1">
        <v>41663</v>
      </c>
      <c r="C80">
        <v>3.88</v>
      </c>
      <c r="D80">
        <v>0.1</v>
      </c>
      <c r="E80">
        <v>2</v>
      </c>
      <c r="F80">
        <f t="shared" si="13"/>
        <v>9</v>
      </c>
      <c r="G80">
        <f t="shared" si="14"/>
        <v>0</v>
      </c>
      <c r="H80">
        <f t="shared" si="15"/>
        <v>0</v>
      </c>
      <c r="I80">
        <f t="shared" si="16"/>
        <v>0</v>
      </c>
      <c r="J80">
        <f t="shared" si="17"/>
        <v>0</v>
      </c>
      <c r="K80">
        <f t="shared" si="18"/>
        <v>180</v>
      </c>
      <c r="L80">
        <f t="shared" si="19"/>
        <v>3.98</v>
      </c>
      <c r="M80">
        <f t="shared" si="20"/>
        <v>183.98</v>
      </c>
      <c r="N80">
        <f t="shared" si="21"/>
        <v>183.98</v>
      </c>
      <c r="O80">
        <f t="shared" si="22"/>
        <v>0</v>
      </c>
      <c r="P80">
        <f t="shared" si="23"/>
        <v>0</v>
      </c>
      <c r="Q80">
        <f t="shared" si="24"/>
        <v>0</v>
      </c>
      <c r="R80">
        <f t="shared" si="25"/>
        <v>0</v>
      </c>
    </row>
    <row r="81" spans="1:18" x14ac:dyDescent="0.3">
      <c r="A81" s="1">
        <v>41654</v>
      </c>
      <c r="B81" s="1">
        <v>41662</v>
      </c>
      <c r="C81">
        <v>8.51</v>
      </c>
      <c r="D81">
        <v>0.22</v>
      </c>
      <c r="E81">
        <v>2</v>
      </c>
      <c r="F81">
        <f t="shared" si="13"/>
        <v>8</v>
      </c>
      <c r="G81">
        <f t="shared" si="14"/>
        <v>0</v>
      </c>
      <c r="H81">
        <f t="shared" si="15"/>
        <v>0</v>
      </c>
      <c r="I81">
        <f t="shared" si="16"/>
        <v>0</v>
      </c>
      <c r="J81">
        <f t="shared" si="17"/>
        <v>0</v>
      </c>
      <c r="K81">
        <f t="shared" si="18"/>
        <v>160</v>
      </c>
      <c r="L81">
        <f t="shared" si="19"/>
        <v>8.73</v>
      </c>
      <c r="M81">
        <f t="shared" si="20"/>
        <v>168.73</v>
      </c>
      <c r="N81">
        <f t="shared" si="21"/>
        <v>168.73</v>
      </c>
      <c r="O81">
        <f t="shared" si="22"/>
        <v>0</v>
      </c>
      <c r="P81">
        <f t="shared" si="23"/>
        <v>0</v>
      </c>
      <c r="Q81">
        <f t="shared" si="24"/>
        <v>0</v>
      </c>
      <c r="R81">
        <f t="shared" si="25"/>
        <v>0</v>
      </c>
    </row>
    <row r="82" spans="1:18" x14ac:dyDescent="0.3">
      <c r="A82" s="1">
        <v>41654</v>
      </c>
      <c r="B82" s="1">
        <v>41657</v>
      </c>
      <c r="C82">
        <v>8.51</v>
      </c>
      <c r="D82">
        <v>0.22</v>
      </c>
      <c r="E82">
        <v>4</v>
      </c>
      <c r="F82">
        <f t="shared" si="13"/>
        <v>0</v>
      </c>
      <c r="G82">
        <f t="shared" si="14"/>
        <v>0</v>
      </c>
      <c r="H82">
        <f t="shared" si="15"/>
        <v>3</v>
      </c>
      <c r="I82">
        <f t="shared" si="16"/>
        <v>0</v>
      </c>
      <c r="J82">
        <f t="shared" si="17"/>
        <v>0</v>
      </c>
      <c r="K82">
        <f t="shared" si="18"/>
        <v>120</v>
      </c>
      <c r="L82">
        <f t="shared" si="19"/>
        <v>8.73</v>
      </c>
      <c r="M82">
        <f t="shared" si="20"/>
        <v>128.72999999999999</v>
      </c>
      <c r="N82">
        <f t="shared" si="21"/>
        <v>0</v>
      </c>
      <c r="O82">
        <f t="shared" si="22"/>
        <v>0</v>
      </c>
      <c r="P82">
        <f t="shared" si="23"/>
        <v>128.72999999999999</v>
      </c>
      <c r="Q82">
        <f t="shared" si="24"/>
        <v>0</v>
      </c>
      <c r="R82">
        <f t="shared" si="25"/>
        <v>0</v>
      </c>
    </row>
    <row r="83" spans="1:18" x14ac:dyDescent="0.3">
      <c r="A83" s="1">
        <v>41654</v>
      </c>
      <c r="B83" s="1">
        <v>41676</v>
      </c>
      <c r="C83">
        <v>9.1300000000000008</v>
      </c>
      <c r="D83">
        <v>0.24</v>
      </c>
      <c r="E83">
        <v>2</v>
      </c>
      <c r="F83">
        <f t="shared" si="13"/>
        <v>22</v>
      </c>
      <c r="G83">
        <f t="shared" si="14"/>
        <v>0</v>
      </c>
      <c r="H83">
        <f t="shared" si="15"/>
        <v>0</v>
      </c>
      <c r="I83">
        <f t="shared" si="16"/>
        <v>0</v>
      </c>
      <c r="J83">
        <f t="shared" si="17"/>
        <v>0</v>
      </c>
      <c r="K83">
        <f t="shared" si="18"/>
        <v>440</v>
      </c>
      <c r="L83">
        <f t="shared" si="19"/>
        <v>9.370000000000001</v>
      </c>
      <c r="M83">
        <f t="shared" si="20"/>
        <v>449.37</v>
      </c>
      <c r="N83">
        <f t="shared" si="21"/>
        <v>449.37</v>
      </c>
      <c r="O83">
        <f t="shared" si="22"/>
        <v>0</v>
      </c>
      <c r="P83">
        <f t="shared" si="23"/>
        <v>0</v>
      </c>
      <c r="Q83">
        <f t="shared" si="24"/>
        <v>0</v>
      </c>
      <c r="R83">
        <f t="shared" si="25"/>
        <v>0</v>
      </c>
    </row>
    <row r="84" spans="1:18" x14ac:dyDescent="0.3">
      <c r="A84" s="1">
        <v>41654</v>
      </c>
      <c r="B84" s="1">
        <v>41658</v>
      </c>
      <c r="C84">
        <v>3.88</v>
      </c>
      <c r="D84">
        <v>0.1</v>
      </c>
      <c r="E84">
        <v>2</v>
      </c>
      <c r="F84">
        <f t="shared" si="13"/>
        <v>4</v>
      </c>
      <c r="G84">
        <f t="shared" si="14"/>
        <v>0</v>
      </c>
      <c r="H84">
        <f t="shared" si="15"/>
        <v>0</v>
      </c>
      <c r="I84">
        <f t="shared" si="16"/>
        <v>0</v>
      </c>
      <c r="J84">
        <f t="shared" si="17"/>
        <v>0</v>
      </c>
      <c r="K84">
        <f t="shared" si="18"/>
        <v>80</v>
      </c>
      <c r="L84">
        <f t="shared" si="19"/>
        <v>3.98</v>
      </c>
      <c r="M84">
        <f t="shared" si="20"/>
        <v>83.98</v>
      </c>
      <c r="N84">
        <f t="shared" si="21"/>
        <v>83.98</v>
      </c>
      <c r="O84">
        <f t="shared" si="22"/>
        <v>0</v>
      </c>
      <c r="P84">
        <f t="shared" si="23"/>
        <v>0</v>
      </c>
      <c r="Q84">
        <f t="shared" si="24"/>
        <v>0</v>
      </c>
      <c r="R84">
        <f t="shared" si="25"/>
        <v>0</v>
      </c>
    </row>
    <row r="85" spans="1:18" x14ac:dyDescent="0.3">
      <c r="A85" s="1">
        <v>41654</v>
      </c>
      <c r="B85" s="1">
        <v>41675</v>
      </c>
      <c r="C85">
        <v>11.42</v>
      </c>
      <c r="D85">
        <v>0.3</v>
      </c>
      <c r="E85">
        <v>2</v>
      </c>
      <c r="F85">
        <f t="shared" si="13"/>
        <v>21</v>
      </c>
      <c r="G85">
        <f t="shared" si="14"/>
        <v>0</v>
      </c>
      <c r="H85">
        <f t="shared" si="15"/>
        <v>0</v>
      </c>
      <c r="I85">
        <f t="shared" si="16"/>
        <v>0</v>
      </c>
      <c r="J85">
        <f t="shared" si="17"/>
        <v>0</v>
      </c>
      <c r="K85">
        <f t="shared" si="18"/>
        <v>420</v>
      </c>
      <c r="L85">
        <f t="shared" si="19"/>
        <v>11.72</v>
      </c>
      <c r="M85">
        <f t="shared" si="20"/>
        <v>431.72</v>
      </c>
      <c r="N85">
        <f t="shared" si="21"/>
        <v>431.72</v>
      </c>
      <c r="O85">
        <f t="shared" si="22"/>
        <v>0</v>
      </c>
      <c r="P85">
        <f t="shared" si="23"/>
        <v>0</v>
      </c>
      <c r="Q85">
        <f t="shared" si="24"/>
        <v>0</v>
      </c>
      <c r="R85">
        <f t="shared" si="25"/>
        <v>0</v>
      </c>
    </row>
    <row r="86" spans="1:18" x14ac:dyDescent="0.3">
      <c r="A86" s="1">
        <v>41654</v>
      </c>
      <c r="B86" s="1">
        <v>41661</v>
      </c>
      <c r="C86">
        <v>16.829999999999998</v>
      </c>
      <c r="D86">
        <v>0.44</v>
      </c>
      <c r="E86">
        <v>4</v>
      </c>
      <c r="F86">
        <f t="shared" si="13"/>
        <v>0</v>
      </c>
      <c r="G86">
        <f t="shared" si="14"/>
        <v>0</v>
      </c>
      <c r="H86">
        <f t="shared" si="15"/>
        <v>7</v>
      </c>
      <c r="I86">
        <f t="shared" si="16"/>
        <v>0</v>
      </c>
      <c r="J86">
        <f t="shared" si="17"/>
        <v>0</v>
      </c>
      <c r="K86">
        <f t="shared" si="18"/>
        <v>280</v>
      </c>
      <c r="L86">
        <f t="shared" si="19"/>
        <v>17.27</v>
      </c>
      <c r="M86">
        <f t="shared" si="20"/>
        <v>297.27</v>
      </c>
      <c r="N86">
        <f t="shared" si="21"/>
        <v>0</v>
      </c>
      <c r="O86">
        <f t="shared" si="22"/>
        <v>0</v>
      </c>
      <c r="P86">
        <f t="shared" si="23"/>
        <v>297.27</v>
      </c>
      <c r="Q86">
        <f t="shared" si="24"/>
        <v>0</v>
      </c>
      <c r="R86">
        <f t="shared" si="25"/>
        <v>0</v>
      </c>
    </row>
    <row r="87" spans="1:18" x14ac:dyDescent="0.3">
      <c r="A87" s="1">
        <v>41656</v>
      </c>
      <c r="B87" s="1">
        <v>41674</v>
      </c>
      <c r="C87">
        <v>5.67</v>
      </c>
      <c r="D87">
        <v>0.15</v>
      </c>
      <c r="E87">
        <v>2</v>
      </c>
      <c r="F87">
        <f t="shared" si="13"/>
        <v>18</v>
      </c>
      <c r="G87">
        <f t="shared" si="14"/>
        <v>0</v>
      </c>
      <c r="H87">
        <f t="shared" si="15"/>
        <v>0</v>
      </c>
      <c r="I87">
        <f t="shared" si="16"/>
        <v>0</v>
      </c>
      <c r="J87">
        <f t="shared" si="17"/>
        <v>0</v>
      </c>
      <c r="K87">
        <f t="shared" si="18"/>
        <v>360</v>
      </c>
      <c r="L87">
        <f t="shared" si="19"/>
        <v>5.82</v>
      </c>
      <c r="M87">
        <f t="shared" si="20"/>
        <v>365.82</v>
      </c>
      <c r="N87">
        <f t="shared" si="21"/>
        <v>365.82</v>
      </c>
      <c r="O87">
        <f t="shared" si="22"/>
        <v>0</v>
      </c>
      <c r="P87">
        <f t="shared" si="23"/>
        <v>0</v>
      </c>
      <c r="Q87">
        <f t="shared" si="24"/>
        <v>0</v>
      </c>
      <c r="R87">
        <f t="shared" si="25"/>
        <v>0</v>
      </c>
    </row>
    <row r="88" spans="1:18" x14ac:dyDescent="0.3">
      <c r="A88" s="1">
        <v>41656</v>
      </c>
      <c r="B88" s="1">
        <v>41667</v>
      </c>
      <c r="C88">
        <v>5.67</v>
      </c>
      <c r="D88">
        <v>0.15</v>
      </c>
      <c r="E88">
        <v>3</v>
      </c>
      <c r="F88">
        <f t="shared" si="13"/>
        <v>0</v>
      </c>
      <c r="G88">
        <f t="shared" si="14"/>
        <v>11</v>
      </c>
      <c r="H88">
        <f t="shared" si="15"/>
        <v>0</v>
      </c>
      <c r="I88">
        <f t="shared" si="16"/>
        <v>0</v>
      </c>
      <c r="J88">
        <f t="shared" si="17"/>
        <v>0</v>
      </c>
      <c r="K88">
        <f t="shared" si="18"/>
        <v>330</v>
      </c>
      <c r="L88">
        <f t="shared" si="19"/>
        <v>5.82</v>
      </c>
      <c r="M88">
        <f t="shared" si="20"/>
        <v>335.82</v>
      </c>
      <c r="N88">
        <f t="shared" si="21"/>
        <v>0</v>
      </c>
      <c r="O88">
        <f t="shared" si="22"/>
        <v>335.82</v>
      </c>
      <c r="P88">
        <f t="shared" si="23"/>
        <v>0</v>
      </c>
      <c r="Q88">
        <f t="shared" si="24"/>
        <v>0</v>
      </c>
      <c r="R88">
        <f t="shared" si="25"/>
        <v>0</v>
      </c>
    </row>
    <row r="89" spans="1:18" x14ac:dyDescent="0.3">
      <c r="A89" s="1">
        <v>41656</v>
      </c>
      <c r="B89" s="1">
        <v>41666</v>
      </c>
      <c r="C89">
        <v>2.0099999999999998</v>
      </c>
      <c r="D89">
        <v>0.05</v>
      </c>
      <c r="E89">
        <v>5</v>
      </c>
      <c r="F89">
        <f t="shared" si="13"/>
        <v>0</v>
      </c>
      <c r="G89">
        <f t="shared" si="14"/>
        <v>0</v>
      </c>
      <c r="H89">
        <f t="shared" si="15"/>
        <v>0</v>
      </c>
      <c r="I89">
        <f t="shared" si="16"/>
        <v>10</v>
      </c>
      <c r="J89">
        <f t="shared" si="17"/>
        <v>0</v>
      </c>
      <c r="K89">
        <f t="shared" si="18"/>
        <v>500</v>
      </c>
      <c r="L89">
        <f t="shared" si="19"/>
        <v>2.0599999999999996</v>
      </c>
      <c r="M89">
        <f t="shared" si="20"/>
        <v>502.06</v>
      </c>
      <c r="N89">
        <f t="shared" si="21"/>
        <v>0</v>
      </c>
      <c r="O89">
        <f t="shared" si="22"/>
        <v>0</v>
      </c>
      <c r="P89">
        <f t="shared" si="23"/>
        <v>0</v>
      </c>
      <c r="Q89">
        <f t="shared" si="24"/>
        <v>502.06</v>
      </c>
      <c r="R89">
        <f t="shared" si="25"/>
        <v>0</v>
      </c>
    </row>
    <row r="90" spans="1:18" x14ac:dyDescent="0.3">
      <c r="A90" s="1">
        <v>41656</v>
      </c>
      <c r="B90" s="1">
        <v>41678</v>
      </c>
      <c r="C90">
        <v>2.0099999999999998</v>
      </c>
      <c r="D90">
        <v>0.05</v>
      </c>
      <c r="E90">
        <v>5</v>
      </c>
      <c r="F90">
        <f t="shared" si="13"/>
        <v>0</v>
      </c>
      <c r="G90">
        <f t="shared" si="14"/>
        <v>0</v>
      </c>
      <c r="H90">
        <f t="shared" si="15"/>
        <v>0</v>
      </c>
      <c r="I90">
        <f t="shared" si="16"/>
        <v>22</v>
      </c>
      <c r="J90">
        <f t="shared" si="17"/>
        <v>0</v>
      </c>
      <c r="K90">
        <f t="shared" si="18"/>
        <v>1100</v>
      </c>
      <c r="L90">
        <f t="shared" si="19"/>
        <v>2.0599999999999996</v>
      </c>
      <c r="M90">
        <f t="shared" si="20"/>
        <v>1102.06</v>
      </c>
      <c r="N90">
        <f t="shared" si="21"/>
        <v>0</v>
      </c>
      <c r="O90">
        <f t="shared" si="22"/>
        <v>0</v>
      </c>
      <c r="P90">
        <f t="shared" si="23"/>
        <v>0</v>
      </c>
      <c r="Q90">
        <f t="shared" si="24"/>
        <v>1102.06</v>
      </c>
      <c r="R90">
        <f t="shared" si="25"/>
        <v>0</v>
      </c>
    </row>
    <row r="91" spans="1:18" x14ac:dyDescent="0.3">
      <c r="A91" s="1">
        <v>41657</v>
      </c>
      <c r="B91" s="1">
        <v>41669</v>
      </c>
      <c r="C91">
        <v>6.43</v>
      </c>
      <c r="D91">
        <v>0.17</v>
      </c>
      <c r="E91">
        <v>5</v>
      </c>
      <c r="F91">
        <f t="shared" si="13"/>
        <v>0</v>
      </c>
      <c r="G91">
        <f t="shared" si="14"/>
        <v>0</v>
      </c>
      <c r="H91">
        <f t="shared" si="15"/>
        <v>0</v>
      </c>
      <c r="I91">
        <f t="shared" si="16"/>
        <v>12</v>
      </c>
      <c r="J91">
        <f t="shared" si="17"/>
        <v>0</v>
      </c>
      <c r="K91">
        <f t="shared" si="18"/>
        <v>600</v>
      </c>
      <c r="L91">
        <f t="shared" si="19"/>
        <v>6.6</v>
      </c>
      <c r="M91">
        <f t="shared" si="20"/>
        <v>606.6</v>
      </c>
      <c r="N91">
        <f t="shared" si="21"/>
        <v>0</v>
      </c>
      <c r="O91">
        <f t="shared" si="22"/>
        <v>0</v>
      </c>
      <c r="P91">
        <f t="shared" si="23"/>
        <v>0</v>
      </c>
      <c r="Q91">
        <f t="shared" si="24"/>
        <v>606.6</v>
      </c>
      <c r="R91">
        <f t="shared" si="25"/>
        <v>0</v>
      </c>
    </row>
    <row r="92" spans="1:18" x14ac:dyDescent="0.3">
      <c r="A92" s="1">
        <v>41657</v>
      </c>
      <c r="B92" s="1">
        <v>41666</v>
      </c>
      <c r="C92">
        <v>3.88</v>
      </c>
      <c r="D92">
        <v>0.1</v>
      </c>
      <c r="E92">
        <v>5</v>
      </c>
      <c r="F92">
        <f t="shared" si="13"/>
        <v>0</v>
      </c>
      <c r="G92">
        <f t="shared" si="14"/>
        <v>0</v>
      </c>
      <c r="H92">
        <f t="shared" si="15"/>
        <v>0</v>
      </c>
      <c r="I92">
        <f t="shared" si="16"/>
        <v>9</v>
      </c>
      <c r="J92">
        <f t="shared" si="17"/>
        <v>0</v>
      </c>
      <c r="K92">
        <f t="shared" si="18"/>
        <v>450</v>
      </c>
      <c r="L92">
        <f t="shared" si="19"/>
        <v>3.98</v>
      </c>
      <c r="M92">
        <f t="shared" si="20"/>
        <v>453.98</v>
      </c>
      <c r="N92">
        <f t="shared" si="21"/>
        <v>0</v>
      </c>
      <c r="O92">
        <f t="shared" si="22"/>
        <v>0</v>
      </c>
      <c r="P92">
        <f t="shared" si="23"/>
        <v>0</v>
      </c>
      <c r="Q92">
        <f t="shared" si="24"/>
        <v>453.98</v>
      </c>
      <c r="R92">
        <f t="shared" si="25"/>
        <v>0</v>
      </c>
    </row>
    <row r="93" spans="1:18" x14ac:dyDescent="0.3">
      <c r="A93" s="1">
        <v>41657</v>
      </c>
      <c r="B93" s="1">
        <v>41661</v>
      </c>
      <c r="C93">
        <v>8.7200000000000006</v>
      </c>
      <c r="D93">
        <v>0.23</v>
      </c>
      <c r="E93">
        <v>4</v>
      </c>
      <c r="F93">
        <f t="shared" si="13"/>
        <v>0</v>
      </c>
      <c r="G93">
        <f t="shared" si="14"/>
        <v>0</v>
      </c>
      <c r="H93">
        <f t="shared" si="15"/>
        <v>4</v>
      </c>
      <c r="I93">
        <f t="shared" si="16"/>
        <v>0</v>
      </c>
      <c r="J93">
        <f t="shared" si="17"/>
        <v>0</v>
      </c>
      <c r="K93">
        <f t="shared" si="18"/>
        <v>160</v>
      </c>
      <c r="L93">
        <f t="shared" si="19"/>
        <v>8.9500000000000011</v>
      </c>
      <c r="M93">
        <f t="shared" si="20"/>
        <v>168.95</v>
      </c>
      <c r="N93">
        <f t="shared" si="21"/>
        <v>0</v>
      </c>
      <c r="O93">
        <f t="shared" si="22"/>
        <v>0</v>
      </c>
      <c r="P93">
        <f t="shared" si="23"/>
        <v>168.95</v>
      </c>
      <c r="Q93">
        <f t="shared" si="24"/>
        <v>0</v>
      </c>
      <c r="R93">
        <f t="shared" si="25"/>
        <v>0</v>
      </c>
    </row>
    <row r="94" spans="1:18" x14ac:dyDescent="0.3">
      <c r="A94" s="1">
        <v>41658</v>
      </c>
      <c r="B94" s="1">
        <v>41685</v>
      </c>
      <c r="C94">
        <v>6.58</v>
      </c>
      <c r="D94">
        <v>0.17</v>
      </c>
      <c r="E94">
        <v>5</v>
      </c>
      <c r="F94">
        <f t="shared" si="13"/>
        <v>0</v>
      </c>
      <c r="G94">
        <f t="shared" si="14"/>
        <v>0</v>
      </c>
      <c r="H94">
        <f t="shared" si="15"/>
        <v>0</v>
      </c>
      <c r="I94">
        <f t="shared" si="16"/>
        <v>27</v>
      </c>
      <c r="J94">
        <f t="shared" si="17"/>
        <v>0</v>
      </c>
      <c r="K94">
        <f t="shared" si="18"/>
        <v>1350</v>
      </c>
      <c r="L94">
        <f t="shared" si="19"/>
        <v>6.75</v>
      </c>
      <c r="M94">
        <f t="shared" si="20"/>
        <v>1356.75</v>
      </c>
      <c r="N94">
        <f t="shared" si="21"/>
        <v>0</v>
      </c>
      <c r="O94">
        <f t="shared" si="22"/>
        <v>0</v>
      </c>
      <c r="P94">
        <f t="shared" si="23"/>
        <v>0</v>
      </c>
      <c r="Q94">
        <f t="shared" si="24"/>
        <v>1356.75</v>
      </c>
      <c r="R94">
        <f t="shared" si="25"/>
        <v>0</v>
      </c>
    </row>
    <row r="95" spans="1:18" x14ac:dyDescent="0.3">
      <c r="A95" s="1">
        <v>41658</v>
      </c>
      <c r="B95" s="1">
        <v>41685</v>
      </c>
      <c r="C95">
        <v>6.43</v>
      </c>
      <c r="D95">
        <v>0.17</v>
      </c>
      <c r="E95">
        <v>2</v>
      </c>
      <c r="F95">
        <f t="shared" si="13"/>
        <v>27</v>
      </c>
      <c r="G95">
        <f t="shared" si="14"/>
        <v>0</v>
      </c>
      <c r="H95">
        <f t="shared" si="15"/>
        <v>0</v>
      </c>
      <c r="I95">
        <f t="shared" si="16"/>
        <v>0</v>
      </c>
      <c r="J95">
        <f t="shared" si="17"/>
        <v>0</v>
      </c>
      <c r="K95">
        <f t="shared" si="18"/>
        <v>540</v>
      </c>
      <c r="L95">
        <f t="shared" si="19"/>
        <v>6.6</v>
      </c>
      <c r="M95">
        <f t="shared" si="20"/>
        <v>546.6</v>
      </c>
      <c r="N95">
        <f t="shared" si="21"/>
        <v>546.6</v>
      </c>
      <c r="O95">
        <f t="shared" si="22"/>
        <v>0</v>
      </c>
      <c r="P95">
        <f t="shared" si="23"/>
        <v>0</v>
      </c>
      <c r="Q95">
        <f t="shared" si="24"/>
        <v>0</v>
      </c>
      <c r="R95">
        <f t="shared" si="25"/>
        <v>0</v>
      </c>
    </row>
    <row r="96" spans="1:18" x14ac:dyDescent="0.3">
      <c r="A96" s="1">
        <v>41660</v>
      </c>
      <c r="B96" s="1">
        <v>41676</v>
      </c>
      <c r="C96">
        <v>11.44</v>
      </c>
      <c r="D96">
        <v>0.3</v>
      </c>
      <c r="E96">
        <v>3</v>
      </c>
      <c r="F96">
        <f t="shared" si="13"/>
        <v>0</v>
      </c>
      <c r="G96">
        <f t="shared" si="14"/>
        <v>16</v>
      </c>
      <c r="H96">
        <f t="shared" si="15"/>
        <v>0</v>
      </c>
      <c r="I96">
        <f t="shared" si="16"/>
        <v>0</v>
      </c>
      <c r="J96">
        <f t="shared" si="17"/>
        <v>0</v>
      </c>
      <c r="K96">
        <f t="shared" si="18"/>
        <v>480</v>
      </c>
      <c r="L96">
        <f t="shared" si="19"/>
        <v>11.74</v>
      </c>
      <c r="M96">
        <f t="shared" si="20"/>
        <v>491.74</v>
      </c>
      <c r="N96">
        <f t="shared" si="21"/>
        <v>0</v>
      </c>
      <c r="O96">
        <f t="shared" si="22"/>
        <v>491.74</v>
      </c>
      <c r="P96">
        <f t="shared" si="23"/>
        <v>0</v>
      </c>
      <c r="Q96">
        <f t="shared" si="24"/>
        <v>0</v>
      </c>
      <c r="R96">
        <f t="shared" si="25"/>
        <v>0</v>
      </c>
    </row>
    <row r="97" spans="1:18" x14ac:dyDescent="0.3">
      <c r="A97" s="1">
        <v>41660</v>
      </c>
      <c r="B97" s="1">
        <v>41667</v>
      </c>
      <c r="C97">
        <v>10.59</v>
      </c>
      <c r="D97">
        <v>0.28000000000000003</v>
      </c>
      <c r="E97">
        <v>4</v>
      </c>
      <c r="F97">
        <f t="shared" si="13"/>
        <v>0</v>
      </c>
      <c r="G97">
        <f t="shared" si="14"/>
        <v>0</v>
      </c>
      <c r="H97">
        <f t="shared" si="15"/>
        <v>7</v>
      </c>
      <c r="I97">
        <f t="shared" si="16"/>
        <v>0</v>
      </c>
      <c r="J97">
        <f t="shared" si="17"/>
        <v>0</v>
      </c>
      <c r="K97">
        <f t="shared" si="18"/>
        <v>280</v>
      </c>
      <c r="L97">
        <f t="shared" si="19"/>
        <v>10.87</v>
      </c>
      <c r="M97">
        <f t="shared" si="20"/>
        <v>290.87</v>
      </c>
      <c r="N97">
        <f t="shared" si="21"/>
        <v>0</v>
      </c>
      <c r="O97">
        <f t="shared" si="22"/>
        <v>0</v>
      </c>
      <c r="P97">
        <f t="shared" si="23"/>
        <v>290.87</v>
      </c>
      <c r="Q97">
        <f t="shared" si="24"/>
        <v>0</v>
      </c>
      <c r="R97">
        <f t="shared" si="25"/>
        <v>0</v>
      </c>
    </row>
    <row r="98" spans="1:18" x14ac:dyDescent="0.3">
      <c r="A98" s="1">
        <v>41660</v>
      </c>
      <c r="B98" s="1">
        <v>41687</v>
      </c>
      <c r="C98">
        <v>11.44</v>
      </c>
      <c r="D98">
        <v>0.3</v>
      </c>
      <c r="E98">
        <v>6</v>
      </c>
      <c r="F98">
        <f t="shared" si="13"/>
        <v>0</v>
      </c>
      <c r="G98">
        <f t="shared" si="14"/>
        <v>0</v>
      </c>
      <c r="H98">
        <f t="shared" si="15"/>
        <v>0</v>
      </c>
      <c r="I98">
        <f t="shared" si="16"/>
        <v>0</v>
      </c>
      <c r="J98">
        <f t="shared" si="17"/>
        <v>27</v>
      </c>
      <c r="K98">
        <f t="shared" si="18"/>
        <v>1620</v>
      </c>
      <c r="L98">
        <f t="shared" si="19"/>
        <v>11.74</v>
      </c>
      <c r="M98">
        <f t="shared" si="20"/>
        <v>1631.74</v>
      </c>
      <c r="N98">
        <f t="shared" si="21"/>
        <v>0</v>
      </c>
      <c r="O98">
        <f t="shared" si="22"/>
        <v>0</v>
      </c>
      <c r="P98">
        <f t="shared" si="23"/>
        <v>0</v>
      </c>
      <c r="Q98">
        <f t="shared" si="24"/>
        <v>0</v>
      </c>
      <c r="R98">
        <f t="shared" si="25"/>
        <v>1631.74</v>
      </c>
    </row>
    <row r="99" spans="1:18" x14ac:dyDescent="0.3">
      <c r="A99" s="1">
        <v>41660</v>
      </c>
      <c r="B99" s="1">
        <v>41686</v>
      </c>
      <c r="C99">
        <v>10.199999999999999</v>
      </c>
      <c r="D99">
        <v>0.27</v>
      </c>
      <c r="E99">
        <v>6</v>
      </c>
      <c r="F99">
        <f t="shared" si="13"/>
        <v>0</v>
      </c>
      <c r="G99">
        <f t="shared" si="14"/>
        <v>0</v>
      </c>
      <c r="H99">
        <f t="shared" si="15"/>
        <v>0</v>
      </c>
      <c r="I99">
        <f t="shared" si="16"/>
        <v>0</v>
      </c>
      <c r="J99">
        <f t="shared" si="17"/>
        <v>26</v>
      </c>
      <c r="K99">
        <f t="shared" si="18"/>
        <v>1560</v>
      </c>
      <c r="L99">
        <f t="shared" si="19"/>
        <v>10.469999999999999</v>
      </c>
      <c r="M99">
        <f t="shared" si="20"/>
        <v>1570.47</v>
      </c>
      <c r="N99">
        <f t="shared" si="21"/>
        <v>0</v>
      </c>
      <c r="O99">
        <f t="shared" si="22"/>
        <v>0</v>
      </c>
      <c r="P99">
        <f t="shared" si="23"/>
        <v>0</v>
      </c>
      <c r="Q99">
        <f t="shared" si="24"/>
        <v>0</v>
      </c>
      <c r="R99">
        <f t="shared" si="25"/>
        <v>1570.47</v>
      </c>
    </row>
    <row r="100" spans="1:18" x14ac:dyDescent="0.3">
      <c r="A100" s="1">
        <v>41660</v>
      </c>
      <c r="B100" s="1">
        <v>41684</v>
      </c>
      <c r="C100">
        <v>19.54</v>
      </c>
      <c r="D100">
        <v>0.51</v>
      </c>
      <c r="E100">
        <v>5</v>
      </c>
      <c r="F100">
        <f t="shared" si="13"/>
        <v>0</v>
      </c>
      <c r="G100">
        <f t="shared" si="14"/>
        <v>0</v>
      </c>
      <c r="H100">
        <f t="shared" si="15"/>
        <v>0</v>
      </c>
      <c r="I100">
        <f t="shared" si="16"/>
        <v>24</v>
      </c>
      <c r="J100">
        <f t="shared" si="17"/>
        <v>0</v>
      </c>
      <c r="K100">
        <f t="shared" si="18"/>
        <v>1200</v>
      </c>
      <c r="L100">
        <f t="shared" si="19"/>
        <v>20.05</v>
      </c>
      <c r="M100">
        <f t="shared" si="20"/>
        <v>1220.05</v>
      </c>
      <c r="N100">
        <f t="shared" si="21"/>
        <v>0</v>
      </c>
      <c r="O100">
        <f t="shared" si="22"/>
        <v>0</v>
      </c>
      <c r="P100">
        <f t="shared" si="23"/>
        <v>0</v>
      </c>
      <c r="Q100">
        <f t="shared" si="24"/>
        <v>1220.05</v>
      </c>
      <c r="R100">
        <f t="shared" si="25"/>
        <v>0</v>
      </c>
    </row>
    <row r="101" spans="1:18" x14ac:dyDescent="0.3">
      <c r="A101" s="1">
        <v>41660</v>
      </c>
      <c r="B101" s="1">
        <v>41674</v>
      </c>
      <c r="C101">
        <v>10.93</v>
      </c>
      <c r="D101">
        <v>0.28999999999999998</v>
      </c>
      <c r="E101">
        <v>4</v>
      </c>
      <c r="F101">
        <f t="shared" si="13"/>
        <v>0</v>
      </c>
      <c r="G101">
        <f t="shared" si="14"/>
        <v>0</v>
      </c>
      <c r="H101">
        <f t="shared" si="15"/>
        <v>14</v>
      </c>
      <c r="I101">
        <f t="shared" si="16"/>
        <v>0</v>
      </c>
      <c r="J101">
        <f t="shared" si="17"/>
        <v>0</v>
      </c>
      <c r="K101">
        <f t="shared" si="18"/>
        <v>560</v>
      </c>
      <c r="L101">
        <f t="shared" si="19"/>
        <v>11.219999999999999</v>
      </c>
      <c r="M101">
        <f t="shared" si="20"/>
        <v>571.22</v>
      </c>
      <c r="N101">
        <f t="shared" si="21"/>
        <v>0</v>
      </c>
      <c r="O101">
        <f t="shared" si="22"/>
        <v>0</v>
      </c>
      <c r="P101">
        <f t="shared" si="23"/>
        <v>571.22</v>
      </c>
      <c r="Q101">
        <f t="shared" si="24"/>
        <v>0</v>
      </c>
      <c r="R101">
        <f t="shared" si="25"/>
        <v>0</v>
      </c>
    </row>
    <row r="102" spans="1:18" x14ac:dyDescent="0.3">
      <c r="A102" s="1">
        <v>41661</v>
      </c>
      <c r="B102" s="1">
        <v>41668</v>
      </c>
      <c r="C102">
        <v>6.43</v>
      </c>
      <c r="D102">
        <v>0.17</v>
      </c>
      <c r="E102">
        <v>5</v>
      </c>
      <c r="F102">
        <f t="shared" si="13"/>
        <v>0</v>
      </c>
      <c r="G102">
        <f t="shared" si="14"/>
        <v>0</v>
      </c>
      <c r="H102">
        <f t="shared" si="15"/>
        <v>0</v>
      </c>
      <c r="I102">
        <f t="shared" si="16"/>
        <v>7</v>
      </c>
      <c r="J102">
        <f t="shared" si="17"/>
        <v>0</v>
      </c>
      <c r="K102">
        <f t="shared" si="18"/>
        <v>350</v>
      </c>
      <c r="L102">
        <f t="shared" si="19"/>
        <v>6.6</v>
      </c>
      <c r="M102">
        <f t="shared" si="20"/>
        <v>356.6</v>
      </c>
      <c r="N102">
        <f t="shared" si="21"/>
        <v>0</v>
      </c>
      <c r="O102">
        <f t="shared" si="22"/>
        <v>0</v>
      </c>
      <c r="P102">
        <f t="shared" si="23"/>
        <v>0</v>
      </c>
      <c r="Q102">
        <f t="shared" si="24"/>
        <v>356.6</v>
      </c>
      <c r="R102">
        <f t="shared" si="25"/>
        <v>0</v>
      </c>
    </row>
    <row r="103" spans="1:18" x14ac:dyDescent="0.3">
      <c r="A103" s="1">
        <v>41661</v>
      </c>
      <c r="B103" s="1">
        <v>41681</v>
      </c>
      <c r="C103">
        <v>5.67</v>
      </c>
      <c r="D103">
        <v>0.15</v>
      </c>
      <c r="E103">
        <v>4</v>
      </c>
      <c r="F103">
        <f t="shared" si="13"/>
        <v>0</v>
      </c>
      <c r="G103">
        <f t="shared" si="14"/>
        <v>0</v>
      </c>
      <c r="H103">
        <f t="shared" si="15"/>
        <v>20</v>
      </c>
      <c r="I103">
        <f t="shared" si="16"/>
        <v>0</v>
      </c>
      <c r="J103">
        <f t="shared" si="17"/>
        <v>0</v>
      </c>
      <c r="K103">
        <f t="shared" si="18"/>
        <v>800</v>
      </c>
      <c r="L103">
        <f t="shared" si="19"/>
        <v>5.82</v>
      </c>
      <c r="M103">
        <f t="shared" si="20"/>
        <v>805.82</v>
      </c>
      <c r="N103">
        <f t="shared" si="21"/>
        <v>0</v>
      </c>
      <c r="O103">
        <f t="shared" si="22"/>
        <v>0</v>
      </c>
      <c r="P103">
        <f t="shared" si="23"/>
        <v>805.82</v>
      </c>
      <c r="Q103">
        <f t="shared" si="24"/>
        <v>0</v>
      </c>
      <c r="R103">
        <f t="shared" si="25"/>
        <v>0</v>
      </c>
    </row>
    <row r="104" spans="1:18" x14ac:dyDescent="0.3">
      <c r="A104" s="1">
        <v>41661</v>
      </c>
      <c r="B104" s="1">
        <v>41682</v>
      </c>
      <c r="C104">
        <v>14.13</v>
      </c>
      <c r="D104">
        <v>0.37</v>
      </c>
      <c r="E104">
        <v>5</v>
      </c>
      <c r="F104">
        <f t="shared" si="13"/>
        <v>0</v>
      </c>
      <c r="G104">
        <f t="shared" si="14"/>
        <v>0</v>
      </c>
      <c r="H104">
        <f t="shared" si="15"/>
        <v>0</v>
      </c>
      <c r="I104">
        <f t="shared" si="16"/>
        <v>21</v>
      </c>
      <c r="J104">
        <f t="shared" si="17"/>
        <v>0</v>
      </c>
      <c r="K104">
        <f t="shared" si="18"/>
        <v>1050</v>
      </c>
      <c r="L104">
        <f t="shared" si="19"/>
        <v>14.5</v>
      </c>
      <c r="M104">
        <f t="shared" si="20"/>
        <v>1064.5</v>
      </c>
      <c r="N104">
        <f t="shared" si="21"/>
        <v>0</v>
      </c>
      <c r="O104">
        <f t="shared" si="22"/>
        <v>0</v>
      </c>
      <c r="P104">
        <f t="shared" si="23"/>
        <v>0</v>
      </c>
      <c r="Q104">
        <f t="shared" si="24"/>
        <v>1064.5</v>
      </c>
      <c r="R104">
        <f t="shared" si="25"/>
        <v>0</v>
      </c>
    </row>
    <row r="105" spans="1:18" x14ac:dyDescent="0.3">
      <c r="A105" s="1">
        <v>41661</v>
      </c>
      <c r="B105" s="1">
        <v>41689</v>
      </c>
      <c r="C105">
        <v>5.47</v>
      </c>
      <c r="D105">
        <v>0.14000000000000001</v>
      </c>
      <c r="E105">
        <v>3</v>
      </c>
      <c r="F105">
        <f t="shared" si="13"/>
        <v>0</v>
      </c>
      <c r="G105">
        <f t="shared" si="14"/>
        <v>28</v>
      </c>
      <c r="H105">
        <f t="shared" si="15"/>
        <v>0</v>
      </c>
      <c r="I105">
        <f t="shared" si="16"/>
        <v>0</v>
      </c>
      <c r="J105">
        <f t="shared" si="17"/>
        <v>0</v>
      </c>
      <c r="K105">
        <f t="shared" si="18"/>
        <v>840</v>
      </c>
      <c r="L105">
        <f t="shared" si="19"/>
        <v>5.6099999999999994</v>
      </c>
      <c r="M105">
        <f t="shared" si="20"/>
        <v>845.61</v>
      </c>
      <c r="N105">
        <f t="shared" si="21"/>
        <v>0</v>
      </c>
      <c r="O105">
        <f t="shared" si="22"/>
        <v>845.61</v>
      </c>
      <c r="P105">
        <f t="shared" si="23"/>
        <v>0</v>
      </c>
      <c r="Q105">
        <f t="shared" si="24"/>
        <v>0</v>
      </c>
      <c r="R105">
        <f t="shared" si="25"/>
        <v>0</v>
      </c>
    </row>
    <row r="106" spans="1:18" x14ac:dyDescent="0.3">
      <c r="A106" s="1">
        <v>41662</v>
      </c>
      <c r="B106" s="1">
        <v>41686</v>
      </c>
      <c r="C106">
        <v>8.39</v>
      </c>
      <c r="D106">
        <v>0.22</v>
      </c>
      <c r="E106">
        <v>2</v>
      </c>
      <c r="F106">
        <f t="shared" si="13"/>
        <v>24</v>
      </c>
      <c r="G106">
        <f t="shared" si="14"/>
        <v>0</v>
      </c>
      <c r="H106">
        <f t="shared" si="15"/>
        <v>0</v>
      </c>
      <c r="I106">
        <f t="shared" si="16"/>
        <v>0</v>
      </c>
      <c r="J106">
        <f t="shared" si="17"/>
        <v>0</v>
      </c>
      <c r="K106">
        <f t="shared" si="18"/>
        <v>480</v>
      </c>
      <c r="L106">
        <f t="shared" si="19"/>
        <v>8.6100000000000012</v>
      </c>
      <c r="M106">
        <f t="shared" si="20"/>
        <v>488.61</v>
      </c>
      <c r="N106">
        <f t="shared" si="21"/>
        <v>488.61</v>
      </c>
      <c r="O106">
        <f t="shared" si="22"/>
        <v>0</v>
      </c>
      <c r="P106">
        <f t="shared" si="23"/>
        <v>0</v>
      </c>
      <c r="Q106">
        <f t="shared" si="24"/>
        <v>0</v>
      </c>
      <c r="R106">
        <f t="shared" si="25"/>
        <v>0</v>
      </c>
    </row>
    <row r="107" spans="1:18" x14ac:dyDescent="0.3">
      <c r="A107" s="1">
        <v>41662</v>
      </c>
      <c r="B107" s="1">
        <v>41688</v>
      </c>
      <c r="C107">
        <v>3.79</v>
      </c>
      <c r="D107">
        <v>0.1</v>
      </c>
      <c r="E107">
        <v>3</v>
      </c>
      <c r="F107">
        <f t="shared" si="13"/>
        <v>0</v>
      </c>
      <c r="G107">
        <f t="shared" si="14"/>
        <v>26</v>
      </c>
      <c r="H107">
        <f t="shared" si="15"/>
        <v>0</v>
      </c>
      <c r="I107">
        <f t="shared" si="16"/>
        <v>0</v>
      </c>
      <c r="J107">
        <f t="shared" si="17"/>
        <v>0</v>
      </c>
      <c r="K107">
        <f t="shared" si="18"/>
        <v>780</v>
      </c>
      <c r="L107">
        <f t="shared" si="19"/>
        <v>3.89</v>
      </c>
      <c r="M107">
        <f t="shared" si="20"/>
        <v>783.89</v>
      </c>
      <c r="N107">
        <f t="shared" si="21"/>
        <v>0</v>
      </c>
      <c r="O107">
        <f t="shared" si="22"/>
        <v>783.89</v>
      </c>
      <c r="P107">
        <f t="shared" si="23"/>
        <v>0</v>
      </c>
      <c r="Q107">
        <f t="shared" si="24"/>
        <v>0</v>
      </c>
      <c r="R107">
        <f t="shared" si="25"/>
        <v>0</v>
      </c>
    </row>
    <row r="108" spans="1:18" x14ac:dyDescent="0.3">
      <c r="A108" s="1">
        <v>41662</v>
      </c>
      <c r="B108" s="1">
        <v>41664</v>
      </c>
      <c r="C108">
        <v>6.23</v>
      </c>
      <c r="D108">
        <v>0.16</v>
      </c>
      <c r="E108">
        <v>6</v>
      </c>
      <c r="F108">
        <f t="shared" si="13"/>
        <v>0</v>
      </c>
      <c r="G108">
        <f t="shared" si="14"/>
        <v>0</v>
      </c>
      <c r="H108">
        <f t="shared" si="15"/>
        <v>0</v>
      </c>
      <c r="I108">
        <f t="shared" si="16"/>
        <v>0</v>
      </c>
      <c r="J108">
        <f t="shared" si="17"/>
        <v>2</v>
      </c>
      <c r="K108">
        <f t="shared" si="18"/>
        <v>120</v>
      </c>
      <c r="L108">
        <f t="shared" si="19"/>
        <v>6.3900000000000006</v>
      </c>
      <c r="M108">
        <f t="shared" si="20"/>
        <v>126.39</v>
      </c>
      <c r="N108">
        <f t="shared" si="21"/>
        <v>0</v>
      </c>
      <c r="O108">
        <f t="shared" si="22"/>
        <v>0</v>
      </c>
      <c r="P108">
        <f t="shared" si="23"/>
        <v>0</v>
      </c>
      <c r="Q108">
        <f t="shared" si="24"/>
        <v>0</v>
      </c>
      <c r="R108">
        <f t="shared" si="25"/>
        <v>126.39</v>
      </c>
    </row>
    <row r="109" spans="1:18" x14ac:dyDescent="0.3">
      <c r="A109" s="1">
        <v>41663</v>
      </c>
      <c r="B109" s="1">
        <v>41675</v>
      </c>
      <c r="C109">
        <v>6.34</v>
      </c>
      <c r="D109">
        <v>0.17</v>
      </c>
      <c r="E109">
        <v>6</v>
      </c>
      <c r="F109">
        <f t="shared" si="13"/>
        <v>0</v>
      </c>
      <c r="G109">
        <f t="shared" si="14"/>
        <v>0</v>
      </c>
      <c r="H109">
        <f t="shared" si="15"/>
        <v>0</v>
      </c>
      <c r="I109">
        <f t="shared" si="16"/>
        <v>0</v>
      </c>
      <c r="J109">
        <f t="shared" si="17"/>
        <v>12</v>
      </c>
      <c r="K109">
        <f t="shared" si="18"/>
        <v>720</v>
      </c>
      <c r="L109">
        <f t="shared" si="19"/>
        <v>6.51</v>
      </c>
      <c r="M109">
        <f t="shared" si="20"/>
        <v>726.51</v>
      </c>
      <c r="N109">
        <f t="shared" si="21"/>
        <v>0</v>
      </c>
      <c r="O109">
        <f t="shared" si="22"/>
        <v>0</v>
      </c>
      <c r="P109">
        <f t="shared" si="23"/>
        <v>0</v>
      </c>
      <c r="Q109">
        <f t="shared" si="24"/>
        <v>0</v>
      </c>
      <c r="R109">
        <f t="shared" si="25"/>
        <v>726.51</v>
      </c>
    </row>
    <row r="110" spans="1:18" x14ac:dyDescent="0.3">
      <c r="A110" s="1">
        <v>41663</v>
      </c>
      <c r="B110" s="1">
        <v>41684</v>
      </c>
      <c r="C110">
        <v>3.57</v>
      </c>
      <c r="D110">
        <v>0.09</v>
      </c>
      <c r="E110">
        <v>6</v>
      </c>
      <c r="F110">
        <f t="shared" si="13"/>
        <v>0</v>
      </c>
      <c r="G110">
        <f t="shared" si="14"/>
        <v>0</v>
      </c>
      <c r="H110">
        <f t="shared" si="15"/>
        <v>0</v>
      </c>
      <c r="I110">
        <f t="shared" si="16"/>
        <v>0</v>
      </c>
      <c r="J110">
        <f t="shared" si="17"/>
        <v>21</v>
      </c>
      <c r="K110">
        <f t="shared" si="18"/>
        <v>1260</v>
      </c>
      <c r="L110">
        <f t="shared" si="19"/>
        <v>3.6599999999999997</v>
      </c>
      <c r="M110">
        <f t="shared" si="20"/>
        <v>1263.6600000000001</v>
      </c>
      <c r="N110">
        <f t="shared" si="21"/>
        <v>0</v>
      </c>
      <c r="O110">
        <f t="shared" si="22"/>
        <v>0</v>
      </c>
      <c r="P110">
        <f t="shared" si="23"/>
        <v>0</v>
      </c>
      <c r="Q110">
        <f t="shared" si="24"/>
        <v>0</v>
      </c>
      <c r="R110">
        <f t="shared" si="25"/>
        <v>1263.6600000000001</v>
      </c>
    </row>
    <row r="111" spans="1:18" x14ac:dyDescent="0.3">
      <c r="A111" s="1">
        <v>41664</v>
      </c>
      <c r="B111" s="1">
        <v>41681</v>
      </c>
      <c r="C111">
        <v>4.66</v>
      </c>
      <c r="D111">
        <v>0.12</v>
      </c>
      <c r="E111">
        <v>4</v>
      </c>
      <c r="F111">
        <f t="shared" si="13"/>
        <v>0</v>
      </c>
      <c r="G111">
        <f t="shared" si="14"/>
        <v>0</v>
      </c>
      <c r="H111">
        <f t="shared" si="15"/>
        <v>17</v>
      </c>
      <c r="I111">
        <f t="shared" si="16"/>
        <v>0</v>
      </c>
      <c r="J111">
        <f t="shared" si="17"/>
        <v>0</v>
      </c>
      <c r="K111">
        <f t="shared" si="18"/>
        <v>680</v>
      </c>
      <c r="L111">
        <f t="shared" si="19"/>
        <v>4.78</v>
      </c>
      <c r="M111">
        <f t="shared" si="20"/>
        <v>684.78</v>
      </c>
      <c r="N111">
        <f t="shared" si="21"/>
        <v>0</v>
      </c>
      <c r="O111">
        <f t="shared" si="22"/>
        <v>0</v>
      </c>
      <c r="P111">
        <f t="shared" si="23"/>
        <v>684.78</v>
      </c>
      <c r="Q111">
        <f t="shared" si="24"/>
        <v>0</v>
      </c>
      <c r="R111">
        <f t="shared" si="25"/>
        <v>0</v>
      </c>
    </row>
    <row r="112" spans="1:18" x14ac:dyDescent="0.3">
      <c r="A112" s="1">
        <v>41665</v>
      </c>
      <c r="B112" s="1">
        <v>41692</v>
      </c>
      <c r="C112">
        <v>13.07</v>
      </c>
      <c r="D112">
        <v>0.34</v>
      </c>
      <c r="E112">
        <v>3</v>
      </c>
      <c r="F112">
        <f t="shared" si="13"/>
        <v>0</v>
      </c>
      <c r="G112">
        <f t="shared" si="14"/>
        <v>27</v>
      </c>
      <c r="H112">
        <f t="shared" si="15"/>
        <v>0</v>
      </c>
      <c r="I112">
        <f t="shared" si="16"/>
        <v>0</v>
      </c>
      <c r="J112">
        <f t="shared" si="17"/>
        <v>0</v>
      </c>
      <c r="K112">
        <f t="shared" si="18"/>
        <v>810</v>
      </c>
      <c r="L112">
        <f t="shared" si="19"/>
        <v>13.41</v>
      </c>
      <c r="M112">
        <f t="shared" si="20"/>
        <v>823.41</v>
      </c>
      <c r="N112">
        <f t="shared" si="21"/>
        <v>0</v>
      </c>
      <c r="O112">
        <f t="shared" si="22"/>
        <v>823.41</v>
      </c>
      <c r="P112">
        <f t="shared" si="23"/>
        <v>0</v>
      </c>
      <c r="Q112">
        <f t="shared" si="24"/>
        <v>0</v>
      </c>
      <c r="R112">
        <f t="shared" si="25"/>
        <v>0</v>
      </c>
    </row>
    <row r="113" spans="1:18" x14ac:dyDescent="0.3">
      <c r="A113" s="1">
        <v>41665</v>
      </c>
      <c r="B113" s="1">
        <v>41691</v>
      </c>
      <c r="C113">
        <v>13.81</v>
      </c>
      <c r="D113">
        <v>0.36</v>
      </c>
      <c r="E113">
        <v>5</v>
      </c>
      <c r="F113">
        <f t="shared" si="13"/>
        <v>0</v>
      </c>
      <c r="G113">
        <f t="shared" si="14"/>
        <v>0</v>
      </c>
      <c r="H113">
        <f t="shared" si="15"/>
        <v>0</v>
      </c>
      <c r="I113">
        <f t="shared" si="16"/>
        <v>26</v>
      </c>
      <c r="J113">
        <f t="shared" si="17"/>
        <v>0</v>
      </c>
      <c r="K113">
        <f t="shared" si="18"/>
        <v>1300</v>
      </c>
      <c r="L113">
        <f t="shared" si="19"/>
        <v>14.17</v>
      </c>
      <c r="M113">
        <f t="shared" si="20"/>
        <v>1314.17</v>
      </c>
      <c r="N113">
        <f t="shared" si="21"/>
        <v>0</v>
      </c>
      <c r="O113">
        <f t="shared" si="22"/>
        <v>0</v>
      </c>
      <c r="P113">
        <f t="shared" si="23"/>
        <v>0</v>
      </c>
      <c r="Q113">
        <f t="shared" si="24"/>
        <v>1314.17</v>
      </c>
      <c r="R113">
        <f t="shared" si="25"/>
        <v>0</v>
      </c>
    </row>
    <row r="114" spans="1:18" x14ac:dyDescent="0.3">
      <c r="A114" s="1">
        <v>41665</v>
      </c>
      <c r="B114" s="1">
        <v>41673</v>
      </c>
      <c r="C114">
        <v>11.69</v>
      </c>
      <c r="D114">
        <v>0.31</v>
      </c>
      <c r="E114">
        <v>2</v>
      </c>
      <c r="F114">
        <f t="shared" si="13"/>
        <v>8</v>
      </c>
      <c r="G114">
        <f t="shared" si="14"/>
        <v>0</v>
      </c>
      <c r="H114">
        <f t="shared" si="15"/>
        <v>0</v>
      </c>
      <c r="I114">
        <f t="shared" si="16"/>
        <v>0</v>
      </c>
      <c r="J114">
        <f t="shared" si="17"/>
        <v>0</v>
      </c>
      <c r="K114">
        <f t="shared" si="18"/>
        <v>160</v>
      </c>
      <c r="L114">
        <f t="shared" si="19"/>
        <v>12</v>
      </c>
      <c r="M114">
        <f t="shared" si="20"/>
        <v>172</v>
      </c>
      <c r="N114">
        <f t="shared" si="21"/>
        <v>172</v>
      </c>
      <c r="O114">
        <f t="shared" si="22"/>
        <v>0</v>
      </c>
      <c r="P114">
        <f t="shared" si="23"/>
        <v>0</v>
      </c>
      <c r="Q114">
        <f t="shared" si="24"/>
        <v>0</v>
      </c>
      <c r="R114">
        <f t="shared" si="25"/>
        <v>0</v>
      </c>
    </row>
    <row r="115" spans="1:18" x14ac:dyDescent="0.3">
      <c r="A115" s="1">
        <v>41665</v>
      </c>
      <c r="B115" s="1">
        <v>41683</v>
      </c>
      <c r="C115">
        <v>8.84</v>
      </c>
      <c r="D115">
        <v>0.23</v>
      </c>
      <c r="E115">
        <v>4</v>
      </c>
      <c r="F115">
        <f t="shared" si="13"/>
        <v>0</v>
      </c>
      <c r="G115">
        <f t="shared" si="14"/>
        <v>0</v>
      </c>
      <c r="H115">
        <f t="shared" si="15"/>
        <v>18</v>
      </c>
      <c r="I115">
        <f t="shared" si="16"/>
        <v>0</v>
      </c>
      <c r="J115">
        <f t="shared" si="17"/>
        <v>0</v>
      </c>
      <c r="K115">
        <f t="shared" si="18"/>
        <v>720</v>
      </c>
      <c r="L115">
        <f t="shared" si="19"/>
        <v>9.07</v>
      </c>
      <c r="M115">
        <f t="shared" si="20"/>
        <v>729.07</v>
      </c>
      <c r="N115">
        <f t="shared" si="21"/>
        <v>0</v>
      </c>
      <c r="O115">
        <f t="shared" si="22"/>
        <v>0</v>
      </c>
      <c r="P115">
        <f t="shared" si="23"/>
        <v>729.07</v>
      </c>
      <c r="Q115">
        <f t="shared" si="24"/>
        <v>0</v>
      </c>
      <c r="R115">
        <f t="shared" si="25"/>
        <v>0</v>
      </c>
    </row>
    <row r="116" spans="1:18" x14ac:dyDescent="0.3">
      <c r="A116" s="1">
        <v>41665</v>
      </c>
      <c r="B116" s="1">
        <v>41690</v>
      </c>
      <c r="C116">
        <v>16.940000000000001</v>
      </c>
      <c r="D116">
        <v>0.45</v>
      </c>
      <c r="E116">
        <v>5</v>
      </c>
      <c r="F116">
        <f t="shared" si="13"/>
        <v>0</v>
      </c>
      <c r="G116">
        <f t="shared" si="14"/>
        <v>0</v>
      </c>
      <c r="H116">
        <f t="shared" si="15"/>
        <v>0</v>
      </c>
      <c r="I116">
        <f t="shared" si="16"/>
        <v>25</v>
      </c>
      <c r="J116">
        <f t="shared" si="17"/>
        <v>0</v>
      </c>
      <c r="K116">
        <f t="shared" si="18"/>
        <v>1250</v>
      </c>
      <c r="L116">
        <f t="shared" si="19"/>
        <v>17.39</v>
      </c>
      <c r="M116">
        <f t="shared" si="20"/>
        <v>1267.3900000000001</v>
      </c>
      <c r="N116">
        <f t="shared" si="21"/>
        <v>0</v>
      </c>
      <c r="O116">
        <f t="shared" si="22"/>
        <v>0</v>
      </c>
      <c r="P116">
        <f t="shared" si="23"/>
        <v>0</v>
      </c>
      <c r="Q116">
        <f t="shared" si="24"/>
        <v>1267.3900000000001</v>
      </c>
      <c r="R116">
        <f t="shared" si="25"/>
        <v>0</v>
      </c>
    </row>
    <row r="117" spans="1:18" x14ac:dyDescent="0.3">
      <c r="A117" s="1">
        <v>41665</v>
      </c>
      <c r="B117" s="1">
        <v>41669</v>
      </c>
      <c r="C117">
        <v>13.82</v>
      </c>
      <c r="D117">
        <v>0.36</v>
      </c>
      <c r="E117">
        <v>4</v>
      </c>
      <c r="F117">
        <f t="shared" si="13"/>
        <v>0</v>
      </c>
      <c r="G117">
        <f t="shared" si="14"/>
        <v>0</v>
      </c>
      <c r="H117">
        <f t="shared" si="15"/>
        <v>4</v>
      </c>
      <c r="I117">
        <f t="shared" si="16"/>
        <v>0</v>
      </c>
      <c r="J117">
        <f t="shared" si="17"/>
        <v>0</v>
      </c>
      <c r="K117">
        <f t="shared" si="18"/>
        <v>160</v>
      </c>
      <c r="L117">
        <f t="shared" si="19"/>
        <v>14.18</v>
      </c>
      <c r="M117">
        <f t="shared" si="20"/>
        <v>174.18</v>
      </c>
      <c r="N117">
        <f t="shared" si="21"/>
        <v>0</v>
      </c>
      <c r="O117">
        <f t="shared" si="22"/>
        <v>0</v>
      </c>
      <c r="P117">
        <f t="shared" si="23"/>
        <v>174.18</v>
      </c>
      <c r="Q117">
        <f t="shared" si="24"/>
        <v>0</v>
      </c>
      <c r="R117">
        <f t="shared" si="25"/>
        <v>0</v>
      </c>
    </row>
    <row r="118" spans="1:18" x14ac:dyDescent="0.3">
      <c r="A118" s="1">
        <v>41665</v>
      </c>
      <c r="B118" s="1">
        <v>41689</v>
      </c>
      <c r="C118">
        <v>9.4600000000000009</v>
      </c>
      <c r="D118">
        <v>0.25</v>
      </c>
      <c r="E118">
        <v>6</v>
      </c>
      <c r="F118">
        <f t="shared" si="13"/>
        <v>0</v>
      </c>
      <c r="G118">
        <f t="shared" si="14"/>
        <v>0</v>
      </c>
      <c r="H118">
        <f t="shared" si="15"/>
        <v>0</v>
      </c>
      <c r="I118">
        <f t="shared" si="16"/>
        <v>0</v>
      </c>
      <c r="J118">
        <f t="shared" si="17"/>
        <v>24</v>
      </c>
      <c r="K118">
        <f t="shared" si="18"/>
        <v>1440</v>
      </c>
      <c r="L118">
        <f t="shared" si="19"/>
        <v>9.7100000000000009</v>
      </c>
      <c r="M118">
        <f t="shared" si="20"/>
        <v>1449.71</v>
      </c>
      <c r="N118">
        <f t="shared" si="21"/>
        <v>0</v>
      </c>
      <c r="O118">
        <f t="shared" si="22"/>
        <v>0</v>
      </c>
      <c r="P118">
        <f t="shared" si="23"/>
        <v>0</v>
      </c>
      <c r="Q118">
        <f t="shared" si="24"/>
        <v>0</v>
      </c>
      <c r="R118">
        <f t="shared" si="25"/>
        <v>1449.71</v>
      </c>
    </row>
    <row r="119" spans="1:18" x14ac:dyDescent="0.3">
      <c r="A119" s="1">
        <v>41665</v>
      </c>
      <c r="B119" s="1">
        <v>41684</v>
      </c>
      <c r="C119">
        <v>8.89</v>
      </c>
      <c r="D119">
        <v>0.23</v>
      </c>
      <c r="E119">
        <v>6</v>
      </c>
      <c r="F119">
        <f t="shared" si="13"/>
        <v>0</v>
      </c>
      <c r="G119">
        <f t="shared" si="14"/>
        <v>0</v>
      </c>
      <c r="H119">
        <f t="shared" si="15"/>
        <v>0</v>
      </c>
      <c r="I119">
        <f t="shared" si="16"/>
        <v>0</v>
      </c>
      <c r="J119">
        <f t="shared" si="17"/>
        <v>19</v>
      </c>
      <c r="K119">
        <f t="shared" si="18"/>
        <v>1140</v>
      </c>
      <c r="L119">
        <f t="shared" si="19"/>
        <v>9.120000000000001</v>
      </c>
      <c r="M119">
        <f t="shared" si="20"/>
        <v>1149.1199999999999</v>
      </c>
      <c r="N119">
        <f t="shared" si="21"/>
        <v>0</v>
      </c>
      <c r="O119">
        <f t="shared" si="22"/>
        <v>0</v>
      </c>
      <c r="P119">
        <f t="shared" si="23"/>
        <v>0</v>
      </c>
      <c r="Q119">
        <f t="shared" si="24"/>
        <v>0</v>
      </c>
      <c r="R119">
        <f t="shared" si="25"/>
        <v>1149.1199999999999</v>
      </c>
    </row>
    <row r="120" spans="1:18" x14ac:dyDescent="0.3">
      <c r="A120" s="1">
        <v>41665</v>
      </c>
      <c r="B120" s="1">
        <v>41673</v>
      </c>
      <c r="C120">
        <v>5.57</v>
      </c>
      <c r="D120">
        <v>0.15</v>
      </c>
      <c r="E120">
        <v>4</v>
      </c>
      <c r="F120">
        <f t="shared" si="13"/>
        <v>0</v>
      </c>
      <c r="G120">
        <f t="shared" si="14"/>
        <v>0</v>
      </c>
      <c r="H120">
        <f t="shared" si="15"/>
        <v>8</v>
      </c>
      <c r="I120">
        <f t="shared" si="16"/>
        <v>0</v>
      </c>
      <c r="J120">
        <f t="shared" si="17"/>
        <v>0</v>
      </c>
      <c r="K120">
        <f t="shared" si="18"/>
        <v>320</v>
      </c>
      <c r="L120">
        <f t="shared" si="19"/>
        <v>5.7200000000000006</v>
      </c>
      <c r="M120">
        <f t="shared" si="20"/>
        <v>325.72000000000003</v>
      </c>
      <c r="N120">
        <f t="shared" si="21"/>
        <v>0</v>
      </c>
      <c r="O120">
        <f t="shared" si="22"/>
        <v>0</v>
      </c>
      <c r="P120">
        <f t="shared" si="23"/>
        <v>325.72000000000003</v>
      </c>
      <c r="Q120">
        <f t="shared" si="24"/>
        <v>0</v>
      </c>
      <c r="R120">
        <f t="shared" si="25"/>
        <v>0</v>
      </c>
    </row>
    <row r="121" spans="1:18" x14ac:dyDescent="0.3">
      <c r="A121" s="1">
        <v>41665</v>
      </c>
      <c r="B121" s="1">
        <v>41669</v>
      </c>
      <c r="C121">
        <v>7.35</v>
      </c>
      <c r="D121">
        <v>0.19</v>
      </c>
      <c r="E121">
        <v>2</v>
      </c>
      <c r="F121">
        <f t="shared" si="13"/>
        <v>4</v>
      </c>
      <c r="G121">
        <f t="shared" si="14"/>
        <v>0</v>
      </c>
      <c r="H121">
        <f t="shared" si="15"/>
        <v>0</v>
      </c>
      <c r="I121">
        <f t="shared" si="16"/>
        <v>0</v>
      </c>
      <c r="J121">
        <f t="shared" si="17"/>
        <v>0</v>
      </c>
      <c r="K121">
        <f t="shared" si="18"/>
        <v>80</v>
      </c>
      <c r="L121">
        <f t="shared" si="19"/>
        <v>7.54</v>
      </c>
      <c r="M121">
        <f t="shared" si="20"/>
        <v>87.54</v>
      </c>
      <c r="N121">
        <f t="shared" si="21"/>
        <v>87.54</v>
      </c>
      <c r="O121">
        <f t="shared" si="22"/>
        <v>0</v>
      </c>
      <c r="P121">
        <f t="shared" si="23"/>
        <v>0</v>
      </c>
      <c r="Q121">
        <f t="shared" si="24"/>
        <v>0</v>
      </c>
      <c r="R121">
        <f t="shared" si="25"/>
        <v>0</v>
      </c>
    </row>
    <row r="122" spans="1:18" x14ac:dyDescent="0.3">
      <c r="A122" s="1">
        <v>41665</v>
      </c>
      <c r="B122" s="1">
        <v>41681</v>
      </c>
      <c r="C122">
        <v>12.23</v>
      </c>
      <c r="D122">
        <v>0.32</v>
      </c>
      <c r="E122">
        <v>4</v>
      </c>
      <c r="F122">
        <f t="shared" si="13"/>
        <v>0</v>
      </c>
      <c r="G122">
        <f t="shared" si="14"/>
        <v>0</v>
      </c>
      <c r="H122">
        <f t="shared" si="15"/>
        <v>16</v>
      </c>
      <c r="I122">
        <f t="shared" si="16"/>
        <v>0</v>
      </c>
      <c r="J122">
        <f t="shared" si="17"/>
        <v>0</v>
      </c>
      <c r="K122">
        <f t="shared" si="18"/>
        <v>640</v>
      </c>
      <c r="L122">
        <f t="shared" si="19"/>
        <v>12.55</v>
      </c>
      <c r="M122">
        <f t="shared" si="20"/>
        <v>652.54999999999995</v>
      </c>
      <c r="N122">
        <f t="shared" si="21"/>
        <v>0</v>
      </c>
      <c r="O122">
        <f t="shared" si="22"/>
        <v>0</v>
      </c>
      <c r="P122">
        <f t="shared" si="23"/>
        <v>652.54999999999995</v>
      </c>
      <c r="Q122">
        <f t="shared" si="24"/>
        <v>0</v>
      </c>
      <c r="R122">
        <f t="shared" si="25"/>
        <v>0</v>
      </c>
    </row>
    <row r="123" spans="1:18" x14ac:dyDescent="0.3">
      <c r="A123" s="1">
        <v>41665</v>
      </c>
      <c r="B123" s="1">
        <v>41690</v>
      </c>
      <c r="C123">
        <v>5.23</v>
      </c>
      <c r="D123">
        <v>0.14000000000000001</v>
      </c>
      <c r="E123">
        <v>6</v>
      </c>
      <c r="F123">
        <f t="shared" si="13"/>
        <v>0</v>
      </c>
      <c r="G123">
        <f t="shared" si="14"/>
        <v>0</v>
      </c>
      <c r="H123">
        <f t="shared" si="15"/>
        <v>0</v>
      </c>
      <c r="I123">
        <f t="shared" si="16"/>
        <v>0</v>
      </c>
      <c r="J123">
        <f t="shared" si="17"/>
        <v>25</v>
      </c>
      <c r="K123">
        <f t="shared" si="18"/>
        <v>1500</v>
      </c>
      <c r="L123">
        <f t="shared" si="19"/>
        <v>5.37</v>
      </c>
      <c r="M123">
        <f t="shared" si="20"/>
        <v>1505.37</v>
      </c>
      <c r="N123">
        <f t="shared" si="21"/>
        <v>0</v>
      </c>
      <c r="O123">
        <f t="shared" si="22"/>
        <v>0</v>
      </c>
      <c r="P123">
        <f t="shared" si="23"/>
        <v>0</v>
      </c>
      <c r="Q123">
        <f t="shared" si="24"/>
        <v>0</v>
      </c>
      <c r="R123">
        <f t="shared" si="25"/>
        <v>1505.37</v>
      </c>
    </row>
    <row r="124" spans="1:18" x14ac:dyDescent="0.3">
      <c r="A124" s="1">
        <v>41666</v>
      </c>
      <c r="B124" s="1">
        <v>41682</v>
      </c>
      <c r="C124">
        <v>6.43</v>
      </c>
      <c r="D124">
        <v>0.17</v>
      </c>
      <c r="E124">
        <v>4</v>
      </c>
      <c r="F124">
        <f t="shared" si="13"/>
        <v>0</v>
      </c>
      <c r="G124">
        <f t="shared" si="14"/>
        <v>0</v>
      </c>
      <c r="H124">
        <f t="shared" si="15"/>
        <v>16</v>
      </c>
      <c r="I124">
        <f t="shared" si="16"/>
        <v>0</v>
      </c>
      <c r="J124">
        <f t="shared" si="17"/>
        <v>0</v>
      </c>
      <c r="K124">
        <f t="shared" si="18"/>
        <v>640</v>
      </c>
      <c r="L124">
        <f t="shared" si="19"/>
        <v>6.6</v>
      </c>
      <c r="M124">
        <f t="shared" si="20"/>
        <v>646.6</v>
      </c>
      <c r="N124">
        <f t="shared" si="21"/>
        <v>0</v>
      </c>
      <c r="O124">
        <f t="shared" si="22"/>
        <v>0</v>
      </c>
      <c r="P124">
        <f t="shared" si="23"/>
        <v>646.6</v>
      </c>
      <c r="Q124">
        <f t="shared" si="24"/>
        <v>0</v>
      </c>
      <c r="R124">
        <f t="shared" si="25"/>
        <v>0</v>
      </c>
    </row>
    <row r="125" spans="1:18" x14ac:dyDescent="0.3">
      <c r="A125" s="1">
        <v>41666</v>
      </c>
      <c r="B125" s="1">
        <v>41668</v>
      </c>
      <c r="C125">
        <v>11.44</v>
      </c>
      <c r="D125">
        <v>0.3</v>
      </c>
      <c r="E125">
        <v>5</v>
      </c>
      <c r="F125">
        <f t="shared" si="13"/>
        <v>0</v>
      </c>
      <c r="G125">
        <f t="shared" si="14"/>
        <v>0</v>
      </c>
      <c r="H125">
        <f t="shared" si="15"/>
        <v>0</v>
      </c>
      <c r="I125">
        <f t="shared" si="16"/>
        <v>2</v>
      </c>
      <c r="J125">
        <f t="shared" si="17"/>
        <v>0</v>
      </c>
      <c r="K125">
        <f t="shared" si="18"/>
        <v>100</v>
      </c>
      <c r="L125">
        <f t="shared" si="19"/>
        <v>11.74</v>
      </c>
      <c r="M125">
        <f t="shared" si="20"/>
        <v>111.74</v>
      </c>
      <c r="N125">
        <f t="shared" si="21"/>
        <v>0</v>
      </c>
      <c r="O125">
        <f t="shared" si="22"/>
        <v>0</v>
      </c>
      <c r="P125">
        <f t="shared" si="23"/>
        <v>0</v>
      </c>
      <c r="Q125">
        <f t="shared" si="24"/>
        <v>111.74</v>
      </c>
      <c r="R125">
        <f t="shared" si="25"/>
        <v>0</v>
      </c>
    </row>
    <row r="126" spans="1:18" x14ac:dyDescent="0.3">
      <c r="A126" s="1">
        <v>41666</v>
      </c>
      <c r="B126" s="1">
        <v>41673</v>
      </c>
      <c r="C126">
        <v>8.7200000000000006</v>
      </c>
      <c r="D126">
        <v>0.23</v>
      </c>
      <c r="E126">
        <v>5</v>
      </c>
      <c r="F126">
        <f t="shared" si="13"/>
        <v>0</v>
      </c>
      <c r="G126">
        <f t="shared" si="14"/>
        <v>0</v>
      </c>
      <c r="H126">
        <f t="shared" si="15"/>
        <v>0</v>
      </c>
      <c r="I126">
        <f t="shared" si="16"/>
        <v>7</v>
      </c>
      <c r="J126">
        <f t="shared" si="17"/>
        <v>0</v>
      </c>
      <c r="K126">
        <f t="shared" si="18"/>
        <v>350</v>
      </c>
      <c r="L126">
        <f t="shared" si="19"/>
        <v>8.9500000000000011</v>
      </c>
      <c r="M126">
        <f t="shared" si="20"/>
        <v>358.95</v>
      </c>
      <c r="N126">
        <f t="shared" si="21"/>
        <v>0</v>
      </c>
      <c r="O126">
        <f t="shared" si="22"/>
        <v>0</v>
      </c>
      <c r="P126">
        <f t="shared" si="23"/>
        <v>0</v>
      </c>
      <c r="Q126">
        <f t="shared" si="24"/>
        <v>358.95</v>
      </c>
      <c r="R126">
        <f t="shared" si="25"/>
        <v>0</v>
      </c>
    </row>
    <row r="127" spans="1:18" x14ac:dyDescent="0.3">
      <c r="A127" s="1">
        <v>41666</v>
      </c>
      <c r="B127" s="1">
        <v>41685</v>
      </c>
      <c r="C127">
        <v>10.199999999999999</v>
      </c>
      <c r="D127">
        <v>0.27</v>
      </c>
      <c r="E127">
        <v>4</v>
      </c>
      <c r="F127">
        <f t="shared" si="13"/>
        <v>0</v>
      </c>
      <c r="G127">
        <f t="shared" si="14"/>
        <v>0</v>
      </c>
      <c r="H127">
        <f t="shared" si="15"/>
        <v>19</v>
      </c>
      <c r="I127">
        <f t="shared" si="16"/>
        <v>0</v>
      </c>
      <c r="J127">
        <f t="shared" si="17"/>
        <v>0</v>
      </c>
      <c r="K127">
        <f t="shared" si="18"/>
        <v>760</v>
      </c>
      <c r="L127">
        <f t="shared" si="19"/>
        <v>10.469999999999999</v>
      </c>
      <c r="M127">
        <f t="shared" si="20"/>
        <v>770.47</v>
      </c>
      <c r="N127">
        <f t="shared" si="21"/>
        <v>0</v>
      </c>
      <c r="O127">
        <f t="shared" si="22"/>
        <v>0</v>
      </c>
      <c r="P127">
        <f t="shared" si="23"/>
        <v>770.47</v>
      </c>
      <c r="Q127">
        <f t="shared" si="24"/>
        <v>0</v>
      </c>
      <c r="R127">
        <f t="shared" si="25"/>
        <v>0</v>
      </c>
    </row>
    <row r="128" spans="1:18" x14ac:dyDescent="0.3">
      <c r="A128" s="1">
        <v>41666</v>
      </c>
      <c r="B128" s="1">
        <v>41668</v>
      </c>
      <c r="C128">
        <v>10.199999999999999</v>
      </c>
      <c r="D128">
        <v>0.27</v>
      </c>
      <c r="E128">
        <v>2</v>
      </c>
      <c r="F128">
        <f t="shared" si="13"/>
        <v>2</v>
      </c>
      <c r="G128">
        <f t="shared" si="14"/>
        <v>0</v>
      </c>
      <c r="H128">
        <f t="shared" si="15"/>
        <v>0</v>
      </c>
      <c r="I128">
        <f t="shared" si="16"/>
        <v>0</v>
      </c>
      <c r="J128">
        <f t="shared" si="17"/>
        <v>0</v>
      </c>
      <c r="K128">
        <f t="shared" si="18"/>
        <v>40</v>
      </c>
      <c r="L128">
        <f t="shared" si="19"/>
        <v>10.469999999999999</v>
      </c>
      <c r="M128">
        <f t="shared" si="20"/>
        <v>50.47</v>
      </c>
      <c r="N128">
        <f t="shared" si="21"/>
        <v>50.47</v>
      </c>
      <c r="O128">
        <f t="shared" si="22"/>
        <v>0</v>
      </c>
      <c r="P128">
        <f t="shared" si="23"/>
        <v>0</v>
      </c>
      <c r="Q128">
        <f t="shared" si="24"/>
        <v>0</v>
      </c>
      <c r="R128">
        <f t="shared" si="25"/>
        <v>0</v>
      </c>
    </row>
    <row r="129" spans="1:18" x14ac:dyDescent="0.3">
      <c r="A129" s="1">
        <v>41667</v>
      </c>
      <c r="B129" s="1">
        <v>41693</v>
      </c>
      <c r="C129">
        <v>4.66</v>
      </c>
      <c r="D129">
        <v>0.12</v>
      </c>
      <c r="E129">
        <v>3</v>
      </c>
      <c r="F129">
        <f t="shared" si="13"/>
        <v>0</v>
      </c>
      <c r="G129">
        <f t="shared" si="14"/>
        <v>26</v>
      </c>
      <c r="H129">
        <f t="shared" si="15"/>
        <v>0</v>
      </c>
      <c r="I129">
        <f t="shared" si="16"/>
        <v>0</v>
      </c>
      <c r="J129">
        <f t="shared" si="17"/>
        <v>0</v>
      </c>
      <c r="K129">
        <f t="shared" si="18"/>
        <v>780</v>
      </c>
      <c r="L129">
        <f t="shared" si="19"/>
        <v>4.78</v>
      </c>
      <c r="M129">
        <f t="shared" si="20"/>
        <v>784.78</v>
      </c>
      <c r="N129">
        <f t="shared" si="21"/>
        <v>0</v>
      </c>
      <c r="O129">
        <f t="shared" si="22"/>
        <v>784.78</v>
      </c>
      <c r="P129">
        <f t="shared" si="23"/>
        <v>0</v>
      </c>
      <c r="Q129">
        <f t="shared" si="24"/>
        <v>0</v>
      </c>
      <c r="R129">
        <f t="shared" si="25"/>
        <v>0</v>
      </c>
    </row>
    <row r="130" spans="1:18" x14ac:dyDescent="0.3">
      <c r="A130" s="1">
        <v>41667</v>
      </c>
      <c r="B130" s="1">
        <v>41675</v>
      </c>
      <c r="C130">
        <v>11.69</v>
      </c>
      <c r="D130">
        <v>0.31</v>
      </c>
      <c r="E130">
        <v>6</v>
      </c>
      <c r="F130">
        <f t="shared" si="13"/>
        <v>0</v>
      </c>
      <c r="G130">
        <f t="shared" si="14"/>
        <v>0</v>
      </c>
      <c r="H130">
        <f t="shared" si="15"/>
        <v>0</v>
      </c>
      <c r="I130">
        <f t="shared" si="16"/>
        <v>0</v>
      </c>
      <c r="J130">
        <f t="shared" si="17"/>
        <v>8</v>
      </c>
      <c r="K130">
        <f t="shared" si="18"/>
        <v>480</v>
      </c>
      <c r="L130">
        <f t="shared" si="19"/>
        <v>12</v>
      </c>
      <c r="M130">
        <f t="shared" si="20"/>
        <v>492</v>
      </c>
      <c r="N130">
        <f t="shared" si="21"/>
        <v>0</v>
      </c>
      <c r="O130">
        <f t="shared" si="22"/>
        <v>0</v>
      </c>
      <c r="P130">
        <f t="shared" si="23"/>
        <v>0</v>
      </c>
      <c r="Q130">
        <f t="shared" si="24"/>
        <v>0</v>
      </c>
      <c r="R130">
        <f t="shared" si="25"/>
        <v>492</v>
      </c>
    </row>
    <row r="131" spans="1:18" x14ac:dyDescent="0.3">
      <c r="A131" s="1">
        <v>41667</v>
      </c>
      <c r="B131" s="1">
        <v>41673</v>
      </c>
      <c r="C131">
        <v>6.88</v>
      </c>
      <c r="D131">
        <v>0.18</v>
      </c>
      <c r="E131">
        <v>3</v>
      </c>
      <c r="F131">
        <f t="shared" ref="F131:F194" si="26">IF(EXACT(E131,2),B131-A131,0)</f>
        <v>0</v>
      </c>
      <c r="G131">
        <f t="shared" ref="G131:G194" si="27">IF(EXACT(E131,3),B131-A131,0)</f>
        <v>6</v>
      </c>
      <c r="H131">
        <f t="shared" ref="H131:H194" si="28">IF(EXACT(E131,4),B131-A131,0)</f>
        <v>0</v>
      </c>
      <c r="I131">
        <f t="shared" ref="I131:I194" si="29">IF(EXACT(E131,5),B131-A131,0)</f>
        <v>0</v>
      </c>
      <c r="J131">
        <f t="shared" ref="J131:J194" si="30">IF(EXACT(E131,6),B131-A131,0)</f>
        <v>0</v>
      </c>
      <c r="K131">
        <f t="shared" ref="K131:K194" si="31">10 * E131 * (F131+G131+H131+I131+J131)</f>
        <v>180</v>
      </c>
      <c r="L131">
        <f t="shared" ref="L131:L194" si="32">C131+D131</f>
        <v>7.06</v>
      </c>
      <c r="M131">
        <f t="shared" ref="M131:M194" si="33">K131+L131</f>
        <v>187.06</v>
      </c>
      <c r="N131">
        <f t="shared" ref="N131:N194" si="34">IF(EXACT(E131,2),M131,0)</f>
        <v>0</v>
      </c>
      <c r="O131">
        <f t="shared" ref="O131:O194" si="35">IF(EXACT(E131,3),M131,0)</f>
        <v>187.06</v>
      </c>
      <c r="P131">
        <f t="shared" ref="P131:P194" si="36">IF(EXACT(E131,4),M131,0)</f>
        <v>0</v>
      </c>
      <c r="Q131">
        <f t="shared" ref="Q131:Q194" si="37">IF(EXACT(E131,5),M131,0)</f>
        <v>0</v>
      </c>
      <c r="R131">
        <f t="shared" ref="R131:R194" si="38">IF(EXACT(E131,6),M131,0)</f>
        <v>0</v>
      </c>
    </row>
    <row r="132" spans="1:18" x14ac:dyDescent="0.3">
      <c r="A132" s="1">
        <v>41672</v>
      </c>
      <c r="B132" s="1">
        <v>41683</v>
      </c>
      <c r="C132">
        <v>9.74</v>
      </c>
      <c r="D132">
        <v>0.26</v>
      </c>
      <c r="E132">
        <v>2</v>
      </c>
      <c r="F132">
        <f t="shared" si="26"/>
        <v>11</v>
      </c>
      <c r="G132">
        <f t="shared" si="27"/>
        <v>0</v>
      </c>
      <c r="H132">
        <f t="shared" si="28"/>
        <v>0</v>
      </c>
      <c r="I132">
        <f t="shared" si="29"/>
        <v>0</v>
      </c>
      <c r="J132">
        <f t="shared" si="30"/>
        <v>0</v>
      </c>
      <c r="K132">
        <f t="shared" si="31"/>
        <v>220</v>
      </c>
      <c r="L132">
        <f t="shared" si="32"/>
        <v>10</v>
      </c>
      <c r="M132">
        <f t="shared" si="33"/>
        <v>230</v>
      </c>
      <c r="N132">
        <f t="shared" si="34"/>
        <v>230</v>
      </c>
      <c r="O132">
        <f t="shared" si="35"/>
        <v>0</v>
      </c>
      <c r="P132">
        <f t="shared" si="36"/>
        <v>0</v>
      </c>
      <c r="Q132">
        <f t="shared" si="37"/>
        <v>0</v>
      </c>
      <c r="R132">
        <f t="shared" si="38"/>
        <v>0</v>
      </c>
    </row>
    <row r="133" spans="1:18" x14ac:dyDescent="0.3">
      <c r="A133" s="1">
        <v>41672</v>
      </c>
      <c r="B133" s="1">
        <v>41681</v>
      </c>
      <c r="C133">
        <v>9.06</v>
      </c>
      <c r="D133">
        <v>0.24</v>
      </c>
      <c r="E133">
        <v>2</v>
      </c>
      <c r="F133">
        <f t="shared" si="26"/>
        <v>9</v>
      </c>
      <c r="G133">
        <f t="shared" si="27"/>
        <v>0</v>
      </c>
      <c r="H133">
        <f t="shared" si="28"/>
        <v>0</v>
      </c>
      <c r="I133">
        <f t="shared" si="29"/>
        <v>0</v>
      </c>
      <c r="J133">
        <f t="shared" si="30"/>
        <v>0</v>
      </c>
      <c r="K133">
        <f t="shared" si="31"/>
        <v>180</v>
      </c>
      <c r="L133">
        <f t="shared" si="32"/>
        <v>9.3000000000000007</v>
      </c>
      <c r="M133">
        <f t="shared" si="33"/>
        <v>189.3</v>
      </c>
      <c r="N133">
        <f t="shared" si="34"/>
        <v>189.3</v>
      </c>
      <c r="O133">
        <f t="shared" si="35"/>
        <v>0</v>
      </c>
      <c r="P133">
        <f t="shared" si="36"/>
        <v>0</v>
      </c>
      <c r="Q133">
        <f t="shared" si="37"/>
        <v>0</v>
      </c>
      <c r="R133">
        <f t="shared" si="38"/>
        <v>0</v>
      </c>
    </row>
    <row r="134" spans="1:18" x14ac:dyDescent="0.3">
      <c r="A134" s="1">
        <v>41672</v>
      </c>
      <c r="B134" s="1">
        <v>41694</v>
      </c>
      <c r="C134">
        <v>14</v>
      </c>
      <c r="D134">
        <v>0.37</v>
      </c>
      <c r="E134">
        <v>2</v>
      </c>
      <c r="F134">
        <f t="shared" si="26"/>
        <v>22</v>
      </c>
      <c r="G134">
        <f t="shared" si="27"/>
        <v>0</v>
      </c>
      <c r="H134">
        <f t="shared" si="28"/>
        <v>0</v>
      </c>
      <c r="I134">
        <f t="shared" si="29"/>
        <v>0</v>
      </c>
      <c r="J134">
        <f t="shared" si="30"/>
        <v>0</v>
      </c>
      <c r="K134">
        <f t="shared" si="31"/>
        <v>440</v>
      </c>
      <c r="L134">
        <f t="shared" si="32"/>
        <v>14.37</v>
      </c>
      <c r="M134">
        <f t="shared" si="33"/>
        <v>454.37</v>
      </c>
      <c r="N134">
        <f t="shared" si="34"/>
        <v>454.37</v>
      </c>
      <c r="O134">
        <f t="shared" si="35"/>
        <v>0</v>
      </c>
      <c r="P134">
        <f t="shared" si="36"/>
        <v>0</v>
      </c>
      <c r="Q134">
        <f t="shared" si="37"/>
        <v>0</v>
      </c>
      <c r="R134">
        <f t="shared" si="38"/>
        <v>0</v>
      </c>
    </row>
    <row r="135" spans="1:18" x14ac:dyDescent="0.3">
      <c r="A135" s="1">
        <v>41673</v>
      </c>
      <c r="B135" s="1">
        <v>41697</v>
      </c>
      <c r="C135">
        <v>10.59</v>
      </c>
      <c r="D135">
        <v>0.28000000000000003</v>
      </c>
      <c r="E135">
        <v>3</v>
      </c>
      <c r="F135">
        <f t="shared" si="26"/>
        <v>0</v>
      </c>
      <c r="G135">
        <f t="shared" si="27"/>
        <v>24</v>
      </c>
      <c r="H135">
        <f t="shared" si="28"/>
        <v>0</v>
      </c>
      <c r="I135">
        <f t="shared" si="29"/>
        <v>0</v>
      </c>
      <c r="J135">
        <f t="shared" si="30"/>
        <v>0</v>
      </c>
      <c r="K135">
        <f t="shared" si="31"/>
        <v>720</v>
      </c>
      <c r="L135">
        <f t="shared" si="32"/>
        <v>10.87</v>
      </c>
      <c r="M135">
        <f t="shared" si="33"/>
        <v>730.87</v>
      </c>
      <c r="N135">
        <f t="shared" si="34"/>
        <v>0</v>
      </c>
      <c r="O135">
        <f t="shared" si="35"/>
        <v>730.87</v>
      </c>
      <c r="P135">
        <f t="shared" si="36"/>
        <v>0</v>
      </c>
      <c r="Q135">
        <f t="shared" si="37"/>
        <v>0</v>
      </c>
      <c r="R135">
        <f t="shared" si="38"/>
        <v>0</v>
      </c>
    </row>
    <row r="136" spans="1:18" x14ac:dyDescent="0.3">
      <c r="A136" s="1">
        <v>41673</v>
      </c>
      <c r="B136" s="1">
        <v>41676</v>
      </c>
      <c r="C136">
        <v>3.94</v>
      </c>
      <c r="D136">
        <v>0.1</v>
      </c>
      <c r="E136">
        <v>6</v>
      </c>
      <c r="F136">
        <f t="shared" si="26"/>
        <v>0</v>
      </c>
      <c r="G136">
        <f t="shared" si="27"/>
        <v>0</v>
      </c>
      <c r="H136">
        <f t="shared" si="28"/>
        <v>0</v>
      </c>
      <c r="I136">
        <f t="shared" si="29"/>
        <v>0</v>
      </c>
      <c r="J136">
        <f t="shared" si="30"/>
        <v>3</v>
      </c>
      <c r="K136">
        <f t="shared" si="31"/>
        <v>180</v>
      </c>
      <c r="L136">
        <f t="shared" si="32"/>
        <v>4.04</v>
      </c>
      <c r="M136">
        <f t="shared" si="33"/>
        <v>184.04</v>
      </c>
      <c r="N136">
        <f t="shared" si="34"/>
        <v>0</v>
      </c>
      <c r="O136">
        <f t="shared" si="35"/>
        <v>0</v>
      </c>
      <c r="P136">
        <f t="shared" si="36"/>
        <v>0</v>
      </c>
      <c r="Q136">
        <f t="shared" si="37"/>
        <v>0</v>
      </c>
      <c r="R136">
        <f t="shared" si="38"/>
        <v>184.04</v>
      </c>
    </row>
    <row r="137" spans="1:18" x14ac:dyDescent="0.3">
      <c r="A137" s="1">
        <v>41673</v>
      </c>
      <c r="B137" s="1">
        <v>41690</v>
      </c>
      <c r="C137">
        <v>4.66</v>
      </c>
      <c r="D137">
        <v>0.12</v>
      </c>
      <c r="E137">
        <v>3</v>
      </c>
      <c r="F137">
        <f t="shared" si="26"/>
        <v>0</v>
      </c>
      <c r="G137">
        <f t="shared" si="27"/>
        <v>17</v>
      </c>
      <c r="H137">
        <f t="shared" si="28"/>
        <v>0</v>
      </c>
      <c r="I137">
        <f t="shared" si="29"/>
        <v>0</v>
      </c>
      <c r="J137">
        <f t="shared" si="30"/>
        <v>0</v>
      </c>
      <c r="K137">
        <f t="shared" si="31"/>
        <v>510</v>
      </c>
      <c r="L137">
        <f t="shared" si="32"/>
        <v>4.78</v>
      </c>
      <c r="M137">
        <f t="shared" si="33"/>
        <v>514.78</v>
      </c>
      <c r="N137">
        <f t="shared" si="34"/>
        <v>0</v>
      </c>
      <c r="O137">
        <f t="shared" si="35"/>
        <v>514.78</v>
      </c>
      <c r="P137">
        <f t="shared" si="36"/>
        <v>0</v>
      </c>
      <c r="Q137">
        <f t="shared" si="37"/>
        <v>0</v>
      </c>
      <c r="R137">
        <f t="shared" si="38"/>
        <v>0</v>
      </c>
    </row>
    <row r="138" spans="1:18" x14ac:dyDescent="0.3">
      <c r="A138" s="1">
        <v>41673</v>
      </c>
      <c r="B138" s="1">
        <v>41701</v>
      </c>
      <c r="C138">
        <v>10.199999999999999</v>
      </c>
      <c r="D138">
        <v>0.27</v>
      </c>
      <c r="E138">
        <v>6</v>
      </c>
      <c r="F138">
        <f t="shared" si="26"/>
        <v>0</v>
      </c>
      <c r="G138">
        <f t="shared" si="27"/>
        <v>0</v>
      </c>
      <c r="H138">
        <f t="shared" si="28"/>
        <v>0</v>
      </c>
      <c r="I138">
        <f t="shared" si="29"/>
        <v>0</v>
      </c>
      <c r="J138">
        <f t="shared" si="30"/>
        <v>28</v>
      </c>
      <c r="K138">
        <f t="shared" si="31"/>
        <v>1680</v>
      </c>
      <c r="L138">
        <f t="shared" si="32"/>
        <v>10.469999999999999</v>
      </c>
      <c r="M138">
        <f t="shared" si="33"/>
        <v>1690.47</v>
      </c>
      <c r="N138">
        <f t="shared" si="34"/>
        <v>0</v>
      </c>
      <c r="O138">
        <f t="shared" si="35"/>
        <v>0</v>
      </c>
      <c r="P138">
        <f t="shared" si="36"/>
        <v>0</v>
      </c>
      <c r="Q138">
        <f t="shared" si="37"/>
        <v>0</v>
      </c>
      <c r="R138">
        <f t="shared" si="38"/>
        <v>1690.47</v>
      </c>
    </row>
    <row r="139" spans="1:18" x14ac:dyDescent="0.3">
      <c r="A139" s="1">
        <v>41677</v>
      </c>
      <c r="B139" s="1">
        <v>41682</v>
      </c>
      <c r="C139">
        <v>12.23</v>
      </c>
      <c r="D139">
        <v>0.32</v>
      </c>
      <c r="E139">
        <v>5</v>
      </c>
      <c r="F139">
        <f t="shared" si="26"/>
        <v>0</v>
      </c>
      <c r="G139">
        <f t="shared" si="27"/>
        <v>0</v>
      </c>
      <c r="H139">
        <f t="shared" si="28"/>
        <v>0</v>
      </c>
      <c r="I139">
        <f t="shared" si="29"/>
        <v>5</v>
      </c>
      <c r="J139">
        <f t="shared" si="30"/>
        <v>0</v>
      </c>
      <c r="K139">
        <f t="shared" si="31"/>
        <v>250</v>
      </c>
      <c r="L139">
        <f t="shared" si="32"/>
        <v>12.55</v>
      </c>
      <c r="M139">
        <f t="shared" si="33"/>
        <v>262.55</v>
      </c>
      <c r="N139">
        <f t="shared" si="34"/>
        <v>0</v>
      </c>
      <c r="O139">
        <f t="shared" si="35"/>
        <v>0</v>
      </c>
      <c r="P139">
        <f t="shared" si="36"/>
        <v>0</v>
      </c>
      <c r="Q139">
        <f t="shared" si="37"/>
        <v>262.55</v>
      </c>
      <c r="R139">
        <f t="shared" si="38"/>
        <v>0</v>
      </c>
    </row>
    <row r="140" spans="1:18" x14ac:dyDescent="0.3">
      <c r="A140" s="1">
        <v>41677</v>
      </c>
      <c r="B140" s="1">
        <v>41698</v>
      </c>
      <c r="C140">
        <v>10.19</v>
      </c>
      <c r="D140">
        <v>0.27</v>
      </c>
      <c r="E140">
        <v>3</v>
      </c>
      <c r="F140">
        <f t="shared" si="26"/>
        <v>0</v>
      </c>
      <c r="G140">
        <f t="shared" si="27"/>
        <v>21</v>
      </c>
      <c r="H140">
        <f t="shared" si="28"/>
        <v>0</v>
      </c>
      <c r="I140">
        <f t="shared" si="29"/>
        <v>0</v>
      </c>
      <c r="J140">
        <f t="shared" si="30"/>
        <v>0</v>
      </c>
      <c r="K140">
        <f t="shared" si="31"/>
        <v>630</v>
      </c>
      <c r="L140">
        <f t="shared" si="32"/>
        <v>10.459999999999999</v>
      </c>
      <c r="M140">
        <f t="shared" si="33"/>
        <v>640.46</v>
      </c>
      <c r="N140">
        <f t="shared" si="34"/>
        <v>0</v>
      </c>
      <c r="O140">
        <f t="shared" si="35"/>
        <v>640.46</v>
      </c>
      <c r="P140">
        <f t="shared" si="36"/>
        <v>0</v>
      </c>
      <c r="Q140">
        <f t="shared" si="37"/>
        <v>0</v>
      </c>
      <c r="R140">
        <f t="shared" si="38"/>
        <v>0</v>
      </c>
    </row>
    <row r="141" spans="1:18" x14ac:dyDescent="0.3">
      <c r="A141" s="1">
        <v>41677</v>
      </c>
      <c r="B141" s="1">
        <v>41701</v>
      </c>
      <c r="C141">
        <v>12.01</v>
      </c>
      <c r="D141">
        <v>0.32</v>
      </c>
      <c r="E141">
        <v>6</v>
      </c>
      <c r="F141">
        <f t="shared" si="26"/>
        <v>0</v>
      </c>
      <c r="G141">
        <f t="shared" si="27"/>
        <v>0</v>
      </c>
      <c r="H141">
        <f t="shared" si="28"/>
        <v>0</v>
      </c>
      <c r="I141">
        <f t="shared" si="29"/>
        <v>0</v>
      </c>
      <c r="J141">
        <f t="shared" si="30"/>
        <v>24</v>
      </c>
      <c r="K141">
        <f t="shared" si="31"/>
        <v>1440</v>
      </c>
      <c r="L141">
        <f t="shared" si="32"/>
        <v>12.33</v>
      </c>
      <c r="M141">
        <f t="shared" si="33"/>
        <v>1452.33</v>
      </c>
      <c r="N141">
        <f t="shared" si="34"/>
        <v>0</v>
      </c>
      <c r="O141">
        <f t="shared" si="35"/>
        <v>0</v>
      </c>
      <c r="P141">
        <f t="shared" si="36"/>
        <v>0</v>
      </c>
      <c r="Q141">
        <f t="shared" si="37"/>
        <v>0</v>
      </c>
      <c r="R141">
        <f t="shared" si="38"/>
        <v>1452.33</v>
      </c>
    </row>
    <row r="142" spans="1:18" x14ac:dyDescent="0.3">
      <c r="A142" s="1">
        <v>41677</v>
      </c>
      <c r="B142" s="1">
        <v>41681</v>
      </c>
      <c r="C142">
        <v>11.44</v>
      </c>
      <c r="D142">
        <v>0.3</v>
      </c>
      <c r="E142">
        <v>3</v>
      </c>
      <c r="F142">
        <f t="shared" si="26"/>
        <v>0</v>
      </c>
      <c r="G142">
        <f t="shared" si="27"/>
        <v>4</v>
      </c>
      <c r="H142">
        <f t="shared" si="28"/>
        <v>0</v>
      </c>
      <c r="I142">
        <f t="shared" si="29"/>
        <v>0</v>
      </c>
      <c r="J142">
        <f t="shared" si="30"/>
        <v>0</v>
      </c>
      <c r="K142">
        <f t="shared" si="31"/>
        <v>120</v>
      </c>
      <c r="L142">
        <f t="shared" si="32"/>
        <v>11.74</v>
      </c>
      <c r="M142">
        <f t="shared" si="33"/>
        <v>131.74</v>
      </c>
      <c r="N142">
        <f t="shared" si="34"/>
        <v>0</v>
      </c>
      <c r="O142">
        <f t="shared" si="35"/>
        <v>131.74</v>
      </c>
      <c r="P142">
        <f t="shared" si="36"/>
        <v>0</v>
      </c>
      <c r="Q142">
        <f t="shared" si="37"/>
        <v>0</v>
      </c>
      <c r="R142">
        <f t="shared" si="38"/>
        <v>0</v>
      </c>
    </row>
    <row r="143" spans="1:18" x14ac:dyDescent="0.3">
      <c r="A143" s="1">
        <v>41677</v>
      </c>
      <c r="B143" s="1">
        <v>41700</v>
      </c>
      <c r="C143">
        <v>6.23</v>
      </c>
      <c r="D143">
        <v>0.16</v>
      </c>
      <c r="E143">
        <v>3</v>
      </c>
      <c r="F143">
        <f t="shared" si="26"/>
        <v>0</v>
      </c>
      <c r="G143">
        <f t="shared" si="27"/>
        <v>23</v>
      </c>
      <c r="H143">
        <f t="shared" si="28"/>
        <v>0</v>
      </c>
      <c r="I143">
        <f t="shared" si="29"/>
        <v>0</v>
      </c>
      <c r="J143">
        <f t="shared" si="30"/>
        <v>0</v>
      </c>
      <c r="K143">
        <f t="shared" si="31"/>
        <v>690</v>
      </c>
      <c r="L143">
        <f t="shared" si="32"/>
        <v>6.3900000000000006</v>
      </c>
      <c r="M143">
        <f t="shared" si="33"/>
        <v>696.39</v>
      </c>
      <c r="N143">
        <f t="shared" si="34"/>
        <v>0</v>
      </c>
      <c r="O143">
        <f t="shared" si="35"/>
        <v>696.39</v>
      </c>
      <c r="P143">
        <f t="shared" si="36"/>
        <v>0</v>
      </c>
      <c r="Q143">
        <f t="shared" si="37"/>
        <v>0</v>
      </c>
      <c r="R143">
        <f t="shared" si="38"/>
        <v>0</v>
      </c>
    </row>
    <row r="144" spans="1:18" x14ac:dyDescent="0.3">
      <c r="A144" s="1">
        <v>41677</v>
      </c>
      <c r="B144" s="1">
        <v>41686</v>
      </c>
      <c r="C144">
        <v>12.01</v>
      </c>
      <c r="D144">
        <v>0.32</v>
      </c>
      <c r="E144">
        <v>5</v>
      </c>
      <c r="F144">
        <f t="shared" si="26"/>
        <v>0</v>
      </c>
      <c r="G144">
        <f t="shared" si="27"/>
        <v>0</v>
      </c>
      <c r="H144">
        <f t="shared" si="28"/>
        <v>0</v>
      </c>
      <c r="I144">
        <f t="shared" si="29"/>
        <v>9</v>
      </c>
      <c r="J144">
        <f t="shared" si="30"/>
        <v>0</v>
      </c>
      <c r="K144">
        <f t="shared" si="31"/>
        <v>450</v>
      </c>
      <c r="L144">
        <f t="shared" si="32"/>
        <v>12.33</v>
      </c>
      <c r="M144">
        <f t="shared" si="33"/>
        <v>462.33</v>
      </c>
      <c r="N144">
        <f t="shared" si="34"/>
        <v>0</v>
      </c>
      <c r="O144">
        <f t="shared" si="35"/>
        <v>0</v>
      </c>
      <c r="P144">
        <f t="shared" si="36"/>
        <v>0</v>
      </c>
      <c r="Q144">
        <f t="shared" si="37"/>
        <v>462.33</v>
      </c>
      <c r="R144">
        <f t="shared" si="38"/>
        <v>0</v>
      </c>
    </row>
    <row r="145" spans="1:18" x14ac:dyDescent="0.3">
      <c r="A145" s="1">
        <v>41677</v>
      </c>
      <c r="B145" s="1">
        <v>41681</v>
      </c>
      <c r="C145">
        <v>12.23</v>
      </c>
      <c r="D145">
        <v>0.32</v>
      </c>
      <c r="E145">
        <v>5</v>
      </c>
      <c r="F145">
        <f t="shared" si="26"/>
        <v>0</v>
      </c>
      <c r="G145">
        <f t="shared" si="27"/>
        <v>0</v>
      </c>
      <c r="H145">
        <f t="shared" si="28"/>
        <v>0</v>
      </c>
      <c r="I145">
        <f t="shared" si="29"/>
        <v>4</v>
      </c>
      <c r="J145">
        <f t="shared" si="30"/>
        <v>0</v>
      </c>
      <c r="K145">
        <f t="shared" si="31"/>
        <v>200</v>
      </c>
      <c r="L145">
        <f t="shared" si="32"/>
        <v>12.55</v>
      </c>
      <c r="M145">
        <f t="shared" si="33"/>
        <v>212.55</v>
      </c>
      <c r="N145">
        <f t="shared" si="34"/>
        <v>0</v>
      </c>
      <c r="O145">
        <f t="shared" si="35"/>
        <v>0</v>
      </c>
      <c r="P145">
        <f t="shared" si="36"/>
        <v>0</v>
      </c>
      <c r="Q145">
        <f t="shared" si="37"/>
        <v>212.55</v>
      </c>
      <c r="R145">
        <f t="shared" si="38"/>
        <v>0</v>
      </c>
    </row>
    <row r="146" spans="1:18" x14ac:dyDescent="0.3">
      <c r="A146" s="1">
        <v>41677</v>
      </c>
      <c r="B146" s="1">
        <v>41695</v>
      </c>
      <c r="C146">
        <v>12.01</v>
      </c>
      <c r="D146">
        <v>0.32</v>
      </c>
      <c r="E146">
        <v>5</v>
      </c>
      <c r="F146">
        <f t="shared" si="26"/>
        <v>0</v>
      </c>
      <c r="G146">
        <f t="shared" si="27"/>
        <v>0</v>
      </c>
      <c r="H146">
        <f t="shared" si="28"/>
        <v>0</v>
      </c>
      <c r="I146">
        <f t="shared" si="29"/>
        <v>18</v>
      </c>
      <c r="J146">
        <f t="shared" si="30"/>
        <v>0</v>
      </c>
      <c r="K146">
        <f t="shared" si="31"/>
        <v>900</v>
      </c>
      <c r="L146">
        <f t="shared" si="32"/>
        <v>12.33</v>
      </c>
      <c r="M146">
        <f t="shared" si="33"/>
        <v>912.33</v>
      </c>
      <c r="N146">
        <f t="shared" si="34"/>
        <v>0</v>
      </c>
      <c r="O146">
        <f t="shared" si="35"/>
        <v>0</v>
      </c>
      <c r="P146">
        <f t="shared" si="36"/>
        <v>0</v>
      </c>
      <c r="Q146">
        <f t="shared" si="37"/>
        <v>912.33</v>
      </c>
      <c r="R146">
        <f t="shared" si="38"/>
        <v>0</v>
      </c>
    </row>
    <row r="147" spans="1:18" x14ac:dyDescent="0.3">
      <c r="A147" s="1">
        <v>41677</v>
      </c>
      <c r="B147" s="1">
        <v>41692</v>
      </c>
      <c r="C147">
        <v>5.67</v>
      </c>
      <c r="D147">
        <v>0.15</v>
      </c>
      <c r="E147">
        <v>4</v>
      </c>
      <c r="F147">
        <f t="shared" si="26"/>
        <v>0</v>
      </c>
      <c r="G147">
        <f t="shared" si="27"/>
        <v>0</v>
      </c>
      <c r="H147">
        <f t="shared" si="28"/>
        <v>15</v>
      </c>
      <c r="I147">
        <f t="shared" si="29"/>
        <v>0</v>
      </c>
      <c r="J147">
        <f t="shared" si="30"/>
        <v>0</v>
      </c>
      <c r="K147">
        <f t="shared" si="31"/>
        <v>600</v>
      </c>
      <c r="L147">
        <f t="shared" si="32"/>
        <v>5.82</v>
      </c>
      <c r="M147">
        <f t="shared" si="33"/>
        <v>605.82000000000005</v>
      </c>
      <c r="N147">
        <f t="shared" si="34"/>
        <v>0</v>
      </c>
      <c r="O147">
        <f t="shared" si="35"/>
        <v>0</v>
      </c>
      <c r="P147">
        <f t="shared" si="36"/>
        <v>605.82000000000005</v>
      </c>
      <c r="Q147">
        <f t="shared" si="37"/>
        <v>0</v>
      </c>
      <c r="R147">
        <f t="shared" si="38"/>
        <v>0</v>
      </c>
    </row>
    <row r="148" spans="1:18" x14ac:dyDescent="0.3">
      <c r="A148" s="1">
        <v>41677</v>
      </c>
      <c r="B148" s="1">
        <v>41702</v>
      </c>
      <c r="C148">
        <v>6.88</v>
      </c>
      <c r="D148">
        <v>0.18</v>
      </c>
      <c r="E148">
        <v>5</v>
      </c>
      <c r="F148">
        <f t="shared" si="26"/>
        <v>0</v>
      </c>
      <c r="G148">
        <f t="shared" si="27"/>
        <v>0</v>
      </c>
      <c r="H148">
        <f t="shared" si="28"/>
        <v>0</v>
      </c>
      <c r="I148">
        <f t="shared" si="29"/>
        <v>25</v>
      </c>
      <c r="J148">
        <f t="shared" si="30"/>
        <v>0</v>
      </c>
      <c r="K148">
        <f t="shared" si="31"/>
        <v>1250</v>
      </c>
      <c r="L148">
        <f t="shared" si="32"/>
        <v>7.06</v>
      </c>
      <c r="M148">
        <f t="shared" si="33"/>
        <v>1257.06</v>
      </c>
      <c r="N148">
        <f t="shared" si="34"/>
        <v>0</v>
      </c>
      <c r="O148">
        <f t="shared" si="35"/>
        <v>0</v>
      </c>
      <c r="P148">
        <f t="shared" si="36"/>
        <v>0</v>
      </c>
      <c r="Q148">
        <f t="shared" si="37"/>
        <v>1257.06</v>
      </c>
      <c r="R148">
        <f t="shared" si="38"/>
        <v>0</v>
      </c>
    </row>
    <row r="149" spans="1:18" x14ac:dyDescent="0.3">
      <c r="A149" s="1">
        <v>41677</v>
      </c>
      <c r="B149" s="1">
        <v>41705</v>
      </c>
      <c r="C149">
        <v>2.72</v>
      </c>
      <c r="D149">
        <v>7.0000000000000007E-2</v>
      </c>
      <c r="E149">
        <v>6</v>
      </c>
      <c r="F149">
        <f t="shared" si="26"/>
        <v>0</v>
      </c>
      <c r="G149">
        <f t="shared" si="27"/>
        <v>0</v>
      </c>
      <c r="H149">
        <f t="shared" si="28"/>
        <v>0</v>
      </c>
      <c r="I149">
        <f t="shared" si="29"/>
        <v>0</v>
      </c>
      <c r="J149">
        <f t="shared" si="30"/>
        <v>28</v>
      </c>
      <c r="K149">
        <f t="shared" si="31"/>
        <v>1680</v>
      </c>
      <c r="L149">
        <f t="shared" si="32"/>
        <v>2.79</v>
      </c>
      <c r="M149">
        <f t="shared" si="33"/>
        <v>1682.79</v>
      </c>
      <c r="N149">
        <f t="shared" si="34"/>
        <v>0</v>
      </c>
      <c r="O149">
        <f t="shared" si="35"/>
        <v>0</v>
      </c>
      <c r="P149">
        <f t="shared" si="36"/>
        <v>0</v>
      </c>
      <c r="Q149">
        <f t="shared" si="37"/>
        <v>0</v>
      </c>
      <c r="R149">
        <f t="shared" si="38"/>
        <v>1682.79</v>
      </c>
    </row>
    <row r="150" spans="1:18" x14ac:dyDescent="0.3">
      <c r="A150" s="1">
        <v>41677</v>
      </c>
      <c r="B150" s="1">
        <v>41686</v>
      </c>
      <c r="C150">
        <v>9.74</v>
      </c>
      <c r="D150">
        <v>0.26</v>
      </c>
      <c r="E150">
        <v>6</v>
      </c>
      <c r="F150">
        <f t="shared" si="26"/>
        <v>0</v>
      </c>
      <c r="G150">
        <f t="shared" si="27"/>
        <v>0</v>
      </c>
      <c r="H150">
        <f t="shared" si="28"/>
        <v>0</v>
      </c>
      <c r="I150">
        <f t="shared" si="29"/>
        <v>0</v>
      </c>
      <c r="J150">
        <f t="shared" si="30"/>
        <v>9</v>
      </c>
      <c r="K150">
        <f t="shared" si="31"/>
        <v>540</v>
      </c>
      <c r="L150">
        <f t="shared" si="32"/>
        <v>10</v>
      </c>
      <c r="M150">
        <f t="shared" si="33"/>
        <v>550</v>
      </c>
      <c r="N150">
        <f t="shared" si="34"/>
        <v>0</v>
      </c>
      <c r="O150">
        <f t="shared" si="35"/>
        <v>0</v>
      </c>
      <c r="P150">
        <f t="shared" si="36"/>
        <v>0</v>
      </c>
      <c r="Q150">
        <f t="shared" si="37"/>
        <v>0</v>
      </c>
      <c r="R150">
        <f t="shared" si="38"/>
        <v>550</v>
      </c>
    </row>
    <row r="151" spans="1:18" x14ac:dyDescent="0.3">
      <c r="A151" s="1">
        <v>41677</v>
      </c>
      <c r="B151" s="1">
        <v>41691</v>
      </c>
      <c r="C151">
        <v>7.31</v>
      </c>
      <c r="D151">
        <v>0.19</v>
      </c>
      <c r="E151">
        <v>3</v>
      </c>
      <c r="F151">
        <f t="shared" si="26"/>
        <v>0</v>
      </c>
      <c r="G151">
        <f t="shared" si="27"/>
        <v>14</v>
      </c>
      <c r="H151">
        <f t="shared" si="28"/>
        <v>0</v>
      </c>
      <c r="I151">
        <f t="shared" si="29"/>
        <v>0</v>
      </c>
      <c r="J151">
        <f t="shared" si="30"/>
        <v>0</v>
      </c>
      <c r="K151">
        <f t="shared" si="31"/>
        <v>420</v>
      </c>
      <c r="L151">
        <f t="shared" si="32"/>
        <v>7.5</v>
      </c>
      <c r="M151">
        <f t="shared" si="33"/>
        <v>427.5</v>
      </c>
      <c r="N151">
        <f t="shared" si="34"/>
        <v>0</v>
      </c>
      <c r="O151">
        <f t="shared" si="35"/>
        <v>427.5</v>
      </c>
      <c r="P151">
        <f t="shared" si="36"/>
        <v>0</v>
      </c>
      <c r="Q151">
        <f t="shared" si="37"/>
        <v>0</v>
      </c>
      <c r="R151">
        <f t="shared" si="38"/>
        <v>0</v>
      </c>
    </row>
    <row r="152" spans="1:18" x14ac:dyDescent="0.3">
      <c r="A152" s="1">
        <v>41677</v>
      </c>
      <c r="B152" s="1">
        <v>41704</v>
      </c>
      <c r="C152">
        <v>8.84</v>
      </c>
      <c r="D152">
        <v>0.23</v>
      </c>
      <c r="E152">
        <v>6</v>
      </c>
      <c r="F152">
        <f t="shared" si="26"/>
        <v>0</v>
      </c>
      <c r="G152">
        <f t="shared" si="27"/>
        <v>0</v>
      </c>
      <c r="H152">
        <f t="shared" si="28"/>
        <v>0</v>
      </c>
      <c r="I152">
        <f t="shared" si="29"/>
        <v>0</v>
      </c>
      <c r="J152">
        <f t="shared" si="30"/>
        <v>27</v>
      </c>
      <c r="K152">
        <f t="shared" si="31"/>
        <v>1620</v>
      </c>
      <c r="L152">
        <f t="shared" si="32"/>
        <v>9.07</v>
      </c>
      <c r="M152">
        <f t="shared" si="33"/>
        <v>1629.07</v>
      </c>
      <c r="N152">
        <f t="shared" si="34"/>
        <v>0</v>
      </c>
      <c r="O152">
        <f t="shared" si="35"/>
        <v>0</v>
      </c>
      <c r="P152">
        <f t="shared" si="36"/>
        <v>0</v>
      </c>
      <c r="Q152">
        <f t="shared" si="37"/>
        <v>0</v>
      </c>
      <c r="R152">
        <f t="shared" si="38"/>
        <v>1629.07</v>
      </c>
    </row>
    <row r="153" spans="1:18" x14ac:dyDescent="0.3">
      <c r="A153" s="1">
        <v>41677</v>
      </c>
      <c r="B153" s="1">
        <v>41690</v>
      </c>
      <c r="C153">
        <v>13.07</v>
      </c>
      <c r="D153">
        <v>0.34</v>
      </c>
      <c r="E153">
        <v>2</v>
      </c>
      <c r="F153">
        <f t="shared" si="26"/>
        <v>13</v>
      </c>
      <c r="G153">
        <f t="shared" si="27"/>
        <v>0</v>
      </c>
      <c r="H153">
        <f t="shared" si="28"/>
        <v>0</v>
      </c>
      <c r="I153">
        <f t="shared" si="29"/>
        <v>0</v>
      </c>
      <c r="J153">
        <f t="shared" si="30"/>
        <v>0</v>
      </c>
      <c r="K153">
        <f t="shared" si="31"/>
        <v>260</v>
      </c>
      <c r="L153">
        <f t="shared" si="32"/>
        <v>13.41</v>
      </c>
      <c r="M153">
        <f t="shared" si="33"/>
        <v>273.41000000000003</v>
      </c>
      <c r="N153">
        <f t="shared" si="34"/>
        <v>273.41000000000003</v>
      </c>
      <c r="O153">
        <f t="shared" si="35"/>
        <v>0</v>
      </c>
      <c r="P153">
        <f t="shared" si="36"/>
        <v>0</v>
      </c>
      <c r="Q153">
        <f t="shared" si="37"/>
        <v>0</v>
      </c>
      <c r="R153">
        <f t="shared" si="38"/>
        <v>0</v>
      </c>
    </row>
    <row r="154" spans="1:18" x14ac:dyDescent="0.3">
      <c r="A154" s="1">
        <v>41677</v>
      </c>
      <c r="B154" s="1">
        <v>41690</v>
      </c>
      <c r="C154">
        <v>11.42</v>
      </c>
      <c r="D154">
        <v>0.3</v>
      </c>
      <c r="E154">
        <v>6</v>
      </c>
      <c r="F154">
        <f t="shared" si="26"/>
        <v>0</v>
      </c>
      <c r="G154">
        <f t="shared" si="27"/>
        <v>0</v>
      </c>
      <c r="H154">
        <f t="shared" si="28"/>
        <v>0</v>
      </c>
      <c r="I154">
        <f t="shared" si="29"/>
        <v>0</v>
      </c>
      <c r="J154">
        <f t="shared" si="30"/>
        <v>13</v>
      </c>
      <c r="K154">
        <f t="shared" si="31"/>
        <v>780</v>
      </c>
      <c r="L154">
        <f t="shared" si="32"/>
        <v>11.72</v>
      </c>
      <c r="M154">
        <f t="shared" si="33"/>
        <v>791.72</v>
      </c>
      <c r="N154">
        <f t="shared" si="34"/>
        <v>0</v>
      </c>
      <c r="O154">
        <f t="shared" si="35"/>
        <v>0</v>
      </c>
      <c r="P154">
        <f t="shared" si="36"/>
        <v>0</v>
      </c>
      <c r="Q154">
        <f t="shared" si="37"/>
        <v>0</v>
      </c>
      <c r="R154">
        <f t="shared" si="38"/>
        <v>791.72</v>
      </c>
    </row>
    <row r="155" spans="1:18" x14ac:dyDescent="0.3">
      <c r="A155" s="1">
        <v>41677</v>
      </c>
      <c r="B155" s="1">
        <v>41704</v>
      </c>
      <c r="C155">
        <v>3.79</v>
      </c>
      <c r="D155">
        <v>0.1</v>
      </c>
      <c r="E155">
        <v>3</v>
      </c>
      <c r="F155">
        <f t="shared" si="26"/>
        <v>0</v>
      </c>
      <c r="G155">
        <f t="shared" si="27"/>
        <v>27</v>
      </c>
      <c r="H155">
        <f t="shared" si="28"/>
        <v>0</v>
      </c>
      <c r="I155">
        <f t="shared" si="29"/>
        <v>0</v>
      </c>
      <c r="J155">
        <f t="shared" si="30"/>
        <v>0</v>
      </c>
      <c r="K155">
        <f t="shared" si="31"/>
        <v>810</v>
      </c>
      <c r="L155">
        <f t="shared" si="32"/>
        <v>3.89</v>
      </c>
      <c r="M155">
        <f t="shared" si="33"/>
        <v>813.89</v>
      </c>
      <c r="N155">
        <f t="shared" si="34"/>
        <v>0</v>
      </c>
      <c r="O155">
        <f t="shared" si="35"/>
        <v>813.89</v>
      </c>
      <c r="P155">
        <f t="shared" si="36"/>
        <v>0</v>
      </c>
      <c r="Q155">
        <f t="shared" si="37"/>
        <v>0</v>
      </c>
      <c r="R155">
        <f t="shared" si="38"/>
        <v>0</v>
      </c>
    </row>
    <row r="156" spans="1:18" x14ac:dyDescent="0.3">
      <c r="A156" s="1">
        <v>41677</v>
      </c>
      <c r="B156" s="1">
        <v>41682</v>
      </c>
      <c r="C156">
        <v>11.42</v>
      </c>
      <c r="D156">
        <v>0.3</v>
      </c>
      <c r="E156">
        <v>6</v>
      </c>
      <c r="F156">
        <f t="shared" si="26"/>
        <v>0</v>
      </c>
      <c r="G156">
        <f t="shared" si="27"/>
        <v>0</v>
      </c>
      <c r="H156">
        <f t="shared" si="28"/>
        <v>0</v>
      </c>
      <c r="I156">
        <f t="shared" si="29"/>
        <v>0</v>
      </c>
      <c r="J156">
        <f t="shared" si="30"/>
        <v>5</v>
      </c>
      <c r="K156">
        <f t="shared" si="31"/>
        <v>300</v>
      </c>
      <c r="L156">
        <f t="shared" si="32"/>
        <v>11.72</v>
      </c>
      <c r="M156">
        <f t="shared" si="33"/>
        <v>311.72000000000003</v>
      </c>
      <c r="N156">
        <f t="shared" si="34"/>
        <v>0</v>
      </c>
      <c r="O156">
        <f t="shared" si="35"/>
        <v>0</v>
      </c>
      <c r="P156">
        <f t="shared" si="36"/>
        <v>0</v>
      </c>
      <c r="Q156">
        <f t="shared" si="37"/>
        <v>0</v>
      </c>
      <c r="R156">
        <f t="shared" si="38"/>
        <v>311.72000000000003</v>
      </c>
    </row>
    <row r="157" spans="1:18" x14ac:dyDescent="0.3">
      <c r="A157" s="1">
        <v>41677</v>
      </c>
      <c r="B157" s="1">
        <v>41680</v>
      </c>
      <c r="C157">
        <v>8.83</v>
      </c>
      <c r="D157">
        <v>0.23</v>
      </c>
      <c r="E157">
        <v>4</v>
      </c>
      <c r="F157">
        <f t="shared" si="26"/>
        <v>0</v>
      </c>
      <c r="G157">
        <f t="shared" si="27"/>
        <v>0</v>
      </c>
      <c r="H157">
        <f t="shared" si="28"/>
        <v>3</v>
      </c>
      <c r="I157">
        <f t="shared" si="29"/>
        <v>0</v>
      </c>
      <c r="J157">
        <f t="shared" si="30"/>
        <v>0</v>
      </c>
      <c r="K157">
        <f t="shared" si="31"/>
        <v>120</v>
      </c>
      <c r="L157">
        <f t="shared" si="32"/>
        <v>9.06</v>
      </c>
      <c r="M157">
        <f t="shared" si="33"/>
        <v>129.06</v>
      </c>
      <c r="N157">
        <f t="shared" si="34"/>
        <v>0</v>
      </c>
      <c r="O157">
        <f t="shared" si="35"/>
        <v>0</v>
      </c>
      <c r="P157">
        <f t="shared" si="36"/>
        <v>129.06</v>
      </c>
      <c r="Q157">
        <f t="shared" si="37"/>
        <v>0</v>
      </c>
      <c r="R157">
        <f t="shared" si="38"/>
        <v>0</v>
      </c>
    </row>
    <row r="158" spans="1:18" x14ac:dyDescent="0.3">
      <c r="A158" s="1">
        <v>41677</v>
      </c>
      <c r="B158" s="1">
        <v>41690</v>
      </c>
      <c r="C158">
        <v>8.51</v>
      </c>
      <c r="D158">
        <v>0.22</v>
      </c>
      <c r="E158">
        <v>5</v>
      </c>
      <c r="F158">
        <f t="shared" si="26"/>
        <v>0</v>
      </c>
      <c r="G158">
        <f t="shared" si="27"/>
        <v>0</v>
      </c>
      <c r="H158">
        <f t="shared" si="28"/>
        <v>0</v>
      </c>
      <c r="I158">
        <f t="shared" si="29"/>
        <v>13</v>
      </c>
      <c r="J158">
        <f t="shared" si="30"/>
        <v>0</v>
      </c>
      <c r="K158">
        <f t="shared" si="31"/>
        <v>650</v>
      </c>
      <c r="L158">
        <f t="shared" si="32"/>
        <v>8.73</v>
      </c>
      <c r="M158">
        <f t="shared" si="33"/>
        <v>658.73</v>
      </c>
      <c r="N158">
        <f t="shared" si="34"/>
        <v>0</v>
      </c>
      <c r="O158">
        <f t="shared" si="35"/>
        <v>0</v>
      </c>
      <c r="P158">
        <f t="shared" si="36"/>
        <v>0</v>
      </c>
      <c r="Q158">
        <f t="shared" si="37"/>
        <v>658.73</v>
      </c>
      <c r="R158">
        <f t="shared" si="38"/>
        <v>0</v>
      </c>
    </row>
    <row r="159" spans="1:18" x14ac:dyDescent="0.3">
      <c r="A159" s="1">
        <v>41677</v>
      </c>
      <c r="B159" s="1">
        <v>41694</v>
      </c>
      <c r="C159">
        <v>7.3</v>
      </c>
      <c r="D159">
        <v>0.19</v>
      </c>
      <c r="E159">
        <v>5</v>
      </c>
      <c r="F159">
        <f t="shared" si="26"/>
        <v>0</v>
      </c>
      <c r="G159">
        <f t="shared" si="27"/>
        <v>0</v>
      </c>
      <c r="H159">
        <f t="shared" si="28"/>
        <v>0</v>
      </c>
      <c r="I159">
        <f t="shared" si="29"/>
        <v>17</v>
      </c>
      <c r="J159">
        <f t="shared" si="30"/>
        <v>0</v>
      </c>
      <c r="K159">
        <f t="shared" si="31"/>
        <v>850</v>
      </c>
      <c r="L159">
        <f t="shared" si="32"/>
        <v>7.49</v>
      </c>
      <c r="M159">
        <f t="shared" si="33"/>
        <v>857.49</v>
      </c>
      <c r="N159">
        <f t="shared" si="34"/>
        <v>0</v>
      </c>
      <c r="O159">
        <f t="shared" si="35"/>
        <v>0</v>
      </c>
      <c r="P159">
        <f t="shared" si="36"/>
        <v>0</v>
      </c>
      <c r="Q159">
        <f t="shared" si="37"/>
        <v>857.49</v>
      </c>
      <c r="R159">
        <f t="shared" si="38"/>
        <v>0</v>
      </c>
    </row>
    <row r="160" spans="1:18" x14ac:dyDescent="0.3">
      <c r="A160" s="1">
        <v>41680</v>
      </c>
      <c r="B160" s="1">
        <v>41692</v>
      </c>
      <c r="C160">
        <v>5.67</v>
      </c>
      <c r="D160">
        <v>0.15</v>
      </c>
      <c r="E160">
        <v>4</v>
      </c>
      <c r="F160">
        <f t="shared" si="26"/>
        <v>0</v>
      </c>
      <c r="G160">
        <f t="shared" si="27"/>
        <v>0</v>
      </c>
      <c r="H160">
        <f t="shared" si="28"/>
        <v>12</v>
      </c>
      <c r="I160">
        <f t="shared" si="29"/>
        <v>0</v>
      </c>
      <c r="J160">
        <f t="shared" si="30"/>
        <v>0</v>
      </c>
      <c r="K160">
        <f t="shared" si="31"/>
        <v>480</v>
      </c>
      <c r="L160">
        <f t="shared" si="32"/>
        <v>5.82</v>
      </c>
      <c r="M160">
        <f t="shared" si="33"/>
        <v>485.82</v>
      </c>
      <c r="N160">
        <f t="shared" si="34"/>
        <v>0</v>
      </c>
      <c r="O160">
        <f t="shared" si="35"/>
        <v>0</v>
      </c>
      <c r="P160">
        <f t="shared" si="36"/>
        <v>485.82</v>
      </c>
      <c r="Q160">
        <f t="shared" si="37"/>
        <v>0</v>
      </c>
      <c r="R160">
        <f t="shared" si="38"/>
        <v>0</v>
      </c>
    </row>
    <row r="161" spans="1:18" x14ac:dyDescent="0.3">
      <c r="A161" s="1">
        <v>41680</v>
      </c>
      <c r="B161" s="1">
        <v>41690</v>
      </c>
      <c r="C161">
        <v>6.58</v>
      </c>
      <c r="D161">
        <v>0.17</v>
      </c>
      <c r="E161">
        <v>3</v>
      </c>
      <c r="F161">
        <f t="shared" si="26"/>
        <v>0</v>
      </c>
      <c r="G161">
        <f t="shared" si="27"/>
        <v>10</v>
      </c>
      <c r="H161">
        <f t="shared" si="28"/>
        <v>0</v>
      </c>
      <c r="I161">
        <f t="shared" si="29"/>
        <v>0</v>
      </c>
      <c r="J161">
        <f t="shared" si="30"/>
        <v>0</v>
      </c>
      <c r="K161">
        <f t="shared" si="31"/>
        <v>300</v>
      </c>
      <c r="L161">
        <f t="shared" si="32"/>
        <v>6.75</v>
      </c>
      <c r="M161">
        <f t="shared" si="33"/>
        <v>306.75</v>
      </c>
      <c r="N161">
        <f t="shared" si="34"/>
        <v>0</v>
      </c>
      <c r="O161">
        <f t="shared" si="35"/>
        <v>306.75</v>
      </c>
      <c r="P161">
        <f t="shared" si="36"/>
        <v>0</v>
      </c>
      <c r="Q161">
        <f t="shared" si="37"/>
        <v>0</v>
      </c>
      <c r="R161">
        <f t="shared" si="38"/>
        <v>0</v>
      </c>
    </row>
    <row r="162" spans="1:18" x14ac:dyDescent="0.3">
      <c r="A162" s="1">
        <v>41680</v>
      </c>
      <c r="B162" s="1">
        <v>41699</v>
      </c>
      <c r="C162">
        <v>4.25</v>
      </c>
      <c r="D162">
        <v>0.11</v>
      </c>
      <c r="E162">
        <v>3</v>
      </c>
      <c r="F162">
        <f t="shared" si="26"/>
        <v>0</v>
      </c>
      <c r="G162">
        <f t="shared" si="27"/>
        <v>19</v>
      </c>
      <c r="H162">
        <f t="shared" si="28"/>
        <v>0</v>
      </c>
      <c r="I162">
        <f t="shared" si="29"/>
        <v>0</v>
      </c>
      <c r="J162">
        <f t="shared" si="30"/>
        <v>0</v>
      </c>
      <c r="K162">
        <f t="shared" si="31"/>
        <v>570</v>
      </c>
      <c r="L162">
        <f t="shared" si="32"/>
        <v>4.3600000000000003</v>
      </c>
      <c r="M162">
        <f t="shared" si="33"/>
        <v>574.36</v>
      </c>
      <c r="N162">
        <f t="shared" si="34"/>
        <v>0</v>
      </c>
      <c r="O162">
        <f t="shared" si="35"/>
        <v>574.36</v>
      </c>
      <c r="P162">
        <f t="shared" si="36"/>
        <v>0</v>
      </c>
      <c r="Q162">
        <f t="shared" si="37"/>
        <v>0</v>
      </c>
      <c r="R162">
        <f t="shared" si="38"/>
        <v>0</v>
      </c>
    </row>
    <row r="163" spans="1:18" x14ac:dyDescent="0.3">
      <c r="A163" s="1">
        <v>41682</v>
      </c>
      <c r="B163" s="1">
        <v>41694</v>
      </c>
      <c r="C163">
        <v>6.58</v>
      </c>
      <c r="D163">
        <v>0.17</v>
      </c>
      <c r="E163">
        <v>6</v>
      </c>
      <c r="F163">
        <f t="shared" si="26"/>
        <v>0</v>
      </c>
      <c r="G163">
        <f t="shared" si="27"/>
        <v>0</v>
      </c>
      <c r="H163">
        <f t="shared" si="28"/>
        <v>0</v>
      </c>
      <c r="I163">
        <f t="shared" si="29"/>
        <v>0</v>
      </c>
      <c r="J163">
        <f t="shared" si="30"/>
        <v>12</v>
      </c>
      <c r="K163">
        <f t="shared" si="31"/>
        <v>720</v>
      </c>
      <c r="L163">
        <f t="shared" si="32"/>
        <v>6.75</v>
      </c>
      <c r="M163">
        <f t="shared" si="33"/>
        <v>726.75</v>
      </c>
      <c r="N163">
        <f t="shared" si="34"/>
        <v>0</v>
      </c>
      <c r="O163">
        <f t="shared" si="35"/>
        <v>0</v>
      </c>
      <c r="P163">
        <f t="shared" si="36"/>
        <v>0</v>
      </c>
      <c r="Q163">
        <f t="shared" si="37"/>
        <v>0</v>
      </c>
      <c r="R163">
        <f t="shared" si="38"/>
        <v>726.75</v>
      </c>
    </row>
    <row r="164" spans="1:18" x14ac:dyDescent="0.3">
      <c r="A164" s="1">
        <v>41684</v>
      </c>
      <c r="B164" s="1">
        <v>41704</v>
      </c>
      <c r="C164">
        <v>5.78</v>
      </c>
      <c r="D164">
        <v>0.15</v>
      </c>
      <c r="E164">
        <v>2</v>
      </c>
      <c r="F164">
        <f t="shared" si="26"/>
        <v>20</v>
      </c>
      <c r="G164">
        <f t="shared" si="27"/>
        <v>0</v>
      </c>
      <c r="H164">
        <f t="shared" si="28"/>
        <v>0</v>
      </c>
      <c r="I164">
        <f t="shared" si="29"/>
        <v>0</v>
      </c>
      <c r="J164">
        <f t="shared" si="30"/>
        <v>0</v>
      </c>
      <c r="K164">
        <f t="shared" si="31"/>
        <v>400</v>
      </c>
      <c r="L164">
        <f t="shared" si="32"/>
        <v>5.9300000000000006</v>
      </c>
      <c r="M164">
        <f t="shared" si="33"/>
        <v>405.93</v>
      </c>
      <c r="N164">
        <f t="shared" si="34"/>
        <v>405.93</v>
      </c>
      <c r="O164">
        <f t="shared" si="35"/>
        <v>0</v>
      </c>
      <c r="P164">
        <f t="shared" si="36"/>
        <v>0</v>
      </c>
      <c r="Q164">
        <f t="shared" si="37"/>
        <v>0</v>
      </c>
      <c r="R164">
        <f t="shared" si="38"/>
        <v>0</v>
      </c>
    </row>
    <row r="165" spans="1:18" x14ac:dyDescent="0.3">
      <c r="A165" s="1">
        <v>41684</v>
      </c>
      <c r="B165" s="1">
        <v>41693</v>
      </c>
      <c r="C165">
        <v>10.199999999999999</v>
      </c>
      <c r="D165">
        <v>0.27</v>
      </c>
      <c r="E165">
        <v>5</v>
      </c>
      <c r="F165">
        <f t="shared" si="26"/>
        <v>0</v>
      </c>
      <c r="G165">
        <f t="shared" si="27"/>
        <v>0</v>
      </c>
      <c r="H165">
        <f t="shared" si="28"/>
        <v>0</v>
      </c>
      <c r="I165">
        <f t="shared" si="29"/>
        <v>9</v>
      </c>
      <c r="J165">
        <f t="shared" si="30"/>
        <v>0</v>
      </c>
      <c r="K165">
        <f t="shared" si="31"/>
        <v>450</v>
      </c>
      <c r="L165">
        <f t="shared" si="32"/>
        <v>10.469999999999999</v>
      </c>
      <c r="M165">
        <f t="shared" si="33"/>
        <v>460.47</v>
      </c>
      <c r="N165">
        <f t="shared" si="34"/>
        <v>0</v>
      </c>
      <c r="O165">
        <f t="shared" si="35"/>
        <v>0</v>
      </c>
      <c r="P165">
        <f t="shared" si="36"/>
        <v>0</v>
      </c>
      <c r="Q165">
        <f t="shared" si="37"/>
        <v>460.47</v>
      </c>
      <c r="R165">
        <f t="shared" si="38"/>
        <v>0</v>
      </c>
    </row>
    <row r="166" spans="1:18" x14ac:dyDescent="0.3">
      <c r="A166" s="1">
        <v>41684</v>
      </c>
      <c r="B166" s="1">
        <v>41692</v>
      </c>
      <c r="C166">
        <v>2.72</v>
      </c>
      <c r="D166">
        <v>7.0000000000000007E-2</v>
      </c>
      <c r="E166">
        <v>6</v>
      </c>
      <c r="F166">
        <f t="shared" si="26"/>
        <v>0</v>
      </c>
      <c r="G166">
        <f t="shared" si="27"/>
        <v>0</v>
      </c>
      <c r="H166">
        <f t="shared" si="28"/>
        <v>0</v>
      </c>
      <c r="I166">
        <f t="shared" si="29"/>
        <v>0</v>
      </c>
      <c r="J166">
        <f t="shared" si="30"/>
        <v>8</v>
      </c>
      <c r="K166">
        <f t="shared" si="31"/>
        <v>480</v>
      </c>
      <c r="L166">
        <f t="shared" si="32"/>
        <v>2.79</v>
      </c>
      <c r="M166">
        <f t="shared" si="33"/>
        <v>482.79</v>
      </c>
      <c r="N166">
        <f t="shared" si="34"/>
        <v>0</v>
      </c>
      <c r="O166">
        <f t="shared" si="35"/>
        <v>0</v>
      </c>
      <c r="P166">
        <f t="shared" si="36"/>
        <v>0</v>
      </c>
      <c r="Q166">
        <f t="shared" si="37"/>
        <v>0</v>
      </c>
      <c r="R166">
        <f t="shared" si="38"/>
        <v>482.79</v>
      </c>
    </row>
    <row r="167" spans="1:18" x14ac:dyDescent="0.3">
      <c r="A167" s="1">
        <v>41684</v>
      </c>
      <c r="B167" s="1">
        <v>41707</v>
      </c>
      <c r="C167">
        <v>11.44</v>
      </c>
      <c r="D167">
        <v>0.3</v>
      </c>
      <c r="E167">
        <v>6</v>
      </c>
      <c r="F167">
        <f t="shared" si="26"/>
        <v>0</v>
      </c>
      <c r="G167">
        <f t="shared" si="27"/>
        <v>0</v>
      </c>
      <c r="H167">
        <f t="shared" si="28"/>
        <v>0</v>
      </c>
      <c r="I167">
        <f t="shared" si="29"/>
        <v>0</v>
      </c>
      <c r="J167">
        <f t="shared" si="30"/>
        <v>23</v>
      </c>
      <c r="K167">
        <f t="shared" si="31"/>
        <v>1380</v>
      </c>
      <c r="L167">
        <f t="shared" si="32"/>
        <v>11.74</v>
      </c>
      <c r="M167">
        <f t="shared" si="33"/>
        <v>1391.74</v>
      </c>
      <c r="N167">
        <f t="shared" si="34"/>
        <v>0</v>
      </c>
      <c r="O167">
        <f t="shared" si="35"/>
        <v>0</v>
      </c>
      <c r="P167">
        <f t="shared" si="36"/>
        <v>0</v>
      </c>
      <c r="Q167">
        <f t="shared" si="37"/>
        <v>0</v>
      </c>
      <c r="R167">
        <f t="shared" si="38"/>
        <v>1391.74</v>
      </c>
    </row>
    <row r="168" spans="1:18" x14ac:dyDescent="0.3">
      <c r="A168" s="1">
        <v>41684</v>
      </c>
      <c r="B168" s="1">
        <v>41712</v>
      </c>
      <c r="C168">
        <v>13.07</v>
      </c>
      <c r="D168">
        <v>0.34</v>
      </c>
      <c r="E168">
        <v>6</v>
      </c>
      <c r="F168">
        <f t="shared" si="26"/>
        <v>0</v>
      </c>
      <c r="G168">
        <f t="shared" si="27"/>
        <v>0</v>
      </c>
      <c r="H168">
        <f t="shared" si="28"/>
        <v>0</v>
      </c>
      <c r="I168">
        <f t="shared" si="29"/>
        <v>0</v>
      </c>
      <c r="J168">
        <f t="shared" si="30"/>
        <v>28</v>
      </c>
      <c r="K168">
        <f t="shared" si="31"/>
        <v>1680</v>
      </c>
      <c r="L168">
        <f t="shared" si="32"/>
        <v>13.41</v>
      </c>
      <c r="M168">
        <f t="shared" si="33"/>
        <v>1693.41</v>
      </c>
      <c r="N168">
        <f t="shared" si="34"/>
        <v>0</v>
      </c>
      <c r="O168">
        <f t="shared" si="35"/>
        <v>0</v>
      </c>
      <c r="P168">
        <f t="shared" si="36"/>
        <v>0</v>
      </c>
      <c r="Q168">
        <f t="shared" si="37"/>
        <v>0</v>
      </c>
      <c r="R168">
        <f t="shared" si="38"/>
        <v>1693.41</v>
      </c>
    </row>
    <row r="169" spans="1:18" x14ac:dyDescent="0.3">
      <c r="A169" s="1">
        <v>41684</v>
      </c>
      <c r="B169" s="1">
        <v>41712</v>
      </c>
      <c r="C169">
        <v>7.35</v>
      </c>
      <c r="D169">
        <v>0.19</v>
      </c>
      <c r="E169">
        <v>4</v>
      </c>
      <c r="F169">
        <f t="shared" si="26"/>
        <v>0</v>
      </c>
      <c r="G169">
        <f t="shared" si="27"/>
        <v>0</v>
      </c>
      <c r="H169">
        <f t="shared" si="28"/>
        <v>28</v>
      </c>
      <c r="I169">
        <f t="shared" si="29"/>
        <v>0</v>
      </c>
      <c r="J169">
        <f t="shared" si="30"/>
        <v>0</v>
      </c>
      <c r="K169">
        <f t="shared" si="31"/>
        <v>1120</v>
      </c>
      <c r="L169">
        <f t="shared" si="32"/>
        <v>7.54</v>
      </c>
      <c r="M169">
        <f t="shared" si="33"/>
        <v>1127.54</v>
      </c>
      <c r="N169">
        <f t="shared" si="34"/>
        <v>0</v>
      </c>
      <c r="O169">
        <f t="shared" si="35"/>
        <v>0</v>
      </c>
      <c r="P169">
        <f t="shared" si="36"/>
        <v>1127.54</v>
      </c>
      <c r="Q169">
        <f t="shared" si="37"/>
        <v>0</v>
      </c>
      <c r="R169">
        <f t="shared" si="38"/>
        <v>0</v>
      </c>
    </row>
    <row r="170" spans="1:18" x14ac:dyDescent="0.3">
      <c r="A170" s="1">
        <v>41685</v>
      </c>
      <c r="B170" s="1">
        <v>41712</v>
      </c>
      <c r="C170">
        <v>6.88</v>
      </c>
      <c r="D170">
        <v>0.18</v>
      </c>
      <c r="E170">
        <v>3</v>
      </c>
      <c r="F170">
        <f t="shared" si="26"/>
        <v>0</v>
      </c>
      <c r="G170">
        <f t="shared" si="27"/>
        <v>27</v>
      </c>
      <c r="H170">
        <f t="shared" si="28"/>
        <v>0</v>
      </c>
      <c r="I170">
        <f t="shared" si="29"/>
        <v>0</v>
      </c>
      <c r="J170">
        <f t="shared" si="30"/>
        <v>0</v>
      </c>
      <c r="K170">
        <f t="shared" si="31"/>
        <v>810</v>
      </c>
      <c r="L170">
        <f t="shared" si="32"/>
        <v>7.06</v>
      </c>
      <c r="M170">
        <f t="shared" si="33"/>
        <v>817.06</v>
      </c>
      <c r="N170">
        <f t="shared" si="34"/>
        <v>0</v>
      </c>
      <c r="O170">
        <f t="shared" si="35"/>
        <v>817.06</v>
      </c>
      <c r="P170">
        <f t="shared" si="36"/>
        <v>0</v>
      </c>
      <c r="Q170">
        <f t="shared" si="37"/>
        <v>0</v>
      </c>
      <c r="R170">
        <f t="shared" si="38"/>
        <v>0</v>
      </c>
    </row>
    <row r="171" spans="1:18" x14ac:dyDescent="0.3">
      <c r="A171" s="1">
        <v>41685</v>
      </c>
      <c r="B171" s="1">
        <v>41708</v>
      </c>
      <c r="C171">
        <v>9.06</v>
      </c>
      <c r="D171">
        <v>0.24</v>
      </c>
      <c r="E171">
        <v>2</v>
      </c>
      <c r="F171">
        <f t="shared" si="26"/>
        <v>23</v>
      </c>
      <c r="G171">
        <f t="shared" si="27"/>
        <v>0</v>
      </c>
      <c r="H171">
        <f t="shared" si="28"/>
        <v>0</v>
      </c>
      <c r="I171">
        <f t="shared" si="29"/>
        <v>0</v>
      </c>
      <c r="J171">
        <f t="shared" si="30"/>
        <v>0</v>
      </c>
      <c r="K171">
        <f t="shared" si="31"/>
        <v>460</v>
      </c>
      <c r="L171">
        <f t="shared" si="32"/>
        <v>9.3000000000000007</v>
      </c>
      <c r="M171">
        <f t="shared" si="33"/>
        <v>469.3</v>
      </c>
      <c r="N171">
        <f t="shared" si="34"/>
        <v>469.3</v>
      </c>
      <c r="O171">
        <f t="shared" si="35"/>
        <v>0</v>
      </c>
      <c r="P171">
        <f t="shared" si="36"/>
        <v>0</v>
      </c>
      <c r="Q171">
        <f t="shared" si="37"/>
        <v>0</v>
      </c>
      <c r="R171">
        <f t="shared" si="38"/>
        <v>0</v>
      </c>
    </row>
    <row r="172" spans="1:18" x14ac:dyDescent="0.3">
      <c r="A172" s="1">
        <v>41689</v>
      </c>
      <c r="B172" s="1">
        <v>41708</v>
      </c>
      <c r="C172">
        <v>16.55</v>
      </c>
      <c r="D172">
        <v>0.44</v>
      </c>
      <c r="E172">
        <v>2</v>
      </c>
      <c r="F172">
        <f t="shared" si="26"/>
        <v>19</v>
      </c>
      <c r="G172">
        <f t="shared" si="27"/>
        <v>0</v>
      </c>
      <c r="H172">
        <f t="shared" si="28"/>
        <v>0</v>
      </c>
      <c r="I172">
        <f t="shared" si="29"/>
        <v>0</v>
      </c>
      <c r="J172">
        <f t="shared" si="30"/>
        <v>0</v>
      </c>
      <c r="K172">
        <f t="shared" si="31"/>
        <v>380</v>
      </c>
      <c r="L172">
        <f t="shared" si="32"/>
        <v>16.990000000000002</v>
      </c>
      <c r="M172">
        <f t="shared" si="33"/>
        <v>396.99</v>
      </c>
      <c r="N172">
        <f t="shared" si="34"/>
        <v>396.99</v>
      </c>
      <c r="O172">
        <f t="shared" si="35"/>
        <v>0</v>
      </c>
      <c r="P172">
        <f t="shared" si="36"/>
        <v>0</v>
      </c>
      <c r="Q172">
        <f t="shared" si="37"/>
        <v>0</v>
      </c>
      <c r="R172">
        <f t="shared" si="38"/>
        <v>0</v>
      </c>
    </row>
    <row r="173" spans="1:18" x14ac:dyDescent="0.3">
      <c r="A173" s="1">
        <v>41689</v>
      </c>
      <c r="B173" s="1">
        <v>41708</v>
      </c>
      <c r="C173">
        <v>8.83</v>
      </c>
      <c r="D173">
        <v>0.23</v>
      </c>
      <c r="E173">
        <v>3</v>
      </c>
      <c r="F173">
        <f t="shared" si="26"/>
        <v>0</v>
      </c>
      <c r="G173">
        <f t="shared" si="27"/>
        <v>19</v>
      </c>
      <c r="H173">
        <f t="shared" si="28"/>
        <v>0</v>
      </c>
      <c r="I173">
        <f t="shared" si="29"/>
        <v>0</v>
      </c>
      <c r="J173">
        <f t="shared" si="30"/>
        <v>0</v>
      </c>
      <c r="K173">
        <f t="shared" si="31"/>
        <v>570</v>
      </c>
      <c r="L173">
        <f t="shared" si="32"/>
        <v>9.06</v>
      </c>
      <c r="M173">
        <f t="shared" si="33"/>
        <v>579.05999999999995</v>
      </c>
      <c r="N173">
        <f t="shared" si="34"/>
        <v>0</v>
      </c>
      <c r="O173">
        <f t="shared" si="35"/>
        <v>579.05999999999995</v>
      </c>
      <c r="P173">
        <f t="shared" si="36"/>
        <v>0</v>
      </c>
      <c r="Q173">
        <f t="shared" si="37"/>
        <v>0</v>
      </c>
      <c r="R173">
        <f t="shared" si="38"/>
        <v>0</v>
      </c>
    </row>
    <row r="174" spans="1:18" x14ac:dyDescent="0.3">
      <c r="A174" s="1">
        <v>41689</v>
      </c>
      <c r="B174" s="1">
        <v>41696</v>
      </c>
      <c r="C174">
        <v>7.31</v>
      </c>
      <c r="D174">
        <v>0.19</v>
      </c>
      <c r="E174">
        <v>2</v>
      </c>
      <c r="F174">
        <f t="shared" si="26"/>
        <v>7</v>
      </c>
      <c r="G174">
        <f t="shared" si="27"/>
        <v>0</v>
      </c>
      <c r="H174">
        <f t="shared" si="28"/>
        <v>0</v>
      </c>
      <c r="I174">
        <f t="shared" si="29"/>
        <v>0</v>
      </c>
      <c r="J174">
        <f t="shared" si="30"/>
        <v>0</v>
      </c>
      <c r="K174">
        <f t="shared" si="31"/>
        <v>140</v>
      </c>
      <c r="L174">
        <f t="shared" si="32"/>
        <v>7.5</v>
      </c>
      <c r="M174">
        <f t="shared" si="33"/>
        <v>147.5</v>
      </c>
      <c r="N174">
        <f t="shared" si="34"/>
        <v>147.5</v>
      </c>
      <c r="O174">
        <f t="shared" si="35"/>
        <v>0</v>
      </c>
      <c r="P174">
        <f t="shared" si="36"/>
        <v>0</v>
      </c>
      <c r="Q174">
        <f t="shared" si="37"/>
        <v>0</v>
      </c>
      <c r="R174">
        <f t="shared" si="38"/>
        <v>0</v>
      </c>
    </row>
    <row r="175" spans="1:18" x14ac:dyDescent="0.3">
      <c r="A175" s="1">
        <v>41689</v>
      </c>
      <c r="B175" s="1">
        <v>41715</v>
      </c>
      <c r="C175">
        <v>14.31</v>
      </c>
      <c r="D175">
        <v>0.38</v>
      </c>
      <c r="E175">
        <v>5</v>
      </c>
      <c r="F175">
        <f t="shared" si="26"/>
        <v>0</v>
      </c>
      <c r="G175">
        <f t="shared" si="27"/>
        <v>0</v>
      </c>
      <c r="H175">
        <f t="shared" si="28"/>
        <v>0</v>
      </c>
      <c r="I175">
        <f t="shared" si="29"/>
        <v>26</v>
      </c>
      <c r="J175">
        <f t="shared" si="30"/>
        <v>0</v>
      </c>
      <c r="K175">
        <f t="shared" si="31"/>
        <v>1300</v>
      </c>
      <c r="L175">
        <f t="shared" si="32"/>
        <v>14.690000000000001</v>
      </c>
      <c r="M175">
        <f t="shared" si="33"/>
        <v>1314.69</v>
      </c>
      <c r="N175">
        <f t="shared" si="34"/>
        <v>0</v>
      </c>
      <c r="O175">
        <f t="shared" si="35"/>
        <v>0</v>
      </c>
      <c r="P175">
        <f t="shared" si="36"/>
        <v>0</v>
      </c>
      <c r="Q175">
        <f t="shared" si="37"/>
        <v>1314.69</v>
      </c>
      <c r="R175">
        <f t="shared" si="38"/>
        <v>0</v>
      </c>
    </row>
    <row r="176" spans="1:18" x14ac:dyDescent="0.3">
      <c r="A176" s="1">
        <v>41689</v>
      </c>
      <c r="B176" s="1">
        <v>41691</v>
      </c>
      <c r="C176">
        <v>11.42</v>
      </c>
      <c r="D176">
        <v>0.3</v>
      </c>
      <c r="E176">
        <v>5</v>
      </c>
      <c r="F176">
        <f t="shared" si="26"/>
        <v>0</v>
      </c>
      <c r="G176">
        <f t="shared" si="27"/>
        <v>0</v>
      </c>
      <c r="H176">
        <f t="shared" si="28"/>
        <v>0</v>
      </c>
      <c r="I176">
        <f t="shared" si="29"/>
        <v>2</v>
      </c>
      <c r="J176">
        <f t="shared" si="30"/>
        <v>0</v>
      </c>
      <c r="K176">
        <f t="shared" si="31"/>
        <v>100</v>
      </c>
      <c r="L176">
        <f t="shared" si="32"/>
        <v>11.72</v>
      </c>
      <c r="M176">
        <f t="shared" si="33"/>
        <v>111.72</v>
      </c>
      <c r="N176">
        <f t="shared" si="34"/>
        <v>0</v>
      </c>
      <c r="O176">
        <f t="shared" si="35"/>
        <v>0</v>
      </c>
      <c r="P176">
        <f t="shared" si="36"/>
        <v>0</v>
      </c>
      <c r="Q176">
        <f t="shared" si="37"/>
        <v>111.72</v>
      </c>
      <c r="R176">
        <f t="shared" si="38"/>
        <v>0</v>
      </c>
    </row>
    <row r="177" spans="1:18" x14ac:dyDescent="0.3">
      <c r="A177" s="1">
        <v>41689</v>
      </c>
      <c r="B177" s="1">
        <v>41700</v>
      </c>
      <c r="C177">
        <v>8.5399999999999991</v>
      </c>
      <c r="D177">
        <v>0.22</v>
      </c>
      <c r="E177">
        <v>3</v>
      </c>
      <c r="F177">
        <f t="shared" si="26"/>
        <v>0</v>
      </c>
      <c r="G177">
        <f t="shared" si="27"/>
        <v>11</v>
      </c>
      <c r="H177">
        <f t="shared" si="28"/>
        <v>0</v>
      </c>
      <c r="I177">
        <f t="shared" si="29"/>
        <v>0</v>
      </c>
      <c r="J177">
        <f t="shared" si="30"/>
        <v>0</v>
      </c>
      <c r="K177">
        <f t="shared" si="31"/>
        <v>330</v>
      </c>
      <c r="L177">
        <f t="shared" si="32"/>
        <v>8.76</v>
      </c>
      <c r="M177">
        <f t="shared" si="33"/>
        <v>338.76</v>
      </c>
      <c r="N177">
        <f t="shared" si="34"/>
        <v>0</v>
      </c>
      <c r="O177">
        <f t="shared" si="35"/>
        <v>338.76</v>
      </c>
      <c r="P177">
        <f t="shared" si="36"/>
        <v>0</v>
      </c>
      <c r="Q177">
        <f t="shared" si="37"/>
        <v>0</v>
      </c>
      <c r="R177">
        <f t="shared" si="38"/>
        <v>0</v>
      </c>
    </row>
    <row r="178" spans="1:18" x14ac:dyDescent="0.3">
      <c r="A178" s="1">
        <v>41689</v>
      </c>
      <c r="B178" s="1">
        <v>41717</v>
      </c>
      <c r="C178">
        <v>5.57</v>
      </c>
      <c r="D178">
        <v>0.15</v>
      </c>
      <c r="E178">
        <v>4</v>
      </c>
      <c r="F178">
        <f t="shared" si="26"/>
        <v>0</v>
      </c>
      <c r="G178">
        <f t="shared" si="27"/>
        <v>0</v>
      </c>
      <c r="H178">
        <f t="shared" si="28"/>
        <v>28</v>
      </c>
      <c r="I178">
        <f t="shared" si="29"/>
        <v>0</v>
      </c>
      <c r="J178">
        <f t="shared" si="30"/>
        <v>0</v>
      </c>
      <c r="K178">
        <f t="shared" si="31"/>
        <v>1120</v>
      </c>
      <c r="L178">
        <f t="shared" si="32"/>
        <v>5.7200000000000006</v>
      </c>
      <c r="M178">
        <f t="shared" si="33"/>
        <v>1125.72</v>
      </c>
      <c r="N178">
        <f t="shared" si="34"/>
        <v>0</v>
      </c>
      <c r="O178">
        <f t="shared" si="35"/>
        <v>0</v>
      </c>
      <c r="P178">
        <f t="shared" si="36"/>
        <v>1125.72</v>
      </c>
      <c r="Q178">
        <f t="shared" si="37"/>
        <v>0</v>
      </c>
      <c r="R178">
        <f t="shared" si="38"/>
        <v>0</v>
      </c>
    </row>
    <row r="179" spans="1:18" x14ac:dyDescent="0.3">
      <c r="A179" s="1">
        <v>41689</v>
      </c>
      <c r="B179" s="1">
        <v>41717</v>
      </c>
      <c r="C179">
        <v>7.55</v>
      </c>
      <c r="D179">
        <v>0.2</v>
      </c>
      <c r="E179">
        <v>4</v>
      </c>
      <c r="F179">
        <f t="shared" si="26"/>
        <v>0</v>
      </c>
      <c r="G179">
        <f t="shared" si="27"/>
        <v>0</v>
      </c>
      <c r="H179">
        <f t="shared" si="28"/>
        <v>28</v>
      </c>
      <c r="I179">
        <f t="shared" si="29"/>
        <v>0</v>
      </c>
      <c r="J179">
        <f t="shared" si="30"/>
        <v>0</v>
      </c>
      <c r="K179">
        <f t="shared" si="31"/>
        <v>1120</v>
      </c>
      <c r="L179">
        <f t="shared" si="32"/>
        <v>7.75</v>
      </c>
      <c r="M179">
        <f t="shared" si="33"/>
        <v>1127.75</v>
      </c>
      <c r="N179">
        <f t="shared" si="34"/>
        <v>0</v>
      </c>
      <c r="O179">
        <f t="shared" si="35"/>
        <v>0</v>
      </c>
      <c r="P179">
        <f t="shared" si="36"/>
        <v>1127.75</v>
      </c>
      <c r="Q179">
        <f t="shared" si="37"/>
        <v>0</v>
      </c>
      <c r="R179">
        <f t="shared" si="38"/>
        <v>0</v>
      </c>
    </row>
    <row r="180" spans="1:18" x14ac:dyDescent="0.3">
      <c r="A180" s="1">
        <v>41689</v>
      </c>
      <c r="B180" s="1">
        <v>41707</v>
      </c>
      <c r="C180">
        <v>10.79</v>
      </c>
      <c r="D180">
        <v>0.28000000000000003</v>
      </c>
      <c r="E180">
        <v>6</v>
      </c>
      <c r="F180">
        <f t="shared" si="26"/>
        <v>0</v>
      </c>
      <c r="G180">
        <f t="shared" si="27"/>
        <v>0</v>
      </c>
      <c r="H180">
        <f t="shared" si="28"/>
        <v>0</v>
      </c>
      <c r="I180">
        <f t="shared" si="29"/>
        <v>0</v>
      </c>
      <c r="J180">
        <f t="shared" si="30"/>
        <v>18</v>
      </c>
      <c r="K180">
        <f t="shared" si="31"/>
        <v>1080</v>
      </c>
      <c r="L180">
        <f t="shared" si="32"/>
        <v>11.069999999999999</v>
      </c>
      <c r="M180">
        <f t="shared" si="33"/>
        <v>1091.07</v>
      </c>
      <c r="N180">
        <f t="shared" si="34"/>
        <v>0</v>
      </c>
      <c r="O180">
        <f t="shared" si="35"/>
        <v>0</v>
      </c>
      <c r="P180">
        <f t="shared" si="36"/>
        <v>0</v>
      </c>
      <c r="Q180">
        <f t="shared" si="37"/>
        <v>0</v>
      </c>
      <c r="R180">
        <f t="shared" si="38"/>
        <v>1091.07</v>
      </c>
    </row>
    <row r="181" spans="1:18" x14ac:dyDescent="0.3">
      <c r="A181" s="1">
        <v>41689</v>
      </c>
      <c r="B181" s="1">
        <v>41706</v>
      </c>
      <c r="C181">
        <v>8.39</v>
      </c>
      <c r="D181">
        <v>0.22</v>
      </c>
      <c r="E181">
        <v>2</v>
      </c>
      <c r="F181">
        <f t="shared" si="26"/>
        <v>17</v>
      </c>
      <c r="G181">
        <f t="shared" si="27"/>
        <v>0</v>
      </c>
      <c r="H181">
        <f t="shared" si="28"/>
        <v>0</v>
      </c>
      <c r="I181">
        <f t="shared" si="29"/>
        <v>0</v>
      </c>
      <c r="J181">
        <f t="shared" si="30"/>
        <v>0</v>
      </c>
      <c r="K181">
        <f t="shared" si="31"/>
        <v>340</v>
      </c>
      <c r="L181">
        <f t="shared" si="32"/>
        <v>8.6100000000000012</v>
      </c>
      <c r="M181">
        <f t="shared" si="33"/>
        <v>348.61</v>
      </c>
      <c r="N181">
        <f t="shared" si="34"/>
        <v>348.61</v>
      </c>
      <c r="O181">
        <f t="shared" si="35"/>
        <v>0</v>
      </c>
      <c r="P181">
        <f t="shared" si="36"/>
        <v>0</v>
      </c>
      <c r="Q181">
        <f t="shared" si="37"/>
        <v>0</v>
      </c>
      <c r="R181">
        <f t="shared" si="38"/>
        <v>0</v>
      </c>
    </row>
    <row r="182" spans="1:18" x14ac:dyDescent="0.3">
      <c r="A182" s="1">
        <v>41689</v>
      </c>
      <c r="B182" s="1">
        <v>41711</v>
      </c>
      <c r="C182">
        <v>9.06</v>
      </c>
      <c r="D182">
        <v>0.24</v>
      </c>
      <c r="E182">
        <v>6</v>
      </c>
      <c r="F182">
        <f t="shared" si="26"/>
        <v>0</v>
      </c>
      <c r="G182">
        <f t="shared" si="27"/>
        <v>0</v>
      </c>
      <c r="H182">
        <f t="shared" si="28"/>
        <v>0</v>
      </c>
      <c r="I182">
        <f t="shared" si="29"/>
        <v>0</v>
      </c>
      <c r="J182">
        <f t="shared" si="30"/>
        <v>22</v>
      </c>
      <c r="K182">
        <f t="shared" si="31"/>
        <v>1320</v>
      </c>
      <c r="L182">
        <f t="shared" si="32"/>
        <v>9.3000000000000007</v>
      </c>
      <c r="M182">
        <f t="shared" si="33"/>
        <v>1329.3</v>
      </c>
      <c r="N182">
        <f t="shared" si="34"/>
        <v>0</v>
      </c>
      <c r="O182">
        <f t="shared" si="35"/>
        <v>0</v>
      </c>
      <c r="P182">
        <f t="shared" si="36"/>
        <v>0</v>
      </c>
      <c r="Q182">
        <f t="shared" si="37"/>
        <v>0</v>
      </c>
      <c r="R182">
        <f t="shared" si="38"/>
        <v>1329.3</v>
      </c>
    </row>
    <row r="183" spans="1:18" x14ac:dyDescent="0.3">
      <c r="A183" s="1">
        <v>41689</v>
      </c>
      <c r="B183" s="1">
        <v>41700</v>
      </c>
      <c r="C183">
        <v>16.940000000000001</v>
      </c>
      <c r="D183">
        <v>0.45</v>
      </c>
      <c r="E183">
        <v>3</v>
      </c>
      <c r="F183">
        <f t="shared" si="26"/>
        <v>0</v>
      </c>
      <c r="G183">
        <f t="shared" si="27"/>
        <v>11</v>
      </c>
      <c r="H183">
        <f t="shared" si="28"/>
        <v>0</v>
      </c>
      <c r="I183">
        <f t="shared" si="29"/>
        <v>0</v>
      </c>
      <c r="J183">
        <f t="shared" si="30"/>
        <v>0</v>
      </c>
      <c r="K183">
        <f t="shared" si="31"/>
        <v>330</v>
      </c>
      <c r="L183">
        <f t="shared" si="32"/>
        <v>17.39</v>
      </c>
      <c r="M183">
        <f t="shared" si="33"/>
        <v>347.39</v>
      </c>
      <c r="N183">
        <f t="shared" si="34"/>
        <v>0</v>
      </c>
      <c r="O183">
        <f t="shared" si="35"/>
        <v>347.39</v>
      </c>
      <c r="P183">
        <f t="shared" si="36"/>
        <v>0</v>
      </c>
      <c r="Q183">
        <f t="shared" si="37"/>
        <v>0</v>
      </c>
      <c r="R183">
        <f t="shared" si="38"/>
        <v>0</v>
      </c>
    </row>
    <row r="184" spans="1:18" x14ac:dyDescent="0.3">
      <c r="A184" s="1">
        <v>41689</v>
      </c>
      <c r="B184" s="1">
        <v>41708</v>
      </c>
      <c r="C184">
        <v>11.37</v>
      </c>
      <c r="D184">
        <v>0.3</v>
      </c>
      <c r="E184">
        <v>4</v>
      </c>
      <c r="F184">
        <f t="shared" si="26"/>
        <v>0</v>
      </c>
      <c r="G184">
        <f t="shared" si="27"/>
        <v>0</v>
      </c>
      <c r="H184">
        <f t="shared" si="28"/>
        <v>19</v>
      </c>
      <c r="I184">
        <f t="shared" si="29"/>
        <v>0</v>
      </c>
      <c r="J184">
        <f t="shared" si="30"/>
        <v>0</v>
      </c>
      <c r="K184">
        <f t="shared" si="31"/>
        <v>760</v>
      </c>
      <c r="L184">
        <f t="shared" si="32"/>
        <v>11.67</v>
      </c>
      <c r="M184">
        <f t="shared" si="33"/>
        <v>771.67</v>
      </c>
      <c r="N184">
        <f t="shared" si="34"/>
        <v>0</v>
      </c>
      <c r="O184">
        <f t="shared" si="35"/>
        <v>0</v>
      </c>
      <c r="P184">
        <f t="shared" si="36"/>
        <v>771.67</v>
      </c>
      <c r="Q184">
        <f t="shared" si="37"/>
        <v>0</v>
      </c>
      <c r="R184">
        <f t="shared" si="38"/>
        <v>0</v>
      </c>
    </row>
    <row r="185" spans="1:18" x14ac:dyDescent="0.3">
      <c r="A185" s="1">
        <v>41689</v>
      </c>
      <c r="B185" s="1">
        <v>41699</v>
      </c>
      <c r="C185">
        <v>4.25</v>
      </c>
      <c r="D185">
        <v>0.11</v>
      </c>
      <c r="E185">
        <v>5</v>
      </c>
      <c r="F185">
        <f t="shared" si="26"/>
        <v>0</v>
      </c>
      <c r="G185">
        <f t="shared" si="27"/>
        <v>0</v>
      </c>
      <c r="H185">
        <f t="shared" si="28"/>
        <v>0</v>
      </c>
      <c r="I185">
        <f t="shared" si="29"/>
        <v>10</v>
      </c>
      <c r="J185">
        <f t="shared" si="30"/>
        <v>0</v>
      </c>
      <c r="K185">
        <f t="shared" si="31"/>
        <v>500</v>
      </c>
      <c r="L185">
        <f t="shared" si="32"/>
        <v>4.3600000000000003</v>
      </c>
      <c r="M185">
        <f t="shared" si="33"/>
        <v>504.36</v>
      </c>
      <c r="N185">
        <f t="shared" si="34"/>
        <v>0</v>
      </c>
      <c r="O185">
        <f t="shared" si="35"/>
        <v>0</v>
      </c>
      <c r="P185">
        <f t="shared" si="36"/>
        <v>0</v>
      </c>
      <c r="Q185">
        <f t="shared" si="37"/>
        <v>504.36</v>
      </c>
      <c r="R185">
        <f t="shared" si="38"/>
        <v>0</v>
      </c>
    </row>
    <row r="186" spans="1:18" x14ac:dyDescent="0.3">
      <c r="A186" s="1">
        <v>41689</v>
      </c>
      <c r="B186" s="1">
        <v>41710</v>
      </c>
      <c r="C186">
        <v>11.42</v>
      </c>
      <c r="D186">
        <v>0.3</v>
      </c>
      <c r="E186">
        <v>4</v>
      </c>
      <c r="F186">
        <f t="shared" si="26"/>
        <v>0</v>
      </c>
      <c r="G186">
        <f t="shared" si="27"/>
        <v>0</v>
      </c>
      <c r="H186">
        <f t="shared" si="28"/>
        <v>21</v>
      </c>
      <c r="I186">
        <f t="shared" si="29"/>
        <v>0</v>
      </c>
      <c r="J186">
        <f t="shared" si="30"/>
        <v>0</v>
      </c>
      <c r="K186">
        <f t="shared" si="31"/>
        <v>840</v>
      </c>
      <c r="L186">
        <f t="shared" si="32"/>
        <v>11.72</v>
      </c>
      <c r="M186">
        <f t="shared" si="33"/>
        <v>851.72</v>
      </c>
      <c r="N186">
        <f t="shared" si="34"/>
        <v>0</v>
      </c>
      <c r="O186">
        <f t="shared" si="35"/>
        <v>0</v>
      </c>
      <c r="P186">
        <f t="shared" si="36"/>
        <v>851.72</v>
      </c>
      <c r="Q186">
        <f t="shared" si="37"/>
        <v>0</v>
      </c>
      <c r="R186">
        <f t="shared" si="38"/>
        <v>0</v>
      </c>
    </row>
    <row r="187" spans="1:18" x14ac:dyDescent="0.3">
      <c r="A187" s="1">
        <v>41689</v>
      </c>
      <c r="B187" s="1">
        <v>41711</v>
      </c>
      <c r="C187">
        <v>3.79</v>
      </c>
      <c r="D187">
        <v>0.1</v>
      </c>
      <c r="E187">
        <v>3</v>
      </c>
      <c r="F187">
        <f t="shared" si="26"/>
        <v>0</v>
      </c>
      <c r="G187">
        <f t="shared" si="27"/>
        <v>22</v>
      </c>
      <c r="H187">
        <f t="shared" si="28"/>
        <v>0</v>
      </c>
      <c r="I187">
        <f t="shared" si="29"/>
        <v>0</v>
      </c>
      <c r="J187">
        <f t="shared" si="30"/>
        <v>0</v>
      </c>
      <c r="K187">
        <f t="shared" si="31"/>
        <v>660</v>
      </c>
      <c r="L187">
        <f t="shared" si="32"/>
        <v>3.89</v>
      </c>
      <c r="M187">
        <f t="shared" si="33"/>
        <v>663.89</v>
      </c>
      <c r="N187">
        <f t="shared" si="34"/>
        <v>0</v>
      </c>
      <c r="O187">
        <f t="shared" si="35"/>
        <v>663.89</v>
      </c>
      <c r="P187">
        <f t="shared" si="36"/>
        <v>0</v>
      </c>
      <c r="Q187">
        <f t="shared" si="37"/>
        <v>0</v>
      </c>
      <c r="R187">
        <f t="shared" si="38"/>
        <v>0</v>
      </c>
    </row>
    <row r="188" spans="1:18" x14ac:dyDescent="0.3">
      <c r="A188" s="1">
        <v>41689</v>
      </c>
      <c r="B188" s="1">
        <v>41712</v>
      </c>
      <c r="C188">
        <v>10.59</v>
      </c>
      <c r="D188">
        <v>0.28000000000000003</v>
      </c>
      <c r="E188">
        <v>4</v>
      </c>
      <c r="F188">
        <f t="shared" si="26"/>
        <v>0</v>
      </c>
      <c r="G188">
        <f t="shared" si="27"/>
        <v>0</v>
      </c>
      <c r="H188">
        <f t="shared" si="28"/>
        <v>23</v>
      </c>
      <c r="I188">
        <f t="shared" si="29"/>
        <v>0</v>
      </c>
      <c r="J188">
        <f t="shared" si="30"/>
        <v>0</v>
      </c>
      <c r="K188">
        <f t="shared" si="31"/>
        <v>920</v>
      </c>
      <c r="L188">
        <f t="shared" si="32"/>
        <v>10.87</v>
      </c>
      <c r="M188">
        <f t="shared" si="33"/>
        <v>930.87</v>
      </c>
      <c r="N188">
        <f t="shared" si="34"/>
        <v>0</v>
      </c>
      <c r="O188">
        <f t="shared" si="35"/>
        <v>0</v>
      </c>
      <c r="P188">
        <f t="shared" si="36"/>
        <v>930.87</v>
      </c>
      <c r="Q188">
        <f t="shared" si="37"/>
        <v>0</v>
      </c>
      <c r="R188">
        <f t="shared" si="38"/>
        <v>0</v>
      </c>
    </row>
    <row r="189" spans="1:18" x14ac:dyDescent="0.3">
      <c r="A189" s="1">
        <v>41689</v>
      </c>
      <c r="B189" s="1">
        <v>41705</v>
      </c>
      <c r="C189">
        <v>8.9499999999999993</v>
      </c>
      <c r="D189">
        <v>0.24</v>
      </c>
      <c r="E189">
        <v>2</v>
      </c>
      <c r="F189">
        <f t="shared" si="26"/>
        <v>16</v>
      </c>
      <c r="G189">
        <f t="shared" si="27"/>
        <v>0</v>
      </c>
      <c r="H189">
        <f t="shared" si="28"/>
        <v>0</v>
      </c>
      <c r="I189">
        <f t="shared" si="29"/>
        <v>0</v>
      </c>
      <c r="J189">
        <f t="shared" si="30"/>
        <v>0</v>
      </c>
      <c r="K189">
        <f t="shared" si="31"/>
        <v>320</v>
      </c>
      <c r="L189">
        <f t="shared" si="32"/>
        <v>9.19</v>
      </c>
      <c r="M189">
        <f t="shared" si="33"/>
        <v>329.19</v>
      </c>
      <c r="N189">
        <f t="shared" si="34"/>
        <v>329.19</v>
      </c>
      <c r="O189">
        <f t="shared" si="35"/>
        <v>0</v>
      </c>
      <c r="P189">
        <f t="shared" si="36"/>
        <v>0</v>
      </c>
      <c r="Q189">
        <f t="shared" si="37"/>
        <v>0</v>
      </c>
      <c r="R189">
        <f t="shared" si="38"/>
        <v>0</v>
      </c>
    </row>
    <row r="190" spans="1:18" x14ac:dyDescent="0.3">
      <c r="A190" s="1">
        <v>41689</v>
      </c>
      <c r="B190" s="1">
        <v>41693</v>
      </c>
      <c r="C190">
        <v>4.66</v>
      </c>
      <c r="D190">
        <v>0.12</v>
      </c>
      <c r="E190">
        <v>5</v>
      </c>
      <c r="F190">
        <f t="shared" si="26"/>
        <v>0</v>
      </c>
      <c r="G190">
        <f t="shared" si="27"/>
        <v>0</v>
      </c>
      <c r="H190">
        <f t="shared" si="28"/>
        <v>0</v>
      </c>
      <c r="I190">
        <f t="shared" si="29"/>
        <v>4</v>
      </c>
      <c r="J190">
        <f t="shared" si="30"/>
        <v>0</v>
      </c>
      <c r="K190">
        <f t="shared" si="31"/>
        <v>200</v>
      </c>
      <c r="L190">
        <f t="shared" si="32"/>
        <v>4.78</v>
      </c>
      <c r="M190">
        <f t="shared" si="33"/>
        <v>204.78</v>
      </c>
      <c r="N190">
        <f t="shared" si="34"/>
        <v>0</v>
      </c>
      <c r="O190">
        <f t="shared" si="35"/>
        <v>0</v>
      </c>
      <c r="P190">
        <f t="shared" si="36"/>
        <v>0</v>
      </c>
      <c r="Q190">
        <f t="shared" si="37"/>
        <v>204.78</v>
      </c>
      <c r="R190">
        <f t="shared" si="38"/>
        <v>0</v>
      </c>
    </row>
    <row r="191" spans="1:18" x14ac:dyDescent="0.3">
      <c r="A191" s="1">
        <v>41689</v>
      </c>
      <c r="B191" s="1">
        <v>41707</v>
      </c>
      <c r="C191">
        <v>6.88</v>
      </c>
      <c r="D191">
        <v>0.18</v>
      </c>
      <c r="E191">
        <v>5</v>
      </c>
      <c r="F191">
        <f t="shared" si="26"/>
        <v>0</v>
      </c>
      <c r="G191">
        <f t="shared" si="27"/>
        <v>0</v>
      </c>
      <c r="H191">
        <f t="shared" si="28"/>
        <v>0</v>
      </c>
      <c r="I191">
        <f t="shared" si="29"/>
        <v>18</v>
      </c>
      <c r="J191">
        <f t="shared" si="30"/>
        <v>0</v>
      </c>
      <c r="K191">
        <f t="shared" si="31"/>
        <v>900</v>
      </c>
      <c r="L191">
        <f t="shared" si="32"/>
        <v>7.06</v>
      </c>
      <c r="M191">
        <f t="shared" si="33"/>
        <v>907.06</v>
      </c>
      <c r="N191">
        <f t="shared" si="34"/>
        <v>0</v>
      </c>
      <c r="O191">
        <f t="shared" si="35"/>
        <v>0</v>
      </c>
      <c r="P191">
        <f t="shared" si="36"/>
        <v>0</v>
      </c>
      <c r="Q191">
        <f t="shared" si="37"/>
        <v>907.06</v>
      </c>
      <c r="R191">
        <f t="shared" si="38"/>
        <v>0</v>
      </c>
    </row>
    <row r="192" spans="1:18" x14ac:dyDescent="0.3">
      <c r="A192" s="1">
        <v>41692</v>
      </c>
      <c r="B192" s="1">
        <v>41706</v>
      </c>
      <c r="C192">
        <v>8.7200000000000006</v>
      </c>
      <c r="D192">
        <v>0.23</v>
      </c>
      <c r="E192">
        <v>4</v>
      </c>
      <c r="F192">
        <f t="shared" si="26"/>
        <v>0</v>
      </c>
      <c r="G192">
        <f t="shared" si="27"/>
        <v>0</v>
      </c>
      <c r="H192">
        <f t="shared" si="28"/>
        <v>14</v>
      </c>
      <c r="I192">
        <f t="shared" si="29"/>
        <v>0</v>
      </c>
      <c r="J192">
        <f t="shared" si="30"/>
        <v>0</v>
      </c>
      <c r="K192">
        <f t="shared" si="31"/>
        <v>560</v>
      </c>
      <c r="L192">
        <f t="shared" si="32"/>
        <v>8.9500000000000011</v>
      </c>
      <c r="M192">
        <f t="shared" si="33"/>
        <v>568.95000000000005</v>
      </c>
      <c r="N192">
        <f t="shared" si="34"/>
        <v>0</v>
      </c>
      <c r="O192">
        <f t="shared" si="35"/>
        <v>0</v>
      </c>
      <c r="P192">
        <f t="shared" si="36"/>
        <v>568.95000000000005</v>
      </c>
      <c r="Q192">
        <f t="shared" si="37"/>
        <v>0</v>
      </c>
      <c r="R192">
        <f t="shared" si="38"/>
        <v>0</v>
      </c>
    </row>
    <row r="193" spans="1:18" x14ac:dyDescent="0.3">
      <c r="A193" s="1">
        <v>41696</v>
      </c>
      <c r="B193" s="1">
        <v>41698</v>
      </c>
      <c r="C193">
        <v>12.23</v>
      </c>
      <c r="D193">
        <v>0.32</v>
      </c>
      <c r="E193">
        <v>2</v>
      </c>
      <c r="F193">
        <f t="shared" si="26"/>
        <v>2</v>
      </c>
      <c r="G193">
        <f t="shared" si="27"/>
        <v>0</v>
      </c>
      <c r="H193">
        <f t="shared" si="28"/>
        <v>0</v>
      </c>
      <c r="I193">
        <f t="shared" si="29"/>
        <v>0</v>
      </c>
      <c r="J193">
        <f t="shared" si="30"/>
        <v>0</v>
      </c>
      <c r="K193">
        <f t="shared" si="31"/>
        <v>40</v>
      </c>
      <c r="L193">
        <f t="shared" si="32"/>
        <v>12.55</v>
      </c>
      <c r="M193">
        <f t="shared" si="33"/>
        <v>52.55</v>
      </c>
      <c r="N193">
        <f t="shared" si="34"/>
        <v>52.55</v>
      </c>
      <c r="O193">
        <f t="shared" si="35"/>
        <v>0</v>
      </c>
      <c r="P193">
        <f t="shared" si="36"/>
        <v>0</v>
      </c>
      <c r="Q193">
        <f t="shared" si="37"/>
        <v>0</v>
      </c>
      <c r="R193">
        <f t="shared" si="38"/>
        <v>0</v>
      </c>
    </row>
    <row r="194" spans="1:18" x14ac:dyDescent="0.3">
      <c r="A194" s="1">
        <v>41696</v>
      </c>
      <c r="B194" s="1">
        <v>41708</v>
      </c>
      <c r="C194">
        <v>10.199999999999999</v>
      </c>
      <c r="D194">
        <v>0.27</v>
      </c>
      <c r="E194">
        <v>4</v>
      </c>
      <c r="F194">
        <f t="shared" si="26"/>
        <v>0</v>
      </c>
      <c r="G194">
        <f t="shared" si="27"/>
        <v>0</v>
      </c>
      <c r="H194">
        <f t="shared" si="28"/>
        <v>12</v>
      </c>
      <c r="I194">
        <f t="shared" si="29"/>
        <v>0</v>
      </c>
      <c r="J194">
        <f t="shared" si="30"/>
        <v>0</v>
      </c>
      <c r="K194">
        <f t="shared" si="31"/>
        <v>480</v>
      </c>
      <c r="L194">
        <f t="shared" si="32"/>
        <v>10.469999999999999</v>
      </c>
      <c r="M194">
        <f t="shared" si="33"/>
        <v>490.47</v>
      </c>
      <c r="N194">
        <f t="shared" si="34"/>
        <v>0</v>
      </c>
      <c r="O194">
        <f t="shared" si="35"/>
        <v>0</v>
      </c>
      <c r="P194">
        <f t="shared" si="36"/>
        <v>490.47</v>
      </c>
      <c r="Q194">
        <f t="shared" si="37"/>
        <v>0</v>
      </c>
      <c r="R194">
        <f t="shared" si="38"/>
        <v>0</v>
      </c>
    </row>
    <row r="195" spans="1:18" x14ac:dyDescent="0.3">
      <c r="A195" s="1">
        <v>41696</v>
      </c>
      <c r="B195" s="1">
        <v>41703</v>
      </c>
      <c r="C195">
        <v>7.06</v>
      </c>
      <c r="D195">
        <v>0.19</v>
      </c>
      <c r="E195">
        <v>5</v>
      </c>
      <c r="F195">
        <f t="shared" ref="F195:F258" si="39">IF(EXACT(E195,2),B195-A195,0)</f>
        <v>0</v>
      </c>
      <c r="G195">
        <f t="shared" ref="G195:G258" si="40">IF(EXACT(E195,3),B195-A195,0)</f>
        <v>0</v>
      </c>
      <c r="H195">
        <f t="shared" ref="H195:H258" si="41">IF(EXACT(E195,4),B195-A195,0)</f>
        <v>0</v>
      </c>
      <c r="I195">
        <f t="shared" ref="I195:I258" si="42">IF(EXACT(E195,5),B195-A195,0)</f>
        <v>7</v>
      </c>
      <c r="J195">
        <f t="shared" ref="J195:J258" si="43">IF(EXACT(E195,6),B195-A195,0)</f>
        <v>0</v>
      </c>
      <c r="K195">
        <f t="shared" ref="K195:K258" si="44">10 * E195 * (F195+G195+H195+I195+J195)</f>
        <v>350</v>
      </c>
      <c r="L195">
        <f t="shared" ref="L195:L258" si="45">C195+D195</f>
        <v>7.25</v>
      </c>
      <c r="M195">
        <f t="shared" ref="M195:M258" si="46">K195+L195</f>
        <v>357.25</v>
      </c>
      <c r="N195">
        <f t="shared" ref="N195:N258" si="47">IF(EXACT(E195,2),M195,0)</f>
        <v>0</v>
      </c>
      <c r="O195">
        <f t="shared" ref="O195:O258" si="48">IF(EXACT(E195,3),M195,0)</f>
        <v>0</v>
      </c>
      <c r="P195">
        <f t="shared" ref="P195:P258" si="49">IF(EXACT(E195,4),M195,0)</f>
        <v>0</v>
      </c>
      <c r="Q195">
        <f t="shared" ref="Q195:Q258" si="50">IF(EXACT(E195,5),M195,0)</f>
        <v>357.25</v>
      </c>
      <c r="R195">
        <f t="shared" ref="R195:R258" si="51">IF(EXACT(E195,6),M195,0)</f>
        <v>0</v>
      </c>
    </row>
    <row r="196" spans="1:18" x14ac:dyDescent="0.3">
      <c r="A196" s="1">
        <v>41696</v>
      </c>
      <c r="B196" s="1">
        <v>41716</v>
      </c>
      <c r="C196">
        <v>5.64</v>
      </c>
      <c r="D196">
        <v>0.15</v>
      </c>
      <c r="E196">
        <v>6</v>
      </c>
      <c r="F196">
        <f t="shared" si="39"/>
        <v>0</v>
      </c>
      <c r="G196">
        <f t="shared" si="40"/>
        <v>0</v>
      </c>
      <c r="H196">
        <f t="shared" si="41"/>
        <v>0</v>
      </c>
      <c r="I196">
        <f t="shared" si="42"/>
        <v>0</v>
      </c>
      <c r="J196">
        <f t="shared" si="43"/>
        <v>20</v>
      </c>
      <c r="K196">
        <f t="shared" si="44"/>
        <v>1200</v>
      </c>
      <c r="L196">
        <f t="shared" si="45"/>
        <v>5.79</v>
      </c>
      <c r="M196">
        <f t="shared" si="46"/>
        <v>1205.79</v>
      </c>
      <c r="N196">
        <f t="shared" si="47"/>
        <v>0</v>
      </c>
      <c r="O196">
        <f t="shared" si="48"/>
        <v>0</v>
      </c>
      <c r="P196">
        <f t="shared" si="49"/>
        <v>0</v>
      </c>
      <c r="Q196">
        <f t="shared" si="50"/>
        <v>0</v>
      </c>
      <c r="R196">
        <f t="shared" si="51"/>
        <v>1205.79</v>
      </c>
    </row>
    <row r="197" spans="1:18" x14ac:dyDescent="0.3">
      <c r="A197" s="1">
        <v>41696</v>
      </c>
      <c r="B197" s="1">
        <v>41721</v>
      </c>
      <c r="C197">
        <v>9.06</v>
      </c>
      <c r="D197">
        <v>0.24</v>
      </c>
      <c r="E197">
        <v>4</v>
      </c>
      <c r="F197">
        <f t="shared" si="39"/>
        <v>0</v>
      </c>
      <c r="G197">
        <f t="shared" si="40"/>
        <v>0</v>
      </c>
      <c r="H197">
        <f t="shared" si="41"/>
        <v>25</v>
      </c>
      <c r="I197">
        <f t="shared" si="42"/>
        <v>0</v>
      </c>
      <c r="J197">
        <f t="shared" si="43"/>
        <v>0</v>
      </c>
      <c r="K197">
        <f t="shared" si="44"/>
        <v>1000</v>
      </c>
      <c r="L197">
        <f t="shared" si="45"/>
        <v>9.3000000000000007</v>
      </c>
      <c r="M197">
        <f t="shared" si="46"/>
        <v>1009.3</v>
      </c>
      <c r="N197">
        <f t="shared" si="47"/>
        <v>0</v>
      </c>
      <c r="O197">
        <f t="shared" si="48"/>
        <v>0</v>
      </c>
      <c r="P197">
        <f t="shared" si="49"/>
        <v>1009.3</v>
      </c>
      <c r="Q197">
        <f t="shared" si="50"/>
        <v>0</v>
      </c>
      <c r="R197">
        <f t="shared" si="51"/>
        <v>0</v>
      </c>
    </row>
    <row r="198" spans="1:18" x14ac:dyDescent="0.3">
      <c r="A198" s="1">
        <v>41696</v>
      </c>
      <c r="B198" s="1">
        <v>41717</v>
      </c>
      <c r="C198">
        <v>6.23</v>
      </c>
      <c r="D198">
        <v>0.16</v>
      </c>
      <c r="E198">
        <v>2</v>
      </c>
      <c r="F198">
        <f t="shared" si="39"/>
        <v>21</v>
      </c>
      <c r="G198">
        <f t="shared" si="40"/>
        <v>0</v>
      </c>
      <c r="H198">
        <f t="shared" si="41"/>
        <v>0</v>
      </c>
      <c r="I198">
        <f t="shared" si="42"/>
        <v>0</v>
      </c>
      <c r="J198">
        <f t="shared" si="43"/>
        <v>0</v>
      </c>
      <c r="K198">
        <f t="shared" si="44"/>
        <v>420</v>
      </c>
      <c r="L198">
        <f t="shared" si="45"/>
        <v>6.3900000000000006</v>
      </c>
      <c r="M198">
        <f t="shared" si="46"/>
        <v>426.39</v>
      </c>
      <c r="N198">
        <f t="shared" si="47"/>
        <v>426.39</v>
      </c>
      <c r="O198">
        <f t="shared" si="48"/>
        <v>0</v>
      </c>
      <c r="P198">
        <f t="shared" si="49"/>
        <v>0</v>
      </c>
      <c r="Q198">
        <f t="shared" si="50"/>
        <v>0</v>
      </c>
      <c r="R198">
        <f t="shared" si="51"/>
        <v>0</v>
      </c>
    </row>
    <row r="199" spans="1:18" x14ac:dyDescent="0.3">
      <c r="A199" s="1">
        <v>41698</v>
      </c>
      <c r="B199" s="1">
        <v>41721</v>
      </c>
      <c r="C199">
        <v>3.57</v>
      </c>
      <c r="D199">
        <v>0.09</v>
      </c>
      <c r="E199">
        <v>4</v>
      </c>
      <c r="F199">
        <f t="shared" si="39"/>
        <v>0</v>
      </c>
      <c r="G199">
        <f t="shared" si="40"/>
        <v>0</v>
      </c>
      <c r="H199">
        <f t="shared" si="41"/>
        <v>23</v>
      </c>
      <c r="I199">
        <f t="shared" si="42"/>
        <v>0</v>
      </c>
      <c r="J199">
        <f t="shared" si="43"/>
        <v>0</v>
      </c>
      <c r="K199">
        <f t="shared" si="44"/>
        <v>920</v>
      </c>
      <c r="L199">
        <f t="shared" si="45"/>
        <v>3.6599999999999997</v>
      </c>
      <c r="M199">
        <f t="shared" si="46"/>
        <v>923.66</v>
      </c>
      <c r="N199">
        <f t="shared" si="47"/>
        <v>0</v>
      </c>
      <c r="O199">
        <f t="shared" si="48"/>
        <v>0</v>
      </c>
      <c r="P199">
        <f t="shared" si="49"/>
        <v>923.66</v>
      </c>
      <c r="Q199">
        <f t="shared" si="50"/>
        <v>0</v>
      </c>
      <c r="R199">
        <f t="shared" si="51"/>
        <v>0</v>
      </c>
    </row>
    <row r="200" spans="1:18" x14ac:dyDescent="0.3">
      <c r="A200" s="1">
        <v>41701</v>
      </c>
      <c r="B200" s="1">
        <v>41714</v>
      </c>
      <c r="C200">
        <v>8.89</v>
      </c>
      <c r="D200">
        <v>0.23</v>
      </c>
      <c r="E200">
        <v>3</v>
      </c>
      <c r="F200">
        <f t="shared" si="39"/>
        <v>0</v>
      </c>
      <c r="G200">
        <f t="shared" si="40"/>
        <v>13</v>
      </c>
      <c r="H200">
        <f t="shared" si="41"/>
        <v>0</v>
      </c>
      <c r="I200">
        <f t="shared" si="42"/>
        <v>0</v>
      </c>
      <c r="J200">
        <f t="shared" si="43"/>
        <v>0</v>
      </c>
      <c r="K200">
        <f t="shared" si="44"/>
        <v>390</v>
      </c>
      <c r="L200">
        <f t="shared" si="45"/>
        <v>9.120000000000001</v>
      </c>
      <c r="M200">
        <f t="shared" si="46"/>
        <v>399.12</v>
      </c>
      <c r="N200">
        <f t="shared" si="47"/>
        <v>0</v>
      </c>
      <c r="O200">
        <f t="shared" si="48"/>
        <v>399.12</v>
      </c>
      <c r="P200">
        <f t="shared" si="49"/>
        <v>0</v>
      </c>
      <c r="Q200">
        <f t="shared" si="50"/>
        <v>0</v>
      </c>
      <c r="R200">
        <f t="shared" si="51"/>
        <v>0</v>
      </c>
    </row>
    <row r="201" spans="1:18" x14ac:dyDescent="0.3">
      <c r="A201" s="1">
        <v>41701</v>
      </c>
      <c r="B201" s="1">
        <v>41726</v>
      </c>
      <c r="C201">
        <v>6.34</v>
      </c>
      <c r="D201">
        <v>0.17</v>
      </c>
      <c r="E201">
        <v>5</v>
      </c>
      <c r="F201">
        <f t="shared" si="39"/>
        <v>0</v>
      </c>
      <c r="G201">
        <f t="shared" si="40"/>
        <v>0</v>
      </c>
      <c r="H201">
        <f t="shared" si="41"/>
        <v>0</v>
      </c>
      <c r="I201">
        <f t="shared" si="42"/>
        <v>25</v>
      </c>
      <c r="J201">
        <f t="shared" si="43"/>
        <v>0</v>
      </c>
      <c r="K201">
        <f t="shared" si="44"/>
        <v>1250</v>
      </c>
      <c r="L201">
        <f t="shared" si="45"/>
        <v>6.51</v>
      </c>
      <c r="M201">
        <f t="shared" si="46"/>
        <v>1256.51</v>
      </c>
      <c r="N201">
        <f t="shared" si="47"/>
        <v>0</v>
      </c>
      <c r="O201">
        <f t="shared" si="48"/>
        <v>0</v>
      </c>
      <c r="P201">
        <f t="shared" si="49"/>
        <v>0</v>
      </c>
      <c r="Q201">
        <f t="shared" si="50"/>
        <v>1256.51</v>
      </c>
      <c r="R201">
        <f t="shared" si="51"/>
        <v>0</v>
      </c>
    </row>
    <row r="202" spans="1:18" x14ac:dyDescent="0.3">
      <c r="A202" s="1">
        <v>41701</v>
      </c>
      <c r="B202" s="1">
        <v>41717</v>
      </c>
      <c r="C202">
        <v>11.69</v>
      </c>
      <c r="D202">
        <v>0.31</v>
      </c>
      <c r="E202">
        <v>6</v>
      </c>
      <c r="F202">
        <f t="shared" si="39"/>
        <v>0</v>
      </c>
      <c r="G202">
        <f t="shared" si="40"/>
        <v>0</v>
      </c>
      <c r="H202">
        <f t="shared" si="41"/>
        <v>0</v>
      </c>
      <c r="I202">
        <f t="shared" si="42"/>
        <v>0</v>
      </c>
      <c r="J202">
        <f t="shared" si="43"/>
        <v>16</v>
      </c>
      <c r="K202">
        <f t="shared" si="44"/>
        <v>960</v>
      </c>
      <c r="L202">
        <f t="shared" si="45"/>
        <v>12</v>
      </c>
      <c r="M202">
        <f t="shared" si="46"/>
        <v>972</v>
      </c>
      <c r="N202">
        <f t="shared" si="47"/>
        <v>0</v>
      </c>
      <c r="O202">
        <f t="shared" si="48"/>
        <v>0</v>
      </c>
      <c r="P202">
        <f t="shared" si="49"/>
        <v>0</v>
      </c>
      <c r="Q202">
        <f t="shared" si="50"/>
        <v>0</v>
      </c>
      <c r="R202">
        <f t="shared" si="51"/>
        <v>972</v>
      </c>
    </row>
    <row r="203" spans="1:18" x14ac:dyDescent="0.3">
      <c r="A203" s="1">
        <v>41701</v>
      </c>
      <c r="B203" s="1">
        <v>41712</v>
      </c>
      <c r="C203">
        <v>3.79</v>
      </c>
      <c r="D203">
        <v>0.1</v>
      </c>
      <c r="E203">
        <v>4</v>
      </c>
      <c r="F203">
        <f t="shared" si="39"/>
        <v>0</v>
      </c>
      <c r="G203">
        <f t="shared" si="40"/>
        <v>0</v>
      </c>
      <c r="H203">
        <f t="shared" si="41"/>
        <v>11</v>
      </c>
      <c r="I203">
        <f t="shared" si="42"/>
        <v>0</v>
      </c>
      <c r="J203">
        <f t="shared" si="43"/>
        <v>0</v>
      </c>
      <c r="K203">
        <f t="shared" si="44"/>
        <v>440</v>
      </c>
      <c r="L203">
        <f t="shared" si="45"/>
        <v>3.89</v>
      </c>
      <c r="M203">
        <f t="shared" si="46"/>
        <v>443.89</v>
      </c>
      <c r="N203">
        <f t="shared" si="47"/>
        <v>0</v>
      </c>
      <c r="O203">
        <f t="shared" si="48"/>
        <v>0</v>
      </c>
      <c r="P203">
        <f t="shared" si="49"/>
        <v>443.89</v>
      </c>
      <c r="Q203">
        <f t="shared" si="50"/>
        <v>0</v>
      </c>
      <c r="R203">
        <f t="shared" si="51"/>
        <v>0</v>
      </c>
    </row>
    <row r="204" spans="1:18" x14ac:dyDescent="0.3">
      <c r="A204" s="1">
        <v>41701</v>
      </c>
      <c r="B204" s="1">
        <v>41726</v>
      </c>
      <c r="C204">
        <v>9.1300000000000008</v>
      </c>
      <c r="D204">
        <v>0.24</v>
      </c>
      <c r="E204">
        <v>2</v>
      </c>
      <c r="F204">
        <f t="shared" si="39"/>
        <v>25</v>
      </c>
      <c r="G204">
        <f t="shared" si="40"/>
        <v>0</v>
      </c>
      <c r="H204">
        <f t="shared" si="41"/>
        <v>0</v>
      </c>
      <c r="I204">
        <f t="shared" si="42"/>
        <v>0</v>
      </c>
      <c r="J204">
        <f t="shared" si="43"/>
        <v>0</v>
      </c>
      <c r="K204">
        <f t="shared" si="44"/>
        <v>500</v>
      </c>
      <c r="L204">
        <f t="shared" si="45"/>
        <v>9.370000000000001</v>
      </c>
      <c r="M204">
        <f t="shared" si="46"/>
        <v>509.37</v>
      </c>
      <c r="N204">
        <f t="shared" si="47"/>
        <v>509.37</v>
      </c>
      <c r="O204">
        <f t="shared" si="48"/>
        <v>0</v>
      </c>
      <c r="P204">
        <f t="shared" si="49"/>
        <v>0</v>
      </c>
      <c r="Q204">
        <f t="shared" si="50"/>
        <v>0</v>
      </c>
      <c r="R204">
        <f t="shared" si="51"/>
        <v>0</v>
      </c>
    </row>
    <row r="205" spans="1:18" x14ac:dyDescent="0.3">
      <c r="A205" s="1">
        <v>41701</v>
      </c>
      <c r="B205" s="1">
        <v>41722</v>
      </c>
      <c r="C205">
        <v>5.78</v>
      </c>
      <c r="D205">
        <v>0.15</v>
      </c>
      <c r="E205">
        <v>6</v>
      </c>
      <c r="F205">
        <f t="shared" si="39"/>
        <v>0</v>
      </c>
      <c r="G205">
        <f t="shared" si="40"/>
        <v>0</v>
      </c>
      <c r="H205">
        <f t="shared" si="41"/>
        <v>0</v>
      </c>
      <c r="I205">
        <f t="shared" si="42"/>
        <v>0</v>
      </c>
      <c r="J205">
        <f t="shared" si="43"/>
        <v>21</v>
      </c>
      <c r="K205">
        <f t="shared" si="44"/>
        <v>1260</v>
      </c>
      <c r="L205">
        <f t="shared" si="45"/>
        <v>5.9300000000000006</v>
      </c>
      <c r="M205">
        <f t="shared" si="46"/>
        <v>1265.93</v>
      </c>
      <c r="N205">
        <f t="shared" si="47"/>
        <v>0</v>
      </c>
      <c r="O205">
        <f t="shared" si="48"/>
        <v>0</v>
      </c>
      <c r="P205">
        <f t="shared" si="49"/>
        <v>0</v>
      </c>
      <c r="Q205">
        <f t="shared" si="50"/>
        <v>0</v>
      </c>
      <c r="R205">
        <f t="shared" si="51"/>
        <v>1265.93</v>
      </c>
    </row>
    <row r="206" spans="1:18" x14ac:dyDescent="0.3">
      <c r="A206" s="1">
        <v>41701</v>
      </c>
      <c r="B206" s="1">
        <v>41719</v>
      </c>
      <c r="C206">
        <v>7.06</v>
      </c>
      <c r="D206">
        <v>0.19</v>
      </c>
      <c r="E206">
        <v>6</v>
      </c>
      <c r="F206">
        <f t="shared" si="39"/>
        <v>0</v>
      </c>
      <c r="G206">
        <f t="shared" si="40"/>
        <v>0</v>
      </c>
      <c r="H206">
        <f t="shared" si="41"/>
        <v>0</v>
      </c>
      <c r="I206">
        <f t="shared" si="42"/>
        <v>0</v>
      </c>
      <c r="J206">
        <f t="shared" si="43"/>
        <v>18</v>
      </c>
      <c r="K206">
        <f t="shared" si="44"/>
        <v>1080</v>
      </c>
      <c r="L206">
        <f t="shared" si="45"/>
        <v>7.25</v>
      </c>
      <c r="M206">
        <f t="shared" si="46"/>
        <v>1087.25</v>
      </c>
      <c r="N206">
        <f t="shared" si="47"/>
        <v>0</v>
      </c>
      <c r="O206">
        <f t="shared" si="48"/>
        <v>0</v>
      </c>
      <c r="P206">
        <f t="shared" si="49"/>
        <v>0</v>
      </c>
      <c r="Q206">
        <f t="shared" si="50"/>
        <v>0</v>
      </c>
      <c r="R206">
        <f t="shared" si="51"/>
        <v>1087.25</v>
      </c>
    </row>
    <row r="207" spans="1:18" x14ac:dyDescent="0.3">
      <c r="A207" s="1">
        <v>41701</v>
      </c>
      <c r="B207" s="1">
        <v>41712</v>
      </c>
      <c r="C207">
        <v>7.31</v>
      </c>
      <c r="D207">
        <v>0.19</v>
      </c>
      <c r="E207">
        <v>4</v>
      </c>
      <c r="F207">
        <f t="shared" si="39"/>
        <v>0</v>
      </c>
      <c r="G207">
        <f t="shared" si="40"/>
        <v>0</v>
      </c>
      <c r="H207">
        <f t="shared" si="41"/>
        <v>11</v>
      </c>
      <c r="I207">
        <f t="shared" si="42"/>
        <v>0</v>
      </c>
      <c r="J207">
        <f t="shared" si="43"/>
        <v>0</v>
      </c>
      <c r="K207">
        <f t="shared" si="44"/>
        <v>440</v>
      </c>
      <c r="L207">
        <f t="shared" si="45"/>
        <v>7.5</v>
      </c>
      <c r="M207">
        <f t="shared" si="46"/>
        <v>447.5</v>
      </c>
      <c r="N207">
        <f t="shared" si="47"/>
        <v>0</v>
      </c>
      <c r="O207">
        <f t="shared" si="48"/>
        <v>0</v>
      </c>
      <c r="P207">
        <f t="shared" si="49"/>
        <v>447.5</v>
      </c>
      <c r="Q207">
        <f t="shared" si="50"/>
        <v>0</v>
      </c>
      <c r="R207">
        <f t="shared" si="51"/>
        <v>0</v>
      </c>
    </row>
    <row r="208" spans="1:18" x14ac:dyDescent="0.3">
      <c r="A208" s="1">
        <v>41701</v>
      </c>
      <c r="B208" s="1">
        <v>41711</v>
      </c>
      <c r="C208">
        <v>8.9499999999999993</v>
      </c>
      <c r="D208">
        <v>0.24</v>
      </c>
      <c r="E208">
        <v>4</v>
      </c>
      <c r="F208">
        <f t="shared" si="39"/>
        <v>0</v>
      </c>
      <c r="G208">
        <f t="shared" si="40"/>
        <v>0</v>
      </c>
      <c r="H208">
        <f t="shared" si="41"/>
        <v>10</v>
      </c>
      <c r="I208">
        <f t="shared" si="42"/>
        <v>0</v>
      </c>
      <c r="J208">
        <f t="shared" si="43"/>
        <v>0</v>
      </c>
      <c r="K208">
        <f t="shared" si="44"/>
        <v>400</v>
      </c>
      <c r="L208">
        <f t="shared" si="45"/>
        <v>9.19</v>
      </c>
      <c r="M208">
        <f t="shared" si="46"/>
        <v>409.19</v>
      </c>
      <c r="N208">
        <f t="shared" si="47"/>
        <v>0</v>
      </c>
      <c r="O208">
        <f t="shared" si="48"/>
        <v>0</v>
      </c>
      <c r="P208">
        <f t="shared" si="49"/>
        <v>409.19</v>
      </c>
      <c r="Q208">
        <f t="shared" si="50"/>
        <v>0</v>
      </c>
      <c r="R208">
        <f t="shared" si="51"/>
        <v>0</v>
      </c>
    </row>
    <row r="209" spans="1:18" x14ac:dyDescent="0.3">
      <c r="A209" s="1">
        <v>41701</v>
      </c>
      <c r="B209" s="1">
        <v>41719</v>
      </c>
      <c r="C209">
        <v>2.0099999999999998</v>
      </c>
      <c r="D209">
        <v>0.05</v>
      </c>
      <c r="E209">
        <v>5</v>
      </c>
      <c r="F209">
        <f t="shared" si="39"/>
        <v>0</v>
      </c>
      <c r="G209">
        <f t="shared" si="40"/>
        <v>0</v>
      </c>
      <c r="H209">
        <f t="shared" si="41"/>
        <v>0</v>
      </c>
      <c r="I209">
        <f t="shared" si="42"/>
        <v>18</v>
      </c>
      <c r="J209">
        <f t="shared" si="43"/>
        <v>0</v>
      </c>
      <c r="K209">
        <f t="shared" si="44"/>
        <v>900</v>
      </c>
      <c r="L209">
        <f t="shared" si="45"/>
        <v>2.0599999999999996</v>
      </c>
      <c r="M209">
        <f t="shared" si="46"/>
        <v>902.06</v>
      </c>
      <c r="N209">
        <f t="shared" si="47"/>
        <v>0</v>
      </c>
      <c r="O209">
        <f t="shared" si="48"/>
        <v>0</v>
      </c>
      <c r="P209">
        <f t="shared" si="49"/>
        <v>0</v>
      </c>
      <c r="Q209">
        <f t="shared" si="50"/>
        <v>902.06</v>
      </c>
      <c r="R209">
        <f t="shared" si="51"/>
        <v>0</v>
      </c>
    </row>
    <row r="210" spans="1:18" x14ac:dyDescent="0.3">
      <c r="A210" s="1">
        <v>41701</v>
      </c>
      <c r="B210" s="1">
        <v>41705</v>
      </c>
      <c r="C210">
        <v>19.54</v>
      </c>
      <c r="D210">
        <v>0.51</v>
      </c>
      <c r="E210">
        <v>3</v>
      </c>
      <c r="F210">
        <f t="shared" si="39"/>
        <v>0</v>
      </c>
      <c r="G210">
        <f t="shared" si="40"/>
        <v>4</v>
      </c>
      <c r="H210">
        <f t="shared" si="41"/>
        <v>0</v>
      </c>
      <c r="I210">
        <f t="shared" si="42"/>
        <v>0</v>
      </c>
      <c r="J210">
        <f t="shared" si="43"/>
        <v>0</v>
      </c>
      <c r="K210">
        <f t="shared" si="44"/>
        <v>120</v>
      </c>
      <c r="L210">
        <f t="shared" si="45"/>
        <v>20.05</v>
      </c>
      <c r="M210">
        <f t="shared" si="46"/>
        <v>140.05000000000001</v>
      </c>
      <c r="N210">
        <f t="shared" si="47"/>
        <v>0</v>
      </c>
      <c r="O210">
        <f t="shared" si="48"/>
        <v>140.05000000000001</v>
      </c>
      <c r="P210">
        <f t="shared" si="49"/>
        <v>0</v>
      </c>
      <c r="Q210">
        <f t="shared" si="50"/>
        <v>0</v>
      </c>
      <c r="R210">
        <f t="shared" si="51"/>
        <v>0</v>
      </c>
    </row>
    <row r="211" spans="1:18" x14ac:dyDescent="0.3">
      <c r="A211" s="1">
        <v>41701</v>
      </c>
      <c r="B211" s="1">
        <v>41718</v>
      </c>
      <c r="C211">
        <v>13.02</v>
      </c>
      <c r="D211">
        <v>0.34</v>
      </c>
      <c r="E211">
        <v>5</v>
      </c>
      <c r="F211">
        <f t="shared" si="39"/>
        <v>0</v>
      </c>
      <c r="G211">
        <f t="shared" si="40"/>
        <v>0</v>
      </c>
      <c r="H211">
        <f t="shared" si="41"/>
        <v>0</v>
      </c>
      <c r="I211">
        <f t="shared" si="42"/>
        <v>17</v>
      </c>
      <c r="J211">
        <f t="shared" si="43"/>
        <v>0</v>
      </c>
      <c r="K211">
        <f t="shared" si="44"/>
        <v>850</v>
      </c>
      <c r="L211">
        <f t="shared" si="45"/>
        <v>13.36</v>
      </c>
      <c r="M211">
        <f t="shared" si="46"/>
        <v>863.36</v>
      </c>
      <c r="N211">
        <f t="shared" si="47"/>
        <v>0</v>
      </c>
      <c r="O211">
        <f t="shared" si="48"/>
        <v>0</v>
      </c>
      <c r="P211">
        <f t="shared" si="49"/>
        <v>0</v>
      </c>
      <c r="Q211">
        <f t="shared" si="50"/>
        <v>863.36</v>
      </c>
      <c r="R211">
        <f t="shared" si="51"/>
        <v>0</v>
      </c>
    </row>
    <row r="212" spans="1:18" x14ac:dyDescent="0.3">
      <c r="A212" s="1">
        <v>41701</v>
      </c>
      <c r="B212" s="1">
        <v>41720</v>
      </c>
      <c r="C212">
        <v>11.69</v>
      </c>
      <c r="D212">
        <v>0.31</v>
      </c>
      <c r="E212">
        <v>6</v>
      </c>
      <c r="F212">
        <f t="shared" si="39"/>
        <v>0</v>
      </c>
      <c r="G212">
        <f t="shared" si="40"/>
        <v>0</v>
      </c>
      <c r="H212">
        <f t="shared" si="41"/>
        <v>0</v>
      </c>
      <c r="I212">
        <f t="shared" si="42"/>
        <v>0</v>
      </c>
      <c r="J212">
        <f t="shared" si="43"/>
        <v>19</v>
      </c>
      <c r="K212">
        <f t="shared" si="44"/>
        <v>1140</v>
      </c>
      <c r="L212">
        <f t="shared" si="45"/>
        <v>12</v>
      </c>
      <c r="M212">
        <f t="shared" si="46"/>
        <v>1152</v>
      </c>
      <c r="N212">
        <f t="shared" si="47"/>
        <v>0</v>
      </c>
      <c r="O212">
        <f t="shared" si="48"/>
        <v>0</v>
      </c>
      <c r="P212">
        <f t="shared" si="49"/>
        <v>0</v>
      </c>
      <c r="Q212">
        <f t="shared" si="50"/>
        <v>0</v>
      </c>
      <c r="R212">
        <f t="shared" si="51"/>
        <v>1152</v>
      </c>
    </row>
    <row r="213" spans="1:18" x14ac:dyDescent="0.3">
      <c r="A213" s="1">
        <v>41701</v>
      </c>
      <c r="B213" s="1">
        <v>41729</v>
      </c>
      <c r="C213">
        <v>13.02</v>
      </c>
      <c r="D213">
        <v>0.34</v>
      </c>
      <c r="E213">
        <v>2</v>
      </c>
      <c r="F213">
        <f t="shared" si="39"/>
        <v>28</v>
      </c>
      <c r="G213">
        <f t="shared" si="40"/>
        <v>0</v>
      </c>
      <c r="H213">
        <f t="shared" si="41"/>
        <v>0</v>
      </c>
      <c r="I213">
        <f t="shared" si="42"/>
        <v>0</v>
      </c>
      <c r="J213">
        <f t="shared" si="43"/>
        <v>0</v>
      </c>
      <c r="K213">
        <f t="shared" si="44"/>
        <v>560</v>
      </c>
      <c r="L213">
        <f t="shared" si="45"/>
        <v>13.36</v>
      </c>
      <c r="M213">
        <f t="shared" si="46"/>
        <v>573.36</v>
      </c>
      <c r="N213">
        <f t="shared" si="47"/>
        <v>573.36</v>
      </c>
      <c r="O213">
        <f t="shared" si="48"/>
        <v>0</v>
      </c>
      <c r="P213">
        <f t="shared" si="49"/>
        <v>0</v>
      </c>
      <c r="Q213">
        <f t="shared" si="50"/>
        <v>0</v>
      </c>
      <c r="R213">
        <f t="shared" si="51"/>
        <v>0</v>
      </c>
    </row>
    <row r="214" spans="1:18" x14ac:dyDescent="0.3">
      <c r="A214" s="1">
        <v>41701</v>
      </c>
      <c r="B214" s="1">
        <v>41713</v>
      </c>
      <c r="C214">
        <v>3.57</v>
      </c>
      <c r="D214">
        <v>0.09</v>
      </c>
      <c r="E214">
        <v>3</v>
      </c>
      <c r="F214">
        <f t="shared" si="39"/>
        <v>0</v>
      </c>
      <c r="G214">
        <f t="shared" si="40"/>
        <v>12</v>
      </c>
      <c r="H214">
        <f t="shared" si="41"/>
        <v>0</v>
      </c>
      <c r="I214">
        <f t="shared" si="42"/>
        <v>0</v>
      </c>
      <c r="J214">
        <f t="shared" si="43"/>
        <v>0</v>
      </c>
      <c r="K214">
        <f t="shared" si="44"/>
        <v>360</v>
      </c>
      <c r="L214">
        <f t="shared" si="45"/>
        <v>3.6599999999999997</v>
      </c>
      <c r="M214">
        <f t="shared" si="46"/>
        <v>363.66</v>
      </c>
      <c r="N214">
        <f t="shared" si="47"/>
        <v>0</v>
      </c>
      <c r="O214">
        <f t="shared" si="48"/>
        <v>363.66</v>
      </c>
      <c r="P214">
        <f t="shared" si="49"/>
        <v>0</v>
      </c>
      <c r="Q214">
        <f t="shared" si="50"/>
        <v>0</v>
      </c>
      <c r="R214">
        <f t="shared" si="51"/>
        <v>0</v>
      </c>
    </row>
    <row r="215" spans="1:18" x14ac:dyDescent="0.3">
      <c r="A215" s="1">
        <v>41701</v>
      </c>
      <c r="B215" s="1">
        <v>41708</v>
      </c>
      <c r="C215">
        <v>7.06</v>
      </c>
      <c r="D215">
        <v>0.19</v>
      </c>
      <c r="E215">
        <v>3</v>
      </c>
      <c r="F215">
        <f t="shared" si="39"/>
        <v>0</v>
      </c>
      <c r="G215">
        <f t="shared" si="40"/>
        <v>7</v>
      </c>
      <c r="H215">
        <f t="shared" si="41"/>
        <v>0</v>
      </c>
      <c r="I215">
        <f t="shared" si="42"/>
        <v>0</v>
      </c>
      <c r="J215">
        <f t="shared" si="43"/>
        <v>0</v>
      </c>
      <c r="K215">
        <f t="shared" si="44"/>
        <v>210</v>
      </c>
      <c r="L215">
        <f t="shared" si="45"/>
        <v>7.25</v>
      </c>
      <c r="M215">
        <f t="shared" si="46"/>
        <v>217.25</v>
      </c>
      <c r="N215">
        <f t="shared" si="47"/>
        <v>0</v>
      </c>
      <c r="O215">
        <f t="shared" si="48"/>
        <v>217.25</v>
      </c>
      <c r="P215">
        <f t="shared" si="49"/>
        <v>0</v>
      </c>
      <c r="Q215">
        <f t="shared" si="50"/>
        <v>0</v>
      </c>
      <c r="R215">
        <f t="shared" si="51"/>
        <v>0</v>
      </c>
    </row>
    <row r="216" spans="1:18" x14ac:dyDescent="0.3">
      <c r="A216" s="1">
        <v>41704</v>
      </c>
      <c r="B216" s="1">
        <v>41717</v>
      </c>
      <c r="C216">
        <v>6.34</v>
      </c>
      <c r="D216">
        <v>0.17</v>
      </c>
      <c r="E216">
        <v>3</v>
      </c>
      <c r="F216">
        <f t="shared" si="39"/>
        <v>0</v>
      </c>
      <c r="G216">
        <f t="shared" si="40"/>
        <v>13</v>
      </c>
      <c r="H216">
        <f t="shared" si="41"/>
        <v>0</v>
      </c>
      <c r="I216">
        <f t="shared" si="42"/>
        <v>0</v>
      </c>
      <c r="J216">
        <f t="shared" si="43"/>
        <v>0</v>
      </c>
      <c r="K216">
        <f t="shared" si="44"/>
        <v>390</v>
      </c>
      <c r="L216">
        <f t="shared" si="45"/>
        <v>6.51</v>
      </c>
      <c r="M216">
        <f t="shared" si="46"/>
        <v>396.51</v>
      </c>
      <c r="N216">
        <f t="shared" si="47"/>
        <v>0</v>
      </c>
      <c r="O216">
        <f t="shared" si="48"/>
        <v>396.51</v>
      </c>
      <c r="P216">
        <f t="shared" si="49"/>
        <v>0</v>
      </c>
      <c r="Q216">
        <f t="shared" si="50"/>
        <v>0</v>
      </c>
      <c r="R216">
        <f t="shared" si="51"/>
        <v>0</v>
      </c>
    </row>
    <row r="217" spans="1:18" x14ac:dyDescent="0.3">
      <c r="A217" s="1">
        <v>41704</v>
      </c>
      <c r="B217" s="1">
        <v>41718</v>
      </c>
      <c r="C217">
        <v>2.72</v>
      </c>
      <c r="D217">
        <v>7.0000000000000007E-2</v>
      </c>
      <c r="E217">
        <v>2</v>
      </c>
      <c r="F217">
        <f t="shared" si="39"/>
        <v>14</v>
      </c>
      <c r="G217">
        <f t="shared" si="40"/>
        <v>0</v>
      </c>
      <c r="H217">
        <f t="shared" si="41"/>
        <v>0</v>
      </c>
      <c r="I217">
        <f t="shared" si="42"/>
        <v>0</v>
      </c>
      <c r="J217">
        <f t="shared" si="43"/>
        <v>0</v>
      </c>
      <c r="K217">
        <f t="shared" si="44"/>
        <v>280</v>
      </c>
      <c r="L217">
        <f t="shared" si="45"/>
        <v>2.79</v>
      </c>
      <c r="M217">
        <f t="shared" si="46"/>
        <v>282.79000000000002</v>
      </c>
      <c r="N217">
        <f t="shared" si="47"/>
        <v>282.79000000000002</v>
      </c>
      <c r="O217">
        <f t="shared" si="48"/>
        <v>0</v>
      </c>
      <c r="P217">
        <f t="shared" si="49"/>
        <v>0</v>
      </c>
      <c r="Q217">
        <f t="shared" si="50"/>
        <v>0</v>
      </c>
      <c r="R217">
        <f t="shared" si="51"/>
        <v>0</v>
      </c>
    </row>
    <row r="218" spans="1:18" x14ac:dyDescent="0.3">
      <c r="A218" s="1">
        <v>41705</v>
      </c>
      <c r="B218" s="1">
        <v>41710</v>
      </c>
      <c r="C218">
        <v>3.73</v>
      </c>
      <c r="D218">
        <v>0.1</v>
      </c>
      <c r="E218">
        <v>5</v>
      </c>
      <c r="F218">
        <f t="shared" si="39"/>
        <v>0</v>
      </c>
      <c r="G218">
        <f t="shared" si="40"/>
        <v>0</v>
      </c>
      <c r="H218">
        <f t="shared" si="41"/>
        <v>0</v>
      </c>
      <c r="I218">
        <f t="shared" si="42"/>
        <v>5</v>
      </c>
      <c r="J218">
        <f t="shared" si="43"/>
        <v>0</v>
      </c>
      <c r="K218">
        <f t="shared" si="44"/>
        <v>250</v>
      </c>
      <c r="L218">
        <f t="shared" si="45"/>
        <v>3.83</v>
      </c>
      <c r="M218">
        <f t="shared" si="46"/>
        <v>253.83</v>
      </c>
      <c r="N218">
        <f t="shared" si="47"/>
        <v>0</v>
      </c>
      <c r="O218">
        <f t="shared" si="48"/>
        <v>0</v>
      </c>
      <c r="P218">
        <f t="shared" si="49"/>
        <v>0</v>
      </c>
      <c r="Q218">
        <f t="shared" si="50"/>
        <v>253.83</v>
      </c>
      <c r="R218">
        <f t="shared" si="51"/>
        <v>0</v>
      </c>
    </row>
    <row r="219" spans="1:18" x14ac:dyDescent="0.3">
      <c r="A219" s="1">
        <v>41707</v>
      </c>
      <c r="B219" s="1">
        <v>41719</v>
      </c>
      <c r="C219">
        <v>10.59</v>
      </c>
      <c r="D219">
        <v>0.28000000000000003</v>
      </c>
      <c r="E219">
        <v>6</v>
      </c>
      <c r="F219">
        <f t="shared" si="39"/>
        <v>0</v>
      </c>
      <c r="G219">
        <f t="shared" si="40"/>
        <v>0</v>
      </c>
      <c r="H219">
        <f t="shared" si="41"/>
        <v>0</v>
      </c>
      <c r="I219">
        <f t="shared" si="42"/>
        <v>0</v>
      </c>
      <c r="J219">
        <f t="shared" si="43"/>
        <v>12</v>
      </c>
      <c r="K219">
        <f t="shared" si="44"/>
        <v>720</v>
      </c>
      <c r="L219">
        <f t="shared" si="45"/>
        <v>10.87</v>
      </c>
      <c r="M219">
        <f t="shared" si="46"/>
        <v>730.87</v>
      </c>
      <c r="N219">
        <f t="shared" si="47"/>
        <v>0</v>
      </c>
      <c r="O219">
        <f t="shared" si="48"/>
        <v>0</v>
      </c>
      <c r="P219">
        <f t="shared" si="49"/>
        <v>0</v>
      </c>
      <c r="Q219">
        <f t="shared" si="50"/>
        <v>0</v>
      </c>
      <c r="R219">
        <f t="shared" si="51"/>
        <v>730.87</v>
      </c>
    </row>
    <row r="220" spans="1:18" x14ac:dyDescent="0.3">
      <c r="A220" s="1">
        <v>41708</v>
      </c>
      <c r="B220" s="1">
        <v>41733</v>
      </c>
      <c r="C220">
        <v>3.73</v>
      </c>
      <c r="D220">
        <v>0.1</v>
      </c>
      <c r="E220">
        <v>5</v>
      </c>
      <c r="F220">
        <f t="shared" si="39"/>
        <v>0</v>
      </c>
      <c r="G220">
        <f t="shared" si="40"/>
        <v>0</v>
      </c>
      <c r="H220">
        <f t="shared" si="41"/>
        <v>0</v>
      </c>
      <c r="I220">
        <f t="shared" si="42"/>
        <v>25</v>
      </c>
      <c r="J220">
        <f t="shared" si="43"/>
        <v>0</v>
      </c>
      <c r="K220">
        <f t="shared" si="44"/>
        <v>1250</v>
      </c>
      <c r="L220">
        <f t="shared" si="45"/>
        <v>3.83</v>
      </c>
      <c r="M220">
        <f t="shared" si="46"/>
        <v>1253.83</v>
      </c>
      <c r="N220">
        <f t="shared" si="47"/>
        <v>0</v>
      </c>
      <c r="O220">
        <f t="shared" si="48"/>
        <v>0</v>
      </c>
      <c r="P220">
        <f t="shared" si="49"/>
        <v>0</v>
      </c>
      <c r="Q220">
        <f t="shared" si="50"/>
        <v>1253.83</v>
      </c>
      <c r="R220">
        <f t="shared" si="51"/>
        <v>0</v>
      </c>
    </row>
    <row r="221" spans="1:18" x14ac:dyDescent="0.3">
      <c r="A221" s="1">
        <v>41708</v>
      </c>
      <c r="B221" s="1">
        <v>41720</v>
      </c>
      <c r="C221">
        <v>5.78</v>
      </c>
      <c r="D221">
        <v>0.15</v>
      </c>
      <c r="E221">
        <v>2</v>
      </c>
      <c r="F221">
        <f t="shared" si="39"/>
        <v>12</v>
      </c>
      <c r="G221">
        <f t="shared" si="40"/>
        <v>0</v>
      </c>
      <c r="H221">
        <f t="shared" si="41"/>
        <v>0</v>
      </c>
      <c r="I221">
        <f t="shared" si="42"/>
        <v>0</v>
      </c>
      <c r="J221">
        <f t="shared" si="43"/>
        <v>0</v>
      </c>
      <c r="K221">
        <f t="shared" si="44"/>
        <v>240</v>
      </c>
      <c r="L221">
        <f t="shared" si="45"/>
        <v>5.9300000000000006</v>
      </c>
      <c r="M221">
        <f t="shared" si="46"/>
        <v>245.93</v>
      </c>
      <c r="N221">
        <f t="shared" si="47"/>
        <v>245.93</v>
      </c>
      <c r="O221">
        <f t="shared" si="48"/>
        <v>0</v>
      </c>
      <c r="P221">
        <f t="shared" si="49"/>
        <v>0</v>
      </c>
      <c r="Q221">
        <f t="shared" si="50"/>
        <v>0</v>
      </c>
      <c r="R221">
        <f t="shared" si="51"/>
        <v>0</v>
      </c>
    </row>
    <row r="222" spans="1:18" x14ac:dyDescent="0.3">
      <c r="A222" s="1">
        <v>41708</v>
      </c>
      <c r="B222" s="1">
        <v>41720</v>
      </c>
      <c r="C222">
        <v>10.79</v>
      </c>
      <c r="D222">
        <v>0.28000000000000003</v>
      </c>
      <c r="E222">
        <v>2</v>
      </c>
      <c r="F222">
        <f t="shared" si="39"/>
        <v>12</v>
      </c>
      <c r="G222">
        <f t="shared" si="40"/>
        <v>0</v>
      </c>
      <c r="H222">
        <f t="shared" si="41"/>
        <v>0</v>
      </c>
      <c r="I222">
        <f t="shared" si="42"/>
        <v>0</v>
      </c>
      <c r="J222">
        <f t="shared" si="43"/>
        <v>0</v>
      </c>
      <c r="K222">
        <f t="shared" si="44"/>
        <v>240</v>
      </c>
      <c r="L222">
        <f t="shared" si="45"/>
        <v>11.069999999999999</v>
      </c>
      <c r="M222">
        <f t="shared" si="46"/>
        <v>251.07</v>
      </c>
      <c r="N222">
        <f t="shared" si="47"/>
        <v>251.07</v>
      </c>
      <c r="O222">
        <f t="shared" si="48"/>
        <v>0</v>
      </c>
      <c r="P222">
        <f t="shared" si="49"/>
        <v>0</v>
      </c>
      <c r="Q222">
        <f t="shared" si="50"/>
        <v>0</v>
      </c>
      <c r="R222">
        <f t="shared" si="51"/>
        <v>0</v>
      </c>
    </row>
    <row r="223" spans="1:18" x14ac:dyDescent="0.3">
      <c r="A223" s="1">
        <v>41708</v>
      </c>
      <c r="B223" s="1">
        <v>41726</v>
      </c>
      <c r="C223">
        <v>5.47</v>
      </c>
      <c r="D223">
        <v>0.14000000000000001</v>
      </c>
      <c r="E223">
        <v>4</v>
      </c>
      <c r="F223">
        <f t="shared" si="39"/>
        <v>0</v>
      </c>
      <c r="G223">
        <f t="shared" si="40"/>
        <v>0</v>
      </c>
      <c r="H223">
        <f t="shared" si="41"/>
        <v>18</v>
      </c>
      <c r="I223">
        <f t="shared" si="42"/>
        <v>0</v>
      </c>
      <c r="J223">
        <f t="shared" si="43"/>
        <v>0</v>
      </c>
      <c r="K223">
        <f t="shared" si="44"/>
        <v>720</v>
      </c>
      <c r="L223">
        <f t="shared" si="45"/>
        <v>5.6099999999999994</v>
      </c>
      <c r="M223">
        <f t="shared" si="46"/>
        <v>725.61</v>
      </c>
      <c r="N223">
        <f t="shared" si="47"/>
        <v>0</v>
      </c>
      <c r="O223">
        <f t="shared" si="48"/>
        <v>0</v>
      </c>
      <c r="P223">
        <f t="shared" si="49"/>
        <v>725.61</v>
      </c>
      <c r="Q223">
        <f t="shared" si="50"/>
        <v>0</v>
      </c>
      <c r="R223">
        <f t="shared" si="51"/>
        <v>0</v>
      </c>
    </row>
    <row r="224" spans="1:18" x14ac:dyDescent="0.3">
      <c r="A224" s="1">
        <v>41708</v>
      </c>
      <c r="B224" s="1">
        <v>41720</v>
      </c>
      <c r="C224">
        <v>5.57</v>
      </c>
      <c r="D224">
        <v>0.15</v>
      </c>
      <c r="E224">
        <v>2</v>
      </c>
      <c r="F224">
        <f t="shared" si="39"/>
        <v>12</v>
      </c>
      <c r="G224">
        <f t="shared" si="40"/>
        <v>0</v>
      </c>
      <c r="H224">
        <f t="shared" si="41"/>
        <v>0</v>
      </c>
      <c r="I224">
        <f t="shared" si="42"/>
        <v>0</v>
      </c>
      <c r="J224">
        <f t="shared" si="43"/>
        <v>0</v>
      </c>
      <c r="K224">
        <f t="shared" si="44"/>
        <v>240</v>
      </c>
      <c r="L224">
        <f t="shared" si="45"/>
        <v>5.7200000000000006</v>
      </c>
      <c r="M224">
        <f t="shared" si="46"/>
        <v>245.72</v>
      </c>
      <c r="N224">
        <f t="shared" si="47"/>
        <v>245.72</v>
      </c>
      <c r="O224">
        <f t="shared" si="48"/>
        <v>0</v>
      </c>
      <c r="P224">
        <f t="shared" si="49"/>
        <v>0</v>
      </c>
      <c r="Q224">
        <f t="shared" si="50"/>
        <v>0</v>
      </c>
      <c r="R224">
        <f t="shared" si="51"/>
        <v>0</v>
      </c>
    </row>
    <row r="225" spans="1:18" x14ac:dyDescent="0.3">
      <c r="A225" s="1">
        <v>41709</v>
      </c>
      <c r="B225" s="1">
        <v>41736</v>
      </c>
      <c r="C225">
        <v>4.66</v>
      </c>
      <c r="D225">
        <v>0.12</v>
      </c>
      <c r="E225">
        <v>5</v>
      </c>
      <c r="F225">
        <f t="shared" si="39"/>
        <v>0</v>
      </c>
      <c r="G225">
        <f t="shared" si="40"/>
        <v>0</v>
      </c>
      <c r="H225">
        <f t="shared" si="41"/>
        <v>0</v>
      </c>
      <c r="I225">
        <f t="shared" si="42"/>
        <v>27</v>
      </c>
      <c r="J225">
        <f t="shared" si="43"/>
        <v>0</v>
      </c>
      <c r="K225">
        <f t="shared" si="44"/>
        <v>1350</v>
      </c>
      <c r="L225">
        <f t="shared" si="45"/>
        <v>4.78</v>
      </c>
      <c r="M225">
        <f t="shared" si="46"/>
        <v>1354.78</v>
      </c>
      <c r="N225">
        <f t="shared" si="47"/>
        <v>0</v>
      </c>
      <c r="O225">
        <f t="shared" si="48"/>
        <v>0</v>
      </c>
      <c r="P225">
        <f t="shared" si="49"/>
        <v>0</v>
      </c>
      <c r="Q225">
        <f t="shared" si="50"/>
        <v>1354.78</v>
      </c>
      <c r="R225">
        <f t="shared" si="51"/>
        <v>0</v>
      </c>
    </row>
    <row r="226" spans="1:18" x14ac:dyDescent="0.3">
      <c r="A226" s="1">
        <v>41709</v>
      </c>
      <c r="B226" s="1">
        <v>41731</v>
      </c>
      <c r="C226">
        <v>8.9499999999999993</v>
      </c>
      <c r="D226">
        <v>0.24</v>
      </c>
      <c r="E226">
        <v>4</v>
      </c>
      <c r="F226">
        <f t="shared" si="39"/>
        <v>0</v>
      </c>
      <c r="G226">
        <f t="shared" si="40"/>
        <v>0</v>
      </c>
      <c r="H226">
        <f t="shared" si="41"/>
        <v>22</v>
      </c>
      <c r="I226">
        <f t="shared" si="42"/>
        <v>0</v>
      </c>
      <c r="J226">
        <f t="shared" si="43"/>
        <v>0</v>
      </c>
      <c r="K226">
        <f t="shared" si="44"/>
        <v>880</v>
      </c>
      <c r="L226">
        <f t="shared" si="45"/>
        <v>9.19</v>
      </c>
      <c r="M226">
        <f t="shared" si="46"/>
        <v>889.19</v>
      </c>
      <c r="N226">
        <f t="shared" si="47"/>
        <v>0</v>
      </c>
      <c r="O226">
        <f t="shared" si="48"/>
        <v>0</v>
      </c>
      <c r="P226">
        <f t="shared" si="49"/>
        <v>889.19</v>
      </c>
      <c r="Q226">
        <f t="shared" si="50"/>
        <v>0</v>
      </c>
      <c r="R226">
        <f t="shared" si="51"/>
        <v>0</v>
      </c>
    </row>
    <row r="227" spans="1:18" x14ac:dyDescent="0.3">
      <c r="A227" s="1">
        <v>41710</v>
      </c>
      <c r="B227" s="1">
        <v>41719</v>
      </c>
      <c r="C227">
        <v>3.94</v>
      </c>
      <c r="D227">
        <v>0.1</v>
      </c>
      <c r="E227">
        <v>3</v>
      </c>
      <c r="F227">
        <f t="shared" si="39"/>
        <v>0</v>
      </c>
      <c r="G227">
        <f t="shared" si="40"/>
        <v>9</v>
      </c>
      <c r="H227">
        <f t="shared" si="41"/>
        <v>0</v>
      </c>
      <c r="I227">
        <f t="shared" si="42"/>
        <v>0</v>
      </c>
      <c r="J227">
        <f t="shared" si="43"/>
        <v>0</v>
      </c>
      <c r="K227">
        <f t="shared" si="44"/>
        <v>270</v>
      </c>
      <c r="L227">
        <f t="shared" si="45"/>
        <v>4.04</v>
      </c>
      <c r="M227">
        <f t="shared" si="46"/>
        <v>274.04000000000002</v>
      </c>
      <c r="N227">
        <f t="shared" si="47"/>
        <v>0</v>
      </c>
      <c r="O227">
        <f t="shared" si="48"/>
        <v>274.04000000000002</v>
      </c>
      <c r="P227">
        <f t="shared" si="49"/>
        <v>0</v>
      </c>
      <c r="Q227">
        <f t="shared" si="50"/>
        <v>0</v>
      </c>
      <c r="R227">
        <f t="shared" si="51"/>
        <v>0</v>
      </c>
    </row>
    <row r="228" spans="1:18" x14ac:dyDescent="0.3">
      <c r="A228" s="1">
        <v>41713</v>
      </c>
      <c r="B228" s="1">
        <v>41724</v>
      </c>
      <c r="C228">
        <v>5.78</v>
      </c>
      <c r="D228">
        <v>0.15</v>
      </c>
      <c r="E228">
        <v>6</v>
      </c>
      <c r="F228">
        <f t="shared" si="39"/>
        <v>0</v>
      </c>
      <c r="G228">
        <f t="shared" si="40"/>
        <v>0</v>
      </c>
      <c r="H228">
        <f t="shared" si="41"/>
        <v>0</v>
      </c>
      <c r="I228">
        <f t="shared" si="42"/>
        <v>0</v>
      </c>
      <c r="J228">
        <f t="shared" si="43"/>
        <v>11</v>
      </c>
      <c r="K228">
        <f t="shared" si="44"/>
        <v>660</v>
      </c>
      <c r="L228">
        <f t="shared" si="45"/>
        <v>5.9300000000000006</v>
      </c>
      <c r="M228">
        <f t="shared" si="46"/>
        <v>665.93</v>
      </c>
      <c r="N228">
        <f t="shared" si="47"/>
        <v>0</v>
      </c>
      <c r="O228">
        <f t="shared" si="48"/>
        <v>0</v>
      </c>
      <c r="P228">
        <f t="shared" si="49"/>
        <v>0</v>
      </c>
      <c r="Q228">
        <f t="shared" si="50"/>
        <v>0</v>
      </c>
      <c r="R228">
        <f t="shared" si="51"/>
        <v>665.93</v>
      </c>
    </row>
    <row r="229" spans="1:18" x14ac:dyDescent="0.3">
      <c r="A229" s="1">
        <v>41713</v>
      </c>
      <c r="B229" s="1">
        <v>41735</v>
      </c>
      <c r="C229">
        <v>13.81</v>
      </c>
      <c r="D229">
        <v>0.36</v>
      </c>
      <c r="E229">
        <v>2</v>
      </c>
      <c r="F229">
        <f t="shared" si="39"/>
        <v>22</v>
      </c>
      <c r="G229">
        <f t="shared" si="40"/>
        <v>0</v>
      </c>
      <c r="H229">
        <f t="shared" si="41"/>
        <v>0</v>
      </c>
      <c r="I229">
        <f t="shared" si="42"/>
        <v>0</v>
      </c>
      <c r="J229">
        <f t="shared" si="43"/>
        <v>0</v>
      </c>
      <c r="K229">
        <f t="shared" si="44"/>
        <v>440</v>
      </c>
      <c r="L229">
        <f t="shared" si="45"/>
        <v>14.17</v>
      </c>
      <c r="M229">
        <f t="shared" si="46"/>
        <v>454.17</v>
      </c>
      <c r="N229">
        <f t="shared" si="47"/>
        <v>454.17</v>
      </c>
      <c r="O229">
        <f t="shared" si="48"/>
        <v>0</v>
      </c>
      <c r="P229">
        <f t="shared" si="49"/>
        <v>0</v>
      </c>
      <c r="Q229">
        <f t="shared" si="50"/>
        <v>0</v>
      </c>
      <c r="R229">
        <f t="shared" si="51"/>
        <v>0</v>
      </c>
    </row>
    <row r="230" spans="1:18" x14ac:dyDescent="0.3">
      <c r="A230" s="1">
        <v>41713</v>
      </c>
      <c r="B230" s="1">
        <v>41739</v>
      </c>
      <c r="C230">
        <v>5.23</v>
      </c>
      <c r="D230">
        <v>0.14000000000000001</v>
      </c>
      <c r="E230">
        <v>6</v>
      </c>
      <c r="F230">
        <f t="shared" si="39"/>
        <v>0</v>
      </c>
      <c r="G230">
        <f t="shared" si="40"/>
        <v>0</v>
      </c>
      <c r="H230">
        <f t="shared" si="41"/>
        <v>0</v>
      </c>
      <c r="I230">
        <f t="shared" si="42"/>
        <v>0</v>
      </c>
      <c r="J230">
        <f t="shared" si="43"/>
        <v>26</v>
      </c>
      <c r="K230">
        <f t="shared" si="44"/>
        <v>1560</v>
      </c>
      <c r="L230">
        <f t="shared" si="45"/>
        <v>5.37</v>
      </c>
      <c r="M230">
        <f t="shared" si="46"/>
        <v>1565.37</v>
      </c>
      <c r="N230">
        <f t="shared" si="47"/>
        <v>0</v>
      </c>
      <c r="O230">
        <f t="shared" si="48"/>
        <v>0</v>
      </c>
      <c r="P230">
        <f t="shared" si="49"/>
        <v>0</v>
      </c>
      <c r="Q230">
        <f t="shared" si="50"/>
        <v>0</v>
      </c>
      <c r="R230">
        <f t="shared" si="51"/>
        <v>1565.37</v>
      </c>
    </row>
    <row r="231" spans="1:18" x14ac:dyDescent="0.3">
      <c r="A231" s="1">
        <v>41713</v>
      </c>
      <c r="B231" s="1">
        <v>41728</v>
      </c>
      <c r="C231">
        <v>10.93</v>
      </c>
      <c r="D231">
        <v>0.28999999999999998</v>
      </c>
      <c r="E231">
        <v>6</v>
      </c>
      <c r="F231">
        <f t="shared" si="39"/>
        <v>0</v>
      </c>
      <c r="G231">
        <f t="shared" si="40"/>
        <v>0</v>
      </c>
      <c r="H231">
        <f t="shared" si="41"/>
        <v>0</v>
      </c>
      <c r="I231">
        <f t="shared" si="42"/>
        <v>0</v>
      </c>
      <c r="J231">
        <f t="shared" si="43"/>
        <v>15</v>
      </c>
      <c r="K231">
        <f t="shared" si="44"/>
        <v>900</v>
      </c>
      <c r="L231">
        <f t="shared" si="45"/>
        <v>11.219999999999999</v>
      </c>
      <c r="M231">
        <f t="shared" si="46"/>
        <v>911.22</v>
      </c>
      <c r="N231">
        <f t="shared" si="47"/>
        <v>0</v>
      </c>
      <c r="O231">
        <f t="shared" si="48"/>
        <v>0</v>
      </c>
      <c r="P231">
        <f t="shared" si="49"/>
        <v>0</v>
      </c>
      <c r="Q231">
        <f t="shared" si="50"/>
        <v>0</v>
      </c>
      <c r="R231">
        <f t="shared" si="51"/>
        <v>911.22</v>
      </c>
    </row>
    <row r="232" spans="1:18" x14ac:dyDescent="0.3">
      <c r="A232" s="1">
        <v>41713</v>
      </c>
      <c r="B232" s="1">
        <v>41731</v>
      </c>
      <c r="C232">
        <v>8.9499999999999993</v>
      </c>
      <c r="D232">
        <v>0.24</v>
      </c>
      <c r="E232">
        <v>4</v>
      </c>
      <c r="F232">
        <f t="shared" si="39"/>
        <v>0</v>
      </c>
      <c r="G232">
        <f t="shared" si="40"/>
        <v>0</v>
      </c>
      <c r="H232">
        <f t="shared" si="41"/>
        <v>18</v>
      </c>
      <c r="I232">
        <f t="shared" si="42"/>
        <v>0</v>
      </c>
      <c r="J232">
        <f t="shared" si="43"/>
        <v>0</v>
      </c>
      <c r="K232">
        <f t="shared" si="44"/>
        <v>720</v>
      </c>
      <c r="L232">
        <f t="shared" si="45"/>
        <v>9.19</v>
      </c>
      <c r="M232">
        <f t="shared" si="46"/>
        <v>729.19</v>
      </c>
      <c r="N232">
        <f t="shared" si="47"/>
        <v>0</v>
      </c>
      <c r="O232">
        <f t="shared" si="48"/>
        <v>0</v>
      </c>
      <c r="P232">
        <f t="shared" si="49"/>
        <v>729.19</v>
      </c>
      <c r="Q232">
        <f t="shared" si="50"/>
        <v>0</v>
      </c>
      <c r="R232">
        <f t="shared" si="51"/>
        <v>0</v>
      </c>
    </row>
    <row r="233" spans="1:18" x14ac:dyDescent="0.3">
      <c r="A233" s="1">
        <v>41713</v>
      </c>
      <c r="B233" s="1">
        <v>41731</v>
      </c>
      <c r="C233">
        <v>16.829999999999998</v>
      </c>
      <c r="D233">
        <v>0.44</v>
      </c>
      <c r="E233">
        <v>3</v>
      </c>
      <c r="F233">
        <f t="shared" si="39"/>
        <v>0</v>
      </c>
      <c r="G233">
        <f t="shared" si="40"/>
        <v>18</v>
      </c>
      <c r="H233">
        <f t="shared" si="41"/>
        <v>0</v>
      </c>
      <c r="I233">
        <f t="shared" si="42"/>
        <v>0</v>
      </c>
      <c r="J233">
        <f t="shared" si="43"/>
        <v>0</v>
      </c>
      <c r="K233">
        <f t="shared" si="44"/>
        <v>540</v>
      </c>
      <c r="L233">
        <f t="shared" si="45"/>
        <v>17.27</v>
      </c>
      <c r="M233">
        <f t="shared" si="46"/>
        <v>557.27</v>
      </c>
      <c r="N233">
        <f t="shared" si="47"/>
        <v>0</v>
      </c>
      <c r="O233">
        <f t="shared" si="48"/>
        <v>557.27</v>
      </c>
      <c r="P233">
        <f t="shared" si="49"/>
        <v>0</v>
      </c>
      <c r="Q233">
        <f t="shared" si="50"/>
        <v>0</v>
      </c>
      <c r="R233">
        <f t="shared" si="51"/>
        <v>0</v>
      </c>
    </row>
    <row r="234" spans="1:18" x14ac:dyDescent="0.3">
      <c r="A234" s="1">
        <v>41713</v>
      </c>
      <c r="B234" s="1">
        <v>41718</v>
      </c>
      <c r="C234">
        <v>14</v>
      </c>
      <c r="D234">
        <v>0.37</v>
      </c>
      <c r="E234">
        <v>2</v>
      </c>
      <c r="F234">
        <f t="shared" si="39"/>
        <v>5</v>
      </c>
      <c r="G234">
        <f t="shared" si="40"/>
        <v>0</v>
      </c>
      <c r="H234">
        <f t="shared" si="41"/>
        <v>0</v>
      </c>
      <c r="I234">
        <f t="shared" si="42"/>
        <v>0</v>
      </c>
      <c r="J234">
        <f t="shared" si="43"/>
        <v>0</v>
      </c>
      <c r="K234">
        <f t="shared" si="44"/>
        <v>100</v>
      </c>
      <c r="L234">
        <f t="shared" si="45"/>
        <v>14.37</v>
      </c>
      <c r="M234">
        <f t="shared" si="46"/>
        <v>114.37</v>
      </c>
      <c r="N234">
        <f t="shared" si="47"/>
        <v>114.37</v>
      </c>
      <c r="O234">
        <f t="shared" si="48"/>
        <v>0</v>
      </c>
      <c r="P234">
        <f t="shared" si="49"/>
        <v>0</v>
      </c>
      <c r="Q234">
        <f t="shared" si="50"/>
        <v>0</v>
      </c>
      <c r="R234">
        <f t="shared" si="51"/>
        <v>0</v>
      </c>
    </row>
    <row r="235" spans="1:18" x14ac:dyDescent="0.3">
      <c r="A235" s="1">
        <v>41713</v>
      </c>
      <c r="B235" s="1">
        <v>41735</v>
      </c>
      <c r="C235">
        <v>5.23</v>
      </c>
      <c r="D235">
        <v>0.14000000000000001</v>
      </c>
      <c r="E235">
        <v>6</v>
      </c>
      <c r="F235">
        <f t="shared" si="39"/>
        <v>0</v>
      </c>
      <c r="G235">
        <f t="shared" si="40"/>
        <v>0</v>
      </c>
      <c r="H235">
        <f t="shared" si="41"/>
        <v>0</v>
      </c>
      <c r="I235">
        <f t="shared" si="42"/>
        <v>0</v>
      </c>
      <c r="J235">
        <f t="shared" si="43"/>
        <v>22</v>
      </c>
      <c r="K235">
        <f t="shared" si="44"/>
        <v>1320</v>
      </c>
      <c r="L235">
        <f t="shared" si="45"/>
        <v>5.37</v>
      </c>
      <c r="M235">
        <f t="shared" si="46"/>
        <v>1325.37</v>
      </c>
      <c r="N235">
        <f t="shared" si="47"/>
        <v>0</v>
      </c>
      <c r="O235">
        <f t="shared" si="48"/>
        <v>0</v>
      </c>
      <c r="P235">
        <f t="shared" si="49"/>
        <v>0</v>
      </c>
      <c r="Q235">
        <f t="shared" si="50"/>
        <v>0</v>
      </c>
      <c r="R235">
        <f t="shared" si="51"/>
        <v>1325.37</v>
      </c>
    </row>
    <row r="236" spans="1:18" x14ac:dyDescent="0.3">
      <c r="A236" s="1">
        <v>41713</v>
      </c>
      <c r="B236" s="1">
        <v>41724</v>
      </c>
      <c r="C236">
        <v>16.55</v>
      </c>
      <c r="D236">
        <v>0.44</v>
      </c>
      <c r="E236">
        <v>6</v>
      </c>
      <c r="F236">
        <f t="shared" si="39"/>
        <v>0</v>
      </c>
      <c r="G236">
        <f t="shared" si="40"/>
        <v>0</v>
      </c>
      <c r="H236">
        <f t="shared" si="41"/>
        <v>0</v>
      </c>
      <c r="I236">
        <f t="shared" si="42"/>
        <v>0</v>
      </c>
      <c r="J236">
        <f t="shared" si="43"/>
        <v>11</v>
      </c>
      <c r="K236">
        <f t="shared" si="44"/>
        <v>660</v>
      </c>
      <c r="L236">
        <f t="shared" si="45"/>
        <v>16.990000000000002</v>
      </c>
      <c r="M236">
        <f t="shared" si="46"/>
        <v>676.99</v>
      </c>
      <c r="N236">
        <f t="shared" si="47"/>
        <v>0</v>
      </c>
      <c r="O236">
        <f t="shared" si="48"/>
        <v>0</v>
      </c>
      <c r="P236">
        <f t="shared" si="49"/>
        <v>0</v>
      </c>
      <c r="Q236">
        <f t="shared" si="50"/>
        <v>0</v>
      </c>
      <c r="R236">
        <f t="shared" si="51"/>
        <v>676.99</v>
      </c>
    </row>
    <row r="237" spans="1:18" x14ac:dyDescent="0.3">
      <c r="A237" s="1">
        <v>41713</v>
      </c>
      <c r="B237" s="1">
        <v>41724</v>
      </c>
      <c r="C237">
        <v>12.23</v>
      </c>
      <c r="D237">
        <v>0.32</v>
      </c>
      <c r="E237">
        <v>3</v>
      </c>
      <c r="F237">
        <f t="shared" si="39"/>
        <v>0</v>
      </c>
      <c r="G237">
        <f t="shared" si="40"/>
        <v>11</v>
      </c>
      <c r="H237">
        <f t="shared" si="41"/>
        <v>0</v>
      </c>
      <c r="I237">
        <f t="shared" si="42"/>
        <v>0</v>
      </c>
      <c r="J237">
        <f t="shared" si="43"/>
        <v>0</v>
      </c>
      <c r="K237">
        <f t="shared" si="44"/>
        <v>330</v>
      </c>
      <c r="L237">
        <f t="shared" si="45"/>
        <v>12.55</v>
      </c>
      <c r="M237">
        <f t="shared" si="46"/>
        <v>342.55</v>
      </c>
      <c r="N237">
        <f t="shared" si="47"/>
        <v>0</v>
      </c>
      <c r="O237">
        <f t="shared" si="48"/>
        <v>342.55</v>
      </c>
      <c r="P237">
        <f t="shared" si="49"/>
        <v>0</v>
      </c>
      <c r="Q237">
        <f t="shared" si="50"/>
        <v>0</v>
      </c>
      <c r="R237">
        <f t="shared" si="51"/>
        <v>0</v>
      </c>
    </row>
    <row r="238" spans="1:18" x14ac:dyDescent="0.3">
      <c r="A238" s="1">
        <v>41713</v>
      </c>
      <c r="B238" s="1">
        <v>41720</v>
      </c>
      <c r="C238">
        <v>8.39</v>
      </c>
      <c r="D238">
        <v>0.22</v>
      </c>
      <c r="E238">
        <v>2</v>
      </c>
      <c r="F238">
        <f t="shared" si="39"/>
        <v>7</v>
      </c>
      <c r="G238">
        <f t="shared" si="40"/>
        <v>0</v>
      </c>
      <c r="H238">
        <f t="shared" si="41"/>
        <v>0</v>
      </c>
      <c r="I238">
        <f t="shared" si="42"/>
        <v>0</v>
      </c>
      <c r="J238">
        <f t="shared" si="43"/>
        <v>0</v>
      </c>
      <c r="K238">
        <f t="shared" si="44"/>
        <v>140</v>
      </c>
      <c r="L238">
        <f t="shared" si="45"/>
        <v>8.6100000000000012</v>
      </c>
      <c r="M238">
        <f t="shared" si="46"/>
        <v>148.61000000000001</v>
      </c>
      <c r="N238">
        <f t="shared" si="47"/>
        <v>148.61000000000001</v>
      </c>
      <c r="O238">
        <f t="shared" si="48"/>
        <v>0</v>
      </c>
      <c r="P238">
        <f t="shared" si="49"/>
        <v>0</v>
      </c>
      <c r="Q238">
        <f t="shared" si="50"/>
        <v>0</v>
      </c>
      <c r="R238">
        <f t="shared" si="51"/>
        <v>0</v>
      </c>
    </row>
    <row r="239" spans="1:18" x14ac:dyDescent="0.3">
      <c r="A239" s="1">
        <v>41713</v>
      </c>
      <c r="B239" s="1">
        <v>41721</v>
      </c>
      <c r="C239">
        <v>5.67</v>
      </c>
      <c r="D239">
        <v>0.15</v>
      </c>
      <c r="E239">
        <v>5</v>
      </c>
      <c r="F239">
        <f t="shared" si="39"/>
        <v>0</v>
      </c>
      <c r="G239">
        <f t="shared" si="40"/>
        <v>0</v>
      </c>
      <c r="H239">
        <f t="shared" si="41"/>
        <v>0</v>
      </c>
      <c r="I239">
        <f t="shared" si="42"/>
        <v>8</v>
      </c>
      <c r="J239">
        <f t="shared" si="43"/>
        <v>0</v>
      </c>
      <c r="K239">
        <f t="shared" si="44"/>
        <v>400</v>
      </c>
      <c r="L239">
        <f t="shared" si="45"/>
        <v>5.82</v>
      </c>
      <c r="M239">
        <f t="shared" si="46"/>
        <v>405.82</v>
      </c>
      <c r="N239">
        <f t="shared" si="47"/>
        <v>0</v>
      </c>
      <c r="O239">
        <f t="shared" si="48"/>
        <v>0</v>
      </c>
      <c r="P239">
        <f t="shared" si="49"/>
        <v>0</v>
      </c>
      <c r="Q239">
        <f t="shared" si="50"/>
        <v>405.82</v>
      </c>
      <c r="R239">
        <f t="shared" si="51"/>
        <v>0</v>
      </c>
    </row>
    <row r="240" spans="1:18" x14ac:dyDescent="0.3">
      <c r="A240" s="1">
        <v>41713</v>
      </c>
      <c r="B240" s="1">
        <v>41719</v>
      </c>
      <c r="C240">
        <v>14.13</v>
      </c>
      <c r="D240">
        <v>0.37</v>
      </c>
      <c r="E240">
        <v>4</v>
      </c>
      <c r="F240">
        <f t="shared" si="39"/>
        <v>0</v>
      </c>
      <c r="G240">
        <f t="shared" si="40"/>
        <v>0</v>
      </c>
      <c r="H240">
        <f t="shared" si="41"/>
        <v>6</v>
      </c>
      <c r="I240">
        <f t="shared" si="42"/>
        <v>0</v>
      </c>
      <c r="J240">
        <f t="shared" si="43"/>
        <v>0</v>
      </c>
      <c r="K240">
        <f t="shared" si="44"/>
        <v>240</v>
      </c>
      <c r="L240">
        <f t="shared" si="45"/>
        <v>14.5</v>
      </c>
      <c r="M240">
        <f t="shared" si="46"/>
        <v>254.5</v>
      </c>
      <c r="N240">
        <f t="shared" si="47"/>
        <v>0</v>
      </c>
      <c r="O240">
        <f t="shared" si="48"/>
        <v>0</v>
      </c>
      <c r="P240">
        <f t="shared" si="49"/>
        <v>254.5</v>
      </c>
      <c r="Q240">
        <f t="shared" si="50"/>
        <v>0</v>
      </c>
      <c r="R240">
        <f t="shared" si="51"/>
        <v>0</v>
      </c>
    </row>
    <row r="241" spans="1:18" x14ac:dyDescent="0.3">
      <c r="A241" s="1">
        <v>41713</v>
      </c>
      <c r="B241" s="1">
        <v>41723</v>
      </c>
      <c r="C241">
        <v>11.69</v>
      </c>
      <c r="D241">
        <v>0.31</v>
      </c>
      <c r="E241">
        <v>4</v>
      </c>
      <c r="F241">
        <f t="shared" si="39"/>
        <v>0</v>
      </c>
      <c r="G241">
        <f t="shared" si="40"/>
        <v>0</v>
      </c>
      <c r="H241">
        <f t="shared" si="41"/>
        <v>10</v>
      </c>
      <c r="I241">
        <f t="shared" si="42"/>
        <v>0</v>
      </c>
      <c r="J241">
        <f t="shared" si="43"/>
        <v>0</v>
      </c>
      <c r="K241">
        <f t="shared" si="44"/>
        <v>400</v>
      </c>
      <c r="L241">
        <f t="shared" si="45"/>
        <v>12</v>
      </c>
      <c r="M241">
        <f t="shared" si="46"/>
        <v>412</v>
      </c>
      <c r="N241">
        <f t="shared" si="47"/>
        <v>0</v>
      </c>
      <c r="O241">
        <f t="shared" si="48"/>
        <v>0</v>
      </c>
      <c r="P241">
        <f t="shared" si="49"/>
        <v>412</v>
      </c>
      <c r="Q241">
        <f t="shared" si="50"/>
        <v>0</v>
      </c>
      <c r="R241">
        <f t="shared" si="51"/>
        <v>0</v>
      </c>
    </row>
    <row r="242" spans="1:18" x14ac:dyDescent="0.3">
      <c r="A242" s="1">
        <v>41713</v>
      </c>
      <c r="B242" s="1">
        <v>41728</v>
      </c>
      <c r="C242">
        <v>16.940000000000001</v>
      </c>
      <c r="D242">
        <v>0.45</v>
      </c>
      <c r="E242">
        <v>2</v>
      </c>
      <c r="F242">
        <f t="shared" si="39"/>
        <v>15</v>
      </c>
      <c r="G242">
        <f t="shared" si="40"/>
        <v>0</v>
      </c>
      <c r="H242">
        <f t="shared" si="41"/>
        <v>0</v>
      </c>
      <c r="I242">
        <f t="shared" si="42"/>
        <v>0</v>
      </c>
      <c r="J242">
        <f t="shared" si="43"/>
        <v>0</v>
      </c>
      <c r="K242">
        <f t="shared" si="44"/>
        <v>300</v>
      </c>
      <c r="L242">
        <f t="shared" si="45"/>
        <v>17.39</v>
      </c>
      <c r="M242">
        <f t="shared" si="46"/>
        <v>317.39</v>
      </c>
      <c r="N242">
        <f t="shared" si="47"/>
        <v>317.39</v>
      </c>
      <c r="O242">
        <f t="shared" si="48"/>
        <v>0</v>
      </c>
      <c r="P242">
        <f t="shared" si="49"/>
        <v>0</v>
      </c>
      <c r="Q242">
        <f t="shared" si="50"/>
        <v>0</v>
      </c>
      <c r="R242">
        <f t="shared" si="51"/>
        <v>0</v>
      </c>
    </row>
    <row r="243" spans="1:18" x14ac:dyDescent="0.3">
      <c r="A243" s="1">
        <v>41713</v>
      </c>
      <c r="B243" s="1">
        <v>41733</v>
      </c>
      <c r="C243">
        <v>14</v>
      </c>
      <c r="D243">
        <v>0.37</v>
      </c>
      <c r="E243">
        <v>4</v>
      </c>
      <c r="F243">
        <f t="shared" si="39"/>
        <v>0</v>
      </c>
      <c r="G243">
        <f t="shared" si="40"/>
        <v>0</v>
      </c>
      <c r="H243">
        <f t="shared" si="41"/>
        <v>20</v>
      </c>
      <c r="I243">
        <f t="shared" si="42"/>
        <v>0</v>
      </c>
      <c r="J243">
        <f t="shared" si="43"/>
        <v>0</v>
      </c>
      <c r="K243">
        <f t="shared" si="44"/>
        <v>800</v>
      </c>
      <c r="L243">
        <f t="shared" si="45"/>
        <v>14.37</v>
      </c>
      <c r="M243">
        <f t="shared" si="46"/>
        <v>814.37</v>
      </c>
      <c r="N243">
        <f t="shared" si="47"/>
        <v>0</v>
      </c>
      <c r="O243">
        <f t="shared" si="48"/>
        <v>0</v>
      </c>
      <c r="P243">
        <f t="shared" si="49"/>
        <v>814.37</v>
      </c>
      <c r="Q243">
        <f t="shared" si="50"/>
        <v>0</v>
      </c>
      <c r="R243">
        <f t="shared" si="51"/>
        <v>0</v>
      </c>
    </row>
    <row r="244" spans="1:18" x14ac:dyDescent="0.3">
      <c r="A244" s="1">
        <v>41715</v>
      </c>
      <c r="B244" s="1">
        <v>41743</v>
      </c>
      <c r="C244">
        <v>8.84</v>
      </c>
      <c r="D244">
        <v>0.23</v>
      </c>
      <c r="E244">
        <v>2</v>
      </c>
      <c r="F244">
        <f t="shared" si="39"/>
        <v>28</v>
      </c>
      <c r="G244">
        <f t="shared" si="40"/>
        <v>0</v>
      </c>
      <c r="H244">
        <f t="shared" si="41"/>
        <v>0</v>
      </c>
      <c r="I244">
        <f t="shared" si="42"/>
        <v>0</v>
      </c>
      <c r="J244">
        <f t="shared" si="43"/>
        <v>0</v>
      </c>
      <c r="K244">
        <f t="shared" si="44"/>
        <v>560</v>
      </c>
      <c r="L244">
        <f t="shared" si="45"/>
        <v>9.07</v>
      </c>
      <c r="M244">
        <f t="shared" si="46"/>
        <v>569.07000000000005</v>
      </c>
      <c r="N244">
        <f t="shared" si="47"/>
        <v>569.07000000000005</v>
      </c>
      <c r="O244">
        <f t="shared" si="48"/>
        <v>0</v>
      </c>
      <c r="P244">
        <f t="shared" si="49"/>
        <v>0</v>
      </c>
      <c r="Q244">
        <f t="shared" si="50"/>
        <v>0</v>
      </c>
      <c r="R244">
        <f t="shared" si="51"/>
        <v>0</v>
      </c>
    </row>
    <row r="245" spans="1:18" x14ac:dyDescent="0.3">
      <c r="A245" s="1">
        <v>41715</v>
      </c>
      <c r="B245" s="1">
        <v>41734</v>
      </c>
      <c r="C245">
        <v>6.75</v>
      </c>
      <c r="D245">
        <v>0.18</v>
      </c>
      <c r="E245">
        <v>4</v>
      </c>
      <c r="F245">
        <f t="shared" si="39"/>
        <v>0</v>
      </c>
      <c r="G245">
        <f t="shared" si="40"/>
        <v>0</v>
      </c>
      <c r="H245">
        <f t="shared" si="41"/>
        <v>19</v>
      </c>
      <c r="I245">
        <f t="shared" si="42"/>
        <v>0</v>
      </c>
      <c r="J245">
        <f t="shared" si="43"/>
        <v>0</v>
      </c>
      <c r="K245">
        <f t="shared" si="44"/>
        <v>760</v>
      </c>
      <c r="L245">
        <f t="shared" si="45"/>
        <v>6.93</v>
      </c>
      <c r="M245">
        <f t="shared" si="46"/>
        <v>766.93</v>
      </c>
      <c r="N245">
        <f t="shared" si="47"/>
        <v>0</v>
      </c>
      <c r="O245">
        <f t="shared" si="48"/>
        <v>0</v>
      </c>
      <c r="P245">
        <f t="shared" si="49"/>
        <v>766.93</v>
      </c>
      <c r="Q245">
        <f t="shared" si="50"/>
        <v>0</v>
      </c>
      <c r="R245">
        <f t="shared" si="51"/>
        <v>0</v>
      </c>
    </row>
    <row r="246" spans="1:18" x14ac:dyDescent="0.3">
      <c r="A246" s="1">
        <v>41715</v>
      </c>
      <c r="B246" s="1">
        <v>41728</v>
      </c>
      <c r="C246">
        <v>6.23</v>
      </c>
      <c r="D246">
        <v>0.16</v>
      </c>
      <c r="E246">
        <v>5</v>
      </c>
      <c r="F246">
        <f t="shared" si="39"/>
        <v>0</v>
      </c>
      <c r="G246">
        <f t="shared" si="40"/>
        <v>0</v>
      </c>
      <c r="H246">
        <f t="shared" si="41"/>
        <v>0</v>
      </c>
      <c r="I246">
        <f t="shared" si="42"/>
        <v>13</v>
      </c>
      <c r="J246">
        <f t="shared" si="43"/>
        <v>0</v>
      </c>
      <c r="K246">
        <f t="shared" si="44"/>
        <v>650</v>
      </c>
      <c r="L246">
        <f t="shared" si="45"/>
        <v>6.3900000000000006</v>
      </c>
      <c r="M246">
        <f t="shared" si="46"/>
        <v>656.39</v>
      </c>
      <c r="N246">
        <f t="shared" si="47"/>
        <v>0</v>
      </c>
      <c r="O246">
        <f t="shared" si="48"/>
        <v>0</v>
      </c>
      <c r="P246">
        <f t="shared" si="49"/>
        <v>0</v>
      </c>
      <c r="Q246">
        <f t="shared" si="50"/>
        <v>656.39</v>
      </c>
      <c r="R246">
        <f t="shared" si="51"/>
        <v>0</v>
      </c>
    </row>
    <row r="247" spans="1:18" x14ac:dyDescent="0.3">
      <c r="A247" s="1">
        <v>41715</v>
      </c>
      <c r="B247" s="1">
        <v>41741</v>
      </c>
      <c r="C247">
        <v>8.7200000000000006</v>
      </c>
      <c r="D247">
        <v>0.23</v>
      </c>
      <c r="E247">
        <v>6</v>
      </c>
      <c r="F247">
        <f t="shared" si="39"/>
        <v>0</v>
      </c>
      <c r="G247">
        <f t="shared" si="40"/>
        <v>0</v>
      </c>
      <c r="H247">
        <f t="shared" si="41"/>
        <v>0</v>
      </c>
      <c r="I247">
        <f t="shared" si="42"/>
        <v>0</v>
      </c>
      <c r="J247">
        <f t="shared" si="43"/>
        <v>26</v>
      </c>
      <c r="K247">
        <f t="shared" si="44"/>
        <v>1560</v>
      </c>
      <c r="L247">
        <f t="shared" si="45"/>
        <v>8.9500000000000011</v>
      </c>
      <c r="M247">
        <f t="shared" si="46"/>
        <v>1568.95</v>
      </c>
      <c r="N247">
        <f t="shared" si="47"/>
        <v>0</v>
      </c>
      <c r="O247">
        <f t="shared" si="48"/>
        <v>0</v>
      </c>
      <c r="P247">
        <f t="shared" si="49"/>
        <v>0</v>
      </c>
      <c r="Q247">
        <f t="shared" si="50"/>
        <v>0</v>
      </c>
      <c r="R247">
        <f t="shared" si="51"/>
        <v>1568.95</v>
      </c>
    </row>
    <row r="248" spans="1:18" x14ac:dyDescent="0.3">
      <c r="A248" s="1">
        <v>41716</v>
      </c>
      <c r="B248" s="1">
        <v>41719</v>
      </c>
      <c r="C248">
        <v>6.34</v>
      </c>
      <c r="D248">
        <v>0.17</v>
      </c>
      <c r="E248">
        <v>5</v>
      </c>
      <c r="F248">
        <f t="shared" si="39"/>
        <v>0</v>
      </c>
      <c r="G248">
        <f t="shared" si="40"/>
        <v>0</v>
      </c>
      <c r="H248">
        <f t="shared" si="41"/>
        <v>0</v>
      </c>
      <c r="I248">
        <f t="shared" si="42"/>
        <v>3</v>
      </c>
      <c r="J248">
        <f t="shared" si="43"/>
        <v>0</v>
      </c>
      <c r="K248">
        <f t="shared" si="44"/>
        <v>150</v>
      </c>
      <c r="L248">
        <f t="shared" si="45"/>
        <v>6.51</v>
      </c>
      <c r="M248">
        <f t="shared" si="46"/>
        <v>156.51</v>
      </c>
      <c r="N248">
        <f t="shared" si="47"/>
        <v>0</v>
      </c>
      <c r="O248">
        <f t="shared" si="48"/>
        <v>0</v>
      </c>
      <c r="P248">
        <f t="shared" si="49"/>
        <v>0</v>
      </c>
      <c r="Q248">
        <f t="shared" si="50"/>
        <v>156.51</v>
      </c>
      <c r="R248">
        <f t="shared" si="51"/>
        <v>0</v>
      </c>
    </row>
    <row r="249" spans="1:18" x14ac:dyDescent="0.3">
      <c r="A249" s="1">
        <v>41716</v>
      </c>
      <c r="B249" s="1">
        <v>41734</v>
      </c>
      <c r="C249">
        <v>2.29</v>
      </c>
      <c r="D249">
        <v>0.06</v>
      </c>
      <c r="E249">
        <v>4</v>
      </c>
      <c r="F249">
        <f t="shared" si="39"/>
        <v>0</v>
      </c>
      <c r="G249">
        <f t="shared" si="40"/>
        <v>0</v>
      </c>
      <c r="H249">
        <f t="shared" si="41"/>
        <v>18</v>
      </c>
      <c r="I249">
        <f t="shared" si="42"/>
        <v>0</v>
      </c>
      <c r="J249">
        <f t="shared" si="43"/>
        <v>0</v>
      </c>
      <c r="K249">
        <f t="shared" si="44"/>
        <v>720</v>
      </c>
      <c r="L249">
        <f t="shared" si="45"/>
        <v>2.35</v>
      </c>
      <c r="M249">
        <f t="shared" si="46"/>
        <v>722.35</v>
      </c>
      <c r="N249">
        <f t="shared" si="47"/>
        <v>0</v>
      </c>
      <c r="O249">
        <f t="shared" si="48"/>
        <v>0</v>
      </c>
      <c r="P249">
        <f t="shared" si="49"/>
        <v>722.35</v>
      </c>
      <c r="Q249">
        <f t="shared" si="50"/>
        <v>0</v>
      </c>
      <c r="R249">
        <f t="shared" si="51"/>
        <v>0</v>
      </c>
    </row>
    <row r="250" spans="1:18" x14ac:dyDescent="0.3">
      <c r="A250" s="1">
        <v>41716</v>
      </c>
      <c r="B250" s="1">
        <v>41734</v>
      </c>
      <c r="C250">
        <v>4.25</v>
      </c>
      <c r="D250">
        <v>0.11</v>
      </c>
      <c r="E250">
        <v>4</v>
      </c>
      <c r="F250">
        <f t="shared" si="39"/>
        <v>0</v>
      </c>
      <c r="G250">
        <f t="shared" si="40"/>
        <v>0</v>
      </c>
      <c r="H250">
        <f t="shared" si="41"/>
        <v>18</v>
      </c>
      <c r="I250">
        <f t="shared" si="42"/>
        <v>0</v>
      </c>
      <c r="J250">
        <f t="shared" si="43"/>
        <v>0</v>
      </c>
      <c r="K250">
        <f t="shared" si="44"/>
        <v>720</v>
      </c>
      <c r="L250">
        <f t="shared" si="45"/>
        <v>4.3600000000000003</v>
      </c>
      <c r="M250">
        <f t="shared" si="46"/>
        <v>724.36</v>
      </c>
      <c r="N250">
        <f t="shared" si="47"/>
        <v>0</v>
      </c>
      <c r="O250">
        <f t="shared" si="48"/>
        <v>0</v>
      </c>
      <c r="P250">
        <f t="shared" si="49"/>
        <v>724.36</v>
      </c>
      <c r="Q250">
        <f t="shared" si="50"/>
        <v>0</v>
      </c>
      <c r="R250">
        <f t="shared" si="51"/>
        <v>0</v>
      </c>
    </row>
    <row r="251" spans="1:18" x14ac:dyDescent="0.3">
      <c r="A251" s="1">
        <v>41719</v>
      </c>
      <c r="B251" s="1">
        <v>41742</v>
      </c>
      <c r="C251">
        <v>16.55</v>
      </c>
      <c r="D251">
        <v>0.44</v>
      </c>
      <c r="E251">
        <v>5</v>
      </c>
      <c r="F251">
        <f t="shared" si="39"/>
        <v>0</v>
      </c>
      <c r="G251">
        <f t="shared" si="40"/>
        <v>0</v>
      </c>
      <c r="H251">
        <f t="shared" si="41"/>
        <v>0</v>
      </c>
      <c r="I251">
        <f t="shared" si="42"/>
        <v>23</v>
      </c>
      <c r="J251">
        <f t="shared" si="43"/>
        <v>0</v>
      </c>
      <c r="K251">
        <f t="shared" si="44"/>
        <v>1150</v>
      </c>
      <c r="L251">
        <f t="shared" si="45"/>
        <v>16.990000000000002</v>
      </c>
      <c r="M251">
        <f t="shared" si="46"/>
        <v>1166.99</v>
      </c>
      <c r="N251">
        <f t="shared" si="47"/>
        <v>0</v>
      </c>
      <c r="O251">
        <f t="shared" si="48"/>
        <v>0</v>
      </c>
      <c r="P251">
        <f t="shared" si="49"/>
        <v>0</v>
      </c>
      <c r="Q251">
        <f t="shared" si="50"/>
        <v>1166.99</v>
      </c>
      <c r="R251">
        <f t="shared" si="51"/>
        <v>0</v>
      </c>
    </row>
    <row r="252" spans="1:18" x14ac:dyDescent="0.3">
      <c r="A252" s="1">
        <v>41719</v>
      </c>
      <c r="B252" s="1">
        <v>41745</v>
      </c>
      <c r="C252">
        <v>7.55</v>
      </c>
      <c r="D252">
        <v>0.2</v>
      </c>
      <c r="E252">
        <v>3</v>
      </c>
      <c r="F252">
        <f t="shared" si="39"/>
        <v>0</v>
      </c>
      <c r="G252">
        <f t="shared" si="40"/>
        <v>26</v>
      </c>
      <c r="H252">
        <f t="shared" si="41"/>
        <v>0</v>
      </c>
      <c r="I252">
        <f t="shared" si="42"/>
        <v>0</v>
      </c>
      <c r="J252">
        <f t="shared" si="43"/>
        <v>0</v>
      </c>
      <c r="K252">
        <f t="shared" si="44"/>
        <v>780</v>
      </c>
      <c r="L252">
        <f t="shared" si="45"/>
        <v>7.75</v>
      </c>
      <c r="M252">
        <f t="shared" si="46"/>
        <v>787.75</v>
      </c>
      <c r="N252">
        <f t="shared" si="47"/>
        <v>0</v>
      </c>
      <c r="O252">
        <f t="shared" si="48"/>
        <v>787.75</v>
      </c>
      <c r="P252">
        <f t="shared" si="49"/>
        <v>0</v>
      </c>
      <c r="Q252">
        <f t="shared" si="50"/>
        <v>0</v>
      </c>
      <c r="R252">
        <f t="shared" si="51"/>
        <v>0</v>
      </c>
    </row>
    <row r="253" spans="1:18" x14ac:dyDescent="0.3">
      <c r="A253" s="1">
        <v>41719</v>
      </c>
      <c r="B253" s="1">
        <v>41731</v>
      </c>
      <c r="C253">
        <v>16.55</v>
      </c>
      <c r="D253">
        <v>0.44</v>
      </c>
      <c r="E253">
        <v>5</v>
      </c>
      <c r="F253">
        <f t="shared" si="39"/>
        <v>0</v>
      </c>
      <c r="G253">
        <f t="shared" si="40"/>
        <v>0</v>
      </c>
      <c r="H253">
        <f t="shared" si="41"/>
        <v>0</v>
      </c>
      <c r="I253">
        <f t="shared" si="42"/>
        <v>12</v>
      </c>
      <c r="J253">
        <f t="shared" si="43"/>
        <v>0</v>
      </c>
      <c r="K253">
        <f t="shared" si="44"/>
        <v>600</v>
      </c>
      <c r="L253">
        <f t="shared" si="45"/>
        <v>16.990000000000002</v>
      </c>
      <c r="M253">
        <f t="shared" si="46"/>
        <v>616.99</v>
      </c>
      <c r="N253">
        <f t="shared" si="47"/>
        <v>0</v>
      </c>
      <c r="O253">
        <f t="shared" si="48"/>
        <v>0</v>
      </c>
      <c r="P253">
        <f t="shared" si="49"/>
        <v>0</v>
      </c>
      <c r="Q253">
        <f t="shared" si="50"/>
        <v>616.99</v>
      </c>
      <c r="R253">
        <f t="shared" si="51"/>
        <v>0</v>
      </c>
    </row>
    <row r="254" spans="1:18" x14ac:dyDescent="0.3">
      <c r="A254" s="1">
        <v>41719</v>
      </c>
      <c r="B254" s="1">
        <v>41739</v>
      </c>
      <c r="C254">
        <v>3.79</v>
      </c>
      <c r="D254">
        <v>0.1</v>
      </c>
      <c r="E254">
        <v>3</v>
      </c>
      <c r="F254">
        <f t="shared" si="39"/>
        <v>0</v>
      </c>
      <c r="G254">
        <f t="shared" si="40"/>
        <v>20</v>
      </c>
      <c r="H254">
        <f t="shared" si="41"/>
        <v>0</v>
      </c>
      <c r="I254">
        <f t="shared" si="42"/>
        <v>0</v>
      </c>
      <c r="J254">
        <f t="shared" si="43"/>
        <v>0</v>
      </c>
      <c r="K254">
        <f t="shared" si="44"/>
        <v>600</v>
      </c>
      <c r="L254">
        <f t="shared" si="45"/>
        <v>3.89</v>
      </c>
      <c r="M254">
        <f t="shared" si="46"/>
        <v>603.89</v>
      </c>
      <c r="N254">
        <f t="shared" si="47"/>
        <v>0</v>
      </c>
      <c r="O254">
        <f t="shared" si="48"/>
        <v>603.89</v>
      </c>
      <c r="P254">
        <f t="shared" si="49"/>
        <v>0</v>
      </c>
      <c r="Q254">
        <f t="shared" si="50"/>
        <v>0</v>
      </c>
      <c r="R254">
        <f t="shared" si="51"/>
        <v>0</v>
      </c>
    </row>
    <row r="255" spans="1:18" x14ac:dyDescent="0.3">
      <c r="A255" s="1">
        <v>41719</v>
      </c>
      <c r="B255" s="1">
        <v>41725</v>
      </c>
      <c r="C255">
        <v>8.51</v>
      </c>
      <c r="D255">
        <v>0.22</v>
      </c>
      <c r="E255">
        <v>6</v>
      </c>
      <c r="F255">
        <f t="shared" si="39"/>
        <v>0</v>
      </c>
      <c r="G255">
        <f t="shared" si="40"/>
        <v>0</v>
      </c>
      <c r="H255">
        <f t="shared" si="41"/>
        <v>0</v>
      </c>
      <c r="I255">
        <f t="shared" si="42"/>
        <v>0</v>
      </c>
      <c r="J255">
        <f t="shared" si="43"/>
        <v>6</v>
      </c>
      <c r="K255">
        <f t="shared" si="44"/>
        <v>360</v>
      </c>
      <c r="L255">
        <f t="shared" si="45"/>
        <v>8.73</v>
      </c>
      <c r="M255">
        <f t="shared" si="46"/>
        <v>368.73</v>
      </c>
      <c r="N255">
        <f t="shared" si="47"/>
        <v>0</v>
      </c>
      <c r="O255">
        <f t="shared" si="48"/>
        <v>0</v>
      </c>
      <c r="P255">
        <f t="shared" si="49"/>
        <v>0</v>
      </c>
      <c r="Q255">
        <f t="shared" si="50"/>
        <v>0</v>
      </c>
      <c r="R255">
        <f t="shared" si="51"/>
        <v>368.73</v>
      </c>
    </row>
    <row r="256" spans="1:18" x14ac:dyDescent="0.3">
      <c r="A256" s="1">
        <v>41719</v>
      </c>
      <c r="B256" s="1">
        <v>41724</v>
      </c>
      <c r="C256">
        <v>7.71</v>
      </c>
      <c r="D256">
        <v>0.2</v>
      </c>
      <c r="E256">
        <v>2</v>
      </c>
      <c r="F256">
        <f t="shared" si="39"/>
        <v>5</v>
      </c>
      <c r="G256">
        <f t="shared" si="40"/>
        <v>0</v>
      </c>
      <c r="H256">
        <f t="shared" si="41"/>
        <v>0</v>
      </c>
      <c r="I256">
        <f t="shared" si="42"/>
        <v>0</v>
      </c>
      <c r="J256">
        <f t="shared" si="43"/>
        <v>0</v>
      </c>
      <c r="K256">
        <f t="shared" si="44"/>
        <v>100</v>
      </c>
      <c r="L256">
        <f t="shared" si="45"/>
        <v>7.91</v>
      </c>
      <c r="M256">
        <f t="shared" si="46"/>
        <v>107.91</v>
      </c>
      <c r="N256">
        <f t="shared" si="47"/>
        <v>107.91</v>
      </c>
      <c r="O256">
        <f t="shared" si="48"/>
        <v>0</v>
      </c>
      <c r="P256">
        <f t="shared" si="49"/>
        <v>0</v>
      </c>
      <c r="Q256">
        <f t="shared" si="50"/>
        <v>0</v>
      </c>
      <c r="R256">
        <f t="shared" si="51"/>
        <v>0</v>
      </c>
    </row>
    <row r="257" spans="1:18" x14ac:dyDescent="0.3">
      <c r="A257" s="1">
        <v>41725</v>
      </c>
      <c r="B257" s="1">
        <v>41742</v>
      </c>
      <c r="C257">
        <v>3.79</v>
      </c>
      <c r="D257">
        <v>0.1</v>
      </c>
      <c r="E257">
        <v>2</v>
      </c>
      <c r="F257">
        <f t="shared" si="39"/>
        <v>17</v>
      </c>
      <c r="G257">
        <f t="shared" si="40"/>
        <v>0</v>
      </c>
      <c r="H257">
        <f t="shared" si="41"/>
        <v>0</v>
      </c>
      <c r="I257">
        <f t="shared" si="42"/>
        <v>0</v>
      </c>
      <c r="J257">
        <f t="shared" si="43"/>
        <v>0</v>
      </c>
      <c r="K257">
        <f t="shared" si="44"/>
        <v>340</v>
      </c>
      <c r="L257">
        <f t="shared" si="45"/>
        <v>3.89</v>
      </c>
      <c r="M257">
        <f t="shared" si="46"/>
        <v>343.89</v>
      </c>
      <c r="N257">
        <f t="shared" si="47"/>
        <v>343.89</v>
      </c>
      <c r="O257">
        <f t="shared" si="48"/>
        <v>0</v>
      </c>
      <c r="P257">
        <f t="shared" si="49"/>
        <v>0</v>
      </c>
      <c r="Q257">
        <f t="shared" si="50"/>
        <v>0</v>
      </c>
      <c r="R257">
        <f t="shared" si="51"/>
        <v>0</v>
      </c>
    </row>
    <row r="258" spans="1:18" x14ac:dyDescent="0.3">
      <c r="A258" s="1">
        <v>41725</v>
      </c>
      <c r="B258" s="1">
        <v>41747</v>
      </c>
      <c r="C258">
        <v>16.55</v>
      </c>
      <c r="D258">
        <v>0.44</v>
      </c>
      <c r="E258">
        <v>4</v>
      </c>
      <c r="F258">
        <f t="shared" si="39"/>
        <v>0</v>
      </c>
      <c r="G258">
        <f t="shared" si="40"/>
        <v>0</v>
      </c>
      <c r="H258">
        <f t="shared" si="41"/>
        <v>22</v>
      </c>
      <c r="I258">
        <f t="shared" si="42"/>
        <v>0</v>
      </c>
      <c r="J258">
        <f t="shared" si="43"/>
        <v>0</v>
      </c>
      <c r="K258">
        <f t="shared" si="44"/>
        <v>880</v>
      </c>
      <c r="L258">
        <f t="shared" si="45"/>
        <v>16.990000000000002</v>
      </c>
      <c r="M258">
        <f t="shared" si="46"/>
        <v>896.99</v>
      </c>
      <c r="N258">
        <f t="shared" si="47"/>
        <v>0</v>
      </c>
      <c r="O258">
        <f t="shared" si="48"/>
        <v>0</v>
      </c>
      <c r="P258">
        <f t="shared" si="49"/>
        <v>896.99</v>
      </c>
      <c r="Q258">
        <f t="shared" si="50"/>
        <v>0</v>
      </c>
      <c r="R258">
        <f t="shared" si="51"/>
        <v>0</v>
      </c>
    </row>
    <row r="259" spans="1:18" x14ac:dyDescent="0.3">
      <c r="A259" s="1">
        <v>41725</v>
      </c>
      <c r="B259" s="1">
        <v>41728</v>
      </c>
      <c r="C259">
        <v>10.19</v>
      </c>
      <c r="D259">
        <v>0.27</v>
      </c>
      <c r="E259">
        <v>5</v>
      </c>
      <c r="F259">
        <f t="shared" ref="F259:F322" si="52">IF(EXACT(E259,2),B259-A259,0)</f>
        <v>0</v>
      </c>
      <c r="G259">
        <f t="shared" ref="G259:G322" si="53">IF(EXACT(E259,3),B259-A259,0)</f>
        <v>0</v>
      </c>
      <c r="H259">
        <f t="shared" ref="H259:H322" si="54">IF(EXACT(E259,4),B259-A259,0)</f>
        <v>0</v>
      </c>
      <c r="I259">
        <f t="shared" ref="I259:I322" si="55">IF(EXACT(E259,5),B259-A259,0)</f>
        <v>3</v>
      </c>
      <c r="J259">
        <f t="shared" ref="J259:J322" si="56">IF(EXACT(E259,6),B259-A259,0)</f>
        <v>0</v>
      </c>
      <c r="K259">
        <f t="shared" ref="K259:K322" si="57">10 * E259 * (F259+G259+H259+I259+J259)</f>
        <v>150</v>
      </c>
      <c r="L259">
        <f t="shared" ref="L259:L322" si="58">C259+D259</f>
        <v>10.459999999999999</v>
      </c>
      <c r="M259">
        <f t="shared" ref="M259:M322" si="59">K259+L259</f>
        <v>160.46</v>
      </c>
      <c r="N259">
        <f t="shared" ref="N259:N322" si="60">IF(EXACT(E259,2),M259,0)</f>
        <v>0</v>
      </c>
      <c r="O259">
        <f t="shared" ref="O259:O322" si="61">IF(EXACT(E259,3),M259,0)</f>
        <v>0</v>
      </c>
      <c r="P259">
        <f t="shared" ref="P259:P322" si="62">IF(EXACT(E259,4),M259,0)</f>
        <v>0</v>
      </c>
      <c r="Q259">
        <f t="shared" ref="Q259:Q322" si="63">IF(EXACT(E259,5),M259,0)</f>
        <v>160.46</v>
      </c>
      <c r="R259">
        <f t="shared" ref="R259:R322" si="64">IF(EXACT(E259,6),M259,0)</f>
        <v>0</v>
      </c>
    </row>
    <row r="260" spans="1:18" x14ac:dyDescent="0.3">
      <c r="A260" s="1">
        <v>41725</v>
      </c>
      <c r="B260" s="1">
        <v>41731</v>
      </c>
      <c r="C260">
        <v>8.39</v>
      </c>
      <c r="D260">
        <v>0.22</v>
      </c>
      <c r="E260">
        <v>5</v>
      </c>
      <c r="F260">
        <f t="shared" si="52"/>
        <v>0</v>
      </c>
      <c r="G260">
        <f t="shared" si="53"/>
        <v>0</v>
      </c>
      <c r="H260">
        <f t="shared" si="54"/>
        <v>0</v>
      </c>
      <c r="I260">
        <f t="shared" si="55"/>
        <v>6</v>
      </c>
      <c r="J260">
        <f t="shared" si="56"/>
        <v>0</v>
      </c>
      <c r="K260">
        <f t="shared" si="57"/>
        <v>300</v>
      </c>
      <c r="L260">
        <f t="shared" si="58"/>
        <v>8.6100000000000012</v>
      </c>
      <c r="M260">
        <f t="shared" si="59"/>
        <v>308.61</v>
      </c>
      <c r="N260">
        <f t="shared" si="60"/>
        <v>0</v>
      </c>
      <c r="O260">
        <f t="shared" si="61"/>
        <v>0</v>
      </c>
      <c r="P260">
        <f t="shared" si="62"/>
        <v>0</v>
      </c>
      <c r="Q260">
        <f t="shared" si="63"/>
        <v>308.61</v>
      </c>
      <c r="R260">
        <f t="shared" si="64"/>
        <v>0</v>
      </c>
    </row>
    <row r="261" spans="1:18" x14ac:dyDescent="0.3">
      <c r="A261" s="1">
        <v>41725</v>
      </c>
      <c r="B261" s="1">
        <v>41752</v>
      </c>
      <c r="C261">
        <v>8.89</v>
      </c>
      <c r="D261">
        <v>0.23</v>
      </c>
      <c r="E261">
        <v>2</v>
      </c>
      <c r="F261">
        <f t="shared" si="52"/>
        <v>27</v>
      </c>
      <c r="G261">
        <f t="shared" si="53"/>
        <v>0</v>
      </c>
      <c r="H261">
        <f t="shared" si="54"/>
        <v>0</v>
      </c>
      <c r="I261">
        <f t="shared" si="55"/>
        <v>0</v>
      </c>
      <c r="J261">
        <f t="shared" si="56"/>
        <v>0</v>
      </c>
      <c r="K261">
        <f t="shared" si="57"/>
        <v>540</v>
      </c>
      <c r="L261">
        <f t="shared" si="58"/>
        <v>9.120000000000001</v>
      </c>
      <c r="M261">
        <f t="shared" si="59"/>
        <v>549.12</v>
      </c>
      <c r="N261">
        <f t="shared" si="60"/>
        <v>549.12</v>
      </c>
      <c r="O261">
        <f t="shared" si="61"/>
        <v>0</v>
      </c>
      <c r="P261">
        <f t="shared" si="62"/>
        <v>0</v>
      </c>
      <c r="Q261">
        <f t="shared" si="63"/>
        <v>0</v>
      </c>
      <c r="R261">
        <f t="shared" si="64"/>
        <v>0</v>
      </c>
    </row>
    <row r="262" spans="1:18" x14ac:dyDescent="0.3">
      <c r="A262" s="1">
        <v>41725</v>
      </c>
      <c r="B262" s="1">
        <v>41748</v>
      </c>
      <c r="C262">
        <v>7.35</v>
      </c>
      <c r="D262">
        <v>0.19</v>
      </c>
      <c r="E262">
        <v>2</v>
      </c>
      <c r="F262">
        <f t="shared" si="52"/>
        <v>23</v>
      </c>
      <c r="G262">
        <f t="shared" si="53"/>
        <v>0</v>
      </c>
      <c r="H262">
        <f t="shared" si="54"/>
        <v>0</v>
      </c>
      <c r="I262">
        <f t="shared" si="55"/>
        <v>0</v>
      </c>
      <c r="J262">
        <f t="shared" si="56"/>
        <v>0</v>
      </c>
      <c r="K262">
        <f t="shared" si="57"/>
        <v>460</v>
      </c>
      <c r="L262">
        <f t="shared" si="58"/>
        <v>7.54</v>
      </c>
      <c r="M262">
        <f t="shared" si="59"/>
        <v>467.54</v>
      </c>
      <c r="N262">
        <f t="shared" si="60"/>
        <v>467.54</v>
      </c>
      <c r="O262">
        <f t="shared" si="61"/>
        <v>0</v>
      </c>
      <c r="P262">
        <f t="shared" si="62"/>
        <v>0</v>
      </c>
      <c r="Q262">
        <f t="shared" si="63"/>
        <v>0</v>
      </c>
      <c r="R262">
        <f t="shared" si="64"/>
        <v>0</v>
      </c>
    </row>
    <row r="263" spans="1:18" x14ac:dyDescent="0.3">
      <c r="A263" s="1">
        <v>41731</v>
      </c>
      <c r="B263" s="1">
        <v>41740</v>
      </c>
      <c r="C263">
        <v>6.88</v>
      </c>
      <c r="D263">
        <v>0.18</v>
      </c>
      <c r="E263">
        <v>4</v>
      </c>
      <c r="F263">
        <f t="shared" si="52"/>
        <v>0</v>
      </c>
      <c r="G263">
        <f t="shared" si="53"/>
        <v>0</v>
      </c>
      <c r="H263">
        <f t="shared" si="54"/>
        <v>9</v>
      </c>
      <c r="I263">
        <f t="shared" si="55"/>
        <v>0</v>
      </c>
      <c r="J263">
        <f t="shared" si="56"/>
        <v>0</v>
      </c>
      <c r="K263">
        <f t="shared" si="57"/>
        <v>360</v>
      </c>
      <c r="L263">
        <f t="shared" si="58"/>
        <v>7.06</v>
      </c>
      <c r="M263">
        <f t="shared" si="59"/>
        <v>367.06</v>
      </c>
      <c r="N263">
        <f t="shared" si="60"/>
        <v>0</v>
      </c>
      <c r="O263">
        <f t="shared" si="61"/>
        <v>0</v>
      </c>
      <c r="P263">
        <f t="shared" si="62"/>
        <v>367.06</v>
      </c>
      <c r="Q263">
        <f t="shared" si="63"/>
        <v>0</v>
      </c>
      <c r="R263">
        <f t="shared" si="64"/>
        <v>0</v>
      </c>
    </row>
    <row r="264" spans="1:18" x14ac:dyDescent="0.3">
      <c r="A264" s="1">
        <v>41731</v>
      </c>
      <c r="B264" s="1">
        <v>41740</v>
      </c>
      <c r="C264">
        <v>13.02</v>
      </c>
      <c r="D264">
        <v>0.34</v>
      </c>
      <c r="E264">
        <v>3</v>
      </c>
      <c r="F264">
        <f t="shared" si="52"/>
        <v>0</v>
      </c>
      <c r="G264">
        <f t="shared" si="53"/>
        <v>9</v>
      </c>
      <c r="H264">
        <f t="shared" si="54"/>
        <v>0</v>
      </c>
      <c r="I264">
        <f t="shared" si="55"/>
        <v>0</v>
      </c>
      <c r="J264">
        <f t="shared" si="56"/>
        <v>0</v>
      </c>
      <c r="K264">
        <f t="shared" si="57"/>
        <v>270</v>
      </c>
      <c r="L264">
        <f t="shared" si="58"/>
        <v>13.36</v>
      </c>
      <c r="M264">
        <f t="shared" si="59"/>
        <v>283.36</v>
      </c>
      <c r="N264">
        <f t="shared" si="60"/>
        <v>0</v>
      </c>
      <c r="O264">
        <f t="shared" si="61"/>
        <v>283.36</v>
      </c>
      <c r="P264">
        <f t="shared" si="62"/>
        <v>0</v>
      </c>
      <c r="Q264">
        <f t="shared" si="63"/>
        <v>0</v>
      </c>
      <c r="R264">
        <f t="shared" si="64"/>
        <v>0</v>
      </c>
    </row>
    <row r="265" spans="1:18" x14ac:dyDescent="0.3">
      <c r="A265" s="1">
        <v>41731</v>
      </c>
      <c r="B265" s="1">
        <v>41750</v>
      </c>
      <c r="C265">
        <v>10.59</v>
      </c>
      <c r="D265">
        <v>0.28000000000000003</v>
      </c>
      <c r="E265">
        <v>3</v>
      </c>
      <c r="F265">
        <f t="shared" si="52"/>
        <v>0</v>
      </c>
      <c r="G265">
        <f t="shared" si="53"/>
        <v>19</v>
      </c>
      <c r="H265">
        <f t="shared" si="54"/>
        <v>0</v>
      </c>
      <c r="I265">
        <f t="shared" si="55"/>
        <v>0</v>
      </c>
      <c r="J265">
        <f t="shared" si="56"/>
        <v>0</v>
      </c>
      <c r="K265">
        <f t="shared" si="57"/>
        <v>570</v>
      </c>
      <c r="L265">
        <f t="shared" si="58"/>
        <v>10.87</v>
      </c>
      <c r="M265">
        <f t="shared" si="59"/>
        <v>580.87</v>
      </c>
      <c r="N265">
        <f t="shared" si="60"/>
        <v>0</v>
      </c>
      <c r="O265">
        <f t="shared" si="61"/>
        <v>580.87</v>
      </c>
      <c r="P265">
        <f t="shared" si="62"/>
        <v>0</v>
      </c>
      <c r="Q265">
        <f t="shared" si="63"/>
        <v>0</v>
      </c>
      <c r="R265">
        <f t="shared" si="64"/>
        <v>0</v>
      </c>
    </row>
    <row r="266" spans="1:18" x14ac:dyDescent="0.3">
      <c r="A266" s="1">
        <v>41731</v>
      </c>
      <c r="B266" s="1">
        <v>41751</v>
      </c>
      <c r="C266">
        <v>16.940000000000001</v>
      </c>
      <c r="D266">
        <v>0.45</v>
      </c>
      <c r="E266">
        <v>4</v>
      </c>
      <c r="F266">
        <f t="shared" si="52"/>
        <v>0</v>
      </c>
      <c r="G266">
        <f t="shared" si="53"/>
        <v>0</v>
      </c>
      <c r="H266">
        <f t="shared" si="54"/>
        <v>20</v>
      </c>
      <c r="I266">
        <f t="shared" si="55"/>
        <v>0</v>
      </c>
      <c r="J266">
        <f t="shared" si="56"/>
        <v>0</v>
      </c>
      <c r="K266">
        <f t="shared" si="57"/>
        <v>800</v>
      </c>
      <c r="L266">
        <f t="shared" si="58"/>
        <v>17.39</v>
      </c>
      <c r="M266">
        <f t="shared" si="59"/>
        <v>817.39</v>
      </c>
      <c r="N266">
        <f t="shared" si="60"/>
        <v>0</v>
      </c>
      <c r="O266">
        <f t="shared" si="61"/>
        <v>0</v>
      </c>
      <c r="P266">
        <f t="shared" si="62"/>
        <v>817.39</v>
      </c>
      <c r="Q266">
        <f t="shared" si="63"/>
        <v>0</v>
      </c>
      <c r="R266">
        <f t="shared" si="64"/>
        <v>0</v>
      </c>
    </row>
    <row r="267" spans="1:18" x14ac:dyDescent="0.3">
      <c r="A267" s="1">
        <v>41731</v>
      </c>
      <c r="B267" s="1">
        <v>41748</v>
      </c>
      <c r="C267">
        <v>11.44</v>
      </c>
      <c r="D267">
        <v>0.3</v>
      </c>
      <c r="E267">
        <v>4</v>
      </c>
      <c r="F267">
        <f t="shared" si="52"/>
        <v>0</v>
      </c>
      <c r="G267">
        <f t="shared" si="53"/>
        <v>0</v>
      </c>
      <c r="H267">
        <f t="shared" si="54"/>
        <v>17</v>
      </c>
      <c r="I267">
        <f t="shared" si="55"/>
        <v>0</v>
      </c>
      <c r="J267">
        <f t="shared" si="56"/>
        <v>0</v>
      </c>
      <c r="K267">
        <f t="shared" si="57"/>
        <v>680</v>
      </c>
      <c r="L267">
        <f t="shared" si="58"/>
        <v>11.74</v>
      </c>
      <c r="M267">
        <f t="shared" si="59"/>
        <v>691.74</v>
      </c>
      <c r="N267">
        <f t="shared" si="60"/>
        <v>0</v>
      </c>
      <c r="O267">
        <f t="shared" si="61"/>
        <v>0</v>
      </c>
      <c r="P267">
        <f t="shared" si="62"/>
        <v>691.74</v>
      </c>
      <c r="Q267">
        <f t="shared" si="63"/>
        <v>0</v>
      </c>
      <c r="R267">
        <f t="shared" si="64"/>
        <v>0</v>
      </c>
    </row>
    <row r="268" spans="1:18" x14ac:dyDescent="0.3">
      <c r="A268" s="1">
        <v>41731</v>
      </c>
      <c r="B268" s="1">
        <v>41733</v>
      </c>
      <c r="C268">
        <v>3.79</v>
      </c>
      <c r="D268">
        <v>0.1</v>
      </c>
      <c r="E268">
        <v>4</v>
      </c>
      <c r="F268">
        <f t="shared" si="52"/>
        <v>0</v>
      </c>
      <c r="G268">
        <f t="shared" si="53"/>
        <v>0</v>
      </c>
      <c r="H268">
        <f t="shared" si="54"/>
        <v>2</v>
      </c>
      <c r="I268">
        <f t="shared" si="55"/>
        <v>0</v>
      </c>
      <c r="J268">
        <f t="shared" si="56"/>
        <v>0</v>
      </c>
      <c r="K268">
        <f t="shared" si="57"/>
        <v>80</v>
      </c>
      <c r="L268">
        <f t="shared" si="58"/>
        <v>3.89</v>
      </c>
      <c r="M268">
        <f t="shared" si="59"/>
        <v>83.89</v>
      </c>
      <c r="N268">
        <f t="shared" si="60"/>
        <v>0</v>
      </c>
      <c r="O268">
        <f t="shared" si="61"/>
        <v>0</v>
      </c>
      <c r="P268">
        <f t="shared" si="62"/>
        <v>83.89</v>
      </c>
      <c r="Q268">
        <f t="shared" si="63"/>
        <v>0</v>
      </c>
      <c r="R268">
        <f t="shared" si="64"/>
        <v>0</v>
      </c>
    </row>
    <row r="269" spans="1:18" x14ac:dyDescent="0.3">
      <c r="A269" s="1">
        <v>41732</v>
      </c>
      <c r="B269" s="1">
        <v>41758</v>
      </c>
      <c r="C269">
        <v>10.19</v>
      </c>
      <c r="D269">
        <v>0.27</v>
      </c>
      <c r="E269">
        <v>2</v>
      </c>
      <c r="F269">
        <f t="shared" si="52"/>
        <v>26</v>
      </c>
      <c r="G269">
        <f t="shared" si="53"/>
        <v>0</v>
      </c>
      <c r="H269">
        <f t="shared" si="54"/>
        <v>0</v>
      </c>
      <c r="I269">
        <f t="shared" si="55"/>
        <v>0</v>
      </c>
      <c r="J269">
        <f t="shared" si="56"/>
        <v>0</v>
      </c>
      <c r="K269">
        <f t="shared" si="57"/>
        <v>520</v>
      </c>
      <c r="L269">
        <f t="shared" si="58"/>
        <v>10.459999999999999</v>
      </c>
      <c r="M269">
        <f t="shared" si="59"/>
        <v>530.46</v>
      </c>
      <c r="N269">
        <f t="shared" si="60"/>
        <v>530.46</v>
      </c>
      <c r="O269">
        <f t="shared" si="61"/>
        <v>0</v>
      </c>
      <c r="P269">
        <f t="shared" si="62"/>
        <v>0</v>
      </c>
      <c r="Q269">
        <f t="shared" si="63"/>
        <v>0</v>
      </c>
      <c r="R269">
        <f t="shared" si="64"/>
        <v>0</v>
      </c>
    </row>
    <row r="270" spans="1:18" x14ac:dyDescent="0.3">
      <c r="A270" s="1">
        <v>41737</v>
      </c>
      <c r="B270" s="1">
        <v>41747</v>
      </c>
      <c r="C270">
        <v>7.35</v>
      </c>
      <c r="D270">
        <v>0.19</v>
      </c>
      <c r="E270">
        <v>5</v>
      </c>
      <c r="F270">
        <f t="shared" si="52"/>
        <v>0</v>
      </c>
      <c r="G270">
        <f t="shared" si="53"/>
        <v>0</v>
      </c>
      <c r="H270">
        <f t="shared" si="54"/>
        <v>0</v>
      </c>
      <c r="I270">
        <f t="shared" si="55"/>
        <v>10</v>
      </c>
      <c r="J270">
        <f t="shared" si="56"/>
        <v>0</v>
      </c>
      <c r="K270">
        <f t="shared" si="57"/>
        <v>500</v>
      </c>
      <c r="L270">
        <f t="shared" si="58"/>
        <v>7.54</v>
      </c>
      <c r="M270">
        <f t="shared" si="59"/>
        <v>507.54</v>
      </c>
      <c r="N270">
        <f t="shared" si="60"/>
        <v>0</v>
      </c>
      <c r="O270">
        <f t="shared" si="61"/>
        <v>0</v>
      </c>
      <c r="P270">
        <f t="shared" si="62"/>
        <v>0</v>
      </c>
      <c r="Q270">
        <f t="shared" si="63"/>
        <v>507.54</v>
      </c>
      <c r="R270">
        <f t="shared" si="64"/>
        <v>0</v>
      </c>
    </row>
    <row r="271" spans="1:18" x14ac:dyDescent="0.3">
      <c r="A271" s="1">
        <v>41737</v>
      </c>
      <c r="B271" s="1">
        <v>41752</v>
      </c>
      <c r="C271">
        <v>9.74</v>
      </c>
      <c r="D271">
        <v>0.26</v>
      </c>
      <c r="E271">
        <v>6</v>
      </c>
      <c r="F271">
        <f t="shared" si="52"/>
        <v>0</v>
      </c>
      <c r="G271">
        <f t="shared" si="53"/>
        <v>0</v>
      </c>
      <c r="H271">
        <f t="shared" si="54"/>
        <v>0</v>
      </c>
      <c r="I271">
        <f t="shared" si="55"/>
        <v>0</v>
      </c>
      <c r="J271">
        <f t="shared" si="56"/>
        <v>15</v>
      </c>
      <c r="K271">
        <f t="shared" si="57"/>
        <v>900</v>
      </c>
      <c r="L271">
        <f t="shared" si="58"/>
        <v>10</v>
      </c>
      <c r="M271">
        <f t="shared" si="59"/>
        <v>910</v>
      </c>
      <c r="N271">
        <f t="shared" si="60"/>
        <v>0</v>
      </c>
      <c r="O271">
        <f t="shared" si="61"/>
        <v>0</v>
      </c>
      <c r="P271">
        <f t="shared" si="62"/>
        <v>0</v>
      </c>
      <c r="Q271">
        <f t="shared" si="63"/>
        <v>0</v>
      </c>
      <c r="R271">
        <f t="shared" si="64"/>
        <v>910</v>
      </c>
    </row>
    <row r="272" spans="1:18" x14ac:dyDescent="0.3">
      <c r="A272" s="1">
        <v>41737</v>
      </c>
      <c r="B272" s="1">
        <v>41758</v>
      </c>
      <c r="C272">
        <v>8.65</v>
      </c>
      <c r="D272">
        <v>0.23</v>
      </c>
      <c r="E272">
        <v>3</v>
      </c>
      <c r="F272">
        <f t="shared" si="52"/>
        <v>0</v>
      </c>
      <c r="G272">
        <f t="shared" si="53"/>
        <v>21</v>
      </c>
      <c r="H272">
        <f t="shared" si="54"/>
        <v>0</v>
      </c>
      <c r="I272">
        <f t="shared" si="55"/>
        <v>0</v>
      </c>
      <c r="J272">
        <f t="shared" si="56"/>
        <v>0</v>
      </c>
      <c r="K272">
        <f t="shared" si="57"/>
        <v>630</v>
      </c>
      <c r="L272">
        <f t="shared" si="58"/>
        <v>8.8800000000000008</v>
      </c>
      <c r="M272">
        <f t="shared" si="59"/>
        <v>638.88</v>
      </c>
      <c r="N272">
        <f t="shared" si="60"/>
        <v>0</v>
      </c>
      <c r="O272">
        <f t="shared" si="61"/>
        <v>638.88</v>
      </c>
      <c r="P272">
        <f t="shared" si="62"/>
        <v>0</v>
      </c>
      <c r="Q272">
        <f t="shared" si="63"/>
        <v>0</v>
      </c>
      <c r="R272">
        <f t="shared" si="64"/>
        <v>0</v>
      </c>
    </row>
    <row r="273" spans="1:18" x14ac:dyDescent="0.3">
      <c r="A273" s="1">
        <v>41737</v>
      </c>
      <c r="B273" s="1">
        <v>41759</v>
      </c>
      <c r="C273">
        <v>7.06</v>
      </c>
      <c r="D273">
        <v>0.19</v>
      </c>
      <c r="E273">
        <v>2</v>
      </c>
      <c r="F273">
        <f t="shared" si="52"/>
        <v>22</v>
      </c>
      <c r="G273">
        <f t="shared" si="53"/>
        <v>0</v>
      </c>
      <c r="H273">
        <f t="shared" si="54"/>
        <v>0</v>
      </c>
      <c r="I273">
        <f t="shared" si="55"/>
        <v>0</v>
      </c>
      <c r="J273">
        <f t="shared" si="56"/>
        <v>0</v>
      </c>
      <c r="K273">
        <f t="shared" si="57"/>
        <v>440</v>
      </c>
      <c r="L273">
        <f t="shared" si="58"/>
        <v>7.25</v>
      </c>
      <c r="M273">
        <f t="shared" si="59"/>
        <v>447.25</v>
      </c>
      <c r="N273">
        <f t="shared" si="60"/>
        <v>447.25</v>
      </c>
      <c r="O273">
        <f t="shared" si="61"/>
        <v>0</v>
      </c>
      <c r="P273">
        <f t="shared" si="62"/>
        <v>0</v>
      </c>
      <c r="Q273">
        <f t="shared" si="63"/>
        <v>0</v>
      </c>
      <c r="R273">
        <f t="shared" si="64"/>
        <v>0</v>
      </c>
    </row>
    <row r="274" spans="1:18" x14ac:dyDescent="0.3">
      <c r="A274" s="1">
        <v>41737</v>
      </c>
      <c r="B274" s="1">
        <v>41762</v>
      </c>
      <c r="C274">
        <v>14</v>
      </c>
      <c r="D274">
        <v>0.37</v>
      </c>
      <c r="E274">
        <v>2</v>
      </c>
      <c r="F274">
        <f t="shared" si="52"/>
        <v>25</v>
      </c>
      <c r="G274">
        <f t="shared" si="53"/>
        <v>0</v>
      </c>
      <c r="H274">
        <f t="shared" si="54"/>
        <v>0</v>
      </c>
      <c r="I274">
        <f t="shared" si="55"/>
        <v>0</v>
      </c>
      <c r="J274">
        <f t="shared" si="56"/>
        <v>0</v>
      </c>
      <c r="K274">
        <f t="shared" si="57"/>
        <v>500</v>
      </c>
      <c r="L274">
        <f t="shared" si="58"/>
        <v>14.37</v>
      </c>
      <c r="M274">
        <f t="shared" si="59"/>
        <v>514.37</v>
      </c>
      <c r="N274">
        <f t="shared" si="60"/>
        <v>514.37</v>
      </c>
      <c r="O274">
        <f t="shared" si="61"/>
        <v>0</v>
      </c>
      <c r="P274">
        <f t="shared" si="62"/>
        <v>0</v>
      </c>
      <c r="Q274">
        <f t="shared" si="63"/>
        <v>0</v>
      </c>
      <c r="R274">
        <f t="shared" si="64"/>
        <v>0</v>
      </c>
    </row>
    <row r="275" spans="1:18" x14ac:dyDescent="0.3">
      <c r="A275" s="1">
        <v>41737</v>
      </c>
      <c r="B275" s="1">
        <v>41764</v>
      </c>
      <c r="C275">
        <v>16.940000000000001</v>
      </c>
      <c r="D275">
        <v>0.45</v>
      </c>
      <c r="E275">
        <v>4</v>
      </c>
      <c r="F275">
        <f t="shared" si="52"/>
        <v>0</v>
      </c>
      <c r="G275">
        <f t="shared" si="53"/>
        <v>0</v>
      </c>
      <c r="H275">
        <f t="shared" si="54"/>
        <v>27</v>
      </c>
      <c r="I275">
        <f t="shared" si="55"/>
        <v>0</v>
      </c>
      <c r="J275">
        <f t="shared" si="56"/>
        <v>0</v>
      </c>
      <c r="K275">
        <f t="shared" si="57"/>
        <v>1080</v>
      </c>
      <c r="L275">
        <f t="shared" si="58"/>
        <v>17.39</v>
      </c>
      <c r="M275">
        <f t="shared" si="59"/>
        <v>1097.3900000000001</v>
      </c>
      <c r="N275">
        <f t="shared" si="60"/>
        <v>0</v>
      </c>
      <c r="O275">
        <f t="shared" si="61"/>
        <v>0</v>
      </c>
      <c r="P275">
        <f t="shared" si="62"/>
        <v>1097.3900000000001</v>
      </c>
      <c r="Q275">
        <f t="shared" si="63"/>
        <v>0</v>
      </c>
      <c r="R275">
        <f t="shared" si="64"/>
        <v>0</v>
      </c>
    </row>
    <row r="276" spans="1:18" x14ac:dyDescent="0.3">
      <c r="A276" s="1">
        <v>41743</v>
      </c>
      <c r="B276" s="1">
        <v>41759</v>
      </c>
      <c r="C276">
        <v>16.55</v>
      </c>
      <c r="D276">
        <v>0.44</v>
      </c>
      <c r="E276">
        <v>4</v>
      </c>
      <c r="F276">
        <f t="shared" si="52"/>
        <v>0</v>
      </c>
      <c r="G276">
        <f t="shared" si="53"/>
        <v>0</v>
      </c>
      <c r="H276">
        <f t="shared" si="54"/>
        <v>16</v>
      </c>
      <c r="I276">
        <f t="shared" si="55"/>
        <v>0</v>
      </c>
      <c r="J276">
        <f t="shared" si="56"/>
        <v>0</v>
      </c>
      <c r="K276">
        <f t="shared" si="57"/>
        <v>640</v>
      </c>
      <c r="L276">
        <f t="shared" si="58"/>
        <v>16.990000000000002</v>
      </c>
      <c r="M276">
        <f t="shared" si="59"/>
        <v>656.99</v>
      </c>
      <c r="N276">
        <f t="shared" si="60"/>
        <v>0</v>
      </c>
      <c r="O276">
        <f t="shared" si="61"/>
        <v>0</v>
      </c>
      <c r="P276">
        <f t="shared" si="62"/>
        <v>656.99</v>
      </c>
      <c r="Q276">
        <f t="shared" si="63"/>
        <v>0</v>
      </c>
      <c r="R276">
        <f t="shared" si="64"/>
        <v>0</v>
      </c>
    </row>
    <row r="277" spans="1:18" x14ac:dyDescent="0.3">
      <c r="A277" s="1">
        <v>41743</v>
      </c>
      <c r="B277" s="1">
        <v>41766</v>
      </c>
      <c r="C277">
        <v>14.13</v>
      </c>
      <c r="D277">
        <v>0.37</v>
      </c>
      <c r="E277">
        <v>6</v>
      </c>
      <c r="F277">
        <f t="shared" si="52"/>
        <v>0</v>
      </c>
      <c r="G277">
        <f t="shared" si="53"/>
        <v>0</v>
      </c>
      <c r="H277">
        <f t="shared" si="54"/>
        <v>0</v>
      </c>
      <c r="I277">
        <f t="shared" si="55"/>
        <v>0</v>
      </c>
      <c r="J277">
        <f t="shared" si="56"/>
        <v>23</v>
      </c>
      <c r="K277">
        <f t="shared" si="57"/>
        <v>1380</v>
      </c>
      <c r="L277">
        <f t="shared" si="58"/>
        <v>14.5</v>
      </c>
      <c r="M277">
        <f t="shared" si="59"/>
        <v>1394.5</v>
      </c>
      <c r="N277">
        <f t="shared" si="60"/>
        <v>0</v>
      </c>
      <c r="O277">
        <f t="shared" si="61"/>
        <v>0</v>
      </c>
      <c r="P277">
        <f t="shared" si="62"/>
        <v>0</v>
      </c>
      <c r="Q277">
        <f t="shared" si="63"/>
        <v>0</v>
      </c>
      <c r="R277">
        <f t="shared" si="64"/>
        <v>1394.5</v>
      </c>
    </row>
    <row r="278" spans="1:18" x14ac:dyDescent="0.3">
      <c r="A278" s="1">
        <v>41743</v>
      </c>
      <c r="B278" s="1">
        <v>41761</v>
      </c>
      <c r="C278">
        <v>11.42</v>
      </c>
      <c r="D278">
        <v>0.3</v>
      </c>
      <c r="E278">
        <v>5</v>
      </c>
      <c r="F278">
        <f t="shared" si="52"/>
        <v>0</v>
      </c>
      <c r="G278">
        <f t="shared" si="53"/>
        <v>0</v>
      </c>
      <c r="H278">
        <f t="shared" si="54"/>
        <v>0</v>
      </c>
      <c r="I278">
        <f t="shared" si="55"/>
        <v>18</v>
      </c>
      <c r="J278">
        <f t="shared" si="56"/>
        <v>0</v>
      </c>
      <c r="K278">
        <f t="shared" si="57"/>
        <v>900</v>
      </c>
      <c r="L278">
        <f t="shared" si="58"/>
        <v>11.72</v>
      </c>
      <c r="M278">
        <f t="shared" si="59"/>
        <v>911.72</v>
      </c>
      <c r="N278">
        <f t="shared" si="60"/>
        <v>0</v>
      </c>
      <c r="O278">
        <f t="shared" si="61"/>
        <v>0</v>
      </c>
      <c r="P278">
        <f t="shared" si="62"/>
        <v>0</v>
      </c>
      <c r="Q278">
        <f t="shared" si="63"/>
        <v>911.72</v>
      </c>
      <c r="R278">
        <f t="shared" si="64"/>
        <v>0</v>
      </c>
    </row>
    <row r="279" spans="1:18" x14ac:dyDescent="0.3">
      <c r="A279" s="1">
        <v>41743</v>
      </c>
      <c r="B279" s="1">
        <v>41762</v>
      </c>
      <c r="C279">
        <v>16.829999999999998</v>
      </c>
      <c r="D279">
        <v>0.44</v>
      </c>
      <c r="E279">
        <v>5</v>
      </c>
      <c r="F279">
        <f t="shared" si="52"/>
        <v>0</v>
      </c>
      <c r="G279">
        <f t="shared" si="53"/>
        <v>0</v>
      </c>
      <c r="H279">
        <f t="shared" si="54"/>
        <v>0</v>
      </c>
      <c r="I279">
        <f t="shared" si="55"/>
        <v>19</v>
      </c>
      <c r="J279">
        <f t="shared" si="56"/>
        <v>0</v>
      </c>
      <c r="K279">
        <f t="shared" si="57"/>
        <v>950</v>
      </c>
      <c r="L279">
        <f t="shared" si="58"/>
        <v>17.27</v>
      </c>
      <c r="M279">
        <f t="shared" si="59"/>
        <v>967.27</v>
      </c>
      <c r="N279">
        <f t="shared" si="60"/>
        <v>0</v>
      </c>
      <c r="O279">
        <f t="shared" si="61"/>
        <v>0</v>
      </c>
      <c r="P279">
        <f t="shared" si="62"/>
        <v>0</v>
      </c>
      <c r="Q279">
        <f t="shared" si="63"/>
        <v>967.27</v>
      </c>
      <c r="R279">
        <f t="shared" si="64"/>
        <v>0</v>
      </c>
    </row>
    <row r="280" spans="1:18" x14ac:dyDescent="0.3">
      <c r="A280" s="1">
        <v>41743</v>
      </c>
      <c r="B280" s="1">
        <v>41768</v>
      </c>
      <c r="C280">
        <v>9.06</v>
      </c>
      <c r="D280">
        <v>0.24</v>
      </c>
      <c r="E280">
        <v>4</v>
      </c>
      <c r="F280">
        <f t="shared" si="52"/>
        <v>0</v>
      </c>
      <c r="G280">
        <f t="shared" si="53"/>
        <v>0</v>
      </c>
      <c r="H280">
        <f t="shared" si="54"/>
        <v>25</v>
      </c>
      <c r="I280">
        <f t="shared" si="55"/>
        <v>0</v>
      </c>
      <c r="J280">
        <f t="shared" si="56"/>
        <v>0</v>
      </c>
      <c r="K280">
        <f t="shared" si="57"/>
        <v>1000</v>
      </c>
      <c r="L280">
        <f t="shared" si="58"/>
        <v>9.3000000000000007</v>
      </c>
      <c r="M280">
        <f t="shared" si="59"/>
        <v>1009.3</v>
      </c>
      <c r="N280">
        <f t="shared" si="60"/>
        <v>0</v>
      </c>
      <c r="O280">
        <f t="shared" si="61"/>
        <v>0</v>
      </c>
      <c r="P280">
        <f t="shared" si="62"/>
        <v>1009.3</v>
      </c>
      <c r="Q280">
        <f t="shared" si="63"/>
        <v>0</v>
      </c>
      <c r="R280">
        <f t="shared" si="64"/>
        <v>0</v>
      </c>
    </row>
    <row r="281" spans="1:18" x14ac:dyDescent="0.3">
      <c r="A281" s="1">
        <v>41743</v>
      </c>
      <c r="B281" s="1">
        <v>41755</v>
      </c>
      <c r="C281">
        <v>11.69</v>
      </c>
      <c r="D281">
        <v>0.31</v>
      </c>
      <c r="E281">
        <v>5</v>
      </c>
      <c r="F281">
        <f t="shared" si="52"/>
        <v>0</v>
      </c>
      <c r="G281">
        <f t="shared" si="53"/>
        <v>0</v>
      </c>
      <c r="H281">
        <f t="shared" si="54"/>
        <v>0</v>
      </c>
      <c r="I281">
        <f t="shared" si="55"/>
        <v>12</v>
      </c>
      <c r="J281">
        <f t="shared" si="56"/>
        <v>0</v>
      </c>
      <c r="K281">
        <f t="shared" si="57"/>
        <v>600</v>
      </c>
      <c r="L281">
        <f t="shared" si="58"/>
        <v>12</v>
      </c>
      <c r="M281">
        <f t="shared" si="59"/>
        <v>612</v>
      </c>
      <c r="N281">
        <f t="shared" si="60"/>
        <v>0</v>
      </c>
      <c r="O281">
        <f t="shared" si="61"/>
        <v>0</v>
      </c>
      <c r="P281">
        <f t="shared" si="62"/>
        <v>0</v>
      </c>
      <c r="Q281">
        <f t="shared" si="63"/>
        <v>612</v>
      </c>
      <c r="R281">
        <f t="shared" si="64"/>
        <v>0</v>
      </c>
    </row>
    <row r="282" spans="1:18" x14ac:dyDescent="0.3">
      <c r="A282" s="1">
        <v>41747</v>
      </c>
      <c r="B282" s="1">
        <v>41772</v>
      </c>
      <c r="C282">
        <v>6.58</v>
      </c>
      <c r="D282">
        <v>0.17</v>
      </c>
      <c r="E282">
        <v>3</v>
      </c>
      <c r="F282">
        <f t="shared" si="52"/>
        <v>0</v>
      </c>
      <c r="G282">
        <f t="shared" si="53"/>
        <v>25</v>
      </c>
      <c r="H282">
        <f t="shared" si="54"/>
        <v>0</v>
      </c>
      <c r="I282">
        <f t="shared" si="55"/>
        <v>0</v>
      </c>
      <c r="J282">
        <f t="shared" si="56"/>
        <v>0</v>
      </c>
      <c r="K282">
        <f t="shared" si="57"/>
        <v>750</v>
      </c>
      <c r="L282">
        <f t="shared" si="58"/>
        <v>6.75</v>
      </c>
      <c r="M282">
        <f t="shared" si="59"/>
        <v>756.75</v>
      </c>
      <c r="N282">
        <f t="shared" si="60"/>
        <v>0</v>
      </c>
      <c r="O282">
        <f t="shared" si="61"/>
        <v>756.75</v>
      </c>
      <c r="P282">
        <f t="shared" si="62"/>
        <v>0</v>
      </c>
      <c r="Q282">
        <f t="shared" si="63"/>
        <v>0</v>
      </c>
      <c r="R282">
        <f t="shared" si="64"/>
        <v>0</v>
      </c>
    </row>
    <row r="283" spans="1:18" x14ac:dyDescent="0.3">
      <c r="A283" s="1">
        <v>41749</v>
      </c>
      <c r="B283" s="1">
        <v>41755</v>
      </c>
      <c r="C283">
        <v>11.44</v>
      </c>
      <c r="D283">
        <v>0.3</v>
      </c>
      <c r="E283">
        <v>6</v>
      </c>
      <c r="F283">
        <f t="shared" si="52"/>
        <v>0</v>
      </c>
      <c r="G283">
        <f t="shared" si="53"/>
        <v>0</v>
      </c>
      <c r="H283">
        <f t="shared" si="54"/>
        <v>0</v>
      </c>
      <c r="I283">
        <f t="shared" si="55"/>
        <v>0</v>
      </c>
      <c r="J283">
        <f t="shared" si="56"/>
        <v>6</v>
      </c>
      <c r="K283">
        <f t="shared" si="57"/>
        <v>360</v>
      </c>
      <c r="L283">
        <f t="shared" si="58"/>
        <v>11.74</v>
      </c>
      <c r="M283">
        <f t="shared" si="59"/>
        <v>371.74</v>
      </c>
      <c r="N283">
        <f t="shared" si="60"/>
        <v>0</v>
      </c>
      <c r="O283">
        <f t="shared" si="61"/>
        <v>0</v>
      </c>
      <c r="P283">
        <f t="shared" si="62"/>
        <v>0</v>
      </c>
      <c r="Q283">
        <f t="shared" si="63"/>
        <v>0</v>
      </c>
      <c r="R283">
        <f t="shared" si="64"/>
        <v>371.74</v>
      </c>
    </row>
    <row r="284" spans="1:18" x14ac:dyDescent="0.3">
      <c r="A284" s="1">
        <v>41749</v>
      </c>
      <c r="B284" s="1">
        <v>41763</v>
      </c>
      <c r="C284">
        <v>6.75</v>
      </c>
      <c r="D284">
        <v>0.18</v>
      </c>
      <c r="E284">
        <v>6</v>
      </c>
      <c r="F284">
        <f t="shared" si="52"/>
        <v>0</v>
      </c>
      <c r="G284">
        <f t="shared" si="53"/>
        <v>0</v>
      </c>
      <c r="H284">
        <f t="shared" si="54"/>
        <v>0</v>
      </c>
      <c r="I284">
        <f t="shared" si="55"/>
        <v>0</v>
      </c>
      <c r="J284">
        <f t="shared" si="56"/>
        <v>14</v>
      </c>
      <c r="K284">
        <f t="shared" si="57"/>
        <v>840</v>
      </c>
      <c r="L284">
        <f t="shared" si="58"/>
        <v>6.93</v>
      </c>
      <c r="M284">
        <f t="shared" si="59"/>
        <v>846.93</v>
      </c>
      <c r="N284">
        <f t="shared" si="60"/>
        <v>0</v>
      </c>
      <c r="O284">
        <f t="shared" si="61"/>
        <v>0</v>
      </c>
      <c r="P284">
        <f t="shared" si="62"/>
        <v>0</v>
      </c>
      <c r="Q284">
        <f t="shared" si="63"/>
        <v>0</v>
      </c>
      <c r="R284">
        <f t="shared" si="64"/>
        <v>846.93</v>
      </c>
    </row>
    <row r="285" spans="1:18" x14ac:dyDescent="0.3">
      <c r="A285" s="1">
        <v>41752</v>
      </c>
      <c r="B285" s="1">
        <v>41771</v>
      </c>
      <c r="C285">
        <v>7.71</v>
      </c>
      <c r="D285">
        <v>0.2</v>
      </c>
      <c r="E285">
        <v>5</v>
      </c>
      <c r="F285">
        <f t="shared" si="52"/>
        <v>0</v>
      </c>
      <c r="G285">
        <f t="shared" si="53"/>
        <v>0</v>
      </c>
      <c r="H285">
        <f t="shared" si="54"/>
        <v>0</v>
      </c>
      <c r="I285">
        <f t="shared" si="55"/>
        <v>19</v>
      </c>
      <c r="J285">
        <f t="shared" si="56"/>
        <v>0</v>
      </c>
      <c r="K285">
        <f t="shared" si="57"/>
        <v>950</v>
      </c>
      <c r="L285">
        <f t="shared" si="58"/>
        <v>7.91</v>
      </c>
      <c r="M285">
        <f t="shared" si="59"/>
        <v>957.91</v>
      </c>
      <c r="N285">
        <f t="shared" si="60"/>
        <v>0</v>
      </c>
      <c r="O285">
        <f t="shared" si="61"/>
        <v>0</v>
      </c>
      <c r="P285">
        <f t="shared" si="62"/>
        <v>0</v>
      </c>
      <c r="Q285">
        <f t="shared" si="63"/>
        <v>957.91</v>
      </c>
      <c r="R285">
        <f t="shared" si="64"/>
        <v>0</v>
      </c>
    </row>
    <row r="286" spans="1:18" x14ac:dyDescent="0.3">
      <c r="A286" s="1">
        <v>41752</v>
      </c>
      <c r="B286" s="1">
        <v>41754</v>
      </c>
      <c r="C286">
        <v>6.75</v>
      </c>
      <c r="D286">
        <v>0.18</v>
      </c>
      <c r="E286">
        <v>4</v>
      </c>
      <c r="F286">
        <f t="shared" si="52"/>
        <v>0</v>
      </c>
      <c r="G286">
        <f t="shared" si="53"/>
        <v>0</v>
      </c>
      <c r="H286">
        <f t="shared" si="54"/>
        <v>2</v>
      </c>
      <c r="I286">
        <f t="shared" si="55"/>
        <v>0</v>
      </c>
      <c r="J286">
        <f t="shared" si="56"/>
        <v>0</v>
      </c>
      <c r="K286">
        <f t="shared" si="57"/>
        <v>80</v>
      </c>
      <c r="L286">
        <f t="shared" si="58"/>
        <v>6.93</v>
      </c>
      <c r="M286">
        <f t="shared" si="59"/>
        <v>86.93</v>
      </c>
      <c r="N286">
        <f t="shared" si="60"/>
        <v>0</v>
      </c>
      <c r="O286">
        <f t="shared" si="61"/>
        <v>0</v>
      </c>
      <c r="P286">
        <f t="shared" si="62"/>
        <v>86.93</v>
      </c>
      <c r="Q286">
        <f t="shared" si="63"/>
        <v>0</v>
      </c>
      <c r="R286">
        <f t="shared" si="64"/>
        <v>0</v>
      </c>
    </row>
    <row r="287" spans="1:18" x14ac:dyDescent="0.3">
      <c r="A287" s="1">
        <v>41753</v>
      </c>
      <c r="B287" s="1">
        <v>41758</v>
      </c>
      <c r="C287">
        <v>3.57</v>
      </c>
      <c r="D287">
        <v>0.09</v>
      </c>
      <c r="E287">
        <v>2</v>
      </c>
      <c r="F287">
        <f t="shared" si="52"/>
        <v>5</v>
      </c>
      <c r="G287">
        <f t="shared" si="53"/>
        <v>0</v>
      </c>
      <c r="H287">
        <f t="shared" si="54"/>
        <v>0</v>
      </c>
      <c r="I287">
        <f t="shared" si="55"/>
        <v>0</v>
      </c>
      <c r="J287">
        <f t="shared" si="56"/>
        <v>0</v>
      </c>
      <c r="K287">
        <f t="shared" si="57"/>
        <v>100</v>
      </c>
      <c r="L287">
        <f t="shared" si="58"/>
        <v>3.6599999999999997</v>
      </c>
      <c r="M287">
        <f t="shared" si="59"/>
        <v>103.66</v>
      </c>
      <c r="N287">
        <f t="shared" si="60"/>
        <v>103.66</v>
      </c>
      <c r="O287">
        <f t="shared" si="61"/>
        <v>0</v>
      </c>
      <c r="P287">
        <f t="shared" si="62"/>
        <v>0</v>
      </c>
      <c r="Q287">
        <f t="shared" si="63"/>
        <v>0</v>
      </c>
      <c r="R287">
        <f t="shared" si="64"/>
        <v>0</v>
      </c>
    </row>
    <row r="288" spans="1:18" x14ac:dyDescent="0.3">
      <c r="A288" s="1">
        <v>41755</v>
      </c>
      <c r="B288" s="1">
        <v>41782</v>
      </c>
      <c r="C288">
        <v>10.19</v>
      </c>
      <c r="D288">
        <v>0.27</v>
      </c>
      <c r="E288">
        <v>3</v>
      </c>
      <c r="F288">
        <f t="shared" si="52"/>
        <v>0</v>
      </c>
      <c r="G288">
        <f t="shared" si="53"/>
        <v>27</v>
      </c>
      <c r="H288">
        <f t="shared" si="54"/>
        <v>0</v>
      </c>
      <c r="I288">
        <f t="shared" si="55"/>
        <v>0</v>
      </c>
      <c r="J288">
        <f t="shared" si="56"/>
        <v>0</v>
      </c>
      <c r="K288">
        <f t="shared" si="57"/>
        <v>810</v>
      </c>
      <c r="L288">
        <f t="shared" si="58"/>
        <v>10.459999999999999</v>
      </c>
      <c r="M288">
        <f t="shared" si="59"/>
        <v>820.46</v>
      </c>
      <c r="N288">
        <f t="shared" si="60"/>
        <v>0</v>
      </c>
      <c r="O288">
        <f t="shared" si="61"/>
        <v>820.46</v>
      </c>
      <c r="P288">
        <f t="shared" si="62"/>
        <v>0</v>
      </c>
      <c r="Q288">
        <f t="shared" si="63"/>
        <v>0</v>
      </c>
      <c r="R288">
        <f t="shared" si="64"/>
        <v>0</v>
      </c>
    </row>
    <row r="289" spans="1:18" x14ac:dyDescent="0.3">
      <c r="A289" s="1">
        <v>41755</v>
      </c>
      <c r="B289" s="1">
        <v>41779</v>
      </c>
      <c r="C289">
        <v>11.78</v>
      </c>
      <c r="D289">
        <v>0.31</v>
      </c>
      <c r="E289">
        <v>3</v>
      </c>
      <c r="F289">
        <f t="shared" si="52"/>
        <v>0</v>
      </c>
      <c r="G289">
        <f t="shared" si="53"/>
        <v>24</v>
      </c>
      <c r="H289">
        <f t="shared" si="54"/>
        <v>0</v>
      </c>
      <c r="I289">
        <f t="shared" si="55"/>
        <v>0</v>
      </c>
      <c r="J289">
        <f t="shared" si="56"/>
        <v>0</v>
      </c>
      <c r="K289">
        <f t="shared" si="57"/>
        <v>720</v>
      </c>
      <c r="L289">
        <f t="shared" si="58"/>
        <v>12.09</v>
      </c>
      <c r="M289">
        <f t="shared" si="59"/>
        <v>732.09</v>
      </c>
      <c r="N289">
        <f t="shared" si="60"/>
        <v>0</v>
      </c>
      <c r="O289">
        <f t="shared" si="61"/>
        <v>732.09</v>
      </c>
      <c r="P289">
        <f t="shared" si="62"/>
        <v>0</v>
      </c>
      <c r="Q289">
        <f t="shared" si="63"/>
        <v>0</v>
      </c>
      <c r="R289">
        <f t="shared" si="64"/>
        <v>0</v>
      </c>
    </row>
    <row r="290" spans="1:18" x14ac:dyDescent="0.3">
      <c r="A290" s="1">
        <v>41755</v>
      </c>
      <c r="B290" s="1">
        <v>41771</v>
      </c>
      <c r="C290">
        <v>3.79</v>
      </c>
      <c r="D290">
        <v>0.1</v>
      </c>
      <c r="E290">
        <v>3</v>
      </c>
      <c r="F290">
        <f t="shared" si="52"/>
        <v>0</v>
      </c>
      <c r="G290">
        <f t="shared" si="53"/>
        <v>16</v>
      </c>
      <c r="H290">
        <f t="shared" si="54"/>
        <v>0</v>
      </c>
      <c r="I290">
        <f t="shared" si="55"/>
        <v>0</v>
      </c>
      <c r="J290">
        <f t="shared" si="56"/>
        <v>0</v>
      </c>
      <c r="K290">
        <f t="shared" si="57"/>
        <v>480</v>
      </c>
      <c r="L290">
        <f t="shared" si="58"/>
        <v>3.89</v>
      </c>
      <c r="M290">
        <f t="shared" si="59"/>
        <v>483.89</v>
      </c>
      <c r="N290">
        <f t="shared" si="60"/>
        <v>0</v>
      </c>
      <c r="O290">
        <f t="shared" si="61"/>
        <v>483.89</v>
      </c>
      <c r="P290">
        <f t="shared" si="62"/>
        <v>0</v>
      </c>
      <c r="Q290">
        <f t="shared" si="63"/>
        <v>0</v>
      </c>
      <c r="R290">
        <f t="shared" si="64"/>
        <v>0</v>
      </c>
    </row>
    <row r="291" spans="1:18" x14ac:dyDescent="0.3">
      <c r="A291" s="1">
        <v>41755</v>
      </c>
      <c r="B291" s="1">
        <v>41761</v>
      </c>
      <c r="C291">
        <v>6.75</v>
      </c>
      <c r="D291">
        <v>0.18</v>
      </c>
      <c r="E291">
        <v>6</v>
      </c>
      <c r="F291">
        <f t="shared" si="52"/>
        <v>0</v>
      </c>
      <c r="G291">
        <f t="shared" si="53"/>
        <v>0</v>
      </c>
      <c r="H291">
        <f t="shared" si="54"/>
        <v>0</v>
      </c>
      <c r="I291">
        <f t="shared" si="55"/>
        <v>0</v>
      </c>
      <c r="J291">
        <f t="shared" si="56"/>
        <v>6</v>
      </c>
      <c r="K291">
        <f t="shared" si="57"/>
        <v>360</v>
      </c>
      <c r="L291">
        <f t="shared" si="58"/>
        <v>6.93</v>
      </c>
      <c r="M291">
        <f t="shared" si="59"/>
        <v>366.93</v>
      </c>
      <c r="N291">
        <f t="shared" si="60"/>
        <v>0</v>
      </c>
      <c r="O291">
        <f t="shared" si="61"/>
        <v>0</v>
      </c>
      <c r="P291">
        <f t="shared" si="62"/>
        <v>0</v>
      </c>
      <c r="Q291">
        <f t="shared" si="63"/>
        <v>0</v>
      </c>
      <c r="R291">
        <f t="shared" si="64"/>
        <v>366.93</v>
      </c>
    </row>
    <row r="292" spans="1:18" x14ac:dyDescent="0.3">
      <c r="A292" s="1">
        <v>41755</v>
      </c>
      <c r="B292" s="1">
        <v>41767</v>
      </c>
      <c r="C292">
        <v>12.01</v>
      </c>
      <c r="D292">
        <v>0.32</v>
      </c>
      <c r="E292">
        <v>2</v>
      </c>
      <c r="F292">
        <f t="shared" si="52"/>
        <v>12</v>
      </c>
      <c r="G292">
        <f t="shared" si="53"/>
        <v>0</v>
      </c>
      <c r="H292">
        <f t="shared" si="54"/>
        <v>0</v>
      </c>
      <c r="I292">
        <f t="shared" si="55"/>
        <v>0</v>
      </c>
      <c r="J292">
        <f t="shared" si="56"/>
        <v>0</v>
      </c>
      <c r="K292">
        <f t="shared" si="57"/>
        <v>240</v>
      </c>
      <c r="L292">
        <f t="shared" si="58"/>
        <v>12.33</v>
      </c>
      <c r="M292">
        <f t="shared" si="59"/>
        <v>252.33</v>
      </c>
      <c r="N292">
        <f t="shared" si="60"/>
        <v>252.33</v>
      </c>
      <c r="O292">
        <f t="shared" si="61"/>
        <v>0</v>
      </c>
      <c r="P292">
        <f t="shared" si="62"/>
        <v>0</v>
      </c>
      <c r="Q292">
        <f t="shared" si="63"/>
        <v>0</v>
      </c>
      <c r="R292">
        <f t="shared" si="64"/>
        <v>0</v>
      </c>
    </row>
    <row r="293" spans="1:18" x14ac:dyDescent="0.3">
      <c r="A293" s="1">
        <v>41755</v>
      </c>
      <c r="B293" s="1">
        <v>41764</v>
      </c>
      <c r="C293">
        <v>2.0099999999999998</v>
      </c>
      <c r="D293">
        <v>0.05</v>
      </c>
      <c r="E293">
        <v>2</v>
      </c>
      <c r="F293">
        <f t="shared" si="52"/>
        <v>9</v>
      </c>
      <c r="G293">
        <f t="shared" si="53"/>
        <v>0</v>
      </c>
      <c r="H293">
        <f t="shared" si="54"/>
        <v>0</v>
      </c>
      <c r="I293">
        <f t="shared" si="55"/>
        <v>0</v>
      </c>
      <c r="J293">
        <f t="shared" si="56"/>
        <v>0</v>
      </c>
      <c r="K293">
        <f t="shared" si="57"/>
        <v>180</v>
      </c>
      <c r="L293">
        <f t="shared" si="58"/>
        <v>2.0599999999999996</v>
      </c>
      <c r="M293">
        <f t="shared" si="59"/>
        <v>182.06</v>
      </c>
      <c r="N293">
        <f t="shared" si="60"/>
        <v>182.06</v>
      </c>
      <c r="O293">
        <f t="shared" si="61"/>
        <v>0</v>
      </c>
      <c r="P293">
        <f t="shared" si="62"/>
        <v>0</v>
      </c>
      <c r="Q293">
        <f t="shared" si="63"/>
        <v>0</v>
      </c>
      <c r="R293">
        <f t="shared" si="64"/>
        <v>0</v>
      </c>
    </row>
    <row r="294" spans="1:18" x14ac:dyDescent="0.3">
      <c r="A294" s="1">
        <v>41757</v>
      </c>
      <c r="B294" s="1">
        <v>41768</v>
      </c>
      <c r="C294">
        <v>9.06</v>
      </c>
      <c r="D294">
        <v>0.24</v>
      </c>
      <c r="E294">
        <v>5</v>
      </c>
      <c r="F294">
        <f t="shared" si="52"/>
        <v>0</v>
      </c>
      <c r="G294">
        <f t="shared" si="53"/>
        <v>0</v>
      </c>
      <c r="H294">
        <f t="shared" si="54"/>
        <v>0</v>
      </c>
      <c r="I294">
        <f t="shared" si="55"/>
        <v>11</v>
      </c>
      <c r="J294">
        <f t="shared" si="56"/>
        <v>0</v>
      </c>
      <c r="K294">
        <f t="shared" si="57"/>
        <v>550</v>
      </c>
      <c r="L294">
        <f t="shared" si="58"/>
        <v>9.3000000000000007</v>
      </c>
      <c r="M294">
        <f t="shared" si="59"/>
        <v>559.29999999999995</v>
      </c>
      <c r="N294">
        <f t="shared" si="60"/>
        <v>0</v>
      </c>
      <c r="O294">
        <f t="shared" si="61"/>
        <v>0</v>
      </c>
      <c r="P294">
        <f t="shared" si="62"/>
        <v>0</v>
      </c>
      <c r="Q294">
        <f t="shared" si="63"/>
        <v>559.29999999999995</v>
      </c>
      <c r="R294">
        <f t="shared" si="64"/>
        <v>0</v>
      </c>
    </row>
    <row r="295" spans="1:18" x14ac:dyDescent="0.3">
      <c r="A295" s="1">
        <v>41761</v>
      </c>
      <c r="B295" s="1">
        <v>41786</v>
      </c>
      <c r="C295">
        <v>13.81</v>
      </c>
      <c r="D295">
        <v>0.36</v>
      </c>
      <c r="E295">
        <v>3</v>
      </c>
      <c r="F295">
        <f t="shared" si="52"/>
        <v>0</v>
      </c>
      <c r="G295">
        <f t="shared" si="53"/>
        <v>25</v>
      </c>
      <c r="H295">
        <f t="shared" si="54"/>
        <v>0</v>
      </c>
      <c r="I295">
        <f t="shared" si="55"/>
        <v>0</v>
      </c>
      <c r="J295">
        <f t="shared" si="56"/>
        <v>0</v>
      </c>
      <c r="K295">
        <f t="shared" si="57"/>
        <v>750</v>
      </c>
      <c r="L295">
        <f t="shared" si="58"/>
        <v>14.17</v>
      </c>
      <c r="M295">
        <f t="shared" si="59"/>
        <v>764.17</v>
      </c>
      <c r="N295">
        <f t="shared" si="60"/>
        <v>0</v>
      </c>
      <c r="O295">
        <f t="shared" si="61"/>
        <v>764.17</v>
      </c>
      <c r="P295">
        <f t="shared" si="62"/>
        <v>0</v>
      </c>
      <c r="Q295">
        <f t="shared" si="63"/>
        <v>0</v>
      </c>
      <c r="R295">
        <f t="shared" si="64"/>
        <v>0</v>
      </c>
    </row>
    <row r="296" spans="1:18" x14ac:dyDescent="0.3">
      <c r="A296" s="1">
        <v>41761</v>
      </c>
      <c r="B296" s="1">
        <v>41782</v>
      </c>
      <c r="C296">
        <v>5.47</v>
      </c>
      <c r="D296">
        <v>0.14000000000000001</v>
      </c>
      <c r="E296">
        <v>3</v>
      </c>
      <c r="F296">
        <f t="shared" si="52"/>
        <v>0</v>
      </c>
      <c r="G296">
        <f t="shared" si="53"/>
        <v>21</v>
      </c>
      <c r="H296">
        <f t="shared" si="54"/>
        <v>0</v>
      </c>
      <c r="I296">
        <f t="shared" si="55"/>
        <v>0</v>
      </c>
      <c r="J296">
        <f t="shared" si="56"/>
        <v>0</v>
      </c>
      <c r="K296">
        <f t="shared" si="57"/>
        <v>630</v>
      </c>
      <c r="L296">
        <f t="shared" si="58"/>
        <v>5.6099999999999994</v>
      </c>
      <c r="M296">
        <f t="shared" si="59"/>
        <v>635.61</v>
      </c>
      <c r="N296">
        <f t="shared" si="60"/>
        <v>0</v>
      </c>
      <c r="O296">
        <f t="shared" si="61"/>
        <v>635.61</v>
      </c>
      <c r="P296">
        <f t="shared" si="62"/>
        <v>0</v>
      </c>
      <c r="Q296">
        <f t="shared" si="63"/>
        <v>0</v>
      </c>
      <c r="R296">
        <f t="shared" si="64"/>
        <v>0</v>
      </c>
    </row>
    <row r="297" spans="1:18" x14ac:dyDescent="0.3">
      <c r="A297" s="1">
        <v>41761</v>
      </c>
      <c r="B297" s="1">
        <v>41777</v>
      </c>
      <c r="C297">
        <v>9.06</v>
      </c>
      <c r="D297">
        <v>0.24</v>
      </c>
      <c r="E297">
        <v>5</v>
      </c>
      <c r="F297">
        <f t="shared" si="52"/>
        <v>0</v>
      </c>
      <c r="G297">
        <f t="shared" si="53"/>
        <v>0</v>
      </c>
      <c r="H297">
        <f t="shared" si="54"/>
        <v>0</v>
      </c>
      <c r="I297">
        <f t="shared" si="55"/>
        <v>16</v>
      </c>
      <c r="J297">
        <f t="shared" si="56"/>
        <v>0</v>
      </c>
      <c r="K297">
        <f t="shared" si="57"/>
        <v>800</v>
      </c>
      <c r="L297">
        <f t="shared" si="58"/>
        <v>9.3000000000000007</v>
      </c>
      <c r="M297">
        <f t="shared" si="59"/>
        <v>809.3</v>
      </c>
      <c r="N297">
        <f t="shared" si="60"/>
        <v>0</v>
      </c>
      <c r="O297">
        <f t="shared" si="61"/>
        <v>0</v>
      </c>
      <c r="P297">
        <f t="shared" si="62"/>
        <v>0</v>
      </c>
      <c r="Q297">
        <f t="shared" si="63"/>
        <v>809.3</v>
      </c>
      <c r="R297">
        <f t="shared" si="64"/>
        <v>0</v>
      </c>
    </row>
    <row r="298" spans="1:18" x14ac:dyDescent="0.3">
      <c r="A298" s="1">
        <v>41764</v>
      </c>
      <c r="B298" s="1">
        <v>41780</v>
      </c>
      <c r="C298">
        <v>8.39</v>
      </c>
      <c r="D298">
        <v>0.22</v>
      </c>
      <c r="E298">
        <v>5</v>
      </c>
      <c r="F298">
        <f t="shared" si="52"/>
        <v>0</v>
      </c>
      <c r="G298">
        <f t="shared" si="53"/>
        <v>0</v>
      </c>
      <c r="H298">
        <f t="shared" si="54"/>
        <v>0</v>
      </c>
      <c r="I298">
        <f t="shared" si="55"/>
        <v>16</v>
      </c>
      <c r="J298">
        <f t="shared" si="56"/>
        <v>0</v>
      </c>
      <c r="K298">
        <f t="shared" si="57"/>
        <v>800</v>
      </c>
      <c r="L298">
        <f t="shared" si="58"/>
        <v>8.6100000000000012</v>
      </c>
      <c r="M298">
        <f t="shared" si="59"/>
        <v>808.61</v>
      </c>
      <c r="N298">
        <f t="shared" si="60"/>
        <v>0</v>
      </c>
      <c r="O298">
        <f t="shared" si="61"/>
        <v>0</v>
      </c>
      <c r="P298">
        <f t="shared" si="62"/>
        <v>0</v>
      </c>
      <c r="Q298">
        <f t="shared" si="63"/>
        <v>808.61</v>
      </c>
      <c r="R298">
        <f t="shared" si="64"/>
        <v>0</v>
      </c>
    </row>
    <row r="299" spans="1:18" x14ac:dyDescent="0.3">
      <c r="A299" s="1">
        <v>41764</v>
      </c>
      <c r="B299" s="1">
        <v>41776</v>
      </c>
      <c r="C299">
        <v>3.73</v>
      </c>
      <c r="D299">
        <v>0.1</v>
      </c>
      <c r="E299">
        <v>5</v>
      </c>
      <c r="F299">
        <f t="shared" si="52"/>
        <v>0</v>
      </c>
      <c r="G299">
        <f t="shared" si="53"/>
        <v>0</v>
      </c>
      <c r="H299">
        <f t="shared" si="54"/>
        <v>0</v>
      </c>
      <c r="I299">
        <f t="shared" si="55"/>
        <v>12</v>
      </c>
      <c r="J299">
        <f t="shared" si="56"/>
        <v>0</v>
      </c>
      <c r="K299">
        <f t="shared" si="57"/>
        <v>600</v>
      </c>
      <c r="L299">
        <f t="shared" si="58"/>
        <v>3.83</v>
      </c>
      <c r="M299">
        <f t="shared" si="59"/>
        <v>603.83000000000004</v>
      </c>
      <c r="N299">
        <f t="shared" si="60"/>
        <v>0</v>
      </c>
      <c r="O299">
        <f t="shared" si="61"/>
        <v>0</v>
      </c>
      <c r="P299">
        <f t="shared" si="62"/>
        <v>0</v>
      </c>
      <c r="Q299">
        <f t="shared" si="63"/>
        <v>603.83000000000004</v>
      </c>
      <c r="R299">
        <f t="shared" si="64"/>
        <v>0</v>
      </c>
    </row>
    <row r="300" spans="1:18" x14ac:dyDescent="0.3">
      <c r="A300" s="1">
        <v>41765</v>
      </c>
      <c r="B300" s="1">
        <v>41773</v>
      </c>
      <c r="C300">
        <v>7.31</v>
      </c>
      <c r="D300">
        <v>0.19</v>
      </c>
      <c r="E300">
        <v>4</v>
      </c>
      <c r="F300">
        <f t="shared" si="52"/>
        <v>0</v>
      </c>
      <c r="G300">
        <f t="shared" si="53"/>
        <v>0</v>
      </c>
      <c r="H300">
        <f t="shared" si="54"/>
        <v>8</v>
      </c>
      <c r="I300">
        <f t="shared" si="55"/>
        <v>0</v>
      </c>
      <c r="J300">
        <f t="shared" si="56"/>
        <v>0</v>
      </c>
      <c r="K300">
        <f t="shared" si="57"/>
        <v>320</v>
      </c>
      <c r="L300">
        <f t="shared" si="58"/>
        <v>7.5</v>
      </c>
      <c r="M300">
        <f t="shared" si="59"/>
        <v>327.5</v>
      </c>
      <c r="N300">
        <f t="shared" si="60"/>
        <v>0</v>
      </c>
      <c r="O300">
        <f t="shared" si="61"/>
        <v>0</v>
      </c>
      <c r="P300">
        <f t="shared" si="62"/>
        <v>327.5</v>
      </c>
      <c r="Q300">
        <f t="shared" si="63"/>
        <v>0</v>
      </c>
      <c r="R300">
        <f t="shared" si="64"/>
        <v>0</v>
      </c>
    </row>
    <row r="301" spans="1:18" x14ac:dyDescent="0.3">
      <c r="A301" s="1">
        <v>41767</v>
      </c>
      <c r="B301" s="1">
        <v>41780</v>
      </c>
      <c r="C301">
        <v>14.31</v>
      </c>
      <c r="D301">
        <v>0.38</v>
      </c>
      <c r="E301">
        <v>6</v>
      </c>
      <c r="F301">
        <f t="shared" si="52"/>
        <v>0</v>
      </c>
      <c r="G301">
        <f t="shared" si="53"/>
        <v>0</v>
      </c>
      <c r="H301">
        <f t="shared" si="54"/>
        <v>0</v>
      </c>
      <c r="I301">
        <f t="shared" si="55"/>
        <v>0</v>
      </c>
      <c r="J301">
        <f t="shared" si="56"/>
        <v>13</v>
      </c>
      <c r="K301">
        <f t="shared" si="57"/>
        <v>780</v>
      </c>
      <c r="L301">
        <f t="shared" si="58"/>
        <v>14.690000000000001</v>
      </c>
      <c r="M301">
        <f t="shared" si="59"/>
        <v>794.69</v>
      </c>
      <c r="N301">
        <f t="shared" si="60"/>
        <v>0</v>
      </c>
      <c r="O301">
        <f t="shared" si="61"/>
        <v>0</v>
      </c>
      <c r="P301">
        <f t="shared" si="62"/>
        <v>0</v>
      </c>
      <c r="Q301">
        <f t="shared" si="63"/>
        <v>0</v>
      </c>
      <c r="R301">
        <f t="shared" si="64"/>
        <v>794.69</v>
      </c>
    </row>
    <row r="302" spans="1:18" x14ac:dyDescent="0.3">
      <c r="A302" s="1">
        <v>41767</v>
      </c>
      <c r="B302" s="1">
        <v>41794</v>
      </c>
      <c r="C302">
        <v>14.13</v>
      </c>
      <c r="D302">
        <v>0.37</v>
      </c>
      <c r="E302">
        <v>4</v>
      </c>
      <c r="F302">
        <f t="shared" si="52"/>
        <v>0</v>
      </c>
      <c r="G302">
        <f t="shared" si="53"/>
        <v>0</v>
      </c>
      <c r="H302">
        <f t="shared" si="54"/>
        <v>27</v>
      </c>
      <c r="I302">
        <f t="shared" si="55"/>
        <v>0</v>
      </c>
      <c r="J302">
        <f t="shared" si="56"/>
        <v>0</v>
      </c>
      <c r="K302">
        <f t="shared" si="57"/>
        <v>1080</v>
      </c>
      <c r="L302">
        <f t="shared" si="58"/>
        <v>14.5</v>
      </c>
      <c r="M302">
        <f t="shared" si="59"/>
        <v>1094.5</v>
      </c>
      <c r="N302">
        <f t="shared" si="60"/>
        <v>0</v>
      </c>
      <c r="O302">
        <f t="shared" si="61"/>
        <v>0</v>
      </c>
      <c r="P302">
        <f t="shared" si="62"/>
        <v>1094.5</v>
      </c>
      <c r="Q302">
        <f t="shared" si="63"/>
        <v>0</v>
      </c>
      <c r="R302">
        <f t="shared" si="64"/>
        <v>0</v>
      </c>
    </row>
    <row r="303" spans="1:18" x14ac:dyDescent="0.3">
      <c r="A303" s="1">
        <v>41767</v>
      </c>
      <c r="B303" s="1">
        <v>41777</v>
      </c>
      <c r="C303">
        <v>3.88</v>
      </c>
      <c r="D303">
        <v>0.1</v>
      </c>
      <c r="E303">
        <v>5</v>
      </c>
      <c r="F303">
        <f t="shared" si="52"/>
        <v>0</v>
      </c>
      <c r="G303">
        <f t="shared" si="53"/>
        <v>0</v>
      </c>
      <c r="H303">
        <f t="shared" si="54"/>
        <v>0</v>
      </c>
      <c r="I303">
        <f t="shared" si="55"/>
        <v>10</v>
      </c>
      <c r="J303">
        <f t="shared" si="56"/>
        <v>0</v>
      </c>
      <c r="K303">
        <f t="shared" si="57"/>
        <v>500</v>
      </c>
      <c r="L303">
        <f t="shared" si="58"/>
        <v>3.98</v>
      </c>
      <c r="M303">
        <f t="shared" si="59"/>
        <v>503.98</v>
      </c>
      <c r="N303">
        <f t="shared" si="60"/>
        <v>0</v>
      </c>
      <c r="O303">
        <f t="shared" si="61"/>
        <v>0</v>
      </c>
      <c r="P303">
        <f t="shared" si="62"/>
        <v>0</v>
      </c>
      <c r="Q303">
        <f t="shared" si="63"/>
        <v>503.98</v>
      </c>
      <c r="R303">
        <f t="shared" si="64"/>
        <v>0</v>
      </c>
    </row>
    <row r="304" spans="1:18" x14ac:dyDescent="0.3">
      <c r="A304" s="1">
        <v>41767</v>
      </c>
      <c r="B304" s="1">
        <v>41769</v>
      </c>
      <c r="C304">
        <v>7.35</v>
      </c>
      <c r="D304">
        <v>0.19</v>
      </c>
      <c r="E304">
        <v>6</v>
      </c>
      <c r="F304">
        <f t="shared" si="52"/>
        <v>0</v>
      </c>
      <c r="G304">
        <f t="shared" si="53"/>
        <v>0</v>
      </c>
      <c r="H304">
        <f t="shared" si="54"/>
        <v>0</v>
      </c>
      <c r="I304">
        <f t="shared" si="55"/>
        <v>0</v>
      </c>
      <c r="J304">
        <f t="shared" si="56"/>
        <v>2</v>
      </c>
      <c r="K304">
        <f t="shared" si="57"/>
        <v>120</v>
      </c>
      <c r="L304">
        <f t="shared" si="58"/>
        <v>7.54</v>
      </c>
      <c r="M304">
        <f t="shared" si="59"/>
        <v>127.54</v>
      </c>
      <c r="N304">
        <f t="shared" si="60"/>
        <v>0</v>
      </c>
      <c r="O304">
        <f t="shared" si="61"/>
        <v>0</v>
      </c>
      <c r="P304">
        <f t="shared" si="62"/>
        <v>0</v>
      </c>
      <c r="Q304">
        <f t="shared" si="63"/>
        <v>0</v>
      </c>
      <c r="R304">
        <f t="shared" si="64"/>
        <v>127.54</v>
      </c>
    </row>
    <row r="305" spans="1:18" x14ac:dyDescent="0.3">
      <c r="A305" s="1">
        <v>41767</v>
      </c>
      <c r="B305" s="1">
        <v>41776</v>
      </c>
      <c r="C305">
        <v>12.01</v>
      </c>
      <c r="D305">
        <v>0.32</v>
      </c>
      <c r="E305">
        <v>4</v>
      </c>
      <c r="F305">
        <f t="shared" si="52"/>
        <v>0</v>
      </c>
      <c r="G305">
        <f t="shared" si="53"/>
        <v>0</v>
      </c>
      <c r="H305">
        <f t="shared" si="54"/>
        <v>9</v>
      </c>
      <c r="I305">
        <f t="shared" si="55"/>
        <v>0</v>
      </c>
      <c r="J305">
        <f t="shared" si="56"/>
        <v>0</v>
      </c>
      <c r="K305">
        <f t="shared" si="57"/>
        <v>360</v>
      </c>
      <c r="L305">
        <f t="shared" si="58"/>
        <v>12.33</v>
      </c>
      <c r="M305">
        <f t="shared" si="59"/>
        <v>372.33</v>
      </c>
      <c r="N305">
        <f t="shared" si="60"/>
        <v>0</v>
      </c>
      <c r="O305">
        <f t="shared" si="61"/>
        <v>0</v>
      </c>
      <c r="P305">
        <f t="shared" si="62"/>
        <v>372.33</v>
      </c>
      <c r="Q305">
        <f t="shared" si="63"/>
        <v>0</v>
      </c>
      <c r="R305">
        <f t="shared" si="64"/>
        <v>0</v>
      </c>
    </row>
    <row r="306" spans="1:18" x14ac:dyDescent="0.3">
      <c r="A306" s="1">
        <v>41767</v>
      </c>
      <c r="B306" s="1">
        <v>41775</v>
      </c>
      <c r="C306">
        <v>13.07</v>
      </c>
      <c r="D306">
        <v>0.34</v>
      </c>
      <c r="E306">
        <v>3</v>
      </c>
      <c r="F306">
        <f t="shared" si="52"/>
        <v>0</v>
      </c>
      <c r="G306">
        <f t="shared" si="53"/>
        <v>8</v>
      </c>
      <c r="H306">
        <f t="shared" si="54"/>
        <v>0</v>
      </c>
      <c r="I306">
        <f t="shared" si="55"/>
        <v>0</v>
      </c>
      <c r="J306">
        <f t="shared" si="56"/>
        <v>0</v>
      </c>
      <c r="K306">
        <f t="shared" si="57"/>
        <v>240</v>
      </c>
      <c r="L306">
        <f t="shared" si="58"/>
        <v>13.41</v>
      </c>
      <c r="M306">
        <f t="shared" si="59"/>
        <v>253.41</v>
      </c>
      <c r="N306">
        <f t="shared" si="60"/>
        <v>0</v>
      </c>
      <c r="O306">
        <f t="shared" si="61"/>
        <v>253.41</v>
      </c>
      <c r="P306">
        <f t="shared" si="62"/>
        <v>0</v>
      </c>
      <c r="Q306">
        <f t="shared" si="63"/>
        <v>0</v>
      </c>
      <c r="R306">
        <f t="shared" si="64"/>
        <v>0</v>
      </c>
    </row>
    <row r="307" spans="1:18" x14ac:dyDescent="0.3">
      <c r="A307" s="1">
        <v>41773</v>
      </c>
      <c r="B307" s="1">
        <v>41789</v>
      </c>
      <c r="C307">
        <v>7.35</v>
      </c>
      <c r="D307">
        <v>0.19</v>
      </c>
      <c r="E307">
        <v>4</v>
      </c>
      <c r="F307">
        <f t="shared" si="52"/>
        <v>0</v>
      </c>
      <c r="G307">
        <f t="shared" si="53"/>
        <v>0</v>
      </c>
      <c r="H307">
        <f t="shared" si="54"/>
        <v>16</v>
      </c>
      <c r="I307">
        <f t="shared" si="55"/>
        <v>0</v>
      </c>
      <c r="J307">
        <f t="shared" si="56"/>
        <v>0</v>
      </c>
      <c r="K307">
        <f t="shared" si="57"/>
        <v>640</v>
      </c>
      <c r="L307">
        <f t="shared" si="58"/>
        <v>7.54</v>
      </c>
      <c r="M307">
        <f t="shared" si="59"/>
        <v>647.54</v>
      </c>
      <c r="N307">
        <f t="shared" si="60"/>
        <v>0</v>
      </c>
      <c r="O307">
        <f t="shared" si="61"/>
        <v>0</v>
      </c>
      <c r="P307">
        <f t="shared" si="62"/>
        <v>647.54</v>
      </c>
      <c r="Q307">
        <f t="shared" si="63"/>
        <v>0</v>
      </c>
      <c r="R307">
        <f t="shared" si="64"/>
        <v>0</v>
      </c>
    </row>
    <row r="308" spans="1:18" x14ac:dyDescent="0.3">
      <c r="A308" s="1">
        <v>41773</v>
      </c>
      <c r="B308" s="1">
        <v>41776</v>
      </c>
      <c r="C308">
        <v>11.37</v>
      </c>
      <c r="D308">
        <v>0.3</v>
      </c>
      <c r="E308">
        <v>2</v>
      </c>
      <c r="F308">
        <f t="shared" si="52"/>
        <v>3</v>
      </c>
      <c r="G308">
        <f t="shared" si="53"/>
        <v>0</v>
      </c>
      <c r="H308">
        <f t="shared" si="54"/>
        <v>0</v>
      </c>
      <c r="I308">
        <f t="shared" si="55"/>
        <v>0</v>
      </c>
      <c r="J308">
        <f t="shared" si="56"/>
        <v>0</v>
      </c>
      <c r="K308">
        <f t="shared" si="57"/>
        <v>60</v>
      </c>
      <c r="L308">
        <f t="shared" si="58"/>
        <v>11.67</v>
      </c>
      <c r="M308">
        <f t="shared" si="59"/>
        <v>71.67</v>
      </c>
      <c r="N308">
        <f t="shared" si="60"/>
        <v>71.67</v>
      </c>
      <c r="O308">
        <f t="shared" si="61"/>
        <v>0</v>
      </c>
      <c r="P308">
        <f t="shared" si="62"/>
        <v>0</v>
      </c>
      <c r="Q308">
        <f t="shared" si="63"/>
        <v>0</v>
      </c>
      <c r="R308">
        <f t="shared" si="64"/>
        <v>0</v>
      </c>
    </row>
    <row r="309" spans="1:18" x14ac:dyDescent="0.3">
      <c r="A309" s="1">
        <v>41773</v>
      </c>
      <c r="B309" s="1">
        <v>41778</v>
      </c>
      <c r="C309">
        <v>13.81</v>
      </c>
      <c r="D309">
        <v>0.36</v>
      </c>
      <c r="E309">
        <v>3</v>
      </c>
      <c r="F309">
        <f t="shared" si="52"/>
        <v>0</v>
      </c>
      <c r="G309">
        <f t="shared" si="53"/>
        <v>5</v>
      </c>
      <c r="H309">
        <f t="shared" si="54"/>
        <v>0</v>
      </c>
      <c r="I309">
        <f t="shared" si="55"/>
        <v>0</v>
      </c>
      <c r="J309">
        <f t="shared" si="56"/>
        <v>0</v>
      </c>
      <c r="K309">
        <f t="shared" si="57"/>
        <v>150</v>
      </c>
      <c r="L309">
        <f t="shared" si="58"/>
        <v>14.17</v>
      </c>
      <c r="M309">
        <f t="shared" si="59"/>
        <v>164.17</v>
      </c>
      <c r="N309">
        <f t="shared" si="60"/>
        <v>0</v>
      </c>
      <c r="O309">
        <f t="shared" si="61"/>
        <v>164.17</v>
      </c>
      <c r="P309">
        <f t="shared" si="62"/>
        <v>0</v>
      </c>
      <c r="Q309">
        <f t="shared" si="63"/>
        <v>0</v>
      </c>
      <c r="R309">
        <f t="shared" si="64"/>
        <v>0</v>
      </c>
    </row>
    <row r="310" spans="1:18" x14ac:dyDescent="0.3">
      <c r="A310" s="1">
        <v>41773</v>
      </c>
      <c r="B310" s="1">
        <v>41780</v>
      </c>
      <c r="C310">
        <v>5.64</v>
      </c>
      <c r="D310">
        <v>0.15</v>
      </c>
      <c r="E310">
        <v>6</v>
      </c>
      <c r="F310">
        <f t="shared" si="52"/>
        <v>0</v>
      </c>
      <c r="G310">
        <f t="shared" si="53"/>
        <v>0</v>
      </c>
      <c r="H310">
        <f t="shared" si="54"/>
        <v>0</v>
      </c>
      <c r="I310">
        <f t="shared" si="55"/>
        <v>0</v>
      </c>
      <c r="J310">
        <f t="shared" si="56"/>
        <v>7</v>
      </c>
      <c r="K310">
        <f t="shared" si="57"/>
        <v>420</v>
      </c>
      <c r="L310">
        <f t="shared" si="58"/>
        <v>5.79</v>
      </c>
      <c r="M310">
        <f t="shared" si="59"/>
        <v>425.79</v>
      </c>
      <c r="N310">
        <f t="shared" si="60"/>
        <v>0</v>
      </c>
      <c r="O310">
        <f t="shared" si="61"/>
        <v>0</v>
      </c>
      <c r="P310">
        <f t="shared" si="62"/>
        <v>0</v>
      </c>
      <c r="Q310">
        <f t="shared" si="63"/>
        <v>0</v>
      </c>
      <c r="R310">
        <f t="shared" si="64"/>
        <v>425.79</v>
      </c>
    </row>
    <row r="311" spans="1:18" x14ac:dyDescent="0.3">
      <c r="A311" s="1">
        <v>41773</v>
      </c>
      <c r="B311" s="1">
        <v>41782</v>
      </c>
      <c r="C311">
        <v>7.55</v>
      </c>
      <c r="D311">
        <v>0.2</v>
      </c>
      <c r="E311">
        <v>2</v>
      </c>
      <c r="F311">
        <f t="shared" si="52"/>
        <v>9</v>
      </c>
      <c r="G311">
        <f t="shared" si="53"/>
        <v>0</v>
      </c>
      <c r="H311">
        <f t="shared" si="54"/>
        <v>0</v>
      </c>
      <c r="I311">
        <f t="shared" si="55"/>
        <v>0</v>
      </c>
      <c r="J311">
        <f t="shared" si="56"/>
        <v>0</v>
      </c>
      <c r="K311">
        <f t="shared" si="57"/>
        <v>180</v>
      </c>
      <c r="L311">
        <f t="shared" si="58"/>
        <v>7.75</v>
      </c>
      <c r="M311">
        <f t="shared" si="59"/>
        <v>187.75</v>
      </c>
      <c r="N311">
        <f t="shared" si="60"/>
        <v>187.75</v>
      </c>
      <c r="O311">
        <f t="shared" si="61"/>
        <v>0</v>
      </c>
      <c r="P311">
        <f t="shared" si="62"/>
        <v>0</v>
      </c>
      <c r="Q311">
        <f t="shared" si="63"/>
        <v>0</v>
      </c>
      <c r="R311">
        <f t="shared" si="64"/>
        <v>0</v>
      </c>
    </row>
    <row r="312" spans="1:18" x14ac:dyDescent="0.3">
      <c r="A312" s="1">
        <v>41773</v>
      </c>
      <c r="B312" s="1">
        <v>41787</v>
      </c>
      <c r="C312">
        <v>5.23</v>
      </c>
      <c r="D312">
        <v>0.14000000000000001</v>
      </c>
      <c r="E312">
        <v>3</v>
      </c>
      <c r="F312">
        <f t="shared" si="52"/>
        <v>0</v>
      </c>
      <c r="G312">
        <f t="shared" si="53"/>
        <v>14</v>
      </c>
      <c r="H312">
        <f t="shared" si="54"/>
        <v>0</v>
      </c>
      <c r="I312">
        <f t="shared" si="55"/>
        <v>0</v>
      </c>
      <c r="J312">
        <f t="shared" si="56"/>
        <v>0</v>
      </c>
      <c r="K312">
        <f t="shared" si="57"/>
        <v>420</v>
      </c>
      <c r="L312">
        <f t="shared" si="58"/>
        <v>5.37</v>
      </c>
      <c r="M312">
        <f t="shared" si="59"/>
        <v>425.37</v>
      </c>
      <c r="N312">
        <f t="shared" si="60"/>
        <v>0</v>
      </c>
      <c r="O312">
        <f t="shared" si="61"/>
        <v>425.37</v>
      </c>
      <c r="P312">
        <f t="shared" si="62"/>
        <v>0</v>
      </c>
      <c r="Q312">
        <f t="shared" si="63"/>
        <v>0</v>
      </c>
      <c r="R312">
        <f t="shared" si="64"/>
        <v>0</v>
      </c>
    </row>
    <row r="313" spans="1:18" x14ac:dyDescent="0.3">
      <c r="A313" s="1">
        <v>41773</v>
      </c>
      <c r="B313" s="1">
        <v>41791</v>
      </c>
      <c r="C313">
        <v>7.55</v>
      </c>
      <c r="D313">
        <v>0.2</v>
      </c>
      <c r="E313">
        <v>2</v>
      </c>
      <c r="F313">
        <f t="shared" si="52"/>
        <v>18</v>
      </c>
      <c r="G313">
        <f t="shared" si="53"/>
        <v>0</v>
      </c>
      <c r="H313">
        <f t="shared" si="54"/>
        <v>0</v>
      </c>
      <c r="I313">
        <f t="shared" si="55"/>
        <v>0</v>
      </c>
      <c r="J313">
        <f t="shared" si="56"/>
        <v>0</v>
      </c>
      <c r="K313">
        <f t="shared" si="57"/>
        <v>360</v>
      </c>
      <c r="L313">
        <f t="shared" si="58"/>
        <v>7.75</v>
      </c>
      <c r="M313">
        <f t="shared" si="59"/>
        <v>367.75</v>
      </c>
      <c r="N313">
        <f t="shared" si="60"/>
        <v>367.75</v>
      </c>
      <c r="O313">
        <f t="shared" si="61"/>
        <v>0</v>
      </c>
      <c r="P313">
        <f t="shared" si="62"/>
        <v>0</v>
      </c>
      <c r="Q313">
        <f t="shared" si="63"/>
        <v>0</v>
      </c>
      <c r="R313">
        <f t="shared" si="64"/>
        <v>0</v>
      </c>
    </row>
    <row r="314" spans="1:18" x14ac:dyDescent="0.3">
      <c r="A314" s="1">
        <v>41779</v>
      </c>
      <c r="B314" s="1">
        <v>41792</v>
      </c>
      <c r="C314">
        <v>8.89</v>
      </c>
      <c r="D314">
        <v>0.23</v>
      </c>
      <c r="E314">
        <v>3</v>
      </c>
      <c r="F314">
        <f t="shared" si="52"/>
        <v>0</v>
      </c>
      <c r="G314">
        <f t="shared" si="53"/>
        <v>13</v>
      </c>
      <c r="H314">
        <f t="shared" si="54"/>
        <v>0</v>
      </c>
      <c r="I314">
        <f t="shared" si="55"/>
        <v>0</v>
      </c>
      <c r="J314">
        <f t="shared" si="56"/>
        <v>0</v>
      </c>
      <c r="K314">
        <f t="shared" si="57"/>
        <v>390</v>
      </c>
      <c r="L314">
        <f t="shared" si="58"/>
        <v>9.120000000000001</v>
      </c>
      <c r="M314">
        <f t="shared" si="59"/>
        <v>399.12</v>
      </c>
      <c r="N314">
        <f t="shared" si="60"/>
        <v>0</v>
      </c>
      <c r="O314">
        <f t="shared" si="61"/>
        <v>399.12</v>
      </c>
      <c r="P314">
        <f t="shared" si="62"/>
        <v>0</v>
      </c>
      <c r="Q314">
        <f t="shared" si="63"/>
        <v>0</v>
      </c>
      <c r="R314">
        <f t="shared" si="64"/>
        <v>0</v>
      </c>
    </row>
    <row r="315" spans="1:18" x14ac:dyDescent="0.3">
      <c r="A315" s="1">
        <v>41779</v>
      </c>
      <c r="B315" s="1">
        <v>41803</v>
      </c>
      <c r="C315">
        <v>8.65</v>
      </c>
      <c r="D315">
        <v>0.23</v>
      </c>
      <c r="E315">
        <v>3</v>
      </c>
      <c r="F315">
        <f t="shared" si="52"/>
        <v>0</v>
      </c>
      <c r="G315">
        <f t="shared" si="53"/>
        <v>24</v>
      </c>
      <c r="H315">
        <f t="shared" si="54"/>
        <v>0</v>
      </c>
      <c r="I315">
        <f t="shared" si="55"/>
        <v>0</v>
      </c>
      <c r="J315">
        <f t="shared" si="56"/>
        <v>0</v>
      </c>
      <c r="K315">
        <f t="shared" si="57"/>
        <v>720</v>
      </c>
      <c r="L315">
        <f t="shared" si="58"/>
        <v>8.8800000000000008</v>
      </c>
      <c r="M315">
        <f t="shared" si="59"/>
        <v>728.88</v>
      </c>
      <c r="N315">
        <f t="shared" si="60"/>
        <v>0</v>
      </c>
      <c r="O315">
        <f t="shared" si="61"/>
        <v>728.88</v>
      </c>
      <c r="P315">
        <f t="shared" si="62"/>
        <v>0</v>
      </c>
      <c r="Q315">
        <f t="shared" si="63"/>
        <v>0</v>
      </c>
      <c r="R315">
        <f t="shared" si="64"/>
        <v>0</v>
      </c>
    </row>
    <row r="316" spans="1:18" x14ac:dyDescent="0.3">
      <c r="A316" s="1">
        <v>41779</v>
      </c>
      <c r="B316" s="1">
        <v>41788</v>
      </c>
      <c r="C316">
        <v>7.3</v>
      </c>
      <c r="D316">
        <v>0.19</v>
      </c>
      <c r="E316">
        <v>6</v>
      </c>
      <c r="F316">
        <f t="shared" si="52"/>
        <v>0</v>
      </c>
      <c r="G316">
        <f t="shared" si="53"/>
        <v>0</v>
      </c>
      <c r="H316">
        <f t="shared" si="54"/>
        <v>0</v>
      </c>
      <c r="I316">
        <f t="shared" si="55"/>
        <v>0</v>
      </c>
      <c r="J316">
        <f t="shared" si="56"/>
        <v>9</v>
      </c>
      <c r="K316">
        <f t="shared" si="57"/>
        <v>540</v>
      </c>
      <c r="L316">
        <f t="shared" si="58"/>
        <v>7.49</v>
      </c>
      <c r="M316">
        <f t="shared" si="59"/>
        <v>547.49</v>
      </c>
      <c r="N316">
        <f t="shared" si="60"/>
        <v>0</v>
      </c>
      <c r="O316">
        <f t="shared" si="61"/>
        <v>0</v>
      </c>
      <c r="P316">
        <f t="shared" si="62"/>
        <v>0</v>
      </c>
      <c r="Q316">
        <f t="shared" si="63"/>
        <v>0</v>
      </c>
      <c r="R316">
        <f t="shared" si="64"/>
        <v>547.49</v>
      </c>
    </row>
    <row r="317" spans="1:18" x14ac:dyDescent="0.3">
      <c r="A317" s="1">
        <v>41779</v>
      </c>
      <c r="B317" s="1">
        <v>41801</v>
      </c>
      <c r="C317">
        <v>10.59</v>
      </c>
      <c r="D317">
        <v>0.28000000000000003</v>
      </c>
      <c r="E317">
        <v>5</v>
      </c>
      <c r="F317">
        <f t="shared" si="52"/>
        <v>0</v>
      </c>
      <c r="G317">
        <f t="shared" si="53"/>
        <v>0</v>
      </c>
      <c r="H317">
        <f t="shared" si="54"/>
        <v>0</v>
      </c>
      <c r="I317">
        <f t="shared" si="55"/>
        <v>22</v>
      </c>
      <c r="J317">
        <f t="shared" si="56"/>
        <v>0</v>
      </c>
      <c r="K317">
        <f t="shared" si="57"/>
        <v>1100</v>
      </c>
      <c r="L317">
        <f t="shared" si="58"/>
        <v>10.87</v>
      </c>
      <c r="M317">
        <f t="shared" si="59"/>
        <v>1110.8699999999999</v>
      </c>
      <c r="N317">
        <f t="shared" si="60"/>
        <v>0</v>
      </c>
      <c r="O317">
        <f t="shared" si="61"/>
        <v>0</v>
      </c>
      <c r="P317">
        <f t="shared" si="62"/>
        <v>0</v>
      </c>
      <c r="Q317">
        <f t="shared" si="63"/>
        <v>1110.8699999999999</v>
      </c>
      <c r="R317">
        <f t="shared" si="64"/>
        <v>0</v>
      </c>
    </row>
    <row r="318" spans="1:18" x14ac:dyDescent="0.3">
      <c r="A318" s="1">
        <v>41779</v>
      </c>
      <c r="B318" s="1">
        <v>41789</v>
      </c>
      <c r="C318">
        <v>11.37</v>
      </c>
      <c r="D318">
        <v>0.3</v>
      </c>
      <c r="E318">
        <v>5</v>
      </c>
      <c r="F318">
        <f t="shared" si="52"/>
        <v>0</v>
      </c>
      <c r="G318">
        <f t="shared" si="53"/>
        <v>0</v>
      </c>
      <c r="H318">
        <f t="shared" si="54"/>
        <v>0</v>
      </c>
      <c r="I318">
        <f t="shared" si="55"/>
        <v>10</v>
      </c>
      <c r="J318">
        <f t="shared" si="56"/>
        <v>0</v>
      </c>
      <c r="K318">
        <f t="shared" si="57"/>
        <v>500</v>
      </c>
      <c r="L318">
        <f t="shared" si="58"/>
        <v>11.67</v>
      </c>
      <c r="M318">
        <f t="shared" si="59"/>
        <v>511.67</v>
      </c>
      <c r="N318">
        <f t="shared" si="60"/>
        <v>0</v>
      </c>
      <c r="O318">
        <f t="shared" si="61"/>
        <v>0</v>
      </c>
      <c r="P318">
        <f t="shared" si="62"/>
        <v>0</v>
      </c>
      <c r="Q318">
        <f t="shared" si="63"/>
        <v>511.67</v>
      </c>
      <c r="R318">
        <f t="shared" si="64"/>
        <v>0</v>
      </c>
    </row>
    <row r="319" spans="1:18" x14ac:dyDescent="0.3">
      <c r="A319" s="1">
        <v>41779</v>
      </c>
      <c r="B319" s="1">
        <v>41793</v>
      </c>
      <c r="C319">
        <v>10.79</v>
      </c>
      <c r="D319">
        <v>0.28000000000000003</v>
      </c>
      <c r="E319">
        <v>4</v>
      </c>
      <c r="F319">
        <f t="shared" si="52"/>
        <v>0</v>
      </c>
      <c r="G319">
        <f t="shared" si="53"/>
        <v>0</v>
      </c>
      <c r="H319">
        <f t="shared" si="54"/>
        <v>14</v>
      </c>
      <c r="I319">
        <f t="shared" si="55"/>
        <v>0</v>
      </c>
      <c r="J319">
        <f t="shared" si="56"/>
        <v>0</v>
      </c>
      <c r="K319">
        <f t="shared" si="57"/>
        <v>560</v>
      </c>
      <c r="L319">
        <f t="shared" si="58"/>
        <v>11.069999999999999</v>
      </c>
      <c r="M319">
        <f t="shared" si="59"/>
        <v>571.07000000000005</v>
      </c>
      <c r="N319">
        <f t="shared" si="60"/>
        <v>0</v>
      </c>
      <c r="O319">
        <f t="shared" si="61"/>
        <v>0</v>
      </c>
      <c r="P319">
        <f t="shared" si="62"/>
        <v>571.07000000000005</v>
      </c>
      <c r="Q319">
        <f t="shared" si="63"/>
        <v>0</v>
      </c>
      <c r="R319">
        <f t="shared" si="64"/>
        <v>0</v>
      </c>
    </row>
    <row r="320" spans="1:18" x14ac:dyDescent="0.3">
      <c r="A320" s="1">
        <v>41785</v>
      </c>
      <c r="B320" s="1">
        <v>41793</v>
      </c>
      <c r="C320">
        <v>11.44</v>
      </c>
      <c r="D320">
        <v>0.3</v>
      </c>
      <c r="E320">
        <v>4</v>
      </c>
      <c r="F320">
        <f t="shared" si="52"/>
        <v>0</v>
      </c>
      <c r="G320">
        <f t="shared" si="53"/>
        <v>0</v>
      </c>
      <c r="H320">
        <f t="shared" si="54"/>
        <v>8</v>
      </c>
      <c r="I320">
        <f t="shared" si="55"/>
        <v>0</v>
      </c>
      <c r="J320">
        <f t="shared" si="56"/>
        <v>0</v>
      </c>
      <c r="K320">
        <f t="shared" si="57"/>
        <v>320</v>
      </c>
      <c r="L320">
        <f t="shared" si="58"/>
        <v>11.74</v>
      </c>
      <c r="M320">
        <f t="shared" si="59"/>
        <v>331.74</v>
      </c>
      <c r="N320">
        <f t="shared" si="60"/>
        <v>0</v>
      </c>
      <c r="O320">
        <f t="shared" si="61"/>
        <v>0</v>
      </c>
      <c r="P320">
        <f t="shared" si="62"/>
        <v>331.74</v>
      </c>
      <c r="Q320">
        <f t="shared" si="63"/>
        <v>0</v>
      </c>
      <c r="R320">
        <f t="shared" si="64"/>
        <v>0</v>
      </c>
    </row>
    <row r="321" spans="1:18" x14ac:dyDescent="0.3">
      <c r="A321" s="1">
        <v>41785</v>
      </c>
      <c r="B321" s="1">
        <v>41796</v>
      </c>
      <c r="C321">
        <v>13.07</v>
      </c>
      <c r="D321">
        <v>0.34</v>
      </c>
      <c r="E321">
        <v>2</v>
      </c>
      <c r="F321">
        <f t="shared" si="52"/>
        <v>11</v>
      </c>
      <c r="G321">
        <f t="shared" si="53"/>
        <v>0</v>
      </c>
      <c r="H321">
        <f t="shared" si="54"/>
        <v>0</v>
      </c>
      <c r="I321">
        <f t="shared" si="55"/>
        <v>0</v>
      </c>
      <c r="J321">
        <f t="shared" si="56"/>
        <v>0</v>
      </c>
      <c r="K321">
        <f t="shared" si="57"/>
        <v>220</v>
      </c>
      <c r="L321">
        <f t="shared" si="58"/>
        <v>13.41</v>
      </c>
      <c r="M321">
        <f t="shared" si="59"/>
        <v>233.41</v>
      </c>
      <c r="N321">
        <f t="shared" si="60"/>
        <v>233.41</v>
      </c>
      <c r="O321">
        <f t="shared" si="61"/>
        <v>0</v>
      </c>
      <c r="P321">
        <f t="shared" si="62"/>
        <v>0</v>
      </c>
      <c r="Q321">
        <f t="shared" si="63"/>
        <v>0</v>
      </c>
      <c r="R321">
        <f t="shared" si="64"/>
        <v>0</v>
      </c>
    </row>
    <row r="322" spans="1:18" x14ac:dyDescent="0.3">
      <c r="A322" s="1">
        <v>41785</v>
      </c>
      <c r="B322" s="1">
        <v>41801</v>
      </c>
      <c r="C322">
        <v>5.57</v>
      </c>
      <c r="D322">
        <v>0.15</v>
      </c>
      <c r="E322">
        <v>6</v>
      </c>
      <c r="F322">
        <f t="shared" si="52"/>
        <v>0</v>
      </c>
      <c r="G322">
        <f t="shared" si="53"/>
        <v>0</v>
      </c>
      <c r="H322">
        <f t="shared" si="54"/>
        <v>0</v>
      </c>
      <c r="I322">
        <f t="shared" si="55"/>
        <v>0</v>
      </c>
      <c r="J322">
        <f t="shared" si="56"/>
        <v>16</v>
      </c>
      <c r="K322">
        <f t="shared" si="57"/>
        <v>960</v>
      </c>
      <c r="L322">
        <f t="shared" si="58"/>
        <v>5.7200000000000006</v>
      </c>
      <c r="M322">
        <f t="shared" si="59"/>
        <v>965.72</v>
      </c>
      <c r="N322">
        <f t="shared" si="60"/>
        <v>0</v>
      </c>
      <c r="O322">
        <f t="shared" si="61"/>
        <v>0</v>
      </c>
      <c r="P322">
        <f t="shared" si="62"/>
        <v>0</v>
      </c>
      <c r="Q322">
        <f t="shared" si="63"/>
        <v>0</v>
      </c>
      <c r="R322">
        <f t="shared" si="64"/>
        <v>965.72</v>
      </c>
    </row>
    <row r="323" spans="1:18" x14ac:dyDescent="0.3">
      <c r="A323" s="1">
        <v>41785</v>
      </c>
      <c r="B323" s="1">
        <v>41787</v>
      </c>
      <c r="C323">
        <v>11.78</v>
      </c>
      <c r="D323">
        <v>0.31</v>
      </c>
      <c r="E323">
        <v>5</v>
      </c>
      <c r="F323">
        <f t="shared" ref="F323:F386" si="65">IF(EXACT(E323,2),B323-A323,0)</f>
        <v>0</v>
      </c>
      <c r="G323">
        <f t="shared" ref="G323:G386" si="66">IF(EXACT(E323,3),B323-A323,0)</f>
        <v>0</v>
      </c>
      <c r="H323">
        <f t="shared" ref="H323:H386" si="67">IF(EXACT(E323,4),B323-A323,0)</f>
        <v>0</v>
      </c>
      <c r="I323">
        <f t="shared" ref="I323:I386" si="68">IF(EXACT(E323,5),B323-A323,0)</f>
        <v>2</v>
      </c>
      <c r="J323">
        <f t="shared" ref="J323:J386" si="69">IF(EXACT(E323,6),B323-A323,0)</f>
        <v>0</v>
      </c>
      <c r="K323">
        <f t="shared" ref="K323:K386" si="70">10 * E323 * (F323+G323+H323+I323+J323)</f>
        <v>100</v>
      </c>
      <c r="L323">
        <f t="shared" ref="L323:L386" si="71">C323+D323</f>
        <v>12.09</v>
      </c>
      <c r="M323">
        <f t="shared" ref="M323:M386" si="72">K323+L323</f>
        <v>112.09</v>
      </c>
      <c r="N323">
        <f t="shared" ref="N323:N386" si="73">IF(EXACT(E323,2),M323,0)</f>
        <v>0</v>
      </c>
      <c r="O323">
        <f t="shared" ref="O323:O386" si="74">IF(EXACT(E323,3),M323,0)</f>
        <v>0</v>
      </c>
      <c r="P323">
        <f t="shared" ref="P323:P386" si="75">IF(EXACT(E323,4),M323,0)</f>
        <v>0</v>
      </c>
      <c r="Q323">
        <f t="shared" ref="Q323:Q386" si="76">IF(EXACT(E323,5),M323,0)</f>
        <v>112.09</v>
      </c>
      <c r="R323">
        <f t="shared" ref="R323:R386" si="77">IF(EXACT(E323,6),M323,0)</f>
        <v>0</v>
      </c>
    </row>
    <row r="324" spans="1:18" x14ac:dyDescent="0.3">
      <c r="A324" s="1">
        <v>41785</v>
      </c>
      <c r="B324" s="1">
        <v>41788</v>
      </c>
      <c r="C324">
        <v>11.78</v>
      </c>
      <c r="D324">
        <v>0.31</v>
      </c>
      <c r="E324">
        <v>2</v>
      </c>
      <c r="F324">
        <f t="shared" si="65"/>
        <v>3</v>
      </c>
      <c r="G324">
        <f t="shared" si="66"/>
        <v>0</v>
      </c>
      <c r="H324">
        <f t="shared" si="67"/>
        <v>0</v>
      </c>
      <c r="I324">
        <f t="shared" si="68"/>
        <v>0</v>
      </c>
      <c r="J324">
        <f t="shared" si="69"/>
        <v>0</v>
      </c>
      <c r="K324">
        <f t="shared" si="70"/>
        <v>60</v>
      </c>
      <c r="L324">
        <f t="shared" si="71"/>
        <v>12.09</v>
      </c>
      <c r="M324">
        <f t="shared" si="72"/>
        <v>72.09</v>
      </c>
      <c r="N324">
        <f t="shared" si="73"/>
        <v>72.09</v>
      </c>
      <c r="O324">
        <f t="shared" si="74"/>
        <v>0</v>
      </c>
      <c r="P324">
        <f t="shared" si="75"/>
        <v>0</v>
      </c>
      <c r="Q324">
        <f t="shared" si="76"/>
        <v>0</v>
      </c>
      <c r="R324">
        <f t="shared" si="77"/>
        <v>0</v>
      </c>
    </row>
    <row r="325" spans="1:18" x14ac:dyDescent="0.3">
      <c r="A325" s="1">
        <v>41785</v>
      </c>
      <c r="B325" s="1">
        <v>41802</v>
      </c>
      <c r="C325">
        <v>9.74</v>
      </c>
      <c r="D325">
        <v>0.26</v>
      </c>
      <c r="E325">
        <v>3</v>
      </c>
      <c r="F325">
        <f t="shared" si="65"/>
        <v>0</v>
      </c>
      <c r="G325">
        <f t="shared" si="66"/>
        <v>17</v>
      </c>
      <c r="H325">
        <f t="shared" si="67"/>
        <v>0</v>
      </c>
      <c r="I325">
        <f t="shared" si="68"/>
        <v>0</v>
      </c>
      <c r="J325">
        <f t="shared" si="69"/>
        <v>0</v>
      </c>
      <c r="K325">
        <f t="shared" si="70"/>
        <v>510</v>
      </c>
      <c r="L325">
        <f t="shared" si="71"/>
        <v>10</v>
      </c>
      <c r="M325">
        <f t="shared" si="72"/>
        <v>520</v>
      </c>
      <c r="N325">
        <f t="shared" si="73"/>
        <v>0</v>
      </c>
      <c r="O325">
        <f t="shared" si="74"/>
        <v>520</v>
      </c>
      <c r="P325">
        <f t="shared" si="75"/>
        <v>0</v>
      </c>
      <c r="Q325">
        <f t="shared" si="76"/>
        <v>0</v>
      </c>
      <c r="R325">
        <f t="shared" si="77"/>
        <v>0</v>
      </c>
    </row>
    <row r="326" spans="1:18" x14ac:dyDescent="0.3">
      <c r="A326" s="1">
        <v>41791</v>
      </c>
      <c r="B326" s="1">
        <v>41818</v>
      </c>
      <c r="C326">
        <v>12.01</v>
      </c>
      <c r="D326">
        <v>0.32</v>
      </c>
      <c r="E326">
        <v>6</v>
      </c>
      <c r="F326">
        <f t="shared" si="65"/>
        <v>0</v>
      </c>
      <c r="G326">
        <f t="shared" si="66"/>
        <v>0</v>
      </c>
      <c r="H326">
        <f t="shared" si="67"/>
        <v>0</v>
      </c>
      <c r="I326">
        <f t="shared" si="68"/>
        <v>0</v>
      </c>
      <c r="J326">
        <f t="shared" si="69"/>
        <v>27</v>
      </c>
      <c r="K326">
        <f t="shared" si="70"/>
        <v>1620</v>
      </c>
      <c r="L326">
        <f t="shared" si="71"/>
        <v>12.33</v>
      </c>
      <c r="M326">
        <f t="shared" si="72"/>
        <v>1632.33</v>
      </c>
      <c r="N326">
        <f t="shared" si="73"/>
        <v>0</v>
      </c>
      <c r="O326">
        <f t="shared" si="74"/>
        <v>0</v>
      </c>
      <c r="P326">
        <f t="shared" si="75"/>
        <v>0</v>
      </c>
      <c r="Q326">
        <f t="shared" si="76"/>
        <v>0</v>
      </c>
      <c r="R326">
        <f t="shared" si="77"/>
        <v>1632.33</v>
      </c>
    </row>
    <row r="327" spans="1:18" x14ac:dyDescent="0.3">
      <c r="A327" s="1">
        <v>41791</v>
      </c>
      <c r="B327" s="1">
        <v>41798</v>
      </c>
      <c r="C327">
        <v>9.4600000000000009</v>
      </c>
      <c r="D327">
        <v>0.25</v>
      </c>
      <c r="E327">
        <v>3</v>
      </c>
      <c r="F327">
        <f t="shared" si="65"/>
        <v>0</v>
      </c>
      <c r="G327">
        <f t="shared" si="66"/>
        <v>7</v>
      </c>
      <c r="H327">
        <f t="shared" si="67"/>
        <v>0</v>
      </c>
      <c r="I327">
        <f t="shared" si="68"/>
        <v>0</v>
      </c>
      <c r="J327">
        <f t="shared" si="69"/>
        <v>0</v>
      </c>
      <c r="K327">
        <f t="shared" si="70"/>
        <v>210</v>
      </c>
      <c r="L327">
        <f t="shared" si="71"/>
        <v>9.7100000000000009</v>
      </c>
      <c r="M327">
        <f t="shared" si="72"/>
        <v>219.71</v>
      </c>
      <c r="N327">
        <f t="shared" si="73"/>
        <v>0</v>
      </c>
      <c r="O327">
        <f t="shared" si="74"/>
        <v>219.71</v>
      </c>
      <c r="P327">
        <f t="shared" si="75"/>
        <v>0</v>
      </c>
      <c r="Q327">
        <f t="shared" si="76"/>
        <v>0</v>
      </c>
      <c r="R327">
        <f t="shared" si="77"/>
        <v>0</v>
      </c>
    </row>
    <row r="328" spans="1:18" x14ac:dyDescent="0.3">
      <c r="A328" s="1">
        <v>41791</v>
      </c>
      <c r="B328" s="1">
        <v>41795</v>
      </c>
      <c r="C328">
        <v>11.37</v>
      </c>
      <c r="D328">
        <v>0.3</v>
      </c>
      <c r="E328">
        <v>6</v>
      </c>
      <c r="F328">
        <f t="shared" si="65"/>
        <v>0</v>
      </c>
      <c r="G328">
        <f t="shared" si="66"/>
        <v>0</v>
      </c>
      <c r="H328">
        <f t="shared" si="67"/>
        <v>0</v>
      </c>
      <c r="I328">
        <f t="shared" si="68"/>
        <v>0</v>
      </c>
      <c r="J328">
        <f t="shared" si="69"/>
        <v>4</v>
      </c>
      <c r="K328">
        <f t="shared" si="70"/>
        <v>240</v>
      </c>
      <c r="L328">
        <f t="shared" si="71"/>
        <v>11.67</v>
      </c>
      <c r="M328">
        <f t="shared" si="72"/>
        <v>251.67</v>
      </c>
      <c r="N328">
        <f t="shared" si="73"/>
        <v>0</v>
      </c>
      <c r="O328">
        <f t="shared" si="74"/>
        <v>0</v>
      </c>
      <c r="P328">
        <f t="shared" si="75"/>
        <v>0</v>
      </c>
      <c r="Q328">
        <f t="shared" si="76"/>
        <v>0</v>
      </c>
      <c r="R328">
        <f t="shared" si="77"/>
        <v>251.67</v>
      </c>
    </row>
    <row r="329" spans="1:18" x14ac:dyDescent="0.3">
      <c r="A329" s="1">
        <v>41791</v>
      </c>
      <c r="B329" s="1">
        <v>41807</v>
      </c>
      <c r="C329">
        <v>5.78</v>
      </c>
      <c r="D329">
        <v>0.15</v>
      </c>
      <c r="E329">
        <v>3</v>
      </c>
      <c r="F329">
        <f t="shared" si="65"/>
        <v>0</v>
      </c>
      <c r="G329">
        <f t="shared" si="66"/>
        <v>16</v>
      </c>
      <c r="H329">
        <f t="shared" si="67"/>
        <v>0</v>
      </c>
      <c r="I329">
        <f t="shared" si="68"/>
        <v>0</v>
      </c>
      <c r="J329">
        <f t="shared" si="69"/>
        <v>0</v>
      </c>
      <c r="K329">
        <f t="shared" si="70"/>
        <v>480</v>
      </c>
      <c r="L329">
        <f t="shared" si="71"/>
        <v>5.9300000000000006</v>
      </c>
      <c r="M329">
        <f t="shared" si="72"/>
        <v>485.93</v>
      </c>
      <c r="N329">
        <f t="shared" si="73"/>
        <v>0</v>
      </c>
      <c r="O329">
        <f t="shared" si="74"/>
        <v>485.93</v>
      </c>
      <c r="P329">
        <f t="shared" si="75"/>
        <v>0</v>
      </c>
      <c r="Q329">
        <f t="shared" si="76"/>
        <v>0</v>
      </c>
      <c r="R329">
        <f t="shared" si="77"/>
        <v>0</v>
      </c>
    </row>
    <row r="330" spans="1:18" x14ac:dyDescent="0.3">
      <c r="A330" s="1">
        <v>41791</v>
      </c>
      <c r="B330" s="1">
        <v>41812</v>
      </c>
      <c r="C330">
        <v>12.01</v>
      </c>
      <c r="D330">
        <v>0.32</v>
      </c>
      <c r="E330">
        <v>5</v>
      </c>
      <c r="F330">
        <f t="shared" si="65"/>
        <v>0</v>
      </c>
      <c r="G330">
        <f t="shared" si="66"/>
        <v>0</v>
      </c>
      <c r="H330">
        <f t="shared" si="67"/>
        <v>0</v>
      </c>
      <c r="I330">
        <f t="shared" si="68"/>
        <v>21</v>
      </c>
      <c r="J330">
        <f t="shared" si="69"/>
        <v>0</v>
      </c>
      <c r="K330">
        <f t="shared" si="70"/>
        <v>1050</v>
      </c>
      <c r="L330">
        <f t="shared" si="71"/>
        <v>12.33</v>
      </c>
      <c r="M330">
        <f t="shared" si="72"/>
        <v>1062.33</v>
      </c>
      <c r="N330">
        <f t="shared" si="73"/>
        <v>0</v>
      </c>
      <c r="O330">
        <f t="shared" si="74"/>
        <v>0</v>
      </c>
      <c r="P330">
        <f t="shared" si="75"/>
        <v>0</v>
      </c>
      <c r="Q330">
        <f t="shared" si="76"/>
        <v>1062.33</v>
      </c>
      <c r="R330">
        <f t="shared" si="77"/>
        <v>0</v>
      </c>
    </row>
    <row r="331" spans="1:18" x14ac:dyDescent="0.3">
      <c r="A331" s="1">
        <v>41791</v>
      </c>
      <c r="B331" s="1">
        <v>41815</v>
      </c>
      <c r="C331">
        <v>7.55</v>
      </c>
      <c r="D331">
        <v>0.2</v>
      </c>
      <c r="E331">
        <v>5</v>
      </c>
      <c r="F331">
        <f t="shared" si="65"/>
        <v>0</v>
      </c>
      <c r="G331">
        <f t="shared" si="66"/>
        <v>0</v>
      </c>
      <c r="H331">
        <f t="shared" si="67"/>
        <v>0</v>
      </c>
      <c r="I331">
        <f t="shared" si="68"/>
        <v>24</v>
      </c>
      <c r="J331">
        <f t="shared" si="69"/>
        <v>0</v>
      </c>
      <c r="K331">
        <f t="shared" si="70"/>
        <v>1200</v>
      </c>
      <c r="L331">
        <f t="shared" si="71"/>
        <v>7.75</v>
      </c>
      <c r="M331">
        <f t="shared" si="72"/>
        <v>1207.75</v>
      </c>
      <c r="N331">
        <f t="shared" si="73"/>
        <v>0</v>
      </c>
      <c r="O331">
        <f t="shared" si="74"/>
        <v>0</v>
      </c>
      <c r="P331">
        <f t="shared" si="75"/>
        <v>0</v>
      </c>
      <c r="Q331">
        <f t="shared" si="76"/>
        <v>1207.75</v>
      </c>
      <c r="R331">
        <f t="shared" si="77"/>
        <v>0</v>
      </c>
    </row>
    <row r="332" spans="1:18" x14ac:dyDescent="0.3">
      <c r="A332" s="1">
        <v>41791</v>
      </c>
      <c r="B332" s="1">
        <v>41794</v>
      </c>
      <c r="C332">
        <v>9.74</v>
      </c>
      <c r="D332">
        <v>0.26</v>
      </c>
      <c r="E332">
        <v>3</v>
      </c>
      <c r="F332">
        <f t="shared" si="65"/>
        <v>0</v>
      </c>
      <c r="G332">
        <f t="shared" si="66"/>
        <v>3</v>
      </c>
      <c r="H332">
        <f t="shared" si="67"/>
        <v>0</v>
      </c>
      <c r="I332">
        <f t="shared" si="68"/>
        <v>0</v>
      </c>
      <c r="J332">
        <f t="shared" si="69"/>
        <v>0</v>
      </c>
      <c r="K332">
        <f t="shared" si="70"/>
        <v>90</v>
      </c>
      <c r="L332">
        <f t="shared" si="71"/>
        <v>10</v>
      </c>
      <c r="M332">
        <f t="shared" si="72"/>
        <v>100</v>
      </c>
      <c r="N332">
        <f t="shared" si="73"/>
        <v>0</v>
      </c>
      <c r="O332">
        <f t="shared" si="74"/>
        <v>100</v>
      </c>
      <c r="P332">
        <f t="shared" si="75"/>
        <v>0</v>
      </c>
      <c r="Q332">
        <f t="shared" si="76"/>
        <v>0</v>
      </c>
      <c r="R332">
        <f t="shared" si="77"/>
        <v>0</v>
      </c>
    </row>
    <row r="333" spans="1:18" x14ac:dyDescent="0.3">
      <c r="A333" s="1">
        <v>41792</v>
      </c>
      <c r="B333" s="1">
        <v>41802</v>
      </c>
      <c r="C333">
        <v>2.72</v>
      </c>
      <c r="D333">
        <v>7.0000000000000007E-2</v>
      </c>
      <c r="E333">
        <v>2</v>
      </c>
      <c r="F333">
        <f t="shared" si="65"/>
        <v>10</v>
      </c>
      <c r="G333">
        <f t="shared" si="66"/>
        <v>0</v>
      </c>
      <c r="H333">
        <f t="shared" si="67"/>
        <v>0</v>
      </c>
      <c r="I333">
        <f t="shared" si="68"/>
        <v>0</v>
      </c>
      <c r="J333">
        <f t="shared" si="69"/>
        <v>0</v>
      </c>
      <c r="K333">
        <f t="shared" si="70"/>
        <v>200</v>
      </c>
      <c r="L333">
        <f t="shared" si="71"/>
        <v>2.79</v>
      </c>
      <c r="M333">
        <f t="shared" si="72"/>
        <v>202.79</v>
      </c>
      <c r="N333">
        <f t="shared" si="73"/>
        <v>202.79</v>
      </c>
      <c r="O333">
        <f t="shared" si="74"/>
        <v>0</v>
      </c>
      <c r="P333">
        <f t="shared" si="75"/>
        <v>0</v>
      </c>
      <c r="Q333">
        <f t="shared" si="76"/>
        <v>0</v>
      </c>
      <c r="R333">
        <f t="shared" si="77"/>
        <v>0</v>
      </c>
    </row>
    <row r="334" spans="1:18" x14ac:dyDescent="0.3">
      <c r="A334" s="1">
        <v>41792</v>
      </c>
      <c r="B334" s="1">
        <v>41801</v>
      </c>
      <c r="C334">
        <v>3.57</v>
      </c>
      <c r="D334">
        <v>0.09</v>
      </c>
      <c r="E334">
        <v>3</v>
      </c>
      <c r="F334">
        <f t="shared" si="65"/>
        <v>0</v>
      </c>
      <c r="G334">
        <f t="shared" si="66"/>
        <v>9</v>
      </c>
      <c r="H334">
        <f t="shared" si="67"/>
        <v>0</v>
      </c>
      <c r="I334">
        <f t="shared" si="68"/>
        <v>0</v>
      </c>
      <c r="J334">
        <f t="shared" si="69"/>
        <v>0</v>
      </c>
      <c r="K334">
        <f t="shared" si="70"/>
        <v>270</v>
      </c>
      <c r="L334">
        <f t="shared" si="71"/>
        <v>3.6599999999999997</v>
      </c>
      <c r="M334">
        <f t="shared" si="72"/>
        <v>273.66000000000003</v>
      </c>
      <c r="N334">
        <f t="shared" si="73"/>
        <v>0</v>
      </c>
      <c r="O334">
        <f t="shared" si="74"/>
        <v>273.66000000000003</v>
      </c>
      <c r="P334">
        <f t="shared" si="75"/>
        <v>0</v>
      </c>
      <c r="Q334">
        <f t="shared" si="76"/>
        <v>0</v>
      </c>
      <c r="R334">
        <f t="shared" si="77"/>
        <v>0</v>
      </c>
    </row>
    <row r="335" spans="1:18" x14ac:dyDescent="0.3">
      <c r="A335" s="1">
        <v>41792</v>
      </c>
      <c r="B335" s="1">
        <v>41813</v>
      </c>
      <c r="C335">
        <v>7.55</v>
      </c>
      <c r="D335">
        <v>0.2</v>
      </c>
      <c r="E335">
        <v>6</v>
      </c>
      <c r="F335">
        <f t="shared" si="65"/>
        <v>0</v>
      </c>
      <c r="G335">
        <f t="shared" si="66"/>
        <v>0</v>
      </c>
      <c r="H335">
        <f t="shared" si="67"/>
        <v>0</v>
      </c>
      <c r="I335">
        <f t="shared" si="68"/>
        <v>0</v>
      </c>
      <c r="J335">
        <f t="shared" si="69"/>
        <v>21</v>
      </c>
      <c r="K335">
        <f t="shared" si="70"/>
        <v>1260</v>
      </c>
      <c r="L335">
        <f t="shared" si="71"/>
        <v>7.75</v>
      </c>
      <c r="M335">
        <f t="shared" si="72"/>
        <v>1267.75</v>
      </c>
      <c r="N335">
        <f t="shared" si="73"/>
        <v>0</v>
      </c>
      <c r="O335">
        <f t="shared" si="74"/>
        <v>0</v>
      </c>
      <c r="P335">
        <f t="shared" si="75"/>
        <v>0</v>
      </c>
      <c r="Q335">
        <f t="shared" si="76"/>
        <v>0</v>
      </c>
      <c r="R335">
        <f t="shared" si="77"/>
        <v>1267.75</v>
      </c>
    </row>
    <row r="336" spans="1:18" x14ac:dyDescent="0.3">
      <c r="A336" s="1">
        <v>41792</v>
      </c>
      <c r="B336" s="1">
        <v>41812</v>
      </c>
      <c r="C336">
        <v>3.57</v>
      </c>
      <c r="D336">
        <v>0.09</v>
      </c>
      <c r="E336">
        <v>2</v>
      </c>
      <c r="F336">
        <f t="shared" si="65"/>
        <v>20</v>
      </c>
      <c r="G336">
        <f t="shared" si="66"/>
        <v>0</v>
      </c>
      <c r="H336">
        <f t="shared" si="67"/>
        <v>0</v>
      </c>
      <c r="I336">
        <f t="shared" si="68"/>
        <v>0</v>
      </c>
      <c r="J336">
        <f t="shared" si="69"/>
        <v>0</v>
      </c>
      <c r="K336">
        <f t="shared" si="70"/>
        <v>400</v>
      </c>
      <c r="L336">
        <f t="shared" si="71"/>
        <v>3.6599999999999997</v>
      </c>
      <c r="M336">
        <f t="shared" si="72"/>
        <v>403.66</v>
      </c>
      <c r="N336">
        <f t="shared" si="73"/>
        <v>403.66</v>
      </c>
      <c r="O336">
        <f t="shared" si="74"/>
        <v>0</v>
      </c>
      <c r="P336">
        <f t="shared" si="75"/>
        <v>0</v>
      </c>
      <c r="Q336">
        <f t="shared" si="76"/>
        <v>0</v>
      </c>
      <c r="R336">
        <f t="shared" si="77"/>
        <v>0</v>
      </c>
    </row>
    <row r="337" spans="1:18" x14ac:dyDescent="0.3">
      <c r="A337" s="1">
        <v>41793</v>
      </c>
      <c r="B337" s="1">
        <v>41803</v>
      </c>
      <c r="C337">
        <v>2.29</v>
      </c>
      <c r="D337">
        <v>0.06</v>
      </c>
      <c r="E337">
        <v>5</v>
      </c>
      <c r="F337">
        <f t="shared" si="65"/>
        <v>0</v>
      </c>
      <c r="G337">
        <f t="shared" si="66"/>
        <v>0</v>
      </c>
      <c r="H337">
        <f t="shared" si="67"/>
        <v>0</v>
      </c>
      <c r="I337">
        <f t="shared" si="68"/>
        <v>10</v>
      </c>
      <c r="J337">
        <f t="shared" si="69"/>
        <v>0</v>
      </c>
      <c r="K337">
        <f t="shared" si="70"/>
        <v>500</v>
      </c>
      <c r="L337">
        <f t="shared" si="71"/>
        <v>2.35</v>
      </c>
      <c r="M337">
        <f t="shared" si="72"/>
        <v>502.35</v>
      </c>
      <c r="N337">
        <f t="shared" si="73"/>
        <v>0</v>
      </c>
      <c r="O337">
        <f t="shared" si="74"/>
        <v>0</v>
      </c>
      <c r="P337">
        <f t="shared" si="75"/>
        <v>0</v>
      </c>
      <c r="Q337">
        <f t="shared" si="76"/>
        <v>502.35</v>
      </c>
      <c r="R337">
        <f t="shared" si="77"/>
        <v>0</v>
      </c>
    </row>
    <row r="338" spans="1:18" x14ac:dyDescent="0.3">
      <c r="A338" s="1">
        <v>41793</v>
      </c>
      <c r="B338" s="1">
        <v>41817</v>
      </c>
      <c r="C338">
        <v>9.06</v>
      </c>
      <c r="D338">
        <v>0.24</v>
      </c>
      <c r="E338">
        <v>4</v>
      </c>
      <c r="F338">
        <f t="shared" si="65"/>
        <v>0</v>
      </c>
      <c r="G338">
        <f t="shared" si="66"/>
        <v>0</v>
      </c>
      <c r="H338">
        <f t="shared" si="67"/>
        <v>24</v>
      </c>
      <c r="I338">
        <f t="shared" si="68"/>
        <v>0</v>
      </c>
      <c r="J338">
        <f t="shared" si="69"/>
        <v>0</v>
      </c>
      <c r="K338">
        <f t="shared" si="70"/>
        <v>960</v>
      </c>
      <c r="L338">
        <f t="shared" si="71"/>
        <v>9.3000000000000007</v>
      </c>
      <c r="M338">
        <f t="shared" si="72"/>
        <v>969.3</v>
      </c>
      <c r="N338">
        <f t="shared" si="73"/>
        <v>0</v>
      </c>
      <c r="O338">
        <f t="shared" si="74"/>
        <v>0</v>
      </c>
      <c r="P338">
        <f t="shared" si="75"/>
        <v>969.3</v>
      </c>
      <c r="Q338">
        <f t="shared" si="76"/>
        <v>0</v>
      </c>
      <c r="R338">
        <f t="shared" si="77"/>
        <v>0</v>
      </c>
    </row>
    <row r="339" spans="1:18" x14ac:dyDescent="0.3">
      <c r="A339" s="1">
        <v>41794</v>
      </c>
      <c r="B339" s="1">
        <v>41798</v>
      </c>
      <c r="C339">
        <v>4.25</v>
      </c>
      <c r="D339">
        <v>0.11</v>
      </c>
      <c r="E339">
        <v>2</v>
      </c>
      <c r="F339">
        <f t="shared" si="65"/>
        <v>4</v>
      </c>
      <c r="G339">
        <f t="shared" si="66"/>
        <v>0</v>
      </c>
      <c r="H339">
        <f t="shared" si="67"/>
        <v>0</v>
      </c>
      <c r="I339">
        <f t="shared" si="68"/>
        <v>0</v>
      </c>
      <c r="J339">
        <f t="shared" si="69"/>
        <v>0</v>
      </c>
      <c r="K339">
        <f t="shared" si="70"/>
        <v>80</v>
      </c>
      <c r="L339">
        <f t="shared" si="71"/>
        <v>4.3600000000000003</v>
      </c>
      <c r="M339">
        <f t="shared" si="72"/>
        <v>84.36</v>
      </c>
      <c r="N339">
        <f t="shared" si="73"/>
        <v>84.36</v>
      </c>
      <c r="O339">
        <f t="shared" si="74"/>
        <v>0</v>
      </c>
      <c r="P339">
        <f t="shared" si="75"/>
        <v>0</v>
      </c>
      <c r="Q339">
        <f t="shared" si="76"/>
        <v>0</v>
      </c>
      <c r="R339">
        <f t="shared" si="77"/>
        <v>0</v>
      </c>
    </row>
    <row r="340" spans="1:18" x14ac:dyDescent="0.3">
      <c r="A340" s="1">
        <v>41794</v>
      </c>
      <c r="B340" s="1">
        <v>41804</v>
      </c>
      <c r="C340">
        <v>7.31</v>
      </c>
      <c r="D340">
        <v>0.19</v>
      </c>
      <c r="E340">
        <v>6</v>
      </c>
      <c r="F340">
        <f t="shared" si="65"/>
        <v>0</v>
      </c>
      <c r="G340">
        <f t="shared" si="66"/>
        <v>0</v>
      </c>
      <c r="H340">
        <f t="shared" si="67"/>
        <v>0</v>
      </c>
      <c r="I340">
        <f t="shared" si="68"/>
        <v>0</v>
      </c>
      <c r="J340">
        <f t="shared" si="69"/>
        <v>10</v>
      </c>
      <c r="K340">
        <f t="shared" si="70"/>
        <v>600</v>
      </c>
      <c r="L340">
        <f t="shared" si="71"/>
        <v>7.5</v>
      </c>
      <c r="M340">
        <f t="shared" si="72"/>
        <v>607.5</v>
      </c>
      <c r="N340">
        <f t="shared" si="73"/>
        <v>0</v>
      </c>
      <c r="O340">
        <f t="shared" si="74"/>
        <v>0</v>
      </c>
      <c r="P340">
        <f t="shared" si="75"/>
        <v>0</v>
      </c>
      <c r="Q340">
        <f t="shared" si="76"/>
        <v>0</v>
      </c>
      <c r="R340">
        <f t="shared" si="77"/>
        <v>607.5</v>
      </c>
    </row>
    <row r="341" spans="1:18" x14ac:dyDescent="0.3">
      <c r="A341" s="1">
        <v>41794</v>
      </c>
      <c r="B341" s="1">
        <v>41800</v>
      </c>
      <c r="C341">
        <v>9.06</v>
      </c>
      <c r="D341">
        <v>0.24</v>
      </c>
      <c r="E341">
        <v>2</v>
      </c>
      <c r="F341">
        <f t="shared" si="65"/>
        <v>6</v>
      </c>
      <c r="G341">
        <f t="shared" si="66"/>
        <v>0</v>
      </c>
      <c r="H341">
        <f t="shared" si="67"/>
        <v>0</v>
      </c>
      <c r="I341">
        <f t="shared" si="68"/>
        <v>0</v>
      </c>
      <c r="J341">
        <f t="shared" si="69"/>
        <v>0</v>
      </c>
      <c r="K341">
        <f t="shared" si="70"/>
        <v>120</v>
      </c>
      <c r="L341">
        <f t="shared" si="71"/>
        <v>9.3000000000000007</v>
      </c>
      <c r="M341">
        <f t="shared" si="72"/>
        <v>129.30000000000001</v>
      </c>
      <c r="N341">
        <f t="shared" si="73"/>
        <v>129.30000000000001</v>
      </c>
      <c r="O341">
        <f t="shared" si="74"/>
        <v>0</v>
      </c>
      <c r="P341">
        <f t="shared" si="75"/>
        <v>0</v>
      </c>
      <c r="Q341">
        <f t="shared" si="76"/>
        <v>0</v>
      </c>
      <c r="R341">
        <f t="shared" si="77"/>
        <v>0</v>
      </c>
    </row>
    <row r="342" spans="1:18" x14ac:dyDescent="0.3">
      <c r="A342" s="1">
        <v>41795</v>
      </c>
      <c r="B342" s="1">
        <v>41799</v>
      </c>
      <c r="C342">
        <v>6.43</v>
      </c>
      <c r="D342">
        <v>0.17</v>
      </c>
      <c r="E342">
        <v>3</v>
      </c>
      <c r="F342">
        <f t="shared" si="65"/>
        <v>0</v>
      </c>
      <c r="G342">
        <f t="shared" si="66"/>
        <v>4</v>
      </c>
      <c r="H342">
        <f t="shared" si="67"/>
        <v>0</v>
      </c>
      <c r="I342">
        <f t="shared" si="68"/>
        <v>0</v>
      </c>
      <c r="J342">
        <f t="shared" si="69"/>
        <v>0</v>
      </c>
      <c r="K342">
        <f t="shared" si="70"/>
        <v>120</v>
      </c>
      <c r="L342">
        <f t="shared" si="71"/>
        <v>6.6</v>
      </c>
      <c r="M342">
        <f t="shared" si="72"/>
        <v>126.6</v>
      </c>
      <c r="N342">
        <f t="shared" si="73"/>
        <v>0</v>
      </c>
      <c r="O342">
        <f t="shared" si="74"/>
        <v>126.6</v>
      </c>
      <c r="P342">
        <f t="shared" si="75"/>
        <v>0</v>
      </c>
      <c r="Q342">
        <f t="shared" si="76"/>
        <v>0</v>
      </c>
      <c r="R342">
        <f t="shared" si="77"/>
        <v>0</v>
      </c>
    </row>
    <row r="343" spans="1:18" x14ac:dyDescent="0.3">
      <c r="A343" s="1">
        <v>41797</v>
      </c>
      <c r="B343" s="1">
        <v>41808</v>
      </c>
      <c r="C343">
        <v>2.0099999999999998</v>
      </c>
      <c r="D343">
        <v>0.05</v>
      </c>
      <c r="E343">
        <v>3</v>
      </c>
      <c r="F343">
        <f t="shared" si="65"/>
        <v>0</v>
      </c>
      <c r="G343">
        <f t="shared" si="66"/>
        <v>11</v>
      </c>
      <c r="H343">
        <f t="shared" si="67"/>
        <v>0</v>
      </c>
      <c r="I343">
        <f t="shared" si="68"/>
        <v>0</v>
      </c>
      <c r="J343">
        <f t="shared" si="69"/>
        <v>0</v>
      </c>
      <c r="K343">
        <f t="shared" si="70"/>
        <v>330</v>
      </c>
      <c r="L343">
        <f t="shared" si="71"/>
        <v>2.0599999999999996</v>
      </c>
      <c r="M343">
        <f t="shared" si="72"/>
        <v>332.06</v>
      </c>
      <c r="N343">
        <f t="shared" si="73"/>
        <v>0</v>
      </c>
      <c r="O343">
        <f t="shared" si="74"/>
        <v>332.06</v>
      </c>
      <c r="P343">
        <f t="shared" si="75"/>
        <v>0</v>
      </c>
      <c r="Q343">
        <f t="shared" si="76"/>
        <v>0</v>
      </c>
      <c r="R343">
        <f t="shared" si="77"/>
        <v>0</v>
      </c>
    </row>
    <row r="344" spans="1:18" x14ac:dyDescent="0.3">
      <c r="A344" s="1">
        <v>41797</v>
      </c>
      <c r="B344" s="1">
        <v>41802</v>
      </c>
      <c r="C344">
        <v>8.51</v>
      </c>
      <c r="D344">
        <v>0.22</v>
      </c>
      <c r="E344">
        <v>3</v>
      </c>
      <c r="F344">
        <f t="shared" si="65"/>
        <v>0</v>
      </c>
      <c r="G344">
        <f t="shared" si="66"/>
        <v>5</v>
      </c>
      <c r="H344">
        <f t="shared" si="67"/>
        <v>0</v>
      </c>
      <c r="I344">
        <f t="shared" si="68"/>
        <v>0</v>
      </c>
      <c r="J344">
        <f t="shared" si="69"/>
        <v>0</v>
      </c>
      <c r="K344">
        <f t="shared" si="70"/>
        <v>150</v>
      </c>
      <c r="L344">
        <f t="shared" si="71"/>
        <v>8.73</v>
      </c>
      <c r="M344">
        <f t="shared" si="72"/>
        <v>158.72999999999999</v>
      </c>
      <c r="N344">
        <f t="shared" si="73"/>
        <v>0</v>
      </c>
      <c r="O344">
        <f t="shared" si="74"/>
        <v>158.72999999999999</v>
      </c>
      <c r="P344">
        <f t="shared" si="75"/>
        <v>0</v>
      </c>
      <c r="Q344">
        <f t="shared" si="76"/>
        <v>0</v>
      </c>
      <c r="R344">
        <f t="shared" si="77"/>
        <v>0</v>
      </c>
    </row>
    <row r="345" spans="1:18" x14ac:dyDescent="0.3">
      <c r="A345" s="1">
        <v>41797</v>
      </c>
      <c r="B345" s="1">
        <v>41817</v>
      </c>
      <c r="C345">
        <v>16.55</v>
      </c>
      <c r="D345">
        <v>0.44</v>
      </c>
      <c r="E345">
        <v>4</v>
      </c>
      <c r="F345">
        <f t="shared" si="65"/>
        <v>0</v>
      </c>
      <c r="G345">
        <f t="shared" si="66"/>
        <v>0</v>
      </c>
      <c r="H345">
        <f t="shared" si="67"/>
        <v>20</v>
      </c>
      <c r="I345">
        <f t="shared" si="68"/>
        <v>0</v>
      </c>
      <c r="J345">
        <f t="shared" si="69"/>
        <v>0</v>
      </c>
      <c r="K345">
        <f t="shared" si="70"/>
        <v>800</v>
      </c>
      <c r="L345">
        <f t="shared" si="71"/>
        <v>16.990000000000002</v>
      </c>
      <c r="M345">
        <f t="shared" si="72"/>
        <v>816.99</v>
      </c>
      <c r="N345">
        <f t="shared" si="73"/>
        <v>0</v>
      </c>
      <c r="O345">
        <f t="shared" si="74"/>
        <v>0</v>
      </c>
      <c r="P345">
        <f t="shared" si="75"/>
        <v>816.99</v>
      </c>
      <c r="Q345">
        <f t="shared" si="76"/>
        <v>0</v>
      </c>
      <c r="R345">
        <f t="shared" si="77"/>
        <v>0</v>
      </c>
    </row>
    <row r="346" spans="1:18" x14ac:dyDescent="0.3">
      <c r="A346" s="1">
        <v>41797</v>
      </c>
      <c r="B346" s="1">
        <v>41804</v>
      </c>
      <c r="C346">
        <v>9.1300000000000008</v>
      </c>
      <c r="D346">
        <v>0.24</v>
      </c>
      <c r="E346">
        <v>3</v>
      </c>
      <c r="F346">
        <f t="shared" si="65"/>
        <v>0</v>
      </c>
      <c r="G346">
        <f t="shared" si="66"/>
        <v>7</v>
      </c>
      <c r="H346">
        <f t="shared" si="67"/>
        <v>0</v>
      </c>
      <c r="I346">
        <f t="shared" si="68"/>
        <v>0</v>
      </c>
      <c r="J346">
        <f t="shared" si="69"/>
        <v>0</v>
      </c>
      <c r="K346">
        <f t="shared" si="70"/>
        <v>210</v>
      </c>
      <c r="L346">
        <f t="shared" si="71"/>
        <v>9.370000000000001</v>
      </c>
      <c r="M346">
        <f t="shared" si="72"/>
        <v>219.37</v>
      </c>
      <c r="N346">
        <f t="shared" si="73"/>
        <v>0</v>
      </c>
      <c r="O346">
        <f t="shared" si="74"/>
        <v>219.37</v>
      </c>
      <c r="P346">
        <f t="shared" si="75"/>
        <v>0</v>
      </c>
      <c r="Q346">
        <f t="shared" si="76"/>
        <v>0</v>
      </c>
      <c r="R346">
        <f t="shared" si="77"/>
        <v>0</v>
      </c>
    </row>
    <row r="347" spans="1:18" x14ac:dyDescent="0.3">
      <c r="A347" s="1">
        <v>41797</v>
      </c>
      <c r="B347" s="1">
        <v>41816</v>
      </c>
      <c r="C347">
        <v>10.199999999999999</v>
      </c>
      <c r="D347">
        <v>0.27</v>
      </c>
      <c r="E347">
        <v>5</v>
      </c>
      <c r="F347">
        <f t="shared" si="65"/>
        <v>0</v>
      </c>
      <c r="G347">
        <f t="shared" si="66"/>
        <v>0</v>
      </c>
      <c r="H347">
        <f t="shared" si="67"/>
        <v>0</v>
      </c>
      <c r="I347">
        <f t="shared" si="68"/>
        <v>19</v>
      </c>
      <c r="J347">
        <f t="shared" si="69"/>
        <v>0</v>
      </c>
      <c r="K347">
        <f t="shared" si="70"/>
        <v>950</v>
      </c>
      <c r="L347">
        <f t="shared" si="71"/>
        <v>10.469999999999999</v>
      </c>
      <c r="M347">
        <f t="shared" si="72"/>
        <v>960.47</v>
      </c>
      <c r="N347">
        <f t="shared" si="73"/>
        <v>0</v>
      </c>
      <c r="O347">
        <f t="shared" si="74"/>
        <v>0</v>
      </c>
      <c r="P347">
        <f t="shared" si="75"/>
        <v>0</v>
      </c>
      <c r="Q347">
        <f t="shared" si="76"/>
        <v>960.47</v>
      </c>
      <c r="R347">
        <f t="shared" si="77"/>
        <v>0</v>
      </c>
    </row>
    <row r="348" spans="1:18" x14ac:dyDescent="0.3">
      <c r="A348" s="1">
        <v>41799</v>
      </c>
      <c r="B348" s="1">
        <v>41823</v>
      </c>
      <c r="C348">
        <v>6.23</v>
      </c>
      <c r="D348">
        <v>0.16</v>
      </c>
      <c r="E348">
        <v>2</v>
      </c>
      <c r="F348">
        <f t="shared" si="65"/>
        <v>24</v>
      </c>
      <c r="G348">
        <f t="shared" si="66"/>
        <v>0</v>
      </c>
      <c r="H348">
        <f t="shared" si="67"/>
        <v>0</v>
      </c>
      <c r="I348">
        <f t="shared" si="68"/>
        <v>0</v>
      </c>
      <c r="J348">
        <f t="shared" si="69"/>
        <v>0</v>
      </c>
      <c r="K348">
        <f t="shared" si="70"/>
        <v>480</v>
      </c>
      <c r="L348">
        <f t="shared" si="71"/>
        <v>6.3900000000000006</v>
      </c>
      <c r="M348">
        <f t="shared" si="72"/>
        <v>486.39</v>
      </c>
      <c r="N348">
        <f t="shared" si="73"/>
        <v>486.39</v>
      </c>
      <c r="O348">
        <f t="shared" si="74"/>
        <v>0</v>
      </c>
      <c r="P348">
        <f t="shared" si="75"/>
        <v>0</v>
      </c>
      <c r="Q348">
        <f t="shared" si="76"/>
        <v>0</v>
      </c>
      <c r="R348">
        <f t="shared" si="77"/>
        <v>0</v>
      </c>
    </row>
    <row r="349" spans="1:18" x14ac:dyDescent="0.3">
      <c r="A349" s="1">
        <v>41803</v>
      </c>
      <c r="B349" s="1">
        <v>41827</v>
      </c>
      <c r="C349">
        <v>8.51</v>
      </c>
      <c r="D349">
        <v>0.22</v>
      </c>
      <c r="E349">
        <v>3</v>
      </c>
      <c r="F349">
        <f t="shared" si="65"/>
        <v>0</v>
      </c>
      <c r="G349">
        <f t="shared" si="66"/>
        <v>24</v>
      </c>
      <c r="H349">
        <f t="shared" si="67"/>
        <v>0</v>
      </c>
      <c r="I349">
        <f t="shared" si="68"/>
        <v>0</v>
      </c>
      <c r="J349">
        <f t="shared" si="69"/>
        <v>0</v>
      </c>
      <c r="K349">
        <f t="shared" si="70"/>
        <v>720</v>
      </c>
      <c r="L349">
        <f t="shared" si="71"/>
        <v>8.73</v>
      </c>
      <c r="M349">
        <f t="shared" si="72"/>
        <v>728.73</v>
      </c>
      <c r="N349">
        <f t="shared" si="73"/>
        <v>0</v>
      </c>
      <c r="O349">
        <f t="shared" si="74"/>
        <v>728.73</v>
      </c>
      <c r="P349">
        <f t="shared" si="75"/>
        <v>0</v>
      </c>
      <c r="Q349">
        <f t="shared" si="76"/>
        <v>0</v>
      </c>
      <c r="R349">
        <f t="shared" si="77"/>
        <v>0</v>
      </c>
    </row>
    <row r="350" spans="1:18" x14ac:dyDescent="0.3">
      <c r="A350" s="1">
        <v>41803</v>
      </c>
      <c r="B350" s="1">
        <v>41811</v>
      </c>
      <c r="C350">
        <v>13.82</v>
      </c>
      <c r="D350">
        <v>0.36</v>
      </c>
      <c r="E350">
        <v>4</v>
      </c>
      <c r="F350">
        <f t="shared" si="65"/>
        <v>0</v>
      </c>
      <c r="G350">
        <f t="shared" si="66"/>
        <v>0</v>
      </c>
      <c r="H350">
        <f t="shared" si="67"/>
        <v>8</v>
      </c>
      <c r="I350">
        <f t="shared" si="68"/>
        <v>0</v>
      </c>
      <c r="J350">
        <f t="shared" si="69"/>
        <v>0</v>
      </c>
      <c r="K350">
        <f t="shared" si="70"/>
        <v>320</v>
      </c>
      <c r="L350">
        <f t="shared" si="71"/>
        <v>14.18</v>
      </c>
      <c r="M350">
        <f t="shared" si="72"/>
        <v>334.18</v>
      </c>
      <c r="N350">
        <f t="shared" si="73"/>
        <v>0</v>
      </c>
      <c r="O350">
        <f t="shared" si="74"/>
        <v>0</v>
      </c>
      <c r="P350">
        <f t="shared" si="75"/>
        <v>334.18</v>
      </c>
      <c r="Q350">
        <f t="shared" si="76"/>
        <v>0</v>
      </c>
      <c r="R350">
        <f t="shared" si="77"/>
        <v>0</v>
      </c>
    </row>
    <row r="351" spans="1:18" x14ac:dyDescent="0.3">
      <c r="A351" s="1">
        <v>41803</v>
      </c>
      <c r="B351" s="1">
        <v>41825</v>
      </c>
      <c r="C351">
        <v>6.34</v>
      </c>
      <c r="D351">
        <v>0.17</v>
      </c>
      <c r="E351">
        <v>6</v>
      </c>
      <c r="F351">
        <f t="shared" si="65"/>
        <v>0</v>
      </c>
      <c r="G351">
        <f t="shared" si="66"/>
        <v>0</v>
      </c>
      <c r="H351">
        <f t="shared" si="67"/>
        <v>0</v>
      </c>
      <c r="I351">
        <f t="shared" si="68"/>
        <v>0</v>
      </c>
      <c r="J351">
        <f t="shared" si="69"/>
        <v>22</v>
      </c>
      <c r="K351">
        <f t="shared" si="70"/>
        <v>1320</v>
      </c>
      <c r="L351">
        <f t="shared" si="71"/>
        <v>6.51</v>
      </c>
      <c r="M351">
        <f t="shared" si="72"/>
        <v>1326.51</v>
      </c>
      <c r="N351">
        <f t="shared" si="73"/>
        <v>0</v>
      </c>
      <c r="O351">
        <f t="shared" si="74"/>
        <v>0</v>
      </c>
      <c r="P351">
        <f t="shared" si="75"/>
        <v>0</v>
      </c>
      <c r="Q351">
        <f t="shared" si="76"/>
        <v>0</v>
      </c>
      <c r="R351">
        <f t="shared" si="77"/>
        <v>1326.51</v>
      </c>
    </row>
    <row r="352" spans="1:18" x14ac:dyDescent="0.3">
      <c r="A352" s="1">
        <v>41803</v>
      </c>
      <c r="B352" s="1">
        <v>41829</v>
      </c>
      <c r="C352">
        <v>10.19</v>
      </c>
      <c r="D352">
        <v>0.27</v>
      </c>
      <c r="E352">
        <v>6</v>
      </c>
      <c r="F352">
        <f t="shared" si="65"/>
        <v>0</v>
      </c>
      <c r="G352">
        <f t="shared" si="66"/>
        <v>0</v>
      </c>
      <c r="H352">
        <f t="shared" si="67"/>
        <v>0</v>
      </c>
      <c r="I352">
        <f t="shared" si="68"/>
        <v>0</v>
      </c>
      <c r="J352">
        <f t="shared" si="69"/>
        <v>26</v>
      </c>
      <c r="K352">
        <f t="shared" si="70"/>
        <v>1560</v>
      </c>
      <c r="L352">
        <f t="shared" si="71"/>
        <v>10.459999999999999</v>
      </c>
      <c r="M352">
        <f t="shared" si="72"/>
        <v>1570.46</v>
      </c>
      <c r="N352">
        <f t="shared" si="73"/>
        <v>0</v>
      </c>
      <c r="O352">
        <f t="shared" si="74"/>
        <v>0</v>
      </c>
      <c r="P352">
        <f t="shared" si="75"/>
        <v>0</v>
      </c>
      <c r="Q352">
        <f t="shared" si="76"/>
        <v>0</v>
      </c>
      <c r="R352">
        <f t="shared" si="77"/>
        <v>1570.46</v>
      </c>
    </row>
    <row r="353" spans="1:18" x14ac:dyDescent="0.3">
      <c r="A353" s="1">
        <v>41803</v>
      </c>
      <c r="B353" s="1">
        <v>41805</v>
      </c>
      <c r="C353">
        <v>14</v>
      </c>
      <c r="D353">
        <v>0.37</v>
      </c>
      <c r="E353">
        <v>3</v>
      </c>
      <c r="F353">
        <f t="shared" si="65"/>
        <v>0</v>
      </c>
      <c r="G353">
        <f t="shared" si="66"/>
        <v>2</v>
      </c>
      <c r="H353">
        <f t="shared" si="67"/>
        <v>0</v>
      </c>
      <c r="I353">
        <f t="shared" si="68"/>
        <v>0</v>
      </c>
      <c r="J353">
        <f t="shared" si="69"/>
        <v>0</v>
      </c>
      <c r="K353">
        <f t="shared" si="70"/>
        <v>60</v>
      </c>
      <c r="L353">
        <f t="shared" si="71"/>
        <v>14.37</v>
      </c>
      <c r="M353">
        <f t="shared" si="72"/>
        <v>74.37</v>
      </c>
      <c r="N353">
        <f t="shared" si="73"/>
        <v>0</v>
      </c>
      <c r="O353">
        <f t="shared" si="74"/>
        <v>74.37</v>
      </c>
      <c r="P353">
        <f t="shared" si="75"/>
        <v>0</v>
      </c>
      <c r="Q353">
        <f t="shared" si="76"/>
        <v>0</v>
      </c>
      <c r="R353">
        <f t="shared" si="77"/>
        <v>0</v>
      </c>
    </row>
    <row r="354" spans="1:18" x14ac:dyDescent="0.3">
      <c r="A354" s="1">
        <v>41803</v>
      </c>
      <c r="B354" s="1">
        <v>41814</v>
      </c>
      <c r="C354">
        <v>14</v>
      </c>
      <c r="D354">
        <v>0.37</v>
      </c>
      <c r="E354">
        <v>4</v>
      </c>
      <c r="F354">
        <f t="shared" si="65"/>
        <v>0</v>
      </c>
      <c r="G354">
        <f t="shared" si="66"/>
        <v>0</v>
      </c>
      <c r="H354">
        <f t="shared" si="67"/>
        <v>11</v>
      </c>
      <c r="I354">
        <f t="shared" si="68"/>
        <v>0</v>
      </c>
      <c r="J354">
        <f t="shared" si="69"/>
        <v>0</v>
      </c>
      <c r="K354">
        <f t="shared" si="70"/>
        <v>440</v>
      </c>
      <c r="L354">
        <f t="shared" si="71"/>
        <v>14.37</v>
      </c>
      <c r="M354">
        <f t="shared" si="72"/>
        <v>454.37</v>
      </c>
      <c r="N354">
        <f t="shared" si="73"/>
        <v>0</v>
      </c>
      <c r="O354">
        <f t="shared" si="74"/>
        <v>0</v>
      </c>
      <c r="P354">
        <f t="shared" si="75"/>
        <v>454.37</v>
      </c>
      <c r="Q354">
        <f t="shared" si="76"/>
        <v>0</v>
      </c>
      <c r="R354">
        <f t="shared" si="77"/>
        <v>0</v>
      </c>
    </row>
    <row r="355" spans="1:18" x14ac:dyDescent="0.3">
      <c r="A355" s="1">
        <v>41803</v>
      </c>
      <c r="B355" s="1">
        <v>41816</v>
      </c>
      <c r="C355">
        <v>10.19</v>
      </c>
      <c r="D355">
        <v>0.27</v>
      </c>
      <c r="E355">
        <v>2</v>
      </c>
      <c r="F355">
        <f t="shared" si="65"/>
        <v>13</v>
      </c>
      <c r="G355">
        <f t="shared" si="66"/>
        <v>0</v>
      </c>
      <c r="H355">
        <f t="shared" si="67"/>
        <v>0</v>
      </c>
      <c r="I355">
        <f t="shared" si="68"/>
        <v>0</v>
      </c>
      <c r="J355">
        <f t="shared" si="69"/>
        <v>0</v>
      </c>
      <c r="K355">
        <f t="shared" si="70"/>
        <v>260</v>
      </c>
      <c r="L355">
        <f t="shared" si="71"/>
        <v>10.459999999999999</v>
      </c>
      <c r="M355">
        <f t="shared" si="72"/>
        <v>270.45999999999998</v>
      </c>
      <c r="N355">
        <f t="shared" si="73"/>
        <v>270.45999999999998</v>
      </c>
      <c r="O355">
        <f t="shared" si="74"/>
        <v>0</v>
      </c>
      <c r="P355">
        <f t="shared" si="75"/>
        <v>0</v>
      </c>
      <c r="Q355">
        <f t="shared" si="76"/>
        <v>0</v>
      </c>
      <c r="R355">
        <f t="shared" si="77"/>
        <v>0</v>
      </c>
    </row>
    <row r="356" spans="1:18" x14ac:dyDescent="0.3">
      <c r="A356" s="1">
        <v>41803</v>
      </c>
      <c r="B356" s="1">
        <v>41818</v>
      </c>
      <c r="C356">
        <v>8.89</v>
      </c>
      <c r="D356">
        <v>0.23</v>
      </c>
      <c r="E356">
        <v>5</v>
      </c>
      <c r="F356">
        <f t="shared" si="65"/>
        <v>0</v>
      </c>
      <c r="G356">
        <f t="shared" si="66"/>
        <v>0</v>
      </c>
      <c r="H356">
        <f t="shared" si="67"/>
        <v>0</v>
      </c>
      <c r="I356">
        <f t="shared" si="68"/>
        <v>15</v>
      </c>
      <c r="J356">
        <f t="shared" si="69"/>
        <v>0</v>
      </c>
      <c r="K356">
        <f t="shared" si="70"/>
        <v>750</v>
      </c>
      <c r="L356">
        <f t="shared" si="71"/>
        <v>9.120000000000001</v>
      </c>
      <c r="M356">
        <f t="shared" si="72"/>
        <v>759.12</v>
      </c>
      <c r="N356">
        <f t="shared" si="73"/>
        <v>0</v>
      </c>
      <c r="O356">
        <f t="shared" si="74"/>
        <v>0</v>
      </c>
      <c r="P356">
        <f t="shared" si="75"/>
        <v>0</v>
      </c>
      <c r="Q356">
        <f t="shared" si="76"/>
        <v>759.12</v>
      </c>
      <c r="R356">
        <f t="shared" si="77"/>
        <v>0</v>
      </c>
    </row>
    <row r="357" spans="1:18" x14ac:dyDescent="0.3">
      <c r="A357" s="1">
        <v>41803</v>
      </c>
      <c r="B357" s="1">
        <v>41814</v>
      </c>
      <c r="C357">
        <v>11.44</v>
      </c>
      <c r="D357">
        <v>0.3</v>
      </c>
      <c r="E357">
        <v>6</v>
      </c>
      <c r="F357">
        <f t="shared" si="65"/>
        <v>0</v>
      </c>
      <c r="G357">
        <f t="shared" si="66"/>
        <v>0</v>
      </c>
      <c r="H357">
        <f t="shared" si="67"/>
        <v>0</v>
      </c>
      <c r="I357">
        <f t="shared" si="68"/>
        <v>0</v>
      </c>
      <c r="J357">
        <f t="shared" si="69"/>
        <v>11</v>
      </c>
      <c r="K357">
        <f t="shared" si="70"/>
        <v>660</v>
      </c>
      <c r="L357">
        <f t="shared" si="71"/>
        <v>11.74</v>
      </c>
      <c r="M357">
        <f t="shared" si="72"/>
        <v>671.74</v>
      </c>
      <c r="N357">
        <f t="shared" si="73"/>
        <v>0</v>
      </c>
      <c r="O357">
        <f t="shared" si="74"/>
        <v>0</v>
      </c>
      <c r="P357">
        <f t="shared" si="75"/>
        <v>0</v>
      </c>
      <c r="Q357">
        <f t="shared" si="76"/>
        <v>0</v>
      </c>
      <c r="R357">
        <f t="shared" si="77"/>
        <v>671.74</v>
      </c>
    </row>
    <row r="358" spans="1:18" x14ac:dyDescent="0.3">
      <c r="A358" s="1">
        <v>41803</v>
      </c>
      <c r="B358" s="1">
        <v>41827</v>
      </c>
      <c r="C358">
        <v>10.93</v>
      </c>
      <c r="D358">
        <v>0.28999999999999998</v>
      </c>
      <c r="E358">
        <v>2</v>
      </c>
      <c r="F358">
        <f t="shared" si="65"/>
        <v>24</v>
      </c>
      <c r="G358">
        <f t="shared" si="66"/>
        <v>0</v>
      </c>
      <c r="H358">
        <f t="shared" si="67"/>
        <v>0</v>
      </c>
      <c r="I358">
        <f t="shared" si="68"/>
        <v>0</v>
      </c>
      <c r="J358">
        <f t="shared" si="69"/>
        <v>0</v>
      </c>
      <c r="K358">
        <f t="shared" si="70"/>
        <v>480</v>
      </c>
      <c r="L358">
        <f t="shared" si="71"/>
        <v>11.219999999999999</v>
      </c>
      <c r="M358">
        <f t="shared" si="72"/>
        <v>491.22</v>
      </c>
      <c r="N358">
        <f t="shared" si="73"/>
        <v>491.22</v>
      </c>
      <c r="O358">
        <f t="shared" si="74"/>
        <v>0</v>
      </c>
      <c r="P358">
        <f t="shared" si="75"/>
        <v>0</v>
      </c>
      <c r="Q358">
        <f t="shared" si="76"/>
        <v>0</v>
      </c>
      <c r="R358">
        <f t="shared" si="77"/>
        <v>0</v>
      </c>
    </row>
    <row r="359" spans="1:18" x14ac:dyDescent="0.3">
      <c r="A359" s="1">
        <v>41803</v>
      </c>
      <c r="B359" s="1">
        <v>41822</v>
      </c>
      <c r="C359">
        <v>6.34</v>
      </c>
      <c r="D359">
        <v>0.17</v>
      </c>
      <c r="E359">
        <v>4</v>
      </c>
      <c r="F359">
        <f t="shared" si="65"/>
        <v>0</v>
      </c>
      <c r="G359">
        <f t="shared" si="66"/>
        <v>0</v>
      </c>
      <c r="H359">
        <f t="shared" si="67"/>
        <v>19</v>
      </c>
      <c r="I359">
        <f t="shared" si="68"/>
        <v>0</v>
      </c>
      <c r="J359">
        <f t="shared" si="69"/>
        <v>0</v>
      </c>
      <c r="K359">
        <f t="shared" si="70"/>
        <v>760</v>
      </c>
      <c r="L359">
        <f t="shared" si="71"/>
        <v>6.51</v>
      </c>
      <c r="M359">
        <f t="shared" si="72"/>
        <v>766.51</v>
      </c>
      <c r="N359">
        <f t="shared" si="73"/>
        <v>0</v>
      </c>
      <c r="O359">
        <f t="shared" si="74"/>
        <v>0</v>
      </c>
      <c r="P359">
        <f t="shared" si="75"/>
        <v>766.51</v>
      </c>
      <c r="Q359">
        <f t="shared" si="76"/>
        <v>0</v>
      </c>
      <c r="R359">
        <f t="shared" si="77"/>
        <v>0</v>
      </c>
    </row>
    <row r="360" spans="1:18" x14ac:dyDescent="0.3">
      <c r="A360" s="1">
        <v>41803</v>
      </c>
      <c r="B360" s="1">
        <v>41813</v>
      </c>
      <c r="C360">
        <v>5.67</v>
      </c>
      <c r="D360">
        <v>0.15</v>
      </c>
      <c r="E360">
        <v>5</v>
      </c>
      <c r="F360">
        <f t="shared" si="65"/>
        <v>0</v>
      </c>
      <c r="G360">
        <f t="shared" si="66"/>
        <v>0</v>
      </c>
      <c r="H360">
        <f t="shared" si="67"/>
        <v>0</v>
      </c>
      <c r="I360">
        <f t="shared" si="68"/>
        <v>10</v>
      </c>
      <c r="J360">
        <f t="shared" si="69"/>
        <v>0</v>
      </c>
      <c r="K360">
        <f t="shared" si="70"/>
        <v>500</v>
      </c>
      <c r="L360">
        <f t="shared" si="71"/>
        <v>5.82</v>
      </c>
      <c r="M360">
        <f t="shared" si="72"/>
        <v>505.82</v>
      </c>
      <c r="N360">
        <f t="shared" si="73"/>
        <v>0</v>
      </c>
      <c r="O360">
        <f t="shared" si="74"/>
        <v>0</v>
      </c>
      <c r="P360">
        <f t="shared" si="75"/>
        <v>0</v>
      </c>
      <c r="Q360">
        <f t="shared" si="76"/>
        <v>505.82</v>
      </c>
      <c r="R360">
        <f t="shared" si="77"/>
        <v>0</v>
      </c>
    </row>
    <row r="361" spans="1:18" x14ac:dyDescent="0.3">
      <c r="A361" s="1">
        <v>41803</v>
      </c>
      <c r="B361" s="1">
        <v>41821</v>
      </c>
      <c r="C361">
        <v>8.51</v>
      </c>
      <c r="D361">
        <v>0.22</v>
      </c>
      <c r="E361">
        <v>6</v>
      </c>
      <c r="F361">
        <f t="shared" si="65"/>
        <v>0</v>
      </c>
      <c r="G361">
        <f t="shared" si="66"/>
        <v>0</v>
      </c>
      <c r="H361">
        <f t="shared" si="67"/>
        <v>0</v>
      </c>
      <c r="I361">
        <f t="shared" si="68"/>
        <v>0</v>
      </c>
      <c r="J361">
        <f t="shared" si="69"/>
        <v>18</v>
      </c>
      <c r="K361">
        <f t="shared" si="70"/>
        <v>1080</v>
      </c>
      <c r="L361">
        <f t="shared" si="71"/>
        <v>8.73</v>
      </c>
      <c r="M361">
        <f t="shared" si="72"/>
        <v>1088.73</v>
      </c>
      <c r="N361">
        <f t="shared" si="73"/>
        <v>0</v>
      </c>
      <c r="O361">
        <f t="shared" si="74"/>
        <v>0</v>
      </c>
      <c r="P361">
        <f t="shared" si="75"/>
        <v>0</v>
      </c>
      <c r="Q361">
        <f t="shared" si="76"/>
        <v>0</v>
      </c>
      <c r="R361">
        <f t="shared" si="77"/>
        <v>1088.73</v>
      </c>
    </row>
    <row r="362" spans="1:18" x14ac:dyDescent="0.3">
      <c r="A362" s="1">
        <v>41803</v>
      </c>
      <c r="B362" s="1">
        <v>41817</v>
      </c>
      <c r="C362">
        <v>16.829999999999998</v>
      </c>
      <c r="D362">
        <v>0.44</v>
      </c>
      <c r="E362">
        <v>5</v>
      </c>
      <c r="F362">
        <f t="shared" si="65"/>
        <v>0</v>
      </c>
      <c r="G362">
        <f t="shared" si="66"/>
        <v>0</v>
      </c>
      <c r="H362">
        <f t="shared" si="67"/>
        <v>0</v>
      </c>
      <c r="I362">
        <f t="shared" si="68"/>
        <v>14</v>
      </c>
      <c r="J362">
        <f t="shared" si="69"/>
        <v>0</v>
      </c>
      <c r="K362">
        <f t="shared" si="70"/>
        <v>700</v>
      </c>
      <c r="L362">
        <f t="shared" si="71"/>
        <v>17.27</v>
      </c>
      <c r="M362">
        <f t="shared" si="72"/>
        <v>717.27</v>
      </c>
      <c r="N362">
        <f t="shared" si="73"/>
        <v>0</v>
      </c>
      <c r="O362">
        <f t="shared" si="74"/>
        <v>0</v>
      </c>
      <c r="P362">
        <f t="shared" si="75"/>
        <v>0</v>
      </c>
      <c r="Q362">
        <f t="shared" si="76"/>
        <v>717.27</v>
      </c>
      <c r="R362">
        <f t="shared" si="77"/>
        <v>0</v>
      </c>
    </row>
    <row r="363" spans="1:18" x14ac:dyDescent="0.3">
      <c r="A363" s="1">
        <v>41803</v>
      </c>
      <c r="B363" s="1">
        <v>41814</v>
      </c>
      <c r="C363">
        <v>11.69</v>
      </c>
      <c r="D363">
        <v>0.31</v>
      </c>
      <c r="E363">
        <v>5</v>
      </c>
      <c r="F363">
        <f t="shared" si="65"/>
        <v>0</v>
      </c>
      <c r="G363">
        <f t="shared" si="66"/>
        <v>0</v>
      </c>
      <c r="H363">
        <f t="shared" si="67"/>
        <v>0</v>
      </c>
      <c r="I363">
        <f t="shared" si="68"/>
        <v>11</v>
      </c>
      <c r="J363">
        <f t="shared" si="69"/>
        <v>0</v>
      </c>
      <c r="K363">
        <f t="shared" si="70"/>
        <v>550</v>
      </c>
      <c r="L363">
        <f t="shared" si="71"/>
        <v>12</v>
      </c>
      <c r="M363">
        <f t="shared" si="72"/>
        <v>562</v>
      </c>
      <c r="N363">
        <f t="shared" si="73"/>
        <v>0</v>
      </c>
      <c r="O363">
        <f t="shared" si="74"/>
        <v>0</v>
      </c>
      <c r="P363">
        <f t="shared" si="75"/>
        <v>0</v>
      </c>
      <c r="Q363">
        <f t="shared" si="76"/>
        <v>562</v>
      </c>
      <c r="R363">
        <f t="shared" si="77"/>
        <v>0</v>
      </c>
    </row>
    <row r="364" spans="1:18" x14ac:dyDescent="0.3">
      <c r="A364" s="1">
        <v>41806</v>
      </c>
      <c r="B364" s="1">
        <v>41808</v>
      </c>
      <c r="C364">
        <v>7.71</v>
      </c>
      <c r="D364">
        <v>0.2</v>
      </c>
      <c r="E364">
        <v>3</v>
      </c>
      <c r="F364">
        <f t="shared" si="65"/>
        <v>0</v>
      </c>
      <c r="G364">
        <f t="shared" si="66"/>
        <v>2</v>
      </c>
      <c r="H364">
        <f t="shared" si="67"/>
        <v>0</v>
      </c>
      <c r="I364">
        <f t="shared" si="68"/>
        <v>0</v>
      </c>
      <c r="J364">
        <f t="shared" si="69"/>
        <v>0</v>
      </c>
      <c r="K364">
        <f t="shared" si="70"/>
        <v>60</v>
      </c>
      <c r="L364">
        <f t="shared" si="71"/>
        <v>7.91</v>
      </c>
      <c r="M364">
        <f t="shared" si="72"/>
        <v>67.91</v>
      </c>
      <c r="N364">
        <f t="shared" si="73"/>
        <v>0</v>
      </c>
      <c r="O364">
        <f t="shared" si="74"/>
        <v>67.91</v>
      </c>
      <c r="P364">
        <f t="shared" si="75"/>
        <v>0</v>
      </c>
      <c r="Q364">
        <f t="shared" si="76"/>
        <v>0</v>
      </c>
      <c r="R364">
        <f t="shared" si="77"/>
        <v>0</v>
      </c>
    </row>
    <row r="365" spans="1:18" x14ac:dyDescent="0.3">
      <c r="A365" s="1">
        <v>41806</v>
      </c>
      <c r="B365" s="1">
        <v>41834</v>
      </c>
      <c r="C365">
        <v>5.67</v>
      </c>
      <c r="D365">
        <v>0.15</v>
      </c>
      <c r="E365">
        <v>5</v>
      </c>
      <c r="F365">
        <f t="shared" si="65"/>
        <v>0</v>
      </c>
      <c r="G365">
        <f t="shared" si="66"/>
        <v>0</v>
      </c>
      <c r="H365">
        <f t="shared" si="67"/>
        <v>0</v>
      </c>
      <c r="I365">
        <f t="shared" si="68"/>
        <v>28</v>
      </c>
      <c r="J365">
        <f t="shared" si="69"/>
        <v>0</v>
      </c>
      <c r="K365">
        <f t="shared" si="70"/>
        <v>1400</v>
      </c>
      <c r="L365">
        <f t="shared" si="71"/>
        <v>5.82</v>
      </c>
      <c r="M365">
        <f t="shared" si="72"/>
        <v>1405.82</v>
      </c>
      <c r="N365">
        <f t="shared" si="73"/>
        <v>0</v>
      </c>
      <c r="O365">
        <f t="shared" si="74"/>
        <v>0</v>
      </c>
      <c r="P365">
        <f t="shared" si="75"/>
        <v>0</v>
      </c>
      <c r="Q365">
        <f t="shared" si="76"/>
        <v>1405.82</v>
      </c>
      <c r="R365">
        <f t="shared" si="77"/>
        <v>0</v>
      </c>
    </row>
    <row r="366" spans="1:18" x14ac:dyDescent="0.3">
      <c r="A366" s="1">
        <v>41809</v>
      </c>
      <c r="B366" s="1">
        <v>41837</v>
      </c>
      <c r="C366">
        <v>7.3</v>
      </c>
      <c r="D366">
        <v>0.19</v>
      </c>
      <c r="E366">
        <v>6</v>
      </c>
      <c r="F366">
        <f t="shared" si="65"/>
        <v>0</v>
      </c>
      <c r="G366">
        <f t="shared" si="66"/>
        <v>0</v>
      </c>
      <c r="H366">
        <f t="shared" si="67"/>
        <v>0</v>
      </c>
      <c r="I366">
        <f t="shared" si="68"/>
        <v>0</v>
      </c>
      <c r="J366">
        <f t="shared" si="69"/>
        <v>28</v>
      </c>
      <c r="K366">
        <f t="shared" si="70"/>
        <v>1680</v>
      </c>
      <c r="L366">
        <f t="shared" si="71"/>
        <v>7.49</v>
      </c>
      <c r="M366">
        <f t="shared" si="72"/>
        <v>1687.49</v>
      </c>
      <c r="N366">
        <f t="shared" si="73"/>
        <v>0</v>
      </c>
      <c r="O366">
        <f t="shared" si="74"/>
        <v>0</v>
      </c>
      <c r="P366">
        <f t="shared" si="75"/>
        <v>0</v>
      </c>
      <c r="Q366">
        <f t="shared" si="76"/>
        <v>0</v>
      </c>
      <c r="R366">
        <f t="shared" si="77"/>
        <v>1687.49</v>
      </c>
    </row>
    <row r="367" spans="1:18" x14ac:dyDescent="0.3">
      <c r="A367" s="1">
        <v>41809</v>
      </c>
      <c r="B367" s="1">
        <v>41813</v>
      </c>
      <c r="C367">
        <v>5.64</v>
      </c>
      <c r="D367">
        <v>0.15</v>
      </c>
      <c r="E367">
        <v>5</v>
      </c>
      <c r="F367">
        <f t="shared" si="65"/>
        <v>0</v>
      </c>
      <c r="G367">
        <f t="shared" si="66"/>
        <v>0</v>
      </c>
      <c r="H367">
        <f t="shared" si="67"/>
        <v>0</v>
      </c>
      <c r="I367">
        <f t="shared" si="68"/>
        <v>4</v>
      </c>
      <c r="J367">
        <f t="shared" si="69"/>
        <v>0</v>
      </c>
      <c r="K367">
        <f t="shared" si="70"/>
        <v>200</v>
      </c>
      <c r="L367">
        <f t="shared" si="71"/>
        <v>5.79</v>
      </c>
      <c r="M367">
        <f t="shared" si="72"/>
        <v>205.79</v>
      </c>
      <c r="N367">
        <f t="shared" si="73"/>
        <v>0</v>
      </c>
      <c r="O367">
        <f t="shared" si="74"/>
        <v>0</v>
      </c>
      <c r="P367">
        <f t="shared" si="75"/>
        <v>0</v>
      </c>
      <c r="Q367">
        <f t="shared" si="76"/>
        <v>205.79</v>
      </c>
      <c r="R367">
        <f t="shared" si="77"/>
        <v>0</v>
      </c>
    </row>
    <row r="368" spans="1:18" x14ac:dyDescent="0.3">
      <c r="A368" s="1">
        <v>41809</v>
      </c>
      <c r="B368" s="1">
        <v>41815</v>
      </c>
      <c r="C368">
        <v>10.79</v>
      </c>
      <c r="D368">
        <v>0.28000000000000003</v>
      </c>
      <c r="E368">
        <v>5</v>
      </c>
      <c r="F368">
        <f t="shared" si="65"/>
        <v>0</v>
      </c>
      <c r="G368">
        <f t="shared" si="66"/>
        <v>0</v>
      </c>
      <c r="H368">
        <f t="shared" si="67"/>
        <v>0</v>
      </c>
      <c r="I368">
        <f t="shared" si="68"/>
        <v>6</v>
      </c>
      <c r="J368">
        <f t="shared" si="69"/>
        <v>0</v>
      </c>
      <c r="K368">
        <f t="shared" si="70"/>
        <v>300</v>
      </c>
      <c r="L368">
        <f t="shared" si="71"/>
        <v>11.069999999999999</v>
      </c>
      <c r="M368">
        <f t="shared" si="72"/>
        <v>311.07</v>
      </c>
      <c r="N368">
        <f t="shared" si="73"/>
        <v>0</v>
      </c>
      <c r="O368">
        <f t="shared" si="74"/>
        <v>0</v>
      </c>
      <c r="P368">
        <f t="shared" si="75"/>
        <v>0</v>
      </c>
      <c r="Q368">
        <f t="shared" si="76"/>
        <v>311.07</v>
      </c>
      <c r="R368">
        <f t="shared" si="77"/>
        <v>0</v>
      </c>
    </row>
    <row r="369" spans="1:18" x14ac:dyDescent="0.3">
      <c r="A369" s="1">
        <v>41809</v>
      </c>
      <c r="B369" s="1">
        <v>41830</v>
      </c>
      <c r="C369">
        <v>10.199999999999999</v>
      </c>
      <c r="D369">
        <v>0.27</v>
      </c>
      <c r="E369">
        <v>6</v>
      </c>
      <c r="F369">
        <f t="shared" si="65"/>
        <v>0</v>
      </c>
      <c r="G369">
        <f t="shared" si="66"/>
        <v>0</v>
      </c>
      <c r="H369">
        <f t="shared" si="67"/>
        <v>0</v>
      </c>
      <c r="I369">
        <f t="shared" si="68"/>
        <v>0</v>
      </c>
      <c r="J369">
        <f t="shared" si="69"/>
        <v>21</v>
      </c>
      <c r="K369">
        <f t="shared" si="70"/>
        <v>1260</v>
      </c>
      <c r="L369">
        <f t="shared" si="71"/>
        <v>10.469999999999999</v>
      </c>
      <c r="M369">
        <f t="shared" si="72"/>
        <v>1270.47</v>
      </c>
      <c r="N369">
        <f t="shared" si="73"/>
        <v>0</v>
      </c>
      <c r="O369">
        <f t="shared" si="74"/>
        <v>0</v>
      </c>
      <c r="P369">
        <f t="shared" si="75"/>
        <v>0</v>
      </c>
      <c r="Q369">
        <f t="shared" si="76"/>
        <v>0</v>
      </c>
      <c r="R369">
        <f t="shared" si="77"/>
        <v>1270.47</v>
      </c>
    </row>
    <row r="370" spans="1:18" x14ac:dyDescent="0.3">
      <c r="A370" s="1">
        <v>41809</v>
      </c>
      <c r="B370" s="1">
        <v>41821</v>
      </c>
      <c r="C370">
        <v>16.55</v>
      </c>
      <c r="D370">
        <v>0.44</v>
      </c>
      <c r="E370">
        <v>3</v>
      </c>
      <c r="F370">
        <f t="shared" si="65"/>
        <v>0</v>
      </c>
      <c r="G370">
        <f t="shared" si="66"/>
        <v>12</v>
      </c>
      <c r="H370">
        <f t="shared" si="67"/>
        <v>0</v>
      </c>
      <c r="I370">
        <f t="shared" si="68"/>
        <v>0</v>
      </c>
      <c r="J370">
        <f t="shared" si="69"/>
        <v>0</v>
      </c>
      <c r="K370">
        <f t="shared" si="70"/>
        <v>360</v>
      </c>
      <c r="L370">
        <f t="shared" si="71"/>
        <v>16.990000000000002</v>
      </c>
      <c r="M370">
        <f t="shared" si="72"/>
        <v>376.99</v>
      </c>
      <c r="N370">
        <f t="shared" si="73"/>
        <v>0</v>
      </c>
      <c r="O370">
        <f t="shared" si="74"/>
        <v>376.99</v>
      </c>
      <c r="P370">
        <f t="shared" si="75"/>
        <v>0</v>
      </c>
      <c r="Q370">
        <f t="shared" si="76"/>
        <v>0</v>
      </c>
      <c r="R370">
        <f t="shared" si="77"/>
        <v>0</v>
      </c>
    </row>
    <row r="371" spans="1:18" x14ac:dyDescent="0.3">
      <c r="A371" s="1">
        <v>41809</v>
      </c>
      <c r="B371" s="1">
        <v>41829</v>
      </c>
      <c r="C371">
        <v>8.9499999999999993</v>
      </c>
      <c r="D371">
        <v>0.24</v>
      </c>
      <c r="E371">
        <v>6</v>
      </c>
      <c r="F371">
        <f t="shared" si="65"/>
        <v>0</v>
      </c>
      <c r="G371">
        <f t="shared" si="66"/>
        <v>0</v>
      </c>
      <c r="H371">
        <f t="shared" si="67"/>
        <v>0</v>
      </c>
      <c r="I371">
        <f t="shared" si="68"/>
        <v>0</v>
      </c>
      <c r="J371">
        <f t="shared" si="69"/>
        <v>20</v>
      </c>
      <c r="K371">
        <f t="shared" si="70"/>
        <v>1200</v>
      </c>
      <c r="L371">
        <f t="shared" si="71"/>
        <v>9.19</v>
      </c>
      <c r="M371">
        <f t="shared" si="72"/>
        <v>1209.19</v>
      </c>
      <c r="N371">
        <f t="shared" si="73"/>
        <v>0</v>
      </c>
      <c r="O371">
        <f t="shared" si="74"/>
        <v>0</v>
      </c>
      <c r="P371">
        <f t="shared" si="75"/>
        <v>0</v>
      </c>
      <c r="Q371">
        <f t="shared" si="76"/>
        <v>0</v>
      </c>
      <c r="R371">
        <f t="shared" si="77"/>
        <v>1209.19</v>
      </c>
    </row>
    <row r="372" spans="1:18" x14ac:dyDescent="0.3">
      <c r="A372" s="1">
        <v>41815</v>
      </c>
      <c r="B372" s="1">
        <v>41825</v>
      </c>
      <c r="C372">
        <v>5.64</v>
      </c>
      <c r="D372">
        <v>0.15</v>
      </c>
      <c r="E372">
        <v>4</v>
      </c>
      <c r="F372">
        <f t="shared" si="65"/>
        <v>0</v>
      </c>
      <c r="G372">
        <f t="shared" si="66"/>
        <v>0</v>
      </c>
      <c r="H372">
        <f t="shared" si="67"/>
        <v>10</v>
      </c>
      <c r="I372">
        <f t="shared" si="68"/>
        <v>0</v>
      </c>
      <c r="J372">
        <f t="shared" si="69"/>
        <v>0</v>
      </c>
      <c r="K372">
        <f t="shared" si="70"/>
        <v>400</v>
      </c>
      <c r="L372">
        <f t="shared" si="71"/>
        <v>5.79</v>
      </c>
      <c r="M372">
        <f t="shared" si="72"/>
        <v>405.79</v>
      </c>
      <c r="N372">
        <f t="shared" si="73"/>
        <v>0</v>
      </c>
      <c r="O372">
        <f t="shared" si="74"/>
        <v>0</v>
      </c>
      <c r="P372">
        <f t="shared" si="75"/>
        <v>405.79</v>
      </c>
      <c r="Q372">
        <f t="shared" si="76"/>
        <v>0</v>
      </c>
      <c r="R372">
        <f t="shared" si="77"/>
        <v>0</v>
      </c>
    </row>
    <row r="373" spans="1:18" x14ac:dyDescent="0.3">
      <c r="A373" s="1">
        <v>41815</v>
      </c>
      <c r="B373" s="1">
        <v>41840</v>
      </c>
      <c r="C373">
        <v>6.34</v>
      </c>
      <c r="D373">
        <v>0.17</v>
      </c>
      <c r="E373">
        <v>3</v>
      </c>
      <c r="F373">
        <f t="shared" si="65"/>
        <v>0</v>
      </c>
      <c r="G373">
        <f t="shared" si="66"/>
        <v>25</v>
      </c>
      <c r="H373">
        <f t="shared" si="67"/>
        <v>0</v>
      </c>
      <c r="I373">
        <f t="shared" si="68"/>
        <v>0</v>
      </c>
      <c r="J373">
        <f t="shared" si="69"/>
        <v>0</v>
      </c>
      <c r="K373">
        <f t="shared" si="70"/>
        <v>750</v>
      </c>
      <c r="L373">
        <f t="shared" si="71"/>
        <v>6.51</v>
      </c>
      <c r="M373">
        <f t="shared" si="72"/>
        <v>756.51</v>
      </c>
      <c r="N373">
        <f t="shared" si="73"/>
        <v>0</v>
      </c>
      <c r="O373">
        <f t="shared" si="74"/>
        <v>756.51</v>
      </c>
      <c r="P373">
        <f t="shared" si="75"/>
        <v>0</v>
      </c>
      <c r="Q373">
        <f t="shared" si="76"/>
        <v>0</v>
      </c>
      <c r="R373">
        <f t="shared" si="77"/>
        <v>0</v>
      </c>
    </row>
    <row r="374" spans="1:18" x14ac:dyDescent="0.3">
      <c r="A374" s="1">
        <v>41815</v>
      </c>
      <c r="B374" s="1">
        <v>41832</v>
      </c>
      <c r="C374">
        <v>11.69</v>
      </c>
      <c r="D374">
        <v>0.31</v>
      </c>
      <c r="E374">
        <v>6</v>
      </c>
      <c r="F374">
        <f t="shared" si="65"/>
        <v>0</v>
      </c>
      <c r="G374">
        <f t="shared" si="66"/>
        <v>0</v>
      </c>
      <c r="H374">
        <f t="shared" si="67"/>
        <v>0</v>
      </c>
      <c r="I374">
        <f t="shared" si="68"/>
        <v>0</v>
      </c>
      <c r="J374">
        <f t="shared" si="69"/>
        <v>17</v>
      </c>
      <c r="K374">
        <f t="shared" si="70"/>
        <v>1020</v>
      </c>
      <c r="L374">
        <f t="shared" si="71"/>
        <v>12</v>
      </c>
      <c r="M374">
        <f t="shared" si="72"/>
        <v>1032</v>
      </c>
      <c r="N374">
        <f t="shared" si="73"/>
        <v>0</v>
      </c>
      <c r="O374">
        <f t="shared" si="74"/>
        <v>0</v>
      </c>
      <c r="P374">
        <f t="shared" si="75"/>
        <v>0</v>
      </c>
      <c r="Q374">
        <f t="shared" si="76"/>
        <v>0</v>
      </c>
      <c r="R374">
        <f t="shared" si="77"/>
        <v>1032</v>
      </c>
    </row>
    <row r="375" spans="1:18" x14ac:dyDescent="0.3">
      <c r="A375" s="1">
        <v>41815</v>
      </c>
      <c r="B375" s="1">
        <v>41839</v>
      </c>
      <c r="C375">
        <v>11.42</v>
      </c>
      <c r="D375">
        <v>0.3</v>
      </c>
      <c r="E375">
        <v>5</v>
      </c>
      <c r="F375">
        <f t="shared" si="65"/>
        <v>0</v>
      </c>
      <c r="G375">
        <f t="shared" si="66"/>
        <v>0</v>
      </c>
      <c r="H375">
        <f t="shared" si="67"/>
        <v>0</v>
      </c>
      <c r="I375">
        <f t="shared" si="68"/>
        <v>24</v>
      </c>
      <c r="J375">
        <f t="shared" si="69"/>
        <v>0</v>
      </c>
      <c r="K375">
        <f t="shared" si="70"/>
        <v>1200</v>
      </c>
      <c r="L375">
        <f t="shared" si="71"/>
        <v>11.72</v>
      </c>
      <c r="M375">
        <f t="shared" si="72"/>
        <v>1211.72</v>
      </c>
      <c r="N375">
        <f t="shared" si="73"/>
        <v>0</v>
      </c>
      <c r="O375">
        <f t="shared" si="74"/>
        <v>0</v>
      </c>
      <c r="P375">
        <f t="shared" si="75"/>
        <v>0</v>
      </c>
      <c r="Q375">
        <f t="shared" si="76"/>
        <v>1211.72</v>
      </c>
      <c r="R375">
        <f t="shared" si="77"/>
        <v>0</v>
      </c>
    </row>
    <row r="376" spans="1:18" x14ac:dyDescent="0.3">
      <c r="A376" s="1">
        <v>41815</v>
      </c>
      <c r="B376" s="1">
        <v>41822</v>
      </c>
      <c r="C376">
        <v>8.5399999999999991</v>
      </c>
      <c r="D376">
        <v>0.22</v>
      </c>
      <c r="E376">
        <v>6</v>
      </c>
      <c r="F376">
        <f t="shared" si="65"/>
        <v>0</v>
      </c>
      <c r="G376">
        <f t="shared" si="66"/>
        <v>0</v>
      </c>
      <c r="H376">
        <f t="shared" si="67"/>
        <v>0</v>
      </c>
      <c r="I376">
        <f t="shared" si="68"/>
        <v>0</v>
      </c>
      <c r="J376">
        <f t="shared" si="69"/>
        <v>7</v>
      </c>
      <c r="K376">
        <f t="shared" si="70"/>
        <v>420</v>
      </c>
      <c r="L376">
        <f t="shared" si="71"/>
        <v>8.76</v>
      </c>
      <c r="M376">
        <f t="shared" si="72"/>
        <v>428.76</v>
      </c>
      <c r="N376">
        <f t="shared" si="73"/>
        <v>0</v>
      </c>
      <c r="O376">
        <f t="shared" si="74"/>
        <v>0</v>
      </c>
      <c r="P376">
        <f t="shared" si="75"/>
        <v>0</v>
      </c>
      <c r="Q376">
        <f t="shared" si="76"/>
        <v>0</v>
      </c>
      <c r="R376">
        <f t="shared" si="77"/>
        <v>428.76</v>
      </c>
    </row>
    <row r="377" spans="1:18" x14ac:dyDescent="0.3">
      <c r="A377" s="1">
        <v>41815</v>
      </c>
      <c r="B377" s="1">
        <v>41831</v>
      </c>
      <c r="C377">
        <v>10.199999999999999</v>
      </c>
      <c r="D377">
        <v>0.27</v>
      </c>
      <c r="E377">
        <v>3</v>
      </c>
      <c r="F377">
        <f t="shared" si="65"/>
        <v>0</v>
      </c>
      <c r="G377">
        <f t="shared" si="66"/>
        <v>16</v>
      </c>
      <c r="H377">
        <f t="shared" si="67"/>
        <v>0</v>
      </c>
      <c r="I377">
        <f t="shared" si="68"/>
        <v>0</v>
      </c>
      <c r="J377">
        <f t="shared" si="69"/>
        <v>0</v>
      </c>
      <c r="K377">
        <f t="shared" si="70"/>
        <v>480</v>
      </c>
      <c r="L377">
        <f t="shared" si="71"/>
        <v>10.469999999999999</v>
      </c>
      <c r="M377">
        <f t="shared" si="72"/>
        <v>490.47</v>
      </c>
      <c r="N377">
        <f t="shared" si="73"/>
        <v>0</v>
      </c>
      <c r="O377">
        <f t="shared" si="74"/>
        <v>490.47</v>
      </c>
      <c r="P377">
        <f t="shared" si="75"/>
        <v>0</v>
      </c>
      <c r="Q377">
        <f t="shared" si="76"/>
        <v>0</v>
      </c>
      <c r="R377">
        <f t="shared" si="77"/>
        <v>0</v>
      </c>
    </row>
    <row r="378" spans="1:18" x14ac:dyDescent="0.3">
      <c r="A378" s="1">
        <v>41815</v>
      </c>
      <c r="B378" s="1">
        <v>41833</v>
      </c>
      <c r="C378">
        <v>8.39</v>
      </c>
      <c r="D378">
        <v>0.22</v>
      </c>
      <c r="E378">
        <v>6</v>
      </c>
      <c r="F378">
        <f t="shared" si="65"/>
        <v>0</v>
      </c>
      <c r="G378">
        <f t="shared" si="66"/>
        <v>0</v>
      </c>
      <c r="H378">
        <f t="shared" si="67"/>
        <v>0</v>
      </c>
      <c r="I378">
        <f t="shared" si="68"/>
        <v>0</v>
      </c>
      <c r="J378">
        <f t="shared" si="69"/>
        <v>18</v>
      </c>
      <c r="K378">
        <f t="shared" si="70"/>
        <v>1080</v>
      </c>
      <c r="L378">
        <f t="shared" si="71"/>
        <v>8.6100000000000012</v>
      </c>
      <c r="M378">
        <f t="shared" si="72"/>
        <v>1088.6099999999999</v>
      </c>
      <c r="N378">
        <f t="shared" si="73"/>
        <v>0</v>
      </c>
      <c r="O378">
        <f t="shared" si="74"/>
        <v>0</v>
      </c>
      <c r="P378">
        <f t="shared" si="75"/>
        <v>0</v>
      </c>
      <c r="Q378">
        <f t="shared" si="76"/>
        <v>0</v>
      </c>
      <c r="R378">
        <f t="shared" si="77"/>
        <v>1088.6099999999999</v>
      </c>
    </row>
    <row r="379" spans="1:18" x14ac:dyDescent="0.3">
      <c r="A379" s="1">
        <v>41815</v>
      </c>
      <c r="B379" s="1">
        <v>41826</v>
      </c>
      <c r="C379">
        <v>9.4600000000000009</v>
      </c>
      <c r="D379">
        <v>0.25</v>
      </c>
      <c r="E379">
        <v>4</v>
      </c>
      <c r="F379">
        <f t="shared" si="65"/>
        <v>0</v>
      </c>
      <c r="G379">
        <f t="shared" si="66"/>
        <v>0</v>
      </c>
      <c r="H379">
        <f t="shared" si="67"/>
        <v>11</v>
      </c>
      <c r="I379">
        <f t="shared" si="68"/>
        <v>0</v>
      </c>
      <c r="J379">
        <f t="shared" si="69"/>
        <v>0</v>
      </c>
      <c r="K379">
        <f t="shared" si="70"/>
        <v>440</v>
      </c>
      <c r="L379">
        <f t="shared" si="71"/>
        <v>9.7100000000000009</v>
      </c>
      <c r="M379">
        <f t="shared" si="72"/>
        <v>449.71</v>
      </c>
      <c r="N379">
        <f t="shared" si="73"/>
        <v>0</v>
      </c>
      <c r="O379">
        <f t="shared" si="74"/>
        <v>0</v>
      </c>
      <c r="P379">
        <f t="shared" si="75"/>
        <v>449.71</v>
      </c>
      <c r="Q379">
        <f t="shared" si="76"/>
        <v>0</v>
      </c>
      <c r="R379">
        <f t="shared" si="77"/>
        <v>0</v>
      </c>
    </row>
    <row r="380" spans="1:18" x14ac:dyDescent="0.3">
      <c r="A380" s="1">
        <v>41815</v>
      </c>
      <c r="B380" s="1">
        <v>41843</v>
      </c>
      <c r="C380">
        <v>11.37</v>
      </c>
      <c r="D380">
        <v>0.3</v>
      </c>
      <c r="E380">
        <v>5</v>
      </c>
      <c r="F380">
        <f t="shared" si="65"/>
        <v>0</v>
      </c>
      <c r="G380">
        <f t="shared" si="66"/>
        <v>0</v>
      </c>
      <c r="H380">
        <f t="shared" si="67"/>
        <v>0</v>
      </c>
      <c r="I380">
        <f t="shared" si="68"/>
        <v>28</v>
      </c>
      <c r="J380">
        <f t="shared" si="69"/>
        <v>0</v>
      </c>
      <c r="K380">
        <f t="shared" si="70"/>
        <v>1400</v>
      </c>
      <c r="L380">
        <f t="shared" si="71"/>
        <v>11.67</v>
      </c>
      <c r="M380">
        <f t="shared" si="72"/>
        <v>1411.67</v>
      </c>
      <c r="N380">
        <f t="shared" si="73"/>
        <v>0</v>
      </c>
      <c r="O380">
        <f t="shared" si="74"/>
        <v>0</v>
      </c>
      <c r="P380">
        <f t="shared" si="75"/>
        <v>0</v>
      </c>
      <c r="Q380">
        <f t="shared" si="76"/>
        <v>1411.67</v>
      </c>
      <c r="R380">
        <f t="shared" si="77"/>
        <v>0</v>
      </c>
    </row>
    <row r="381" spans="1:18" x14ac:dyDescent="0.3">
      <c r="A381" s="1">
        <v>41815</v>
      </c>
      <c r="B381" s="1">
        <v>41841</v>
      </c>
      <c r="C381">
        <v>3.79</v>
      </c>
      <c r="D381">
        <v>0.1</v>
      </c>
      <c r="E381">
        <v>5</v>
      </c>
      <c r="F381">
        <f t="shared" si="65"/>
        <v>0</v>
      </c>
      <c r="G381">
        <f t="shared" si="66"/>
        <v>0</v>
      </c>
      <c r="H381">
        <f t="shared" si="67"/>
        <v>0</v>
      </c>
      <c r="I381">
        <f t="shared" si="68"/>
        <v>26</v>
      </c>
      <c r="J381">
        <f t="shared" si="69"/>
        <v>0</v>
      </c>
      <c r="K381">
        <f t="shared" si="70"/>
        <v>1300</v>
      </c>
      <c r="L381">
        <f t="shared" si="71"/>
        <v>3.89</v>
      </c>
      <c r="M381">
        <f t="shared" si="72"/>
        <v>1303.8900000000001</v>
      </c>
      <c r="N381">
        <f t="shared" si="73"/>
        <v>0</v>
      </c>
      <c r="O381">
        <f t="shared" si="74"/>
        <v>0</v>
      </c>
      <c r="P381">
        <f t="shared" si="75"/>
        <v>0</v>
      </c>
      <c r="Q381">
        <f t="shared" si="76"/>
        <v>1303.8900000000001</v>
      </c>
      <c r="R381">
        <f t="shared" si="77"/>
        <v>0</v>
      </c>
    </row>
    <row r="382" spans="1:18" x14ac:dyDescent="0.3">
      <c r="A382" s="1">
        <v>41815</v>
      </c>
      <c r="B382" s="1">
        <v>41835</v>
      </c>
      <c r="C382">
        <v>8.84</v>
      </c>
      <c r="D382">
        <v>0.23</v>
      </c>
      <c r="E382">
        <v>2</v>
      </c>
      <c r="F382">
        <f t="shared" si="65"/>
        <v>20</v>
      </c>
      <c r="G382">
        <f t="shared" si="66"/>
        <v>0</v>
      </c>
      <c r="H382">
        <f t="shared" si="67"/>
        <v>0</v>
      </c>
      <c r="I382">
        <f t="shared" si="68"/>
        <v>0</v>
      </c>
      <c r="J382">
        <f t="shared" si="69"/>
        <v>0</v>
      </c>
      <c r="K382">
        <f t="shared" si="70"/>
        <v>400</v>
      </c>
      <c r="L382">
        <f t="shared" si="71"/>
        <v>9.07</v>
      </c>
      <c r="M382">
        <f t="shared" si="72"/>
        <v>409.07</v>
      </c>
      <c r="N382">
        <f t="shared" si="73"/>
        <v>409.07</v>
      </c>
      <c r="O382">
        <f t="shared" si="74"/>
        <v>0</v>
      </c>
      <c r="P382">
        <f t="shared" si="75"/>
        <v>0</v>
      </c>
      <c r="Q382">
        <f t="shared" si="76"/>
        <v>0</v>
      </c>
      <c r="R382">
        <f t="shared" si="77"/>
        <v>0</v>
      </c>
    </row>
    <row r="383" spans="1:18" x14ac:dyDescent="0.3">
      <c r="A383" s="1">
        <v>41815</v>
      </c>
      <c r="B383" s="1">
        <v>41825</v>
      </c>
      <c r="C383">
        <v>19.54</v>
      </c>
      <c r="D383">
        <v>0.51</v>
      </c>
      <c r="E383">
        <v>4</v>
      </c>
      <c r="F383">
        <f t="shared" si="65"/>
        <v>0</v>
      </c>
      <c r="G383">
        <f t="shared" si="66"/>
        <v>0</v>
      </c>
      <c r="H383">
        <f t="shared" si="67"/>
        <v>10</v>
      </c>
      <c r="I383">
        <f t="shared" si="68"/>
        <v>0</v>
      </c>
      <c r="J383">
        <f t="shared" si="69"/>
        <v>0</v>
      </c>
      <c r="K383">
        <f t="shared" si="70"/>
        <v>400</v>
      </c>
      <c r="L383">
        <f t="shared" si="71"/>
        <v>20.05</v>
      </c>
      <c r="M383">
        <f t="shared" si="72"/>
        <v>420.05</v>
      </c>
      <c r="N383">
        <f t="shared" si="73"/>
        <v>0</v>
      </c>
      <c r="O383">
        <f t="shared" si="74"/>
        <v>0</v>
      </c>
      <c r="P383">
        <f t="shared" si="75"/>
        <v>420.05</v>
      </c>
      <c r="Q383">
        <f t="shared" si="76"/>
        <v>0</v>
      </c>
      <c r="R383">
        <f t="shared" si="77"/>
        <v>0</v>
      </c>
    </row>
    <row r="384" spans="1:18" x14ac:dyDescent="0.3">
      <c r="A384" s="1">
        <v>41815</v>
      </c>
      <c r="B384" s="1">
        <v>41821</v>
      </c>
      <c r="C384">
        <v>3.79</v>
      </c>
      <c r="D384">
        <v>0.1</v>
      </c>
      <c r="E384">
        <v>5</v>
      </c>
      <c r="F384">
        <f t="shared" si="65"/>
        <v>0</v>
      </c>
      <c r="G384">
        <f t="shared" si="66"/>
        <v>0</v>
      </c>
      <c r="H384">
        <f t="shared" si="67"/>
        <v>0</v>
      </c>
      <c r="I384">
        <f t="shared" si="68"/>
        <v>6</v>
      </c>
      <c r="J384">
        <f t="shared" si="69"/>
        <v>0</v>
      </c>
      <c r="K384">
        <f t="shared" si="70"/>
        <v>300</v>
      </c>
      <c r="L384">
        <f t="shared" si="71"/>
        <v>3.89</v>
      </c>
      <c r="M384">
        <f t="shared" si="72"/>
        <v>303.89</v>
      </c>
      <c r="N384">
        <f t="shared" si="73"/>
        <v>0</v>
      </c>
      <c r="O384">
        <f t="shared" si="74"/>
        <v>0</v>
      </c>
      <c r="P384">
        <f t="shared" si="75"/>
        <v>0</v>
      </c>
      <c r="Q384">
        <f t="shared" si="76"/>
        <v>303.89</v>
      </c>
      <c r="R384">
        <f t="shared" si="77"/>
        <v>0</v>
      </c>
    </row>
    <row r="385" spans="1:18" x14ac:dyDescent="0.3">
      <c r="A385" s="1">
        <v>41815</v>
      </c>
      <c r="B385" s="1">
        <v>41828</v>
      </c>
      <c r="C385">
        <v>9.74</v>
      </c>
      <c r="D385">
        <v>0.26</v>
      </c>
      <c r="E385">
        <v>6</v>
      </c>
      <c r="F385">
        <f t="shared" si="65"/>
        <v>0</v>
      </c>
      <c r="G385">
        <f t="shared" si="66"/>
        <v>0</v>
      </c>
      <c r="H385">
        <f t="shared" si="67"/>
        <v>0</v>
      </c>
      <c r="I385">
        <f t="shared" si="68"/>
        <v>0</v>
      </c>
      <c r="J385">
        <f t="shared" si="69"/>
        <v>13</v>
      </c>
      <c r="K385">
        <f t="shared" si="70"/>
        <v>780</v>
      </c>
      <c r="L385">
        <f t="shared" si="71"/>
        <v>10</v>
      </c>
      <c r="M385">
        <f t="shared" si="72"/>
        <v>790</v>
      </c>
      <c r="N385">
        <f t="shared" si="73"/>
        <v>0</v>
      </c>
      <c r="O385">
        <f t="shared" si="74"/>
        <v>0</v>
      </c>
      <c r="P385">
        <f t="shared" si="75"/>
        <v>0</v>
      </c>
      <c r="Q385">
        <f t="shared" si="76"/>
        <v>0</v>
      </c>
      <c r="R385">
        <f t="shared" si="77"/>
        <v>790</v>
      </c>
    </row>
    <row r="386" spans="1:18" x14ac:dyDescent="0.3">
      <c r="A386" s="1">
        <v>41815</v>
      </c>
      <c r="B386" s="1">
        <v>41837</v>
      </c>
      <c r="C386">
        <v>10.199999999999999</v>
      </c>
      <c r="D386">
        <v>0.27</v>
      </c>
      <c r="E386">
        <v>2</v>
      </c>
      <c r="F386">
        <f t="shared" si="65"/>
        <v>22</v>
      </c>
      <c r="G386">
        <f t="shared" si="66"/>
        <v>0</v>
      </c>
      <c r="H386">
        <f t="shared" si="67"/>
        <v>0</v>
      </c>
      <c r="I386">
        <f t="shared" si="68"/>
        <v>0</v>
      </c>
      <c r="J386">
        <f t="shared" si="69"/>
        <v>0</v>
      </c>
      <c r="K386">
        <f t="shared" si="70"/>
        <v>440</v>
      </c>
      <c r="L386">
        <f t="shared" si="71"/>
        <v>10.469999999999999</v>
      </c>
      <c r="M386">
        <f t="shared" si="72"/>
        <v>450.47</v>
      </c>
      <c r="N386">
        <f t="shared" si="73"/>
        <v>450.47</v>
      </c>
      <c r="O386">
        <f t="shared" si="74"/>
        <v>0</v>
      </c>
      <c r="P386">
        <f t="shared" si="75"/>
        <v>0</v>
      </c>
      <c r="Q386">
        <f t="shared" si="76"/>
        <v>0</v>
      </c>
      <c r="R386">
        <f t="shared" si="77"/>
        <v>0</v>
      </c>
    </row>
    <row r="387" spans="1:18" x14ac:dyDescent="0.3">
      <c r="A387" s="1">
        <v>41815</v>
      </c>
      <c r="B387" s="1">
        <v>41836</v>
      </c>
      <c r="C387">
        <v>3.88</v>
      </c>
      <c r="D387">
        <v>0.1</v>
      </c>
      <c r="E387">
        <v>4</v>
      </c>
      <c r="F387">
        <f t="shared" ref="F387:F450" si="78">IF(EXACT(E387,2),B387-A387,0)</f>
        <v>0</v>
      </c>
      <c r="G387">
        <f t="shared" ref="G387:G450" si="79">IF(EXACT(E387,3),B387-A387,0)</f>
        <v>0</v>
      </c>
      <c r="H387">
        <f t="shared" ref="H387:H450" si="80">IF(EXACT(E387,4),B387-A387,0)</f>
        <v>21</v>
      </c>
      <c r="I387">
        <f t="shared" ref="I387:I450" si="81">IF(EXACT(E387,5),B387-A387,0)</f>
        <v>0</v>
      </c>
      <c r="J387">
        <f t="shared" ref="J387:J450" si="82">IF(EXACT(E387,6),B387-A387,0)</f>
        <v>0</v>
      </c>
      <c r="K387">
        <f t="shared" ref="K387:K450" si="83">10 * E387 * (F387+G387+H387+I387+J387)</f>
        <v>840</v>
      </c>
      <c r="L387">
        <f t="shared" ref="L387:L450" si="84">C387+D387</f>
        <v>3.98</v>
      </c>
      <c r="M387">
        <f t="shared" ref="M387:M450" si="85">K387+L387</f>
        <v>843.98</v>
      </c>
      <c r="N387">
        <f t="shared" ref="N387:N450" si="86">IF(EXACT(E387,2),M387,0)</f>
        <v>0</v>
      </c>
      <c r="O387">
        <f t="shared" ref="O387:O450" si="87">IF(EXACT(E387,3),M387,0)</f>
        <v>0</v>
      </c>
      <c r="P387">
        <f t="shared" ref="P387:P450" si="88">IF(EXACT(E387,4),M387,0)</f>
        <v>843.98</v>
      </c>
      <c r="Q387">
        <f t="shared" ref="Q387:Q450" si="89">IF(EXACT(E387,5),M387,0)</f>
        <v>0</v>
      </c>
      <c r="R387">
        <f t="shared" ref="R387:R450" si="90">IF(EXACT(E387,6),M387,0)</f>
        <v>0</v>
      </c>
    </row>
    <row r="388" spans="1:18" x14ac:dyDescent="0.3">
      <c r="A388" s="1">
        <v>41818</v>
      </c>
      <c r="B388" s="1">
        <v>41835</v>
      </c>
      <c r="C388">
        <v>4.66</v>
      </c>
      <c r="D388">
        <v>0.12</v>
      </c>
      <c r="E388">
        <v>4</v>
      </c>
      <c r="F388">
        <f t="shared" si="78"/>
        <v>0</v>
      </c>
      <c r="G388">
        <f t="shared" si="79"/>
        <v>0</v>
      </c>
      <c r="H388">
        <f t="shared" si="80"/>
        <v>17</v>
      </c>
      <c r="I388">
        <f t="shared" si="81"/>
        <v>0</v>
      </c>
      <c r="J388">
        <f t="shared" si="82"/>
        <v>0</v>
      </c>
      <c r="K388">
        <f t="shared" si="83"/>
        <v>680</v>
      </c>
      <c r="L388">
        <f t="shared" si="84"/>
        <v>4.78</v>
      </c>
      <c r="M388">
        <f t="shared" si="85"/>
        <v>684.78</v>
      </c>
      <c r="N388">
        <f t="shared" si="86"/>
        <v>0</v>
      </c>
      <c r="O388">
        <f t="shared" si="87"/>
        <v>0</v>
      </c>
      <c r="P388">
        <f t="shared" si="88"/>
        <v>684.78</v>
      </c>
      <c r="Q388">
        <f t="shared" si="89"/>
        <v>0</v>
      </c>
      <c r="R388">
        <f t="shared" si="90"/>
        <v>0</v>
      </c>
    </row>
    <row r="389" spans="1:18" x14ac:dyDescent="0.3">
      <c r="A389" s="1">
        <v>41821</v>
      </c>
      <c r="B389" s="1">
        <v>41840</v>
      </c>
      <c r="C389">
        <v>16.55</v>
      </c>
      <c r="D389">
        <v>0.44</v>
      </c>
      <c r="E389">
        <v>6</v>
      </c>
      <c r="F389">
        <f t="shared" si="78"/>
        <v>0</v>
      </c>
      <c r="G389">
        <f t="shared" si="79"/>
        <v>0</v>
      </c>
      <c r="H389">
        <f t="shared" si="80"/>
        <v>0</v>
      </c>
      <c r="I389">
        <f t="shared" si="81"/>
        <v>0</v>
      </c>
      <c r="J389">
        <f t="shared" si="82"/>
        <v>19</v>
      </c>
      <c r="K389">
        <f t="shared" si="83"/>
        <v>1140</v>
      </c>
      <c r="L389">
        <f t="shared" si="84"/>
        <v>16.990000000000002</v>
      </c>
      <c r="M389">
        <f t="shared" si="85"/>
        <v>1156.99</v>
      </c>
      <c r="N389">
        <f t="shared" si="86"/>
        <v>0</v>
      </c>
      <c r="O389">
        <f t="shared" si="87"/>
        <v>0</v>
      </c>
      <c r="P389">
        <f t="shared" si="88"/>
        <v>0</v>
      </c>
      <c r="Q389">
        <f t="shared" si="89"/>
        <v>0</v>
      </c>
      <c r="R389">
        <f t="shared" si="90"/>
        <v>1156.99</v>
      </c>
    </row>
    <row r="390" spans="1:18" x14ac:dyDescent="0.3">
      <c r="A390" s="1">
        <v>41821</v>
      </c>
      <c r="B390" s="1">
        <v>41835</v>
      </c>
      <c r="C390">
        <v>13.81</v>
      </c>
      <c r="D390">
        <v>0.36</v>
      </c>
      <c r="E390">
        <v>3</v>
      </c>
      <c r="F390">
        <f t="shared" si="78"/>
        <v>0</v>
      </c>
      <c r="G390">
        <f t="shared" si="79"/>
        <v>14</v>
      </c>
      <c r="H390">
        <f t="shared" si="80"/>
        <v>0</v>
      </c>
      <c r="I390">
        <f t="shared" si="81"/>
        <v>0</v>
      </c>
      <c r="J390">
        <f t="shared" si="82"/>
        <v>0</v>
      </c>
      <c r="K390">
        <f t="shared" si="83"/>
        <v>420</v>
      </c>
      <c r="L390">
        <f t="shared" si="84"/>
        <v>14.17</v>
      </c>
      <c r="M390">
        <f t="shared" si="85"/>
        <v>434.17</v>
      </c>
      <c r="N390">
        <f t="shared" si="86"/>
        <v>0</v>
      </c>
      <c r="O390">
        <f t="shared" si="87"/>
        <v>434.17</v>
      </c>
      <c r="P390">
        <f t="shared" si="88"/>
        <v>0</v>
      </c>
      <c r="Q390">
        <f t="shared" si="89"/>
        <v>0</v>
      </c>
      <c r="R390">
        <f t="shared" si="90"/>
        <v>0</v>
      </c>
    </row>
    <row r="391" spans="1:18" x14ac:dyDescent="0.3">
      <c r="A391" s="1">
        <v>41821</v>
      </c>
      <c r="B391" s="1">
        <v>41837</v>
      </c>
      <c r="C391">
        <v>8.51</v>
      </c>
      <c r="D391">
        <v>0.22</v>
      </c>
      <c r="E391">
        <v>5</v>
      </c>
      <c r="F391">
        <f t="shared" si="78"/>
        <v>0</v>
      </c>
      <c r="G391">
        <f t="shared" si="79"/>
        <v>0</v>
      </c>
      <c r="H391">
        <f t="shared" si="80"/>
        <v>0</v>
      </c>
      <c r="I391">
        <f t="shared" si="81"/>
        <v>16</v>
      </c>
      <c r="J391">
        <f t="shared" si="82"/>
        <v>0</v>
      </c>
      <c r="K391">
        <f t="shared" si="83"/>
        <v>800</v>
      </c>
      <c r="L391">
        <f t="shared" si="84"/>
        <v>8.73</v>
      </c>
      <c r="M391">
        <f t="shared" si="85"/>
        <v>808.73</v>
      </c>
      <c r="N391">
        <f t="shared" si="86"/>
        <v>0</v>
      </c>
      <c r="O391">
        <f t="shared" si="87"/>
        <v>0</v>
      </c>
      <c r="P391">
        <f t="shared" si="88"/>
        <v>0</v>
      </c>
      <c r="Q391">
        <f t="shared" si="89"/>
        <v>808.73</v>
      </c>
      <c r="R391">
        <f t="shared" si="90"/>
        <v>0</v>
      </c>
    </row>
    <row r="392" spans="1:18" x14ac:dyDescent="0.3">
      <c r="A392" s="1">
        <v>41821</v>
      </c>
      <c r="B392" s="1">
        <v>41827</v>
      </c>
      <c r="C392">
        <v>8.65</v>
      </c>
      <c r="D392">
        <v>0.23</v>
      </c>
      <c r="E392">
        <v>2</v>
      </c>
      <c r="F392">
        <f t="shared" si="78"/>
        <v>6</v>
      </c>
      <c r="G392">
        <f t="shared" si="79"/>
        <v>0</v>
      </c>
      <c r="H392">
        <f t="shared" si="80"/>
        <v>0</v>
      </c>
      <c r="I392">
        <f t="shared" si="81"/>
        <v>0</v>
      </c>
      <c r="J392">
        <f t="shared" si="82"/>
        <v>0</v>
      </c>
      <c r="K392">
        <f t="shared" si="83"/>
        <v>120</v>
      </c>
      <c r="L392">
        <f t="shared" si="84"/>
        <v>8.8800000000000008</v>
      </c>
      <c r="M392">
        <f t="shared" si="85"/>
        <v>128.88</v>
      </c>
      <c r="N392">
        <f t="shared" si="86"/>
        <v>128.88</v>
      </c>
      <c r="O392">
        <f t="shared" si="87"/>
        <v>0</v>
      </c>
      <c r="P392">
        <f t="shared" si="88"/>
        <v>0</v>
      </c>
      <c r="Q392">
        <f t="shared" si="89"/>
        <v>0</v>
      </c>
      <c r="R392">
        <f t="shared" si="90"/>
        <v>0</v>
      </c>
    </row>
    <row r="393" spans="1:18" x14ac:dyDescent="0.3">
      <c r="A393" s="1">
        <v>41821</v>
      </c>
      <c r="B393" s="1">
        <v>41832</v>
      </c>
      <c r="C393">
        <v>11.69</v>
      </c>
      <c r="D393">
        <v>0.31</v>
      </c>
      <c r="E393">
        <v>4</v>
      </c>
      <c r="F393">
        <f t="shared" si="78"/>
        <v>0</v>
      </c>
      <c r="G393">
        <f t="shared" si="79"/>
        <v>0</v>
      </c>
      <c r="H393">
        <f t="shared" si="80"/>
        <v>11</v>
      </c>
      <c r="I393">
        <f t="shared" si="81"/>
        <v>0</v>
      </c>
      <c r="J393">
        <f t="shared" si="82"/>
        <v>0</v>
      </c>
      <c r="K393">
        <f t="shared" si="83"/>
        <v>440</v>
      </c>
      <c r="L393">
        <f t="shared" si="84"/>
        <v>12</v>
      </c>
      <c r="M393">
        <f t="shared" si="85"/>
        <v>452</v>
      </c>
      <c r="N393">
        <f t="shared" si="86"/>
        <v>0</v>
      </c>
      <c r="O393">
        <f t="shared" si="87"/>
        <v>0</v>
      </c>
      <c r="P393">
        <f t="shared" si="88"/>
        <v>452</v>
      </c>
      <c r="Q393">
        <f t="shared" si="89"/>
        <v>0</v>
      </c>
      <c r="R393">
        <f t="shared" si="90"/>
        <v>0</v>
      </c>
    </row>
    <row r="394" spans="1:18" x14ac:dyDescent="0.3">
      <c r="A394" s="1">
        <v>41821</v>
      </c>
      <c r="B394" s="1">
        <v>41828</v>
      </c>
      <c r="C394">
        <v>7.06</v>
      </c>
      <c r="D394">
        <v>0.19</v>
      </c>
      <c r="E394">
        <v>3</v>
      </c>
      <c r="F394">
        <f t="shared" si="78"/>
        <v>0</v>
      </c>
      <c r="G394">
        <f t="shared" si="79"/>
        <v>7</v>
      </c>
      <c r="H394">
        <f t="shared" si="80"/>
        <v>0</v>
      </c>
      <c r="I394">
        <f t="shared" si="81"/>
        <v>0</v>
      </c>
      <c r="J394">
        <f t="shared" si="82"/>
        <v>0</v>
      </c>
      <c r="K394">
        <f t="shared" si="83"/>
        <v>210</v>
      </c>
      <c r="L394">
        <f t="shared" si="84"/>
        <v>7.25</v>
      </c>
      <c r="M394">
        <f t="shared" si="85"/>
        <v>217.25</v>
      </c>
      <c r="N394">
        <f t="shared" si="86"/>
        <v>0</v>
      </c>
      <c r="O394">
        <f t="shared" si="87"/>
        <v>217.25</v>
      </c>
      <c r="P394">
        <f t="shared" si="88"/>
        <v>0</v>
      </c>
      <c r="Q394">
        <f t="shared" si="89"/>
        <v>0</v>
      </c>
      <c r="R394">
        <f t="shared" si="90"/>
        <v>0</v>
      </c>
    </row>
    <row r="395" spans="1:18" x14ac:dyDescent="0.3">
      <c r="A395" s="1">
        <v>41827</v>
      </c>
      <c r="B395" s="1">
        <v>41837</v>
      </c>
      <c r="C395">
        <v>11.44</v>
      </c>
      <c r="D395">
        <v>0.3</v>
      </c>
      <c r="E395">
        <v>5</v>
      </c>
      <c r="F395">
        <f t="shared" si="78"/>
        <v>0</v>
      </c>
      <c r="G395">
        <f t="shared" si="79"/>
        <v>0</v>
      </c>
      <c r="H395">
        <f t="shared" si="80"/>
        <v>0</v>
      </c>
      <c r="I395">
        <f t="shared" si="81"/>
        <v>10</v>
      </c>
      <c r="J395">
        <f t="shared" si="82"/>
        <v>0</v>
      </c>
      <c r="K395">
        <f t="shared" si="83"/>
        <v>500</v>
      </c>
      <c r="L395">
        <f t="shared" si="84"/>
        <v>11.74</v>
      </c>
      <c r="M395">
        <f t="shared" si="85"/>
        <v>511.74</v>
      </c>
      <c r="N395">
        <f t="shared" si="86"/>
        <v>0</v>
      </c>
      <c r="O395">
        <f t="shared" si="87"/>
        <v>0</v>
      </c>
      <c r="P395">
        <f t="shared" si="88"/>
        <v>0</v>
      </c>
      <c r="Q395">
        <f t="shared" si="89"/>
        <v>511.74</v>
      </c>
      <c r="R395">
        <f t="shared" si="90"/>
        <v>0</v>
      </c>
    </row>
    <row r="396" spans="1:18" x14ac:dyDescent="0.3">
      <c r="A396" s="1">
        <v>41827</v>
      </c>
      <c r="B396" s="1">
        <v>41831</v>
      </c>
      <c r="C396">
        <v>8.9499999999999993</v>
      </c>
      <c r="D396">
        <v>0.24</v>
      </c>
      <c r="E396">
        <v>4</v>
      </c>
      <c r="F396">
        <f t="shared" si="78"/>
        <v>0</v>
      </c>
      <c r="G396">
        <f t="shared" si="79"/>
        <v>0</v>
      </c>
      <c r="H396">
        <f t="shared" si="80"/>
        <v>4</v>
      </c>
      <c r="I396">
        <f t="shared" si="81"/>
        <v>0</v>
      </c>
      <c r="J396">
        <f t="shared" si="82"/>
        <v>0</v>
      </c>
      <c r="K396">
        <f t="shared" si="83"/>
        <v>160</v>
      </c>
      <c r="L396">
        <f t="shared" si="84"/>
        <v>9.19</v>
      </c>
      <c r="M396">
        <f t="shared" si="85"/>
        <v>169.19</v>
      </c>
      <c r="N396">
        <f t="shared" si="86"/>
        <v>0</v>
      </c>
      <c r="O396">
        <f t="shared" si="87"/>
        <v>0</v>
      </c>
      <c r="P396">
        <f t="shared" si="88"/>
        <v>169.19</v>
      </c>
      <c r="Q396">
        <f t="shared" si="89"/>
        <v>0</v>
      </c>
      <c r="R396">
        <f t="shared" si="90"/>
        <v>0</v>
      </c>
    </row>
    <row r="397" spans="1:18" x14ac:dyDescent="0.3">
      <c r="A397" s="1">
        <v>41827</v>
      </c>
      <c r="B397" s="1">
        <v>41847</v>
      </c>
      <c r="C397">
        <v>9.4600000000000009</v>
      </c>
      <c r="D397">
        <v>0.25</v>
      </c>
      <c r="E397">
        <v>6</v>
      </c>
      <c r="F397">
        <f t="shared" si="78"/>
        <v>0</v>
      </c>
      <c r="G397">
        <f t="shared" si="79"/>
        <v>0</v>
      </c>
      <c r="H397">
        <f t="shared" si="80"/>
        <v>0</v>
      </c>
      <c r="I397">
        <f t="shared" si="81"/>
        <v>0</v>
      </c>
      <c r="J397">
        <f t="shared" si="82"/>
        <v>20</v>
      </c>
      <c r="K397">
        <f t="shared" si="83"/>
        <v>1200</v>
      </c>
      <c r="L397">
        <f t="shared" si="84"/>
        <v>9.7100000000000009</v>
      </c>
      <c r="M397">
        <f t="shared" si="85"/>
        <v>1209.71</v>
      </c>
      <c r="N397">
        <f t="shared" si="86"/>
        <v>0</v>
      </c>
      <c r="O397">
        <f t="shared" si="87"/>
        <v>0</v>
      </c>
      <c r="P397">
        <f t="shared" si="88"/>
        <v>0</v>
      </c>
      <c r="Q397">
        <f t="shared" si="89"/>
        <v>0</v>
      </c>
      <c r="R397">
        <f t="shared" si="90"/>
        <v>1209.71</v>
      </c>
    </row>
    <row r="398" spans="1:18" x14ac:dyDescent="0.3">
      <c r="A398" s="1">
        <v>41827</v>
      </c>
      <c r="B398" s="1">
        <v>41841</v>
      </c>
      <c r="C398">
        <v>5.23</v>
      </c>
      <c r="D398">
        <v>0.14000000000000001</v>
      </c>
      <c r="E398">
        <v>3</v>
      </c>
      <c r="F398">
        <f t="shared" si="78"/>
        <v>0</v>
      </c>
      <c r="G398">
        <f t="shared" si="79"/>
        <v>14</v>
      </c>
      <c r="H398">
        <f t="shared" si="80"/>
        <v>0</v>
      </c>
      <c r="I398">
        <f t="shared" si="81"/>
        <v>0</v>
      </c>
      <c r="J398">
        <f t="shared" si="82"/>
        <v>0</v>
      </c>
      <c r="K398">
        <f t="shared" si="83"/>
        <v>420</v>
      </c>
      <c r="L398">
        <f t="shared" si="84"/>
        <v>5.37</v>
      </c>
      <c r="M398">
        <f t="shared" si="85"/>
        <v>425.37</v>
      </c>
      <c r="N398">
        <f t="shared" si="86"/>
        <v>0</v>
      </c>
      <c r="O398">
        <f t="shared" si="87"/>
        <v>425.37</v>
      </c>
      <c r="P398">
        <f t="shared" si="88"/>
        <v>0</v>
      </c>
      <c r="Q398">
        <f t="shared" si="89"/>
        <v>0</v>
      </c>
      <c r="R398">
        <f t="shared" si="90"/>
        <v>0</v>
      </c>
    </row>
    <row r="399" spans="1:18" x14ac:dyDescent="0.3">
      <c r="A399" s="1">
        <v>41827</v>
      </c>
      <c r="B399" s="1">
        <v>41847</v>
      </c>
      <c r="C399">
        <v>11.78</v>
      </c>
      <c r="D399">
        <v>0.31</v>
      </c>
      <c r="E399">
        <v>4</v>
      </c>
      <c r="F399">
        <f t="shared" si="78"/>
        <v>0</v>
      </c>
      <c r="G399">
        <f t="shared" si="79"/>
        <v>0</v>
      </c>
      <c r="H399">
        <f t="shared" si="80"/>
        <v>20</v>
      </c>
      <c r="I399">
        <f t="shared" si="81"/>
        <v>0</v>
      </c>
      <c r="J399">
        <f t="shared" si="82"/>
        <v>0</v>
      </c>
      <c r="K399">
        <f t="shared" si="83"/>
        <v>800</v>
      </c>
      <c r="L399">
        <f t="shared" si="84"/>
        <v>12.09</v>
      </c>
      <c r="M399">
        <f t="shared" si="85"/>
        <v>812.09</v>
      </c>
      <c r="N399">
        <f t="shared" si="86"/>
        <v>0</v>
      </c>
      <c r="O399">
        <f t="shared" si="87"/>
        <v>0</v>
      </c>
      <c r="P399">
        <f t="shared" si="88"/>
        <v>812.09</v>
      </c>
      <c r="Q399">
        <f t="shared" si="89"/>
        <v>0</v>
      </c>
      <c r="R399">
        <f t="shared" si="90"/>
        <v>0</v>
      </c>
    </row>
    <row r="400" spans="1:18" x14ac:dyDescent="0.3">
      <c r="A400" s="1">
        <v>41827</v>
      </c>
      <c r="B400" s="1">
        <v>41836</v>
      </c>
      <c r="C400">
        <v>5.64</v>
      </c>
      <c r="D400">
        <v>0.15</v>
      </c>
      <c r="E400">
        <v>3</v>
      </c>
      <c r="F400">
        <f t="shared" si="78"/>
        <v>0</v>
      </c>
      <c r="G400">
        <f t="shared" si="79"/>
        <v>9</v>
      </c>
      <c r="H400">
        <f t="shared" si="80"/>
        <v>0</v>
      </c>
      <c r="I400">
        <f t="shared" si="81"/>
        <v>0</v>
      </c>
      <c r="J400">
        <f t="shared" si="82"/>
        <v>0</v>
      </c>
      <c r="K400">
        <f t="shared" si="83"/>
        <v>270</v>
      </c>
      <c r="L400">
        <f t="shared" si="84"/>
        <v>5.79</v>
      </c>
      <c r="M400">
        <f t="shared" si="85"/>
        <v>275.79000000000002</v>
      </c>
      <c r="N400">
        <f t="shared" si="86"/>
        <v>0</v>
      </c>
      <c r="O400">
        <f t="shared" si="87"/>
        <v>275.79000000000002</v>
      </c>
      <c r="P400">
        <f t="shared" si="88"/>
        <v>0</v>
      </c>
      <c r="Q400">
        <f t="shared" si="89"/>
        <v>0</v>
      </c>
      <c r="R400">
        <f t="shared" si="90"/>
        <v>0</v>
      </c>
    </row>
    <row r="401" spans="1:18" x14ac:dyDescent="0.3">
      <c r="A401" s="1">
        <v>41827</v>
      </c>
      <c r="B401" s="1">
        <v>41839</v>
      </c>
      <c r="C401">
        <v>10.199999999999999</v>
      </c>
      <c r="D401">
        <v>0.27</v>
      </c>
      <c r="E401">
        <v>2</v>
      </c>
      <c r="F401">
        <f t="shared" si="78"/>
        <v>12</v>
      </c>
      <c r="G401">
        <f t="shared" si="79"/>
        <v>0</v>
      </c>
      <c r="H401">
        <f t="shared" si="80"/>
        <v>0</v>
      </c>
      <c r="I401">
        <f t="shared" si="81"/>
        <v>0</v>
      </c>
      <c r="J401">
        <f t="shared" si="82"/>
        <v>0</v>
      </c>
      <c r="K401">
        <f t="shared" si="83"/>
        <v>240</v>
      </c>
      <c r="L401">
        <f t="shared" si="84"/>
        <v>10.469999999999999</v>
      </c>
      <c r="M401">
        <f t="shared" si="85"/>
        <v>250.47</v>
      </c>
      <c r="N401">
        <f t="shared" si="86"/>
        <v>250.47</v>
      </c>
      <c r="O401">
        <f t="shared" si="87"/>
        <v>0</v>
      </c>
      <c r="P401">
        <f t="shared" si="88"/>
        <v>0</v>
      </c>
      <c r="Q401">
        <f t="shared" si="89"/>
        <v>0</v>
      </c>
      <c r="R401">
        <f t="shared" si="90"/>
        <v>0</v>
      </c>
    </row>
    <row r="402" spans="1:18" x14ac:dyDescent="0.3">
      <c r="A402" s="1">
        <v>41827</v>
      </c>
      <c r="B402" s="1">
        <v>41852</v>
      </c>
      <c r="C402">
        <v>3.88</v>
      </c>
      <c r="D402">
        <v>0.1</v>
      </c>
      <c r="E402">
        <v>5</v>
      </c>
      <c r="F402">
        <f t="shared" si="78"/>
        <v>0</v>
      </c>
      <c r="G402">
        <f t="shared" si="79"/>
        <v>0</v>
      </c>
      <c r="H402">
        <f t="shared" si="80"/>
        <v>0</v>
      </c>
      <c r="I402">
        <f t="shared" si="81"/>
        <v>25</v>
      </c>
      <c r="J402">
        <f t="shared" si="82"/>
        <v>0</v>
      </c>
      <c r="K402">
        <f t="shared" si="83"/>
        <v>1250</v>
      </c>
      <c r="L402">
        <f t="shared" si="84"/>
        <v>3.98</v>
      </c>
      <c r="M402">
        <f t="shared" si="85"/>
        <v>1253.98</v>
      </c>
      <c r="N402">
        <f t="shared" si="86"/>
        <v>0</v>
      </c>
      <c r="O402">
        <f t="shared" si="87"/>
        <v>0</v>
      </c>
      <c r="P402">
        <f t="shared" si="88"/>
        <v>0</v>
      </c>
      <c r="Q402">
        <f t="shared" si="89"/>
        <v>1253.98</v>
      </c>
      <c r="R402">
        <f t="shared" si="90"/>
        <v>0</v>
      </c>
    </row>
    <row r="403" spans="1:18" x14ac:dyDescent="0.3">
      <c r="A403" s="1">
        <v>41827</v>
      </c>
      <c r="B403" s="1">
        <v>41835</v>
      </c>
      <c r="C403">
        <v>4.66</v>
      </c>
      <c r="D403">
        <v>0.12</v>
      </c>
      <c r="E403">
        <v>4</v>
      </c>
      <c r="F403">
        <f t="shared" si="78"/>
        <v>0</v>
      </c>
      <c r="G403">
        <f t="shared" si="79"/>
        <v>0</v>
      </c>
      <c r="H403">
        <f t="shared" si="80"/>
        <v>8</v>
      </c>
      <c r="I403">
        <f t="shared" si="81"/>
        <v>0</v>
      </c>
      <c r="J403">
        <f t="shared" si="82"/>
        <v>0</v>
      </c>
      <c r="K403">
        <f t="shared" si="83"/>
        <v>320</v>
      </c>
      <c r="L403">
        <f t="shared" si="84"/>
        <v>4.78</v>
      </c>
      <c r="M403">
        <f t="shared" si="85"/>
        <v>324.77999999999997</v>
      </c>
      <c r="N403">
        <f t="shared" si="86"/>
        <v>0</v>
      </c>
      <c r="O403">
        <f t="shared" si="87"/>
        <v>0</v>
      </c>
      <c r="P403">
        <f t="shared" si="88"/>
        <v>324.77999999999997</v>
      </c>
      <c r="Q403">
        <f t="shared" si="89"/>
        <v>0</v>
      </c>
      <c r="R403">
        <f t="shared" si="90"/>
        <v>0</v>
      </c>
    </row>
    <row r="404" spans="1:18" x14ac:dyDescent="0.3">
      <c r="A404" s="1">
        <v>41827</v>
      </c>
      <c r="B404" s="1">
        <v>41838</v>
      </c>
      <c r="C404">
        <v>10.19</v>
      </c>
      <c r="D404">
        <v>0.27</v>
      </c>
      <c r="E404">
        <v>6</v>
      </c>
      <c r="F404">
        <f t="shared" si="78"/>
        <v>0</v>
      </c>
      <c r="G404">
        <f t="shared" si="79"/>
        <v>0</v>
      </c>
      <c r="H404">
        <f t="shared" si="80"/>
        <v>0</v>
      </c>
      <c r="I404">
        <f t="shared" si="81"/>
        <v>0</v>
      </c>
      <c r="J404">
        <f t="shared" si="82"/>
        <v>11</v>
      </c>
      <c r="K404">
        <f t="shared" si="83"/>
        <v>660</v>
      </c>
      <c r="L404">
        <f t="shared" si="84"/>
        <v>10.459999999999999</v>
      </c>
      <c r="M404">
        <f t="shared" si="85"/>
        <v>670.46</v>
      </c>
      <c r="N404">
        <f t="shared" si="86"/>
        <v>0</v>
      </c>
      <c r="O404">
        <f t="shared" si="87"/>
        <v>0</v>
      </c>
      <c r="P404">
        <f t="shared" si="88"/>
        <v>0</v>
      </c>
      <c r="Q404">
        <f t="shared" si="89"/>
        <v>0</v>
      </c>
      <c r="R404">
        <f t="shared" si="90"/>
        <v>670.46</v>
      </c>
    </row>
    <row r="405" spans="1:18" x14ac:dyDescent="0.3">
      <c r="A405" s="1">
        <v>41827</v>
      </c>
      <c r="B405" s="1">
        <v>41844</v>
      </c>
      <c r="C405">
        <v>10.19</v>
      </c>
      <c r="D405">
        <v>0.27</v>
      </c>
      <c r="E405">
        <v>6</v>
      </c>
      <c r="F405">
        <f t="shared" si="78"/>
        <v>0</v>
      </c>
      <c r="G405">
        <f t="shared" si="79"/>
        <v>0</v>
      </c>
      <c r="H405">
        <f t="shared" si="80"/>
        <v>0</v>
      </c>
      <c r="I405">
        <f t="shared" si="81"/>
        <v>0</v>
      </c>
      <c r="J405">
        <f t="shared" si="82"/>
        <v>17</v>
      </c>
      <c r="K405">
        <f t="shared" si="83"/>
        <v>1020</v>
      </c>
      <c r="L405">
        <f t="shared" si="84"/>
        <v>10.459999999999999</v>
      </c>
      <c r="M405">
        <f t="shared" si="85"/>
        <v>1030.46</v>
      </c>
      <c r="N405">
        <f t="shared" si="86"/>
        <v>0</v>
      </c>
      <c r="O405">
        <f t="shared" si="87"/>
        <v>0</v>
      </c>
      <c r="P405">
        <f t="shared" si="88"/>
        <v>0</v>
      </c>
      <c r="Q405">
        <f t="shared" si="89"/>
        <v>0</v>
      </c>
      <c r="R405">
        <f t="shared" si="90"/>
        <v>1030.46</v>
      </c>
    </row>
    <row r="406" spans="1:18" x14ac:dyDescent="0.3">
      <c r="A406" s="1">
        <v>41827</v>
      </c>
      <c r="B406" s="1">
        <v>41848</v>
      </c>
      <c r="C406">
        <v>3.79</v>
      </c>
      <c r="D406">
        <v>0.1</v>
      </c>
      <c r="E406">
        <v>6</v>
      </c>
      <c r="F406">
        <f t="shared" si="78"/>
        <v>0</v>
      </c>
      <c r="G406">
        <f t="shared" si="79"/>
        <v>0</v>
      </c>
      <c r="H406">
        <f t="shared" si="80"/>
        <v>0</v>
      </c>
      <c r="I406">
        <f t="shared" si="81"/>
        <v>0</v>
      </c>
      <c r="J406">
        <f t="shared" si="82"/>
        <v>21</v>
      </c>
      <c r="K406">
        <f t="shared" si="83"/>
        <v>1260</v>
      </c>
      <c r="L406">
        <f t="shared" si="84"/>
        <v>3.89</v>
      </c>
      <c r="M406">
        <f t="shared" si="85"/>
        <v>1263.8900000000001</v>
      </c>
      <c r="N406">
        <f t="shared" si="86"/>
        <v>0</v>
      </c>
      <c r="O406">
        <f t="shared" si="87"/>
        <v>0</v>
      </c>
      <c r="P406">
        <f t="shared" si="88"/>
        <v>0</v>
      </c>
      <c r="Q406">
        <f t="shared" si="89"/>
        <v>0</v>
      </c>
      <c r="R406">
        <f t="shared" si="90"/>
        <v>1263.8900000000001</v>
      </c>
    </row>
    <row r="407" spans="1:18" x14ac:dyDescent="0.3">
      <c r="A407" s="1">
        <v>41827</v>
      </c>
      <c r="B407" s="1">
        <v>41847</v>
      </c>
      <c r="C407">
        <v>9.06</v>
      </c>
      <c r="D407">
        <v>0.24</v>
      </c>
      <c r="E407">
        <v>2</v>
      </c>
      <c r="F407">
        <f t="shared" si="78"/>
        <v>20</v>
      </c>
      <c r="G407">
        <f t="shared" si="79"/>
        <v>0</v>
      </c>
      <c r="H407">
        <f t="shared" si="80"/>
        <v>0</v>
      </c>
      <c r="I407">
        <f t="shared" si="81"/>
        <v>0</v>
      </c>
      <c r="J407">
        <f t="shared" si="82"/>
        <v>0</v>
      </c>
      <c r="K407">
        <f t="shared" si="83"/>
        <v>400</v>
      </c>
      <c r="L407">
        <f t="shared" si="84"/>
        <v>9.3000000000000007</v>
      </c>
      <c r="M407">
        <f t="shared" si="85"/>
        <v>409.3</v>
      </c>
      <c r="N407">
        <f t="shared" si="86"/>
        <v>409.3</v>
      </c>
      <c r="O407">
        <f t="shared" si="87"/>
        <v>0</v>
      </c>
      <c r="P407">
        <f t="shared" si="88"/>
        <v>0</v>
      </c>
      <c r="Q407">
        <f t="shared" si="89"/>
        <v>0</v>
      </c>
      <c r="R407">
        <f t="shared" si="90"/>
        <v>0</v>
      </c>
    </row>
    <row r="408" spans="1:18" x14ac:dyDescent="0.3">
      <c r="A408" s="1">
        <v>41827</v>
      </c>
      <c r="B408" s="1">
        <v>41831</v>
      </c>
      <c r="C408">
        <v>6.23</v>
      </c>
      <c r="D408">
        <v>0.16</v>
      </c>
      <c r="E408">
        <v>3</v>
      </c>
      <c r="F408">
        <f t="shared" si="78"/>
        <v>0</v>
      </c>
      <c r="G408">
        <f t="shared" si="79"/>
        <v>4</v>
      </c>
      <c r="H408">
        <f t="shared" si="80"/>
        <v>0</v>
      </c>
      <c r="I408">
        <f t="shared" si="81"/>
        <v>0</v>
      </c>
      <c r="J408">
        <f t="shared" si="82"/>
        <v>0</v>
      </c>
      <c r="K408">
        <f t="shared" si="83"/>
        <v>120</v>
      </c>
      <c r="L408">
        <f t="shared" si="84"/>
        <v>6.3900000000000006</v>
      </c>
      <c r="M408">
        <f t="shared" si="85"/>
        <v>126.39</v>
      </c>
      <c r="N408">
        <f t="shared" si="86"/>
        <v>0</v>
      </c>
      <c r="O408">
        <f t="shared" si="87"/>
        <v>126.39</v>
      </c>
      <c r="P408">
        <f t="shared" si="88"/>
        <v>0</v>
      </c>
      <c r="Q408">
        <f t="shared" si="89"/>
        <v>0</v>
      </c>
      <c r="R408">
        <f t="shared" si="90"/>
        <v>0</v>
      </c>
    </row>
    <row r="409" spans="1:18" x14ac:dyDescent="0.3">
      <c r="A409" s="1">
        <v>41827</v>
      </c>
      <c r="B409" s="1">
        <v>41852</v>
      </c>
      <c r="C409">
        <v>10.79</v>
      </c>
      <c r="D409">
        <v>0.28000000000000003</v>
      </c>
      <c r="E409">
        <v>3</v>
      </c>
      <c r="F409">
        <f t="shared" si="78"/>
        <v>0</v>
      </c>
      <c r="G409">
        <f t="shared" si="79"/>
        <v>25</v>
      </c>
      <c r="H409">
        <f t="shared" si="80"/>
        <v>0</v>
      </c>
      <c r="I409">
        <f t="shared" si="81"/>
        <v>0</v>
      </c>
      <c r="J409">
        <f t="shared" si="82"/>
        <v>0</v>
      </c>
      <c r="K409">
        <f t="shared" si="83"/>
        <v>750</v>
      </c>
      <c r="L409">
        <f t="shared" si="84"/>
        <v>11.069999999999999</v>
      </c>
      <c r="M409">
        <f t="shared" si="85"/>
        <v>761.07</v>
      </c>
      <c r="N409">
        <f t="shared" si="86"/>
        <v>0</v>
      </c>
      <c r="O409">
        <f t="shared" si="87"/>
        <v>761.07</v>
      </c>
      <c r="P409">
        <f t="shared" si="88"/>
        <v>0</v>
      </c>
      <c r="Q409">
        <f t="shared" si="89"/>
        <v>0</v>
      </c>
      <c r="R409">
        <f t="shared" si="90"/>
        <v>0</v>
      </c>
    </row>
    <row r="410" spans="1:18" x14ac:dyDescent="0.3">
      <c r="A410" s="1">
        <v>41830</v>
      </c>
      <c r="B410" s="1">
        <v>41847</v>
      </c>
      <c r="C410">
        <v>5.67</v>
      </c>
      <c r="D410">
        <v>0.15</v>
      </c>
      <c r="E410">
        <v>5</v>
      </c>
      <c r="F410">
        <f t="shared" si="78"/>
        <v>0</v>
      </c>
      <c r="G410">
        <f t="shared" si="79"/>
        <v>0</v>
      </c>
      <c r="H410">
        <f t="shared" si="80"/>
        <v>0</v>
      </c>
      <c r="I410">
        <f t="shared" si="81"/>
        <v>17</v>
      </c>
      <c r="J410">
        <f t="shared" si="82"/>
        <v>0</v>
      </c>
      <c r="K410">
        <f t="shared" si="83"/>
        <v>850</v>
      </c>
      <c r="L410">
        <f t="shared" si="84"/>
        <v>5.82</v>
      </c>
      <c r="M410">
        <f t="shared" si="85"/>
        <v>855.82</v>
      </c>
      <c r="N410">
        <f t="shared" si="86"/>
        <v>0</v>
      </c>
      <c r="O410">
        <f t="shared" si="87"/>
        <v>0</v>
      </c>
      <c r="P410">
        <f t="shared" si="88"/>
        <v>0</v>
      </c>
      <c r="Q410">
        <f t="shared" si="89"/>
        <v>855.82</v>
      </c>
      <c r="R410">
        <f t="shared" si="90"/>
        <v>0</v>
      </c>
    </row>
    <row r="411" spans="1:18" x14ac:dyDescent="0.3">
      <c r="A411" s="1">
        <v>41831</v>
      </c>
      <c r="B411" s="1">
        <v>41855</v>
      </c>
      <c r="C411">
        <v>2.29</v>
      </c>
      <c r="D411">
        <v>0.06</v>
      </c>
      <c r="E411">
        <v>3</v>
      </c>
      <c r="F411">
        <f t="shared" si="78"/>
        <v>0</v>
      </c>
      <c r="G411">
        <f t="shared" si="79"/>
        <v>24</v>
      </c>
      <c r="H411">
        <f t="shared" si="80"/>
        <v>0</v>
      </c>
      <c r="I411">
        <f t="shared" si="81"/>
        <v>0</v>
      </c>
      <c r="J411">
        <f t="shared" si="82"/>
        <v>0</v>
      </c>
      <c r="K411">
        <f t="shared" si="83"/>
        <v>720</v>
      </c>
      <c r="L411">
        <f t="shared" si="84"/>
        <v>2.35</v>
      </c>
      <c r="M411">
        <f t="shared" si="85"/>
        <v>722.35</v>
      </c>
      <c r="N411">
        <f t="shared" si="86"/>
        <v>0</v>
      </c>
      <c r="O411">
        <f t="shared" si="87"/>
        <v>722.35</v>
      </c>
      <c r="P411">
        <f t="shared" si="88"/>
        <v>0</v>
      </c>
      <c r="Q411">
        <f t="shared" si="89"/>
        <v>0</v>
      </c>
      <c r="R411">
        <f t="shared" si="90"/>
        <v>0</v>
      </c>
    </row>
    <row r="412" spans="1:18" x14ac:dyDescent="0.3">
      <c r="A412" s="1">
        <v>41833</v>
      </c>
      <c r="B412" s="1">
        <v>41853</v>
      </c>
      <c r="C412">
        <v>10.93</v>
      </c>
      <c r="D412">
        <v>0.28999999999999998</v>
      </c>
      <c r="E412">
        <v>2</v>
      </c>
      <c r="F412">
        <f t="shared" si="78"/>
        <v>20</v>
      </c>
      <c r="G412">
        <f t="shared" si="79"/>
        <v>0</v>
      </c>
      <c r="H412">
        <f t="shared" si="80"/>
        <v>0</v>
      </c>
      <c r="I412">
        <f t="shared" si="81"/>
        <v>0</v>
      </c>
      <c r="J412">
        <f t="shared" si="82"/>
        <v>0</v>
      </c>
      <c r="K412">
        <f t="shared" si="83"/>
        <v>400</v>
      </c>
      <c r="L412">
        <f t="shared" si="84"/>
        <v>11.219999999999999</v>
      </c>
      <c r="M412">
        <f t="shared" si="85"/>
        <v>411.22</v>
      </c>
      <c r="N412">
        <f t="shared" si="86"/>
        <v>411.22</v>
      </c>
      <c r="O412">
        <f t="shared" si="87"/>
        <v>0</v>
      </c>
      <c r="P412">
        <f t="shared" si="88"/>
        <v>0</v>
      </c>
      <c r="Q412">
        <f t="shared" si="89"/>
        <v>0</v>
      </c>
      <c r="R412">
        <f t="shared" si="90"/>
        <v>0</v>
      </c>
    </row>
    <row r="413" spans="1:18" x14ac:dyDescent="0.3">
      <c r="A413" s="1">
        <v>41833</v>
      </c>
      <c r="B413" s="1">
        <v>41841</v>
      </c>
      <c r="C413">
        <v>16.55</v>
      </c>
      <c r="D413">
        <v>0.44</v>
      </c>
      <c r="E413">
        <v>4</v>
      </c>
      <c r="F413">
        <f t="shared" si="78"/>
        <v>0</v>
      </c>
      <c r="G413">
        <f t="shared" si="79"/>
        <v>0</v>
      </c>
      <c r="H413">
        <f t="shared" si="80"/>
        <v>8</v>
      </c>
      <c r="I413">
        <f t="shared" si="81"/>
        <v>0</v>
      </c>
      <c r="J413">
        <f t="shared" si="82"/>
        <v>0</v>
      </c>
      <c r="K413">
        <f t="shared" si="83"/>
        <v>320</v>
      </c>
      <c r="L413">
        <f t="shared" si="84"/>
        <v>16.990000000000002</v>
      </c>
      <c r="M413">
        <f t="shared" si="85"/>
        <v>336.99</v>
      </c>
      <c r="N413">
        <f t="shared" si="86"/>
        <v>0</v>
      </c>
      <c r="O413">
        <f t="shared" si="87"/>
        <v>0</v>
      </c>
      <c r="P413">
        <f t="shared" si="88"/>
        <v>336.99</v>
      </c>
      <c r="Q413">
        <f t="shared" si="89"/>
        <v>0</v>
      </c>
      <c r="R413">
        <f t="shared" si="90"/>
        <v>0</v>
      </c>
    </row>
    <row r="414" spans="1:18" x14ac:dyDescent="0.3">
      <c r="A414" s="1">
        <v>41834</v>
      </c>
      <c r="B414" s="1">
        <v>41836</v>
      </c>
      <c r="C414">
        <v>6.43</v>
      </c>
      <c r="D414">
        <v>0.17</v>
      </c>
      <c r="E414">
        <v>6</v>
      </c>
      <c r="F414">
        <f t="shared" si="78"/>
        <v>0</v>
      </c>
      <c r="G414">
        <f t="shared" si="79"/>
        <v>0</v>
      </c>
      <c r="H414">
        <f t="shared" si="80"/>
        <v>0</v>
      </c>
      <c r="I414">
        <f t="shared" si="81"/>
        <v>0</v>
      </c>
      <c r="J414">
        <f t="shared" si="82"/>
        <v>2</v>
      </c>
      <c r="K414">
        <f t="shared" si="83"/>
        <v>120</v>
      </c>
      <c r="L414">
        <f t="shared" si="84"/>
        <v>6.6</v>
      </c>
      <c r="M414">
        <f t="shared" si="85"/>
        <v>126.6</v>
      </c>
      <c r="N414">
        <f t="shared" si="86"/>
        <v>0</v>
      </c>
      <c r="O414">
        <f t="shared" si="87"/>
        <v>0</v>
      </c>
      <c r="P414">
        <f t="shared" si="88"/>
        <v>0</v>
      </c>
      <c r="Q414">
        <f t="shared" si="89"/>
        <v>0</v>
      </c>
      <c r="R414">
        <f t="shared" si="90"/>
        <v>126.6</v>
      </c>
    </row>
    <row r="415" spans="1:18" x14ac:dyDescent="0.3">
      <c r="A415" s="1">
        <v>41835</v>
      </c>
      <c r="B415" s="1">
        <v>41863</v>
      </c>
      <c r="C415">
        <v>3.94</v>
      </c>
      <c r="D415">
        <v>0.1</v>
      </c>
      <c r="E415">
        <v>6</v>
      </c>
      <c r="F415">
        <f t="shared" si="78"/>
        <v>0</v>
      </c>
      <c r="G415">
        <f t="shared" si="79"/>
        <v>0</v>
      </c>
      <c r="H415">
        <f t="shared" si="80"/>
        <v>0</v>
      </c>
      <c r="I415">
        <f t="shared" si="81"/>
        <v>0</v>
      </c>
      <c r="J415">
        <f t="shared" si="82"/>
        <v>28</v>
      </c>
      <c r="K415">
        <f t="shared" si="83"/>
        <v>1680</v>
      </c>
      <c r="L415">
        <f t="shared" si="84"/>
        <v>4.04</v>
      </c>
      <c r="M415">
        <f t="shared" si="85"/>
        <v>1684.04</v>
      </c>
      <c r="N415">
        <f t="shared" si="86"/>
        <v>0</v>
      </c>
      <c r="O415">
        <f t="shared" si="87"/>
        <v>0</v>
      </c>
      <c r="P415">
        <f t="shared" si="88"/>
        <v>0</v>
      </c>
      <c r="Q415">
        <f t="shared" si="89"/>
        <v>0</v>
      </c>
      <c r="R415">
        <f t="shared" si="90"/>
        <v>1684.04</v>
      </c>
    </row>
    <row r="416" spans="1:18" x14ac:dyDescent="0.3">
      <c r="A416" s="1">
        <v>41835</v>
      </c>
      <c r="B416" s="1">
        <v>41847</v>
      </c>
      <c r="C416">
        <v>3.79</v>
      </c>
      <c r="D416">
        <v>0.1</v>
      </c>
      <c r="E416">
        <v>3</v>
      </c>
      <c r="F416">
        <f t="shared" si="78"/>
        <v>0</v>
      </c>
      <c r="G416">
        <f t="shared" si="79"/>
        <v>12</v>
      </c>
      <c r="H416">
        <f t="shared" si="80"/>
        <v>0</v>
      </c>
      <c r="I416">
        <f t="shared" si="81"/>
        <v>0</v>
      </c>
      <c r="J416">
        <f t="shared" si="82"/>
        <v>0</v>
      </c>
      <c r="K416">
        <f t="shared" si="83"/>
        <v>360</v>
      </c>
      <c r="L416">
        <f t="shared" si="84"/>
        <v>3.89</v>
      </c>
      <c r="M416">
        <f t="shared" si="85"/>
        <v>363.89</v>
      </c>
      <c r="N416">
        <f t="shared" si="86"/>
        <v>0</v>
      </c>
      <c r="O416">
        <f t="shared" si="87"/>
        <v>363.89</v>
      </c>
      <c r="P416">
        <f t="shared" si="88"/>
        <v>0</v>
      </c>
      <c r="Q416">
        <f t="shared" si="89"/>
        <v>0</v>
      </c>
      <c r="R416">
        <f t="shared" si="90"/>
        <v>0</v>
      </c>
    </row>
    <row r="417" spans="1:18" x14ac:dyDescent="0.3">
      <c r="A417" s="1">
        <v>41835</v>
      </c>
      <c r="B417" s="1">
        <v>41856</v>
      </c>
      <c r="C417">
        <v>6.58</v>
      </c>
      <c r="D417">
        <v>0.17</v>
      </c>
      <c r="E417">
        <v>3</v>
      </c>
      <c r="F417">
        <f t="shared" si="78"/>
        <v>0</v>
      </c>
      <c r="G417">
        <f t="shared" si="79"/>
        <v>21</v>
      </c>
      <c r="H417">
        <f t="shared" si="80"/>
        <v>0</v>
      </c>
      <c r="I417">
        <f t="shared" si="81"/>
        <v>0</v>
      </c>
      <c r="J417">
        <f t="shared" si="82"/>
        <v>0</v>
      </c>
      <c r="K417">
        <f t="shared" si="83"/>
        <v>630</v>
      </c>
      <c r="L417">
        <f t="shared" si="84"/>
        <v>6.75</v>
      </c>
      <c r="M417">
        <f t="shared" si="85"/>
        <v>636.75</v>
      </c>
      <c r="N417">
        <f t="shared" si="86"/>
        <v>0</v>
      </c>
      <c r="O417">
        <f t="shared" si="87"/>
        <v>636.75</v>
      </c>
      <c r="P417">
        <f t="shared" si="88"/>
        <v>0</v>
      </c>
      <c r="Q417">
        <f t="shared" si="89"/>
        <v>0</v>
      </c>
      <c r="R417">
        <f t="shared" si="90"/>
        <v>0</v>
      </c>
    </row>
    <row r="418" spans="1:18" x14ac:dyDescent="0.3">
      <c r="A418" s="1">
        <v>41837</v>
      </c>
      <c r="B418" s="1">
        <v>41853</v>
      </c>
      <c r="C418">
        <v>5.67</v>
      </c>
      <c r="D418">
        <v>0.15</v>
      </c>
      <c r="E418">
        <v>2</v>
      </c>
      <c r="F418">
        <f t="shared" si="78"/>
        <v>16</v>
      </c>
      <c r="G418">
        <f t="shared" si="79"/>
        <v>0</v>
      </c>
      <c r="H418">
        <f t="shared" si="80"/>
        <v>0</v>
      </c>
      <c r="I418">
        <f t="shared" si="81"/>
        <v>0</v>
      </c>
      <c r="J418">
        <f t="shared" si="82"/>
        <v>0</v>
      </c>
      <c r="K418">
        <f t="shared" si="83"/>
        <v>320</v>
      </c>
      <c r="L418">
        <f t="shared" si="84"/>
        <v>5.82</v>
      </c>
      <c r="M418">
        <f t="shared" si="85"/>
        <v>325.82</v>
      </c>
      <c r="N418">
        <f t="shared" si="86"/>
        <v>325.82</v>
      </c>
      <c r="O418">
        <f t="shared" si="87"/>
        <v>0</v>
      </c>
      <c r="P418">
        <f t="shared" si="88"/>
        <v>0</v>
      </c>
      <c r="Q418">
        <f t="shared" si="89"/>
        <v>0</v>
      </c>
      <c r="R418">
        <f t="shared" si="90"/>
        <v>0</v>
      </c>
    </row>
    <row r="419" spans="1:18" x14ac:dyDescent="0.3">
      <c r="A419" s="1">
        <v>41839</v>
      </c>
      <c r="B419" s="1">
        <v>41857</v>
      </c>
      <c r="C419">
        <v>10.19</v>
      </c>
      <c r="D419">
        <v>0.27</v>
      </c>
      <c r="E419">
        <v>6</v>
      </c>
      <c r="F419">
        <f t="shared" si="78"/>
        <v>0</v>
      </c>
      <c r="G419">
        <f t="shared" si="79"/>
        <v>0</v>
      </c>
      <c r="H419">
        <f t="shared" si="80"/>
        <v>0</v>
      </c>
      <c r="I419">
        <f t="shared" si="81"/>
        <v>0</v>
      </c>
      <c r="J419">
        <f t="shared" si="82"/>
        <v>18</v>
      </c>
      <c r="K419">
        <f t="shared" si="83"/>
        <v>1080</v>
      </c>
      <c r="L419">
        <f t="shared" si="84"/>
        <v>10.459999999999999</v>
      </c>
      <c r="M419">
        <f t="shared" si="85"/>
        <v>1090.46</v>
      </c>
      <c r="N419">
        <f t="shared" si="86"/>
        <v>0</v>
      </c>
      <c r="O419">
        <f t="shared" si="87"/>
        <v>0</v>
      </c>
      <c r="P419">
        <f t="shared" si="88"/>
        <v>0</v>
      </c>
      <c r="Q419">
        <f t="shared" si="89"/>
        <v>0</v>
      </c>
      <c r="R419">
        <f t="shared" si="90"/>
        <v>1090.46</v>
      </c>
    </row>
    <row r="420" spans="1:18" x14ac:dyDescent="0.3">
      <c r="A420" s="1">
        <v>41839</v>
      </c>
      <c r="B420" s="1">
        <v>41848</v>
      </c>
      <c r="C420">
        <v>7.06</v>
      </c>
      <c r="D420">
        <v>0.19</v>
      </c>
      <c r="E420">
        <v>2</v>
      </c>
      <c r="F420">
        <f t="shared" si="78"/>
        <v>9</v>
      </c>
      <c r="G420">
        <f t="shared" si="79"/>
        <v>0</v>
      </c>
      <c r="H420">
        <f t="shared" si="80"/>
        <v>0</v>
      </c>
      <c r="I420">
        <f t="shared" si="81"/>
        <v>0</v>
      </c>
      <c r="J420">
        <f t="shared" si="82"/>
        <v>0</v>
      </c>
      <c r="K420">
        <f t="shared" si="83"/>
        <v>180</v>
      </c>
      <c r="L420">
        <f t="shared" si="84"/>
        <v>7.25</v>
      </c>
      <c r="M420">
        <f t="shared" si="85"/>
        <v>187.25</v>
      </c>
      <c r="N420">
        <f t="shared" si="86"/>
        <v>187.25</v>
      </c>
      <c r="O420">
        <f t="shared" si="87"/>
        <v>0</v>
      </c>
      <c r="P420">
        <f t="shared" si="88"/>
        <v>0</v>
      </c>
      <c r="Q420">
        <f t="shared" si="89"/>
        <v>0</v>
      </c>
      <c r="R420">
        <f t="shared" si="90"/>
        <v>0</v>
      </c>
    </row>
    <row r="421" spans="1:18" x14ac:dyDescent="0.3">
      <c r="A421" s="1">
        <v>41839</v>
      </c>
      <c r="B421" s="1">
        <v>41860</v>
      </c>
      <c r="C421">
        <v>6.75</v>
      </c>
      <c r="D421">
        <v>0.18</v>
      </c>
      <c r="E421">
        <v>5</v>
      </c>
      <c r="F421">
        <f t="shared" si="78"/>
        <v>0</v>
      </c>
      <c r="G421">
        <f t="shared" si="79"/>
        <v>0</v>
      </c>
      <c r="H421">
        <f t="shared" si="80"/>
        <v>0</v>
      </c>
      <c r="I421">
        <f t="shared" si="81"/>
        <v>21</v>
      </c>
      <c r="J421">
        <f t="shared" si="82"/>
        <v>0</v>
      </c>
      <c r="K421">
        <f t="shared" si="83"/>
        <v>1050</v>
      </c>
      <c r="L421">
        <f t="shared" si="84"/>
        <v>6.93</v>
      </c>
      <c r="M421">
        <f t="shared" si="85"/>
        <v>1056.93</v>
      </c>
      <c r="N421">
        <f t="shared" si="86"/>
        <v>0</v>
      </c>
      <c r="O421">
        <f t="shared" si="87"/>
        <v>0</v>
      </c>
      <c r="P421">
        <f t="shared" si="88"/>
        <v>0</v>
      </c>
      <c r="Q421">
        <f t="shared" si="89"/>
        <v>1056.93</v>
      </c>
      <c r="R421">
        <f t="shared" si="90"/>
        <v>0</v>
      </c>
    </row>
    <row r="422" spans="1:18" x14ac:dyDescent="0.3">
      <c r="A422" s="1">
        <v>41839</v>
      </c>
      <c r="B422" s="1">
        <v>41861</v>
      </c>
      <c r="C422">
        <v>8.83</v>
      </c>
      <c r="D422">
        <v>0.23</v>
      </c>
      <c r="E422">
        <v>6</v>
      </c>
      <c r="F422">
        <f t="shared" si="78"/>
        <v>0</v>
      </c>
      <c r="G422">
        <f t="shared" si="79"/>
        <v>0</v>
      </c>
      <c r="H422">
        <f t="shared" si="80"/>
        <v>0</v>
      </c>
      <c r="I422">
        <f t="shared" si="81"/>
        <v>0</v>
      </c>
      <c r="J422">
        <f t="shared" si="82"/>
        <v>22</v>
      </c>
      <c r="K422">
        <f t="shared" si="83"/>
        <v>1320</v>
      </c>
      <c r="L422">
        <f t="shared" si="84"/>
        <v>9.06</v>
      </c>
      <c r="M422">
        <f t="shared" si="85"/>
        <v>1329.06</v>
      </c>
      <c r="N422">
        <f t="shared" si="86"/>
        <v>0</v>
      </c>
      <c r="O422">
        <f t="shared" si="87"/>
        <v>0</v>
      </c>
      <c r="P422">
        <f t="shared" si="88"/>
        <v>0</v>
      </c>
      <c r="Q422">
        <f t="shared" si="89"/>
        <v>0</v>
      </c>
      <c r="R422">
        <f t="shared" si="90"/>
        <v>1329.06</v>
      </c>
    </row>
    <row r="423" spans="1:18" x14ac:dyDescent="0.3">
      <c r="A423" s="1">
        <v>41839</v>
      </c>
      <c r="B423" s="1">
        <v>41860</v>
      </c>
      <c r="C423">
        <v>8.39</v>
      </c>
      <c r="D423">
        <v>0.22</v>
      </c>
      <c r="E423">
        <v>2</v>
      </c>
      <c r="F423">
        <f t="shared" si="78"/>
        <v>21</v>
      </c>
      <c r="G423">
        <f t="shared" si="79"/>
        <v>0</v>
      </c>
      <c r="H423">
        <f t="shared" si="80"/>
        <v>0</v>
      </c>
      <c r="I423">
        <f t="shared" si="81"/>
        <v>0</v>
      </c>
      <c r="J423">
        <f t="shared" si="82"/>
        <v>0</v>
      </c>
      <c r="K423">
        <f t="shared" si="83"/>
        <v>420</v>
      </c>
      <c r="L423">
        <f t="shared" si="84"/>
        <v>8.6100000000000012</v>
      </c>
      <c r="M423">
        <f t="shared" si="85"/>
        <v>428.61</v>
      </c>
      <c r="N423">
        <f t="shared" si="86"/>
        <v>428.61</v>
      </c>
      <c r="O423">
        <f t="shared" si="87"/>
        <v>0</v>
      </c>
      <c r="P423">
        <f t="shared" si="88"/>
        <v>0</v>
      </c>
      <c r="Q423">
        <f t="shared" si="89"/>
        <v>0</v>
      </c>
      <c r="R423">
        <f t="shared" si="90"/>
        <v>0</v>
      </c>
    </row>
    <row r="424" spans="1:18" x14ac:dyDescent="0.3">
      <c r="A424" s="1">
        <v>41839</v>
      </c>
      <c r="B424" s="1">
        <v>41853</v>
      </c>
      <c r="C424">
        <v>6.23</v>
      </c>
      <c r="D424">
        <v>0.16</v>
      </c>
      <c r="E424">
        <v>3</v>
      </c>
      <c r="F424">
        <f t="shared" si="78"/>
        <v>0</v>
      </c>
      <c r="G424">
        <f t="shared" si="79"/>
        <v>14</v>
      </c>
      <c r="H424">
        <f t="shared" si="80"/>
        <v>0</v>
      </c>
      <c r="I424">
        <f t="shared" si="81"/>
        <v>0</v>
      </c>
      <c r="J424">
        <f t="shared" si="82"/>
        <v>0</v>
      </c>
      <c r="K424">
        <f t="shared" si="83"/>
        <v>420</v>
      </c>
      <c r="L424">
        <f t="shared" si="84"/>
        <v>6.3900000000000006</v>
      </c>
      <c r="M424">
        <f t="shared" si="85"/>
        <v>426.39</v>
      </c>
      <c r="N424">
        <f t="shared" si="86"/>
        <v>0</v>
      </c>
      <c r="O424">
        <f t="shared" si="87"/>
        <v>426.39</v>
      </c>
      <c r="P424">
        <f t="shared" si="88"/>
        <v>0</v>
      </c>
      <c r="Q424">
        <f t="shared" si="89"/>
        <v>0</v>
      </c>
      <c r="R424">
        <f t="shared" si="90"/>
        <v>0</v>
      </c>
    </row>
    <row r="425" spans="1:18" x14ac:dyDescent="0.3">
      <c r="A425" s="1">
        <v>41839</v>
      </c>
      <c r="B425" s="1">
        <v>41859</v>
      </c>
      <c r="C425">
        <v>3.79</v>
      </c>
      <c r="D425">
        <v>0.1</v>
      </c>
      <c r="E425">
        <v>4</v>
      </c>
      <c r="F425">
        <f t="shared" si="78"/>
        <v>0</v>
      </c>
      <c r="G425">
        <f t="shared" si="79"/>
        <v>0</v>
      </c>
      <c r="H425">
        <f t="shared" si="80"/>
        <v>20</v>
      </c>
      <c r="I425">
        <f t="shared" si="81"/>
        <v>0</v>
      </c>
      <c r="J425">
        <f t="shared" si="82"/>
        <v>0</v>
      </c>
      <c r="K425">
        <f t="shared" si="83"/>
        <v>800</v>
      </c>
      <c r="L425">
        <f t="shared" si="84"/>
        <v>3.89</v>
      </c>
      <c r="M425">
        <f t="shared" si="85"/>
        <v>803.89</v>
      </c>
      <c r="N425">
        <f t="shared" si="86"/>
        <v>0</v>
      </c>
      <c r="O425">
        <f t="shared" si="87"/>
        <v>0</v>
      </c>
      <c r="P425">
        <f t="shared" si="88"/>
        <v>803.89</v>
      </c>
      <c r="Q425">
        <f t="shared" si="89"/>
        <v>0</v>
      </c>
      <c r="R425">
        <f t="shared" si="90"/>
        <v>0</v>
      </c>
    </row>
    <row r="426" spans="1:18" x14ac:dyDescent="0.3">
      <c r="A426" s="1">
        <v>41839</v>
      </c>
      <c r="B426" s="1">
        <v>41866</v>
      </c>
      <c r="C426">
        <v>11.37</v>
      </c>
      <c r="D426">
        <v>0.3</v>
      </c>
      <c r="E426">
        <v>5</v>
      </c>
      <c r="F426">
        <f t="shared" si="78"/>
        <v>0</v>
      </c>
      <c r="G426">
        <f t="shared" si="79"/>
        <v>0</v>
      </c>
      <c r="H426">
        <f t="shared" si="80"/>
        <v>0</v>
      </c>
      <c r="I426">
        <f t="shared" si="81"/>
        <v>27</v>
      </c>
      <c r="J426">
        <f t="shared" si="82"/>
        <v>0</v>
      </c>
      <c r="K426">
        <f t="shared" si="83"/>
        <v>1350</v>
      </c>
      <c r="L426">
        <f t="shared" si="84"/>
        <v>11.67</v>
      </c>
      <c r="M426">
        <f t="shared" si="85"/>
        <v>1361.67</v>
      </c>
      <c r="N426">
        <f t="shared" si="86"/>
        <v>0</v>
      </c>
      <c r="O426">
        <f t="shared" si="87"/>
        <v>0</v>
      </c>
      <c r="P426">
        <f t="shared" si="88"/>
        <v>0</v>
      </c>
      <c r="Q426">
        <f t="shared" si="89"/>
        <v>1361.67</v>
      </c>
      <c r="R426">
        <f t="shared" si="90"/>
        <v>0</v>
      </c>
    </row>
    <row r="427" spans="1:18" x14ac:dyDescent="0.3">
      <c r="A427" s="1">
        <v>41839</v>
      </c>
      <c r="B427" s="1">
        <v>41847</v>
      </c>
      <c r="C427">
        <v>5.64</v>
      </c>
      <c r="D427">
        <v>0.15</v>
      </c>
      <c r="E427">
        <v>5</v>
      </c>
      <c r="F427">
        <f t="shared" si="78"/>
        <v>0</v>
      </c>
      <c r="G427">
        <f t="shared" si="79"/>
        <v>0</v>
      </c>
      <c r="H427">
        <f t="shared" si="80"/>
        <v>0</v>
      </c>
      <c r="I427">
        <f t="shared" si="81"/>
        <v>8</v>
      </c>
      <c r="J427">
        <f t="shared" si="82"/>
        <v>0</v>
      </c>
      <c r="K427">
        <f t="shared" si="83"/>
        <v>400</v>
      </c>
      <c r="L427">
        <f t="shared" si="84"/>
        <v>5.79</v>
      </c>
      <c r="M427">
        <f t="shared" si="85"/>
        <v>405.79</v>
      </c>
      <c r="N427">
        <f t="shared" si="86"/>
        <v>0</v>
      </c>
      <c r="O427">
        <f t="shared" si="87"/>
        <v>0</v>
      </c>
      <c r="P427">
        <f t="shared" si="88"/>
        <v>0</v>
      </c>
      <c r="Q427">
        <f t="shared" si="89"/>
        <v>405.79</v>
      </c>
      <c r="R427">
        <f t="shared" si="90"/>
        <v>0</v>
      </c>
    </row>
    <row r="428" spans="1:18" x14ac:dyDescent="0.3">
      <c r="A428" s="1">
        <v>41839</v>
      </c>
      <c r="B428" s="1">
        <v>41858</v>
      </c>
      <c r="C428">
        <v>7.55</v>
      </c>
      <c r="D428">
        <v>0.2</v>
      </c>
      <c r="E428">
        <v>2</v>
      </c>
      <c r="F428">
        <f t="shared" si="78"/>
        <v>19</v>
      </c>
      <c r="G428">
        <f t="shared" si="79"/>
        <v>0</v>
      </c>
      <c r="H428">
        <f t="shared" si="80"/>
        <v>0</v>
      </c>
      <c r="I428">
        <f t="shared" si="81"/>
        <v>0</v>
      </c>
      <c r="J428">
        <f t="shared" si="82"/>
        <v>0</v>
      </c>
      <c r="K428">
        <f t="shared" si="83"/>
        <v>380</v>
      </c>
      <c r="L428">
        <f t="shared" si="84"/>
        <v>7.75</v>
      </c>
      <c r="M428">
        <f t="shared" si="85"/>
        <v>387.75</v>
      </c>
      <c r="N428">
        <f t="shared" si="86"/>
        <v>387.75</v>
      </c>
      <c r="O428">
        <f t="shared" si="87"/>
        <v>0</v>
      </c>
      <c r="P428">
        <f t="shared" si="88"/>
        <v>0</v>
      </c>
      <c r="Q428">
        <f t="shared" si="89"/>
        <v>0</v>
      </c>
      <c r="R428">
        <f t="shared" si="90"/>
        <v>0</v>
      </c>
    </row>
    <row r="429" spans="1:18" x14ac:dyDescent="0.3">
      <c r="A429" s="1">
        <v>41839</v>
      </c>
      <c r="B429" s="1">
        <v>41853</v>
      </c>
      <c r="C429">
        <v>10.199999999999999</v>
      </c>
      <c r="D429">
        <v>0.27</v>
      </c>
      <c r="E429">
        <v>4</v>
      </c>
      <c r="F429">
        <f t="shared" si="78"/>
        <v>0</v>
      </c>
      <c r="G429">
        <f t="shared" si="79"/>
        <v>0</v>
      </c>
      <c r="H429">
        <f t="shared" si="80"/>
        <v>14</v>
      </c>
      <c r="I429">
        <f t="shared" si="81"/>
        <v>0</v>
      </c>
      <c r="J429">
        <f t="shared" si="82"/>
        <v>0</v>
      </c>
      <c r="K429">
        <f t="shared" si="83"/>
        <v>560</v>
      </c>
      <c r="L429">
        <f t="shared" si="84"/>
        <v>10.469999999999999</v>
      </c>
      <c r="M429">
        <f t="shared" si="85"/>
        <v>570.47</v>
      </c>
      <c r="N429">
        <f t="shared" si="86"/>
        <v>0</v>
      </c>
      <c r="O429">
        <f t="shared" si="87"/>
        <v>0</v>
      </c>
      <c r="P429">
        <f t="shared" si="88"/>
        <v>570.47</v>
      </c>
      <c r="Q429">
        <f t="shared" si="89"/>
        <v>0</v>
      </c>
      <c r="R429">
        <f t="shared" si="90"/>
        <v>0</v>
      </c>
    </row>
    <row r="430" spans="1:18" x14ac:dyDescent="0.3">
      <c r="A430" s="1">
        <v>41839</v>
      </c>
      <c r="B430" s="1">
        <v>41862</v>
      </c>
      <c r="C430">
        <v>2.0099999999999998</v>
      </c>
      <c r="D430">
        <v>0.05</v>
      </c>
      <c r="E430">
        <v>6</v>
      </c>
      <c r="F430">
        <f t="shared" si="78"/>
        <v>0</v>
      </c>
      <c r="G430">
        <f t="shared" si="79"/>
        <v>0</v>
      </c>
      <c r="H430">
        <f t="shared" si="80"/>
        <v>0</v>
      </c>
      <c r="I430">
        <f t="shared" si="81"/>
        <v>0</v>
      </c>
      <c r="J430">
        <f t="shared" si="82"/>
        <v>23</v>
      </c>
      <c r="K430">
        <f t="shared" si="83"/>
        <v>1380</v>
      </c>
      <c r="L430">
        <f t="shared" si="84"/>
        <v>2.0599999999999996</v>
      </c>
      <c r="M430">
        <f t="shared" si="85"/>
        <v>1382.06</v>
      </c>
      <c r="N430">
        <f t="shared" si="86"/>
        <v>0</v>
      </c>
      <c r="O430">
        <f t="shared" si="87"/>
        <v>0</v>
      </c>
      <c r="P430">
        <f t="shared" si="88"/>
        <v>0</v>
      </c>
      <c r="Q430">
        <f t="shared" si="89"/>
        <v>0</v>
      </c>
      <c r="R430">
        <f t="shared" si="90"/>
        <v>1382.06</v>
      </c>
    </row>
    <row r="431" spans="1:18" x14ac:dyDescent="0.3">
      <c r="A431" s="1">
        <v>41839</v>
      </c>
      <c r="B431" s="1">
        <v>41862</v>
      </c>
      <c r="C431">
        <v>13.81</v>
      </c>
      <c r="D431">
        <v>0.36</v>
      </c>
      <c r="E431">
        <v>3</v>
      </c>
      <c r="F431">
        <f t="shared" si="78"/>
        <v>0</v>
      </c>
      <c r="G431">
        <f t="shared" si="79"/>
        <v>23</v>
      </c>
      <c r="H431">
        <f t="shared" si="80"/>
        <v>0</v>
      </c>
      <c r="I431">
        <f t="shared" si="81"/>
        <v>0</v>
      </c>
      <c r="J431">
        <f t="shared" si="82"/>
        <v>0</v>
      </c>
      <c r="K431">
        <f t="shared" si="83"/>
        <v>690</v>
      </c>
      <c r="L431">
        <f t="shared" si="84"/>
        <v>14.17</v>
      </c>
      <c r="M431">
        <f t="shared" si="85"/>
        <v>704.17</v>
      </c>
      <c r="N431">
        <f t="shared" si="86"/>
        <v>0</v>
      </c>
      <c r="O431">
        <f t="shared" si="87"/>
        <v>704.17</v>
      </c>
      <c r="P431">
        <f t="shared" si="88"/>
        <v>0</v>
      </c>
      <c r="Q431">
        <f t="shared" si="89"/>
        <v>0</v>
      </c>
      <c r="R431">
        <f t="shared" si="90"/>
        <v>0</v>
      </c>
    </row>
    <row r="432" spans="1:18" x14ac:dyDescent="0.3">
      <c r="A432" s="1">
        <v>41841</v>
      </c>
      <c r="B432" s="1">
        <v>41868</v>
      </c>
      <c r="C432">
        <v>8.7200000000000006</v>
      </c>
      <c r="D432">
        <v>0.23</v>
      </c>
      <c r="E432">
        <v>2</v>
      </c>
      <c r="F432">
        <f t="shared" si="78"/>
        <v>27</v>
      </c>
      <c r="G432">
        <f t="shared" si="79"/>
        <v>0</v>
      </c>
      <c r="H432">
        <f t="shared" si="80"/>
        <v>0</v>
      </c>
      <c r="I432">
        <f t="shared" si="81"/>
        <v>0</v>
      </c>
      <c r="J432">
        <f t="shared" si="82"/>
        <v>0</v>
      </c>
      <c r="K432">
        <f t="shared" si="83"/>
        <v>540</v>
      </c>
      <c r="L432">
        <f t="shared" si="84"/>
        <v>8.9500000000000011</v>
      </c>
      <c r="M432">
        <f t="shared" si="85"/>
        <v>548.95000000000005</v>
      </c>
      <c r="N432">
        <f t="shared" si="86"/>
        <v>548.95000000000005</v>
      </c>
      <c r="O432">
        <f t="shared" si="87"/>
        <v>0</v>
      </c>
      <c r="P432">
        <f t="shared" si="88"/>
        <v>0</v>
      </c>
      <c r="Q432">
        <f t="shared" si="89"/>
        <v>0</v>
      </c>
      <c r="R432">
        <f t="shared" si="90"/>
        <v>0</v>
      </c>
    </row>
    <row r="433" spans="1:18" x14ac:dyDescent="0.3">
      <c r="A433" s="1">
        <v>41841</v>
      </c>
      <c r="B433" s="1">
        <v>41859</v>
      </c>
      <c r="C433">
        <v>11.44</v>
      </c>
      <c r="D433">
        <v>0.3</v>
      </c>
      <c r="E433">
        <v>3</v>
      </c>
      <c r="F433">
        <f t="shared" si="78"/>
        <v>0</v>
      </c>
      <c r="G433">
        <f t="shared" si="79"/>
        <v>18</v>
      </c>
      <c r="H433">
        <f t="shared" si="80"/>
        <v>0</v>
      </c>
      <c r="I433">
        <f t="shared" si="81"/>
        <v>0</v>
      </c>
      <c r="J433">
        <f t="shared" si="82"/>
        <v>0</v>
      </c>
      <c r="K433">
        <f t="shared" si="83"/>
        <v>540</v>
      </c>
      <c r="L433">
        <f t="shared" si="84"/>
        <v>11.74</v>
      </c>
      <c r="M433">
        <f t="shared" si="85"/>
        <v>551.74</v>
      </c>
      <c r="N433">
        <f t="shared" si="86"/>
        <v>0</v>
      </c>
      <c r="O433">
        <f t="shared" si="87"/>
        <v>551.74</v>
      </c>
      <c r="P433">
        <f t="shared" si="88"/>
        <v>0</v>
      </c>
      <c r="Q433">
        <f t="shared" si="89"/>
        <v>0</v>
      </c>
      <c r="R433">
        <f t="shared" si="90"/>
        <v>0</v>
      </c>
    </row>
    <row r="434" spans="1:18" x14ac:dyDescent="0.3">
      <c r="A434" s="1">
        <v>41841</v>
      </c>
      <c r="B434" s="1">
        <v>41854</v>
      </c>
      <c r="C434">
        <v>3.94</v>
      </c>
      <c r="D434">
        <v>0.1</v>
      </c>
      <c r="E434">
        <v>2</v>
      </c>
      <c r="F434">
        <f t="shared" si="78"/>
        <v>13</v>
      </c>
      <c r="G434">
        <f t="shared" si="79"/>
        <v>0</v>
      </c>
      <c r="H434">
        <f t="shared" si="80"/>
        <v>0</v>
      </c>
      <c r="I434">
        <f t="shared" si="81"/>
        <v>0</v>
      </c>
      <c r="J434">
        <f t="shared" si="82"/>
        <v>0</v>
      </c>
      <c r="K434">
        <f t="shared" si="83"/>
        <v>260</v>
      </c>
      <c r="L434">
        <f t="shared" si="84"/>
        <v>4.04</v>
      </c>
      <c r="M434">
        <f t="shared" si="85"/>
        <v>264.04000000000002</v>
      </c>
      <c r="N434">
        <f t="shared" si="86"/>
        <v>264.04000000000002</v>
      </c>
      <c r="O434">
        <f t="shared" si="87"/>
        <v>0</v>
      </c>
      <c r="P434">
        <f t="shared" si="88"/>
        <v>0</v>
      </c>
      <c r="Q434">
        <f t="shared" si="89"/>
        <v>0</v>
      </c>
      <c r="R434">
        <f t="shared" si="90"/>
        <v>0</v>
      </c>
    </row>
    <row r="435" spans="1:18" x14ac:dyDescent="0.3">
      <c r="A435" s="1">
        <v>41845</v>
      </c>
      <c r="B435" s="1">
        <v>41871</v>
      </c>
      <c r="C435">
        <v>9.4600000000000009</v>
      </c>
      <c r="D435">
        <v>0.25</v>
      </c>
      <c r="E435">
        <v>3</v>
      </c>
      <c r="F435">
        <f t="shared" si="78"/>
        <v>0</v>
      </c>
      <c r="G435">
        <f t="shared" si="79"/>
        <v>26</v>
      </c>
      <c r="H435">
        <f t="shared" si="80"/>
        <v>0</v>
      </c>
      <c r="I435">
        <f t="shared" si="81"/>
        <v>0</v>
      </c>
      <c r="J435">
        <f t="shared" si="82"/>
        <v>0</v>
      </c>
      <c r="K435">
        <f t="shared" si="83"/>
        <v>780</v>
      </c>
      <c r="L435">
        <f t="shared" si="84"/>
        <v>9.7100000000000009</v>
      </c>
      <c r="M435">
        <f t="shared" si="85"/>
        <v>789.71</v>
      </c>
      <c r="N435">
        <f t="shared" si="86"/>
        <v>0</v>
      </c>
      <c r="O435">
        <f t="shared" si="87"/>
        <v>789.71</v>
      </c>
      <c r="P435">
        <f t="shared" si="88"/>
        <v>0</v>
      </c>
      <c r="Q435">
        <f t="shared" si="89"/>
        <v>0</v>
      </c>
      <c r="R435">
        <f t="shared" si="90"/>
        <v>0</v>
      </c>
    </row>
    <row r="436" spans="1:18" x14ac:dyDescent="0.3">
      <c r="A436" s="1">
        <v>41845</v>
      </c>
      <c r="B436" s="1">
        <v>41853</v>
      </c>
      <c r="C436">
        <v>11.69</v>
      </c>
      <c r="D436">
        <v>0.31</v>
      </c>
      <c r="E436">
        <v>4</v>
      </c>
      <c r="F436">
        <f t="shared" si="78"/>
        <v>0</v>
      </c>
      <c r="G436">
        <f t="shared" si="79"/>
        <v>0</v>
      </c>
      <c r="H436">
        <f t="shared" si="80"/>
        <v>8</v>
      </c>
      <c r="I436">
        <f t="shared" si="81"/>
        <v>0</v>
      </c>
      <c r="J436">
        <f t="shared" si="82"/>
        <v>0</v>
      </c>
      <c r="K436">
        <f t="shared" si="83"/>
        <v>320</v>
      </c>
      <c r="L436">
        <f t="shared" si="84"/>
        <v>12</v>
      </c>
      <c r="M436">
        <f t="shared" si="85"/>
        <v>332</v>
      </c>
      <c r="N436">
        <f t="shared" si="86"/>
        <v>0</v>
      </c>
      <c r="O436">
        <f t="shared" si="87"/>
        <v>0</v>
      </c>
      <c r="P436">
        <f t="shared" si="88"/>
        <v>332</v>
      </c>
      <c r="Q436">
        <f t="shared" si="89"/>
        <v>0</v>
      </c>
      <c r="R436">
        <f t="shared" si="90"/>
        <v>0</v>
      </c>
    </row>
    <row r="437" spans="1:18" x14ac:dyDescent="0.3">
      <c r="A437" s="1">
        <v>41845</v>
      </c>
      <c r="B437" s="1">
        <v>41870</v>
      </c>
      <c r="C437">
        <v>8.83</v>
      </c>
      <c r="D437">
        <v>0.23</v>
      </c>
      <c r="E437">
        <v>2</v>
      </c>
      <c r="F437">
        <f t="shared" si="78"/>
        <v>25</v>
      </c>
      <c r="G437">
        <f t="shared" si="79"/>
        <v>0</v>
      </c>
      <c r="H437">
        <f t="shared" si="80"/>
        <v>0</v>
      </c>
      <c r="I437">
        <f t="shared" si="81"/>
        <v>0</v>
      </c>
      <c r="J437">
        <f t="shared" si="82"/>
        <v>0</v>
      </c>
      <c r="K437">
        <f t="shared" si="83"/>
        <v>500</v>
      </c>
      <c r="L437">
        <f t="shared" si="84"/>
        <v>9.06</v>
      </c>
      <c r="M437">
        <f t="shared" si="85"/>
        <v>509.06</v>
      </c>
      <c r="N437">
        <f t="shared" si="86"/>
        <v>509.06</v>
      </c>
      <c r="O437">
        <f t="shared" si="87"/>
        <v>0</v>
      </c>
      <c r="P437">
        <f t="shared" si="88"/>
        <v>0</v>
      </c>
      <c r="Q437">
        <f t="shared" si="89"/>
        <v>0</v>
      </c>
      <c r="R437">
        <f t="shared" si="90"/>
        <v>0</v>
      </c>
    </row>
    <row r="438" spans="1:18" x14ac:dyDescent="0.3">
      <c r="A438" s="1">
        <v>41845</v>
      </c>
      <c r="B438" s="1">
        <v>41866</v>
      </c>
      <c r="C438">
        <v>8.83</v>
      </c>
      <c r="D438">
        <v>0.23</v>
      </c>
      <c r="E438">
        <v>6</v>
      </c>
      <c r="F438">
        <f t="shared" si="78"/>
        <v>0</v>
      </c>
      <c r="G438">
        <f t="shared" si="79"/>
        <v>0</v>
      </c>
      <c r="H438">
        <f t="shared" si="80"/>
        <v>0</v>
      </c>
      <c r="I438">
        <f t="shared" si="81"/>
        <v>0</v>
      </c>
      <c r="J438">
        <f t="shared" si="82"/>
        <v>21</v>
      </c>
      <c r="K438">
        <f t="shared" si="83"/>
        <v>1260</v>
      </c>
      <c r="L438">
        <f t="shared" si="84"/>
        <v>9.06</v>
      </c>
      <c r="M438">
        <f t="shared" si="85"/>
        <v>1269.06</v>
      </c>
      <c r="N438">
        <f t="shared" si="86"/>
        <v>0</v>
      </c>
      <c r="O438">
        <f t="shared" si="87"/>
        <v>0</v>
      </c>
      <c r="P438">
        <f t="shared" si="88"/>
        <v>0</v>
      </c>
      <c r="Q438">
        <f t="shared" si="89"/>
        <v>0</v>
      </c>
      <c r="R438">
        <f t="shared" si="90"/>
        <v>1269.06</v>
      </c>
    </row>
    <row r="439" spans="1:18" x14ac:dyDescent="0.3">
      <c r="A439" s="1">
        <v>41845</v>
      </c>
      <c r="B439" s="1">
        <v>41866</v>
      </c>
      <c r="C439">
        <v>9.1300000000000008</v>
      </c>
      <c r="D439">
        <v>0.24</v>
      </c>
      <c r="E439">
        <v>4</v>
      </c>
      <c r="F439">
        <f t="shared" si="78"/>
        <v>0</v>
      </c>
      <c r="G439">
        <f t="shared" si="79"/>
        <v>0</v>
      </c>
      <c r="H439">
        <f t="shared" si="80"/>
        <v>21</v>
      </c>
      <c r="I439">
        <f t="shared" si="81"/>
        <v>0</v>
      </c>
      <c r="J439">
        <f t="shared" si="82"/>
        <v>0</v>
      </c>
      <c r="K439">
        <f t="shared" si="83"/>
        <v>840</v>
      </c>
      <c r="L439">
        <f t="shared" si="84"/>
        <v>9.370000000000001</v>
      </c>
      <c r="M439">
        <f t="shared" si="85"/>
        <v>849.37</v>
      </c>
      <c r="N439">
        <f t="shared" si="86"/>
        <v>0</v>
      </c>
      <c r="O439">
        <f t="shared" si="87"/>
        <v>0</v>
      </c>
      <c r="P439">
        <f t="shared" si="88"/>
        <v>849.37</v>
      </c>
      <c r="Q439">
        <f t="shared" si="89"/>
        <v>0</v>
      </c>
      <c r="R439">
        <f t="shared" si="90"/>
        <v>0</v>
      </c>
    </row>
    <row r="440" spans="1:18" x14ac:dyDescent="0.3">
      <c r="A440" s="1">
        <v>41845</v>
      </c>
      <c r="B440" s="1">
        <v>41873</v>
      </c>
      <c r="C440">
        <v>9.06</v>
      </c>
      <c r="D440">
        <v>0.24</v>
      </c>
      <c r="E440">
        <v>5</v>
      </c>
      <c r="F440">
        <f t="shared" si="78"/>
        <v>0</v>
      </c>
      <c r="G440">
        <f t="shared" si="79"/>
        <v>0</v>
      </c>
      <c r="H440">
        <f t="shared" si="80"/>
        <v>0</v>
      </c>
      <c r="I440">
        <f t="shared" si="81"/>
        <v>28</v>
      </c>
      <c r="J440">
        <f t="shared" si="82"/>
        <v>0</v>
      </c>
      <c r="K440">
        <f t="shared" si="83"/>
        <v>1400</v>
      </c>
      <c r="L440">
        <f t="shared" si="84"/>
        <v>9.3000000000000007</v>
      </c>
      <c r="M440">
        <f t="shared" si="85"/>
        <v>1409.3</v>
      </c>
      <c r="N440">
        <f t="shared" si="86"/>
        <v>0</v>
      </c>
      <c r="O440">
        <f t="shared" si="87"/>
        <v>0</v>
      </c>
      <c r="P440">
        <f t="shared" si="88"/>
        <v>0</v>
      </c>
      <c r="Q440">
        <f t="shared" si="89"/>
        <v>1409.3</v>
      </c>
      <c r="R440">
        <f t="shared" si="90"/>
        <v>0</v>
      </c>
    </row>
    <row r="441" spans="1:18" x14ac:dyDescent="0.3">
      <c r="A441" s="1">
        <v>41851</v>
      </c>
      <c r="B441" s="1">
        <v>41873</v>
      </c>
      <c r="C441">
        <v>10.19</v>
      </c>
      <c r="D441">
        <v>0.27</v>
      </c>
      <c r="E441">
        <v>5</v>
      </c>
      <c r="F441">
        <f t="shared" si="78"/>
        <v>0</v>
      </c>
      <c r="G441">
        <f t="shared" si="79"/>
        <v>0</v>
      </c>
      <c r="H441">
        <f t="shared" si="80"/>
        <v>0</v>
      </c>
      <c r="I441">
        <f t="shared" si="81"/>
        <v>22</v>
      </c>
      <c r="J441">
        <f t="shared" si="82"/>
        <v>0</v>
      </c>
      <c r="K441">
        <f t="shared" si="83"/>
        <v>1100</v>
      </c>
      <c r="L441">
        <f t="shared" si="84"/>
        <v>10.459999999999999</v>
      </c>
      <c r="M441">
        <f t="shared" si="85"/>
        <v>1110.46</v>
      </c>
      <c r="N441">
        <f t="shared" si="86"/>
        <v>0</v>
      </c>
      <c r="O441">
        <f t="shared" si="87"/>
        <v>0</v>
      </c>
      <c r="P441">
        <f t="shared" si="88"/>
        <v>0</v>
      </c>
      <c r="Q441">
        <f t="shared" si="89"/>
        <v>1110.46</v>
      </c>
      <c r="R441">
        <f t="shared" si="90"/>
        <v>0</v>
      </c>
    </row>
    <row r="442" spans="1:18" x14ac:dyDescent="0.3">
      <c r="A442" s="1">
        <v>41851</v>
      </c>
      <c r="B442" s="1">
        <v>41872</v>
      </c>
      <c r="C442">
        <v>14</v>
      </c>
      <c r="D442">
        <v>0.37</v>
      </c>
      <c r="E442">
        <v>4</v>
      </c>
      <c r="F442">
        <f t="shared" si="78"/>
        <v>0</v>
      </c>
      <c r="G442">
        <f t="shared" si="79"/>
        <v>0</v>
      </c>
      <c r="H442">
        <f t="shared" si="80"/>
        <v>21</v>
      </c>
      <c r="I442">
        <f t="shared" si="81"/>
        <v>0</v>
      </c>
      <c r="J442">
        <f t="shared" si="82"/>
        <v>0</v>
      </c>
      <c r="K442">
        <f t="shared" si="83"/>
        <v>840</v>
      </c>
      <c r="L442">
        <f t="shared" si="84"/>
        <v>14.37</v>
      </c>
      <c r="M442">
        <f t="shared" si="85"/>
        <v>854.37</v>
      </c>
      <c r="N442">
        <f t="shared" si="86"/>
        <v>0</v>
      </c>
      <c r="O442">
        <f t="shared" si="87"/>
        <v>0</v>
      </c>
      <c r="P442">
        <f t="shared" si="88"/>
        <v>854.37</v>
      </c>
      <c r="Q442">
        <f t="shared" si="89"/>
        <v>0</v>
      </c>
      <c r="R442">
        <f t="shared" si="90"/>
        <v>0</v>
      </c>
    </row>
    <row r="443" spans="1:18" x14ac:dyDescent="0.3">
      <c r="A443" s="1">
        <v>41851</v>
      </c>
      <c r="B443" s="1">
        <v>41858</v>
      </c>
      <c r="C443">
        <v>11.44</v>
      </c>
      <c r="D443">
        <v>0.3</v>
      </c>
      <c r="E443">
        <v>5</v>
      </c>
      <c r="F443">
        <f t="shared" si="78"/>
        <v>0</v>
      </c>
      <c r="G443">
        <f t="shared" si="79"/>
        <v>0</v>
      </c>
      <c r="H443">
        <f t="shared" si="80"/>
        <v>0</v>
      </c>
      <c r="I443">
        <f t="shared" si="81"/>
        <v>7</v>
      </c>
      <c r="J443">
        <f t="shared" si="82"/>
        <v>0</v>
      </c>
      <c r="K443">
        <f t="shared" si="83"/>
        <v>350</v>
      </c>
      <c r="L443">
        <f t="shared" si="84"/>
        <v>11.74</v>
      </c>
      <c r="M443">
        <f t="shared" si="85"/>
        <v>361.74</v>
      </c>
      <c r="N443">
        <f t="shared" si="86"/>
        <v>0</v>
      </c>
      <c r="O443">
        <f t="shared" si="87"/>
        <v>0</v>
      </c>
      <c r="P443">
        <f t="shared" si="88"/>
        <v>0</v>
      </c>
      <c r="Q443">
        <f t="shared" si="89"/>
        <v>361.74</v>
      </c>
      <c r="R443">
        <f t="shared" si="90"/>
        <v>0</v>
      </c>
    </row>
    <row r="444" spans="1:18" x14ac:dyDescent="0.3">
      <c r="A444" s="1">
        <v>41851</v>
      </c>
      <c r="B444" s="1">
        <v>41871</v>
      </c>
      <c r="C444">
        <v>7.31</v>
      </c>
      <c r="D444">
        <v>0.19</v>
      </c>
      <c r="E444">
        <v>2</v>
      </c>
      <c r="F444">
        <f t="shared" si="78"/>
        <v>20</v>
      </c>
      <c r="G444">
        <f t="shared" si="79"/>
        <v>0</v>
      </c>
      <c r="H444">
        <f t="shared" si="80"/>
        <v>0</v>
      </c>
      <c r="I444">
        <f t="shared" si="81"/>
        <v>0</v>
      </c>
      <c r="J444">
        <f t="shared" si="82"/>
        <v>0</v>
      </c>
      <c r="K444">
        <f t="shared" si="83"/>
        <v>400</v>
      </c>
      <c r="L444">
        <f t="shared" si="84"/>
        <v>7.5</v>
      </c>
      <c r="M444">
        <f t="shared" si="85"/>
        <v>407.5</v>
      </c>
      <c r="N444">
        <f t="shared" si="86"/>
        <v>407.5</v>
      </c>
      <c r="O444">
        <f t="shared" si="87"/>
        <v>0</v>
      </c>
      <c r="P444">
        <f t="shared" si="88"/>
        <v>0</v>
      </c>
      <c r="Q444">
        <f t="shared" si="89"/>
        <v>0</v>
      </c>
      <c r="R444">
        <f t="shared" si="90"/>
        <v>0</v>
      </c>
    </row>
    <row r="445" spans="1:18" x14ac:dyDescent="0.3">
      <c r="A445" s="1">
        <v>41851</v>
      </c>
      <c r="B445" s="1">
        <v>41863</v>
      </c>
      <c r="C445">
        <v>9.4600000000000009</v>
      </c>
      <c r="D445">
        <v>0.25</v>
      </c>
      <c r="E445">
        <v>2</v>
      </c>
      <c r="F445">
        <f t="shared" si="78"/>
        <v>12</v>
      </c>
      <c r="G445">
        <f t="shared" si="79"/>
        <v>0</v>
      </c>
      <c r="H445">
        <f t="shared" si="80"/>
        <v>0</v>
      </c>
      <c r="I445">
        <f t="shared" si="81"/>
        <v>0</v>
      </c>
      <c r="J445">
        <f t="shared" si="82"/>
        <v>0</v>
      </c>
      <c r="K445">
        <f t="shared" si="83"/>
        <v>240</v>
      </c>
      <c r="L445">
        <f t="shared" si="84"/>
        <v>9.7100000000000009</v>
      </c>
      <c r="M445">
        <f t="shared" si="85"/>
        <v>249.71</v>
      </c>
      <c r="N445">
        <f t="shared" si="86"/>
        <v>249.71</v>
      </c>
      <c r="O445">
        <f t="shared" si="87"/>
        <v>0</v>
      </c>
      <c r="P445">
        <f t="shared" si="88"/>
        <v>0</v>
      </c>
      <c r="Q445">
        <f t="shared" si="89"/>
        <v>0</v>
      </c>
      <c r="R445">
        <f t="shared" si="90"/>
        <v>0</v>
      </c>
    </row>
    <row r="446" spans="1:18" x14ac:dyDescent="0.3">
      <c r="A446" s="1">
        <v>41851</v>
      </c>
      <c r="B446" s="1">
        <v>41856</v>
      </c>
      <c r="C446">
        <v>8.83</v>
      </c>
      <c r="D446">
        <v>0.23</v>
      </c>
      <c r="E446">
        <v>3</v>
      </c>
      <c r="F446">
        <f t="shared" si="78"/>
        <v>0</v>
      </c>
      <c r="G446">
        <f t="shared" si="79"/>
        <v>5</v>
      </c>
      <c r="H446">
        <f t="shared" si="80"/>
        <v>0</v>
      </c>
      <c r="I446">
        <f t="shared" si="81"/>
        <v>0</v>
      </c>
      <c r="J446">
        <f t="shared" si="82"/>
        <v>0</v>
      </c>
      <c r="K446">
        <f t="shared" si="83"/>
        <v>150</v>
      </c>
      <c r="L446">
        <f t="shared" si="84"/>
        <v>9.06</v>
      </c>
      <c r="M446">
        <f t="shared" si="85"/>
        <v>159.06</v>
      </c>
      <c r="N446">
        <f t="shared" si="86"/>
        <v>0</v>
      </c>
      <c r="O446">
        <f t="shared" si="87"/>
        <v>159.06</v>
      </c>
      <c r="P446">
        <f t="shared" si="88"/>
        <v>0</v>
      </c>
      <c r="Q446">
        <f t="shared" si="89"/>
        <v>0</v>
      </c>
      <c r="R446">
        <f t="shared" si="90"/>
        <v>0</v>
      </c>
    </row>
    <row r="447" spans="1:18" x14ac:dyDescent="0.3">
      <c r="A447" s="1">
        <v>41851</v>
      </c>
      <c r="B447" s="1">
        <v>41855</v>
      </c>
      <c r="C447">
        <v>6.88</v>
      </c>
      <c r="D447">
        <v>0.18</v>
      </c>
      <c r="E447">
        <v>2</v>
      </c>
      <c r="F447">
        <f t="shared" si="78"/>
        <v>4</v>
      </c>
      <c r="G447">
        <f t="shared" si="79"/>
        <v>0</v>
      </c>
      <c r="H447">
        <f t="shared" si="80"/>
        <v>0</v>
      </c>
      <c r="I447">
        <f t="shared" si="81"/>
        <v>0</v>
      </c>
      <c r="J447">
        <f t="shared" si="82"/>
        <v>0</v>
      </c>
      <c r="K447">
        <f t="shared" si="83"/>
        <v>80</v>
      </c>
      <c r="L447">
        <f t="shared" si="84"/>
        <v>7.06</v>
      </c>
      <c r="M447">
        <f t="shared" si="85"/>
        <v>87.06</v>
      </c>
      <c r="N447">
        <f t="shared" si="86"/>
        <v>87.06</v>
      </c>
      <c r="O447">
        <f t="shared" si="87"/>
        <v>0</v>
      </c>
      <c r="P447">
        <f t="shared" si="88"/>
        <v>0</v>
      </c>
      <c r="Q447">
        <f t="shared" si="89"/>
        <v>0</v>
      </c>
      <c r="R447">
        <f t="shared" si="90"/>
        <v>0</v>
      </c>
    </row>
    <row r="448" spans="1:18" x14ac:dyDescent="0.3">
      <c r="A448" s="1">
        <v>41851</v>
      </c>
      <c r="B448" s="1">
        <v>41853</v>
      </c>
      <c r="C448">
        <v>6.75</v>
      </c>
      <c r="D448">
        <v>0.18</v>
      </c>
      <c r="E448">
        <v>3</v>
      </c>
      <c r="F448">
        <f t="shared" si="78"/>
        <v>0</v>
      </c>
      <c r="G448">
        <f t="shared" si="79"/>
        <v>2</v>
      </c>
      <c r="H448">
        <f t="shared" si="80"/>
        <v>0</v>
      </c>
      <c r="I448">
        <f t="shared" si="81"/>
        <v>0</v>
      </c>
      <c r="J448">
        <f t="shared" si="82"/>
        <v>0</v>
      </c>
      <c r="K448">
        <f t="shared" si="83"/>
        <v>60</v>
      </c>
      <c r="L448">
        <f t="shared" si="84"/>
        <v>6.93</v>
      </c>
      <c r="M448">
        <f t="shared" si="85"/>
        <v>66.930000000000007</v>
      </c>
      <c r="N448">
        <f t="shared" si="86"/>
        <v>0</v>
      </c>
      <c r="O448">
        <f t="shared" si="87"/>
        <v>66.930000000000007</v>
      </c>
      <c r="P448">
        <f t="shared" si="88"/>
        <v>0</v>
      </c>
      <c r="Q448">
        <f t="shared" si="89"/>
        <v>0</v>
      </c>
      <c r="R448">
        <f t="shared" si="90"/>
        <v>0</v>
      </c>
    </row>
    <row r="449" spans="1:18" x14ac:dyDescent="0.3">
      <c r="A449" s="1">
        <v>41851</v>
      </c>
      <c r="B449" s="1">
        <v>41869</v>
      </c>
      <c r="C449">
        <v>19.54</v>
      </c>
      <c r="D449">
        <v>0.51</v>
      </c>
      <c r="E449">
        <v>3</v>
      </c>
      <c r="F449">
        <f t="shared" si="78"/>
        <v>0</v>
      </c>
      <c r="G449">
        <f t="shared" si="79"/>
        <v>18</v>
      </c>
      <c r="H449">
        <f t="shared" si="80"/>
        <v>0</v>
      </c>
      <c r="I449">
        <f t="shared" si="81"/>
        <v>0</v>
      </c>
      <c r="J449">
        <f t="shared" si="82"/>
        <v>0</v>
      </c>
      <c r="K449">
        <f t="shared" si="83"/>
        <v>540</v>
      </c>
      <c r="L449">
        <f t="shared" si="84"/>
        <v>20.05</v>
      </c>
      <c r="M449">
        <f t="shared" si="85"/>
        <v>560.04999999999995</v>
      </c>
      <c r="N449">
        <f t="shared" si="86"/>
        <v>0</v>
      </c>
      <c r="O449">
        <f t="shared" si="87"/>
        <v>560.04999999999995</v>
      </c>
      <c r="P449">
        <f t="shared" si="88"/>
        <v>0</v>
      </c>
      <c r="Q449">
        <f t="shared" si="89"/>
        <v>0</v>
      </c>
      <c r="R449">
        <f t="shared" si="90"/>
        <v>0</v>
      </c>
    </row>
    <row r="450" spans="1:18" x14ac:dyDescent="0.3">
      <c r="A450" s="1">
        <v>41851</v>
      </c>
      <c r="B450" s="1">
        <v>41856</v>
      </c>
      <c r="C450">
        <v>14.31</v>
      </c>
      <c r="D450">
        <v>0.38</v>
      </c>
      <c r="E450">
        <v>6</v>
      </c>
      <c r="F450">
        <f t="shared" si="78"/>
        <v>0</v>
      </c>
      <c r="G450">
        <f t="shared" si="79"/>
        <v>0</v>
      </c>
      <c r="H450">
        <f t="shared" si="80"/>
        <v>0</v>
      </c>
      <c r="I450">
        <f t="shared" si="81"/>
        <v>0</v>
      </c>
      <c r="J450">
        <f t="shared" si="82"/>
        <v>5</v>
      </c>
      <c r="K450">
        <f t="shared" si="83"/>
        <v>300</v>
      </c>
      <c r="L450">
        <f t="shared" si="84"/>
        <v>14.690000000000001</v>
      </c>
      <c r="M450">
        <f t="shared" si="85"/>
        <v>314.69</v>
      </c>
      <c r="N450">
        <f t="shared" si="86"/>
        <v>0</v>
      </c>
      <c r="O450">
        <f t="shared" si="87"/>
        <v>0</v>
      </c>
      <c r="P450">
        <f t="shared" si="88"/>
        <v>0</v>
      </c>
      <c r="Q450">
        <f t="shared" si="89"/>
        <v>0</v>
      </c>
      <c r="R450">
        <f t="shared" si="90"/>
        <v>314.69</v>
      </c>
    </row>
    <row r="451" spans="1:18" x14ac:dyDescent="0.3">
      <c r="A451" s="1">
        <v>41851</v>
      </c>
      <c r="B451" s="1">
        <v>41870</v>
      </c>
      <c r="C451">
        <v>3.79</v>
      </c>
      <c r="D451">
        <v>0.1</v>
      </c>
      <c r="E451">
        <v>2</v>
      </c>
      <c r="F451">
        <f t="shared" ref="F451:F514" si="91">IF(EXACT(E451,2),B451-A451,0)</f>
        <v>19</v>
      </c>
      <c r="G451">
        <f t="shared" ref="G451:G514" si="92">IF(EXACT(E451,3),B451-A451,0)</f>
        <v>0</v>
      </c>
      <c r="H451">
        <f t="shared" ref="H451:H514" si="93">IF(EXACT(E451,4),B451-A451,0)</f>
        <v>0</v>
      </c>
      <c r="I451">
        <f t="shared" ref="I451:I514" si="94">IF(EXACT(E451,5),B451-A451,0)</f>
        <v>0</v>
      </c>
      <c r="J451">
        <f t="shared" ref="J451:J514" si="95">IF(EXACT(E451,6),B451-A451,0)</f>
        <v>0</v>
      </c>
      <c r="K451">
        <f t="shared" ref="K451:K514" si="96">10 * E451 * (F451+G451+H451+I451+J451)</f>
        <v>380</v>
      </c>
      <c r="L451">
        <f t="shared" ref="L451:L514" si="97">C451+D451</f>
        <v>3.89</v>
      </c>
      <c r="M451">
        <f t="shared" ref="M451:M514" si="98">K451+L451</f>
        <v>383.89</v>
      </c>
      <c r="N451">
        <f t="shared" ref="N451:N514" si="99">IF(EXACT(E451,2),M451,0)</f>
        <v>383.89</v>
      </c>
      <c r="O451">
        <f t="shared" ref="O451:O514" si="100">IF(EXACT(E451,3),M451,0)</f>
        <v>0</v>
      </c>
      <c r="P451">
        <f t="shared" ref="P451:P514" si="101">IF(EXACT(E451,4),M451,0)</f>
        <v>0</v>
      </c>
      <c r="Q451">
        <f t="shared" ref="Q451:Q514" si="102">IF(EXACT(E451,5),M451,0)</f>
        <v>0</v>
      </c>
      <c r="R451">
        <f t="shared" ref="R451:R514" si="103">IF(EXACT(E451,6),M451,0)</f>
        <v>0</v>
      </c>
    </row>
    <row r="452" spans="1:18" x14ac:dyDescent="0.3">
      <c r="A452" s="1">
        <v>41851</v>
      </c>
      <c r="B452" s="1">
        <v>41868</v>
      </c>
      <c r="C452">
        <v>8.89</v>
      </c>
      <c r="D452">
        <v>0.23</v>
      </c>
      <c r="E452">
        <v>5</v>
      </c>
      <c r="F452">
        <f t="shared" si="91"/>
        <v>0</v>
      </c>
      <c r="G452">
        <f t="shared" si="92"/>
        <v>0</v>
      </c>
      <c r="H452">
        <f t="shared" si="93"/>
        <v>0</v>
      </c>
      <c r="I452">
        <f t="shared" si="94"/>
        <v>17</v>
      </c>
      <c r="J452">
        <f t="shared" si="95"/>
        <v>0</v>
      </c>
      <c r="K452">
        <f t="shared" si="96"/>
        <v>850</v>
      </c>
      <c r="L452">
        <f t="shared" si="97"/>
        <v>9.120000000000001</v>
      </c>
      <c r="M452">
        <f t="shared" si="98"/>
        <v>859.12</v>
      </c>
      <c r="N452">
        <f t="shared" si="99"/>
        <v>0</v>
      </c>
      <c r="O452">
        <f t="shared" si="100"/>
        <v>0</v>
      </c>
      <c r="P452">
        <f t="shared" si="101"/>
        <v>0</v>
      </c>
      <c r="Q452">
        <f t="shared" si="102"/>
        <v>859.12</v>
      </c>
      <c r="R452">
        <f t="shared" si="103"/>
        <v>0</v>
      </c>
    </row>
    <row r="453" spans="1:18" x14ac:dyDescent="0.3">
      <c r="A453" s="1">
        <v>41851</v>
      </c>
      <c r="B453" s="1">
        <v>41867</v>
      </c>
      <c r="C453">
        <v>7.71</v>
      </c>
      <c r="D453">
        <v>0.2</v>
      </c>
      <c r="E453">
        <v>5</v>
      </c>
      <c r="F453">
        <f t="shared" si="91"/>
        <v>0</v>
      </c>
      <c r="G453">
        <f t="shared" si="92"/>
        <v>0</v>
      </c>
      <c r="H453">
        <f t="shared" si="93"/>
        <v>0</v>
      </c>
      <c r="I453">
        <f t="shared" si="94"/>
        <v>16</v>
      </c>
      <c r="J453">
        <f t="shared" si="95"/>
        <v>0</v>
      </c>
      <c r="K453">
        <f t="shared" si="96"/>
        <v>800</v>
      </c>
      <c r="L453">
        <f t="shared" si="97"/>
        <v>7.91</v>
      </c>
      <c r="M453">
        <f t="shared" si="98"/>
        <v>807.91</v>
      </c>
      <c r="N453">
        <f t="shared" si="99"/>
        <v>0</v>
      </c>
      <c r="O453">
        <f t="shared" si="100"/>
        <v>0</v>
      </c>
      <c r="P453">
        <f t="shared" si="101"/>
        <v>0</v>
      </c>
      <c r="Q453">
        <f t="shared" si="102"/>
        <v>807.91</v>
      </c>
      <c r="R453">
        <f t="shared" si="103"/>
        <v>0</v>
      </c>
    </row>
    <row r="454" spans="1:18" x14ac:dyDescent="0.3">
      <c r="A454" s="1">
        <v>41851</v>
      </c>
      <c r="B454" s="1">
        <v>41864</v>
      </c>
      <c r="C454">
        <v>16.829999999999998</v>
      </c>
      <c r="D454">
        <v>0.44</v>
      </c>
      <c r="E454">
        <v>6</v>
      </c>
      <c r="F454">
        <f t="shared" si="91"/>
        <v>0</v>
      </c>
      <c r="G454">
        <f t="shared" si="92"/>
        <v>0</v>
      </c>
      <c r="H454">
        <f t="shared" si="93"/>
        <v>0</v>
      </c>
      <c r="I454">
        <f t="shared" si="94"/>
        <v>0</v>
      </c>
      <c r="J454">
        <f t="shared" si="95"/>
        <v>13</v>
      </c>
      <c r="K454">
        <f t="shared" si="96"/>
        <v>780</v>
      </c>
      <c r="L454">
        <f t="shared" si="97"/>
        <v>17.27</v>
      </c>
      <c r="M454">
        <f t="shared" si="98"/>
        <v>797.27</v>
      </c>
      <c r="N454">
        <f t="shared" si="99"/>
        <v>0</v>
      </c>
      <c r="O454">
        <f t="shared" si="100"/>
        <v>0</v>
      </c>
      <c r="P454">
        <f t="shared" si="101"/>
        <v>0</v>
      </c>
      <c r="Q454">
        <f t="shared" si="102"/>
        <v>0</v>
      </c>
      <c r="R454">
        <f t="shared" si="103"/>
        <v>797.27</v>
      </c>
    </row>
    <row r="455" spans="1:18" x14ac:dyDescent="0.3">
      <c r="A455" s="1">
        <v>41851</v>
      </c>
      <c r="B455" s="1">
        <v>41857</v>
      </c>
      <c r="C455">
        <v>5.23</v>
      </c>
      <c r="D455">
        <v>0.14000000000000001</v>
      </c>
      <c r="E455">
        <v>6</v>
      </c>
      <c r="F455">
        <f t="shared" si="91"/>
        <v>0</v>
      </c>
      <c r="G455">
        <f t="shared" si="92"/>
        <v>0</v>
      </c>
      <c r="H455">
        <f t="shared" si="93"/>
        <v>0</v>
      </c>
      <c r="I455">
        <f t="shared" si="94"/>
        <v>0</v>
      </c>
      <c r="J455">
        <f t="shared" si="95"/>
        <v>6</v>
      </c>
      <c r="K455">
        <f t="shared" si="96"/>
        <v>360</v>
      </c>
      <c r="L455">
        <f t="shared" si="97"/>
        <v>5.37</v>
      </c>
      <c r="M455">
        <f t="shared" si="98"/>
        <v>365.37</v>
      </c>
      <c r="N455">
        <f t="shared" si="99"/>
        <v>0</v>
      </c>
      <c r="O455">
        <f t="shared" si="100"/>
        <v>0</v>
      </c>
      <c r="P455">
        <f t="shared" si="101"/>
        <v>0</v>
      </c>
      <c r="Q455">
        <f t="shared" si="102"/>
        <v>0</v>
      </c>
      <c r="R455">
        <f t="shared" si="103"/>
        <v>365.37</v>
      </c>
    </row>
    <row r="456" spans="1:18" x14ac:dyDescent="0.3">
      <c r="A456" s="1">
        <v>41851</v>
      </c>
      <c r="B456" s="1">
        <v>41853</v>
      </c>
      <c r="C456">
        <v>10.79</v>
      </c>
      <c r="D456">
        <v>0.28000000000000003</v>
      </c>
      <c r="E456">
        <v>5</v>
      </c>
      <c r="F456">
        <f t="shared" si="91"/>
        <v>0</v>
      </c>
      <c r="G456">
        <f t="shared" si="92"/>
        <v>0</v>
      </c>
      <c r="H456">
        <f t="shared" si="93"/>
        <v>0</v>
      </c>
      <c r="I456">
        <f t="shared" si="94"/>
        <v>2</v>
      </c>
      <c r="J456">
        <f t="shared" si="95"/>
        <v>0</v>
      </c>
      <c r="K456">
        <f t="shared" si="96"/>
        <v>100</v>
      </c>
      <c r="L456">
        <f t="shared" si="97"/>
        <v>11.069999999999999</v>
      </c>
      <c r="M456">
        <f t="shared" si="98"/>
        <v>111.07</v>
      </c>
      <c r="N456">
        <f t="shared" si="99"/>
        <v>0</v>
      </c>
      <c r="O456">
        <f t="shared" si="100"/>
        <v>0</v>
      </c>
      <c r="P456">
        <f t="shared" si="101"/>
        <v>0</v>
      </c>
      <c r="Q456">
        <f t="shared" si="102"/>
        <v>111.07</v>
      </c>
      <c r="R456">
        <f t="shared" si="103"/>
        <v>0</v>
      </c>
    </row>
    <row r="457" spans="1:18" x14ac:dyDescent="0.3">
      <c r="A457" s="1">
        <v>41851</v>
      </c>
      <c r="B457" s="1">
        <v>41868</v>
      </c>
      <c r="C457">
        <v>12.23</v>
      </c>
      <c r="D457">
        <v>0.32</v>
      </c>
      <c r="E457">
        <v>2</v>
      </c>
      <c r="F457">
        <f t="shared" si="91"/>
        <v>17</v>
      </c>
      <c r="G457">
        <f t="shared" si="92"/>
        <v>0</v>
      </c>
      <c r="H457">
        <f t="shared" si="93"/>
        <v>0</v>
      </c>
      <c r="I457">
        <f t="shared" si="94"/>
        <v>0</v>
      </c>
      <c r="J457">
        <f t="shared" si="95"/>
        <v>0</v>
      </c>
      <c r="K457">
        <f t="shared" si="96"/>
        <v>340</v>
      </c>
      <c r="L457">
        <f t="shared" si="97"/>
        <v>12.55</v>
      </c>
      <c r="M457">
        <f t="shared" si="98"/>
        <v>352.55</v>
      </c>
      <c r="N457">
        <f t="shared" si="99"/>
        <v>352.55</v>
      </c>
      <c r="O457">
        <f t="shared" si="100"/>
        <v>0</v>
      </c>
      <c r="P457">
        <f t="shared" si="101"/>
        <v>0</v>
      </c>
      <c r="Q457">
        <f t="shared" si="102"/>
        <v>0</v>
      </c>
      <c r="R457">
        <f t="shared" si="103"/>
        <v>0</v>
      </c>
    </row>
    <row r="458" spans="1:18" x14ac:dyDescent="0.3">
      <c r="A458" s="1">
        <v>41851</v>
      </c>
      <c r="B458" s="1">
        <v>41870</v>
      </c>
      <c r="C458">
        <v>5.78</v>
      </c>
      <c r="D458">
        <v>0.15</v>
      </c>
      <c r="E458">
        <v>6</v>
      </c>
      <c r="F458">
        <f t="shared" si="91"/>
        <v>0</v>
      </c>
      <c r="G458">
        <f t="shared" si="92"/>
        <v>0</v>
      </c>
      <c r="H458">
        <f t="shared" si="93"/>
        <v>0</v>
      </c>
      <c r="I458">
        <f t="shared" si="94"/>
        <v>0</v>
      </c>
      <c r="J458">
        <f t="shared" si="95"/>
        <v>19</v>
      </c>
      <c r="K458">
        <f t="shared" si="96"/>
        <v>1140</v>
      </c>
      <c r="L458">
        <f t="shared" si="97"/>
        <v>5.9300000000000006</v>
      </c>
      <c r="M458">
        <f t="shared" si="98"/>
        <v>1145.93</v>
      </c>
      <c r="N458">
        <f t="shared" si="99"/>
        <v>0</v>
      </c>
      <c r="O458">
        <f t="shared" si="100"/>
        <v>0</v>
      </c>
      <c r="P458">
        <f t="shared" si="101"/>
        <v>0</v>
      </c>
      <c r="Q458">
        <f t="shared" si="102"/>
        <v>0</v>
      </c>
      <c r="R458">
        <f t="shared" si="103"/>
        <v>1145.93</v>
      </c>
    </row>
    <row r="459" spans="1:18" x14ac:dyDescent="0.3">
      <c r="A459" s="1">
        <v>41857</v>
      </c>
      <c r="B459" s="1">
        <v>41865</v>
      </c>
      <c r="C459">
        <v>5.23</v>
      </c>
      <c r="D459">
        <v>0.14000000000000001</v>
      </c>
      <c r="E459">
        <v>3</v>
      </c>
      <c r="F459">
        <f t="shared" si="91"/>
        <v>0</v>
      </c>
      <c r="G459">
        <f t="shared" si="92"/>
        <v>8</v>
      </c>
      <c r="H459">
        <f t="shared" si="93"/>
        <v>0</v>
      </c>
      <c r="I459">
        <f t="shared" si="94"/>
        <v>0</v>
      </c>
      <c r="J459">
        <f t="shared" si="95"/>
        <v>0</v>
      </c>
      <c r="K459">
        <f t="shared" si="96"/>
        <v>240</v>
      </c>
      <c r="L459">
        <f t="shared" si="97"/>
        <v>5.37</v>
      </c>
      <c r="M459">
        <f t="shared" si="98"/>
        <v>245.37</v>
      </c>
      <c r="N459">
        <f t="shared" si="99"/>
        <v>0</v>
      </c>
      <c r="O459">
        <f t="shared" si="100"/>
        <v>245.37</v>
      </c>
      <c r="P459">
        <f t="shared" si="101"/>
        <v>0</v>
      </c>
      <c r="Q459">
        <f t="shared" si="102"/>
        <v>0</v>
      </c>
      <c r="R459">
        <f t="shared" si="103"/>
        <v>0</v>
      </c>
    </row>
    <row r="460" spans="1:18" x14ac:dyDescent="0.3">
      <c r="A460" s="1">
        <v>41857</v>
      </c>
      <c r="B460" s="1">
        <v>41868</v>
      </c>
      <c r="C460">
        <v>9.06</v>
      </c>
      <c r="D460">
        <v>0.24</v>
      </c>
      <c r="E460">
        <v>2</v>
      </c>
      <c r="F460">
        <f t="shared" si="91"/>
        <v>11</v>
      </c>
      <c r="G460">
        <f t="shared" si="92"/>
        <v>0</v>
      </c>
      <c r="H460">
        <f t="shared" si="93"/>
        <v>0</v>
      </c>
      <c r="I460">
        <f t="shared" si="94"/>
        <v>0</v>
      </c>
      <c r="J460">
        <f t="shared" si="95"/>
        <v>0</v>
      </c>
      <c r="K460">
        <f t="shared" si="96"/>
        <v>220</v>
      </c>
      <c r="L460">
        <f t="shared" si="97"/>
        <v>9.3000000000000007</v>
      </c>
      <c r="M460">
        <f t="shared" si="98"/>
        <v>229.3</v>
      </c>
      <c r="N460">
        <f t="shared" si="99"/>
        <v>229.3</v>
      </c>
      <c r="O460">
        <f t="shared" si="100"/>
        <v>0</v>
      </c>
      <c r="P460">
        <f t="shared" si="101"/>
        <v>0</v>
      </c>
      <c r="Q460">
        <f t="shared" si="102"/>
        <v>0</v>
      </c>
      <c r="R460">
        <f t="shared" si="103"/>
        <v>0</v>
      </c>
    </row>
    <row r="461" spans="1:18" x14ac:dyDescent="0.3">
      <c r="A461" s="1">
        <v>41857</v>
      </c>
      <c r="B461" s="1">
        <v>41885</v>
      </c>
      <c r="C461">
        <v>12.23</v>
      </c>
      <c r="D461">
        <v>0.32</v>
      </c>
      <c r="E461">
        <v>4</v>
      </c>
      <c r="F461">
        <f t="shared" si="91"/>
        <v>0</v>
      </c>
      <c r="G461">
        <f t="shared" si="92"/>
        <v>0</v>
      </c>
      <c r="H461">
        <f t="shared" si="93"/>
        <v>28</v>
      </c>
      <c r="I461">
        <f t="shared" si="94"/>
        <v>0</v>
      </c>
      <c r="J461">
        <f t="shared" si="95"/>
        <v>0</v>
      </c>
      <c r="K461">
        <f t="shared" si="96"/>
        <v>1120</v>
      </c>
      <c r="L461">
        <f t="shared" si="97"/>
        <v>12.55</v>
      </c>
      <c r="M461">
        <f t="shared" si="98"/>
        <v>1132.55</v>
      </c>
      <c r="N461">
        <f t="shared" si="99"/>
        <v>0</v>
      </c>
      <c r="O461">
        <f t="shared" si="100"/>
        <v>0</v>
      </c>
      <c r="P461">
        <f t="shared" si="101"/>
        <v>1132.55</v>
      </c>
      <c r="Q461">
        <f t="shared" si="102"/>
        <v>0</v>
      </c>
      <c r="R461">
        <f t="shared" si="103"/>
        <v>0</v>
      </c>
    </row>
    <row r="462" spans="1:18" x14ac:dyDescent="0.3">
      <c r="A462" s="1">
        <v>41857</v>
      </c>
      <c r="B462" s="1">
        <v>41881</v>
      </c>
      <c r="C462">
        <v>8.83</v>
      </c>
      <c r="D462">
        <v>0.23</v>
      </c>
      <c r="E462">
        <v>4</v>
      </c>
      <c r="F462">
        <f t="shared" si="91"/>
        <v>0</v>
      </c>
      <c r="G462">
        <f t="shared" si="92"/>
        <v>0</v>
      </c>
      <c r="H462">
        <f t="shared" si="93"/>
        <v>24</v>
      </c>
      <c r="I462">
        <f t="shared" si="94"/>
        <v>0</v>
      </c>
      <c r="J462">
        <f t="shared" si="95"/>
        <v>0</v>
      </c>
      <c r="K462">
        <f t="shared" si="96"/>
        <v>960</v>
      </c>
      <c r="L462">
        <f t="shared" si="97"/>
        <v>9.06</v>
      </c>
      <c r="M462">
        <f t="shared" si="98"/>
        <v>969.06</v>
      </c>
      <c r="N462">
        <f t="shared" si="99"/>
        <v>0</v>
      </c>
      <c r="O462">
        <f t="shared" si="100"/>
        <v>0</v>
      </c>
      <c r="P462">
        <f t="shared" si="101"/>
        <v>969.06</v>
      </c>
      <c r="Q462">
        <f t="shared" si="102"/>
        <v>0</v>
      </c>
      <c r="R462">
        <f t="shared" si="103"/>
        <v>0</v>
      </c>
    </row>
    <row r="463" spans="1:18" x14ac:dyDescent="0.3">
      <c r="A463" s="1">
        <v>41857</v>
      </c>
      <c r="B463" s="1">
        <v>41876</v>
      </c>
      <c r="C463">
        <v>10.93</v>
      </c>
      <c r="D463">
        <v>0.28999999999999998</v>
      </c>
      <c r="E463">
        <v>5</v>
      </c>
      <c r="F463">
        <f t="shared" si="91"/>
        <v>0</v>
      </c>
      <c r="G463">
        <f t="shared" si="92"/>
        <v>0</v>
      </c>
      <c r="H463">
        <f t="shared" si="93"/>
        <v>0</v>
      </c>
      <c r="I463">
        <f t="shared" si="94"/>
        <v>19</v>
      </c>
      <c r="J463">
        <f t="shared" si="95"/>
        <v>0</v>
      </c>
      <c r="K463">
        <f t="shared" si="96"/>
        <v>950</v>
      </c>
      <c r="L463">
        <f t="shared" si="97"/>
        <v>11.219999999999999</v>
      </c>
      <c r="M463">
        <f t="shared" si="98"/>
        <v>961.22</v>
      </c>
      <c r="N463">
        <f t="shared" si="99"/>
        <v>0</v>
      </c>
      <c r="O463">
        <f t="shared" si="100"/>
        <v>0</v>
      </c>
      <c r="P463">
        <f t="shared" si="101"/>
        <v>0</v>
      </c>
      <c r="Q463">
        <f t="shared" si="102"/>
        <v>961.22</v>
      </c>
      <c r="R463">
        <f t="shared" si="103"/>
        <v>0</v>
      </c>
    </row>
    <row r="464" spans="1:18" x14ac:dyDescent="0.3">
      <c r="A464" s="1">
        <v>41860</v>
      </c>
      <c r="B464" s="1">
        <v>41874</v>
      </c>
      <c r="C464">
        <v>3.94</v>
      </c>
      <c r="D464">
        <v>0.1</v>
      </c>
      <c r="E464">
        <v>2</v>
      </c>
      <c r="F464">
        <f t="shared" si="91"/>
        <v>14</v>
      </c>
      <c r="G464">
        <f t="shared" si="92"/>
        <v>0</v>
      </c>
      <c r="H464">
        <f t="shared" si="93"/>
        <v>0</v>
      </c>
      <c r="I464">
        <f t="shared" si="94"/>
        <v>0</v>
      </c>
      <c r="J464">
        <f t="shared" si="95"/>
        <v>0</v>
      </c>
      <c r="K464">
        <f t="shared" si="96"/>
        <v>280</v>
      </c>
      <c r="L464">
        <f t="shared" si="97"/>
        <v>4.04</v>
      </c>
      <c r="M464">
        <f t="shared" si="98"/>
        <v>284.04000000000002</v>
      </c>
      <c r="N464">
        <f t="shared" si="99"/>
        <v>284.04000000000002</v>
      </c>
      <c r="O464">
        <f t="shared" si="100"/>
        <v>0</v>
      </c>
      <c r="P464">
        <f t="shared" si="101"/>
        <v>0</v>
      </c>
      <c r="Q464">
        <f t="shared" si="102"/>
        <v>0</v>
      </c>
      <c r="R464">
        <f t="shared" si="103"/>
        <v>0</v>
      </c>
    </row>
    <row r="465" spans="1:18" x14ac:dyDescent="0.3">
      <c r="A465" s="1">
        <v>41863</v>
      </c>
      <c r="B465" s="1">
        <v>41885</v>
      </c>
      <c r="C465">
        <v>19.54</v>
      </c>
      <c r="D465">
        <v>0.51</v>
      </c>
      <c r="E465">
        <v>6</v>
      </c>
      <c r="F465">
        <f t="shared" si="91"/>
        <v>0</v>
      </c>
      <c r="G465">
        <f t="shared" si="92"/>
        <v>0</v>
      </c>
      <c r="H465">
        <f t="shared" si="93"/>
        <v>0</v>
      </c>
      <c r="I465">
        <f t="shared" si="94"/>
        <v>0</v>
      </c>
      <c r="J465">
        <f t="shared" si="95"/>
        <v>22</v>
      </c>
      <c r="K465">
        <f t="shared" si="96"/>
        <v>1320</v>
      </c>
      <c r="L465">
        <f t="shared" si="97"/>
        <v>20.05</v>
      </c>
      <c r="M465">
        <f t="shared" si="98"/>
        <v>1340.05</v>
      </c>
      <c r="N465">
        <f t="shared" si="99"/>
        <v>0</v>
      </c>
      <c r="O465">
        <f t="shared" si="100"/>
        <v>0</v>
      </c>
      <c r="P465">
        <f t="shared" si="101"/>
        <v>0</v>
      </c>
      <c r="Q465">
        <f t="shared" si="102"/>
        <v>0</v>
      </c>
      <c r="R465">
        <f t="shared" si="103"/>
        <v>1340.05</v>
      </c>
    </row>
    <row r="466" spans="1:18" x14ac:dyDescent="0.3">
      <c r="A466" s="1">
        <v>41863</v>
      </c>
      <c r="B466" s="1">
        <v>41872</v>
      </c>
      <c r="C466">
        <v>6.75</v>
      </c>
      <c r="D466">
        <v>0.18</v>
      </c>
      <c r="E466">
        <v>2</v>
      </c>
      <c r="F466">
        <f t="shared" si="91"/>
        <v>9</v>
      </c>
      <c r="G466">
        <f t="shared" si="92"/>
        <v>0</v>
      </c>
      <c r="H466">
        <f t="shared" si="93"/>
        <v>0</v>
      </c>
      <c r="I466">
        <f t="shared" si="94"/>
        <v>0</v>
      </c>
      <c r="J466">
        <f t="shared" si="95"/>
        <v>0</v>
      </c>
      <c r="K466">
        <f t="shared" si="96"/>
        <v>180</v>
      </c>
      <c r="L466">
        <f t="shared" si="97"/>
        <v>6.93</v>
      </c>
      <c r="M466">
        <f t="shared" si="98"/>
        <v>186.93</v>
      </c>
      <c r="N466">
        <f t="shared" si="99"/>
        <v>186.93</v>
      </c>
      <c r="O466">
        <f t="shared" si="100"/>
        <v>0</v>
      </c>
      <c r="P466">
        <f t="shared" si="101"/>
        <v>0</v>
      </c>
      <c r="Q466">
        <f t="shared" si="102"/>
        <v>0</v>
      </c>
      <c r="R466">
        <f t="shared" si="103"/>
        <v>0</v>
      </c>
    </row>
    <row r="467" spans="1:18" x14ac:dyDescent="0.3">
      <c r="A467" s="1">
        <v>41863</v>
      </c>
      <c r="B467" s="1">
        <v>41888</v>
      </c>
      <c r="C467">
        <v>7.55</v>
      </c>
      <c r="D467">
        <v>0.2</v>
      </c>
      <c r="E467">
        <v>5</v>
      </c>
      <c r="F467">
        <f t="shared" si="91"/>
        <v>0</v>
      </c>
      <c r="G467">
        <f t="shared" si="92"/>
        <v>0</v>
      </c>
      <c r="H467">
        <f t="shared" si="93"/>
        <v>0</v>
      </c>
      <c r="I467">
        <f t="shared" si="94"/>
        <v>25</v>
      </c>
      <c r="J467">
        <f t="shared" si="95"/>
        <v>0</v>
      </c>
      <c r="K467">
        <f t="shared" si="96"/>
        <v>1250</v>
      </c>
      <c r="L467">
        <f t="shared" si="97"/>
        <v>7.75</v>
      </c>
      <c r="M467">
        <f t="shared" si="98"/>
        <v>1257.75</v>
      </c>
      <c r="N467">
        <f t="shared" si="99"/>
        <v>0</v>
      </c>
      <c r="O467">
        <f t="shared" si="100"/>
        <v>0</v>
      </c>
      <c r="P467">
        <f t="shared" si="101"/>
        <v>0</v>
      </c>
      <c r="Q467">
        <f t="shared" si="102"/>
        <v>1257.75</v>
      </c>
      <c r="R467">
        <f t="shared" si="103"/>
        <v>0</v>
      </c>
    </row>
    <row r="468" spans="1:18" x14ac:dyDescent="0.3">
      <c r="A468" s="1">
        <v>41863</v>
      </c>
      <c r="B468" s="1">
        <v>41886</v>
      </c>
      <c r="C468">
        <v>3.73</v>
      </c>
      <c r="D468">
        <v>0.1</v>
      </c>
      <c r="E468">
        <v>5</v>
      </c>
      <c r="F468">
        <f t="shared" si="91"/>
        <v>0</v>
      </c>
      <c r="G468">
        <f t="shared" si="92"/>
        <v>0</v>
      </c>
      <c r="H468">
        <f t="shared" si="93"/>
        <v>0</v>
      </c>
      <c r="I468">
        <f t="shared" si="94"/>
        <v>23</v>
      </c>
      <c r="J468">
        <f t="shared" si="95"/>
        <v>0</v>
      </c>
      <c r="K468">
        <f t="shared" si="96"/>
        <v>1150</v>
      </c>
      <c r="L468">
        <f t="shared" si="97"/>
        <v>3.83</v>
      </c>
      <c r="M468">
        <f t="shared" si="98"/>
        <v>1153.83</v>
      </c>
      <c r="N468">
        <f t="shared" si="99"/>
        <v>0</v>
      </c>
      <c r="O468">
        <f t="shared" si="100"/>
        <v>0</v>
      </c>
      <c r="P468">
        <f t="shared" si="101"/>
        <v>0</v>
      </c>
      <c r="Q468">
        <f t="shared" si="102"/>
        <v>1153.83</v>
      </c>
      <c r="R468">
        <f t="shared" si="103"/>
        <v>0</v>
      </c>
    </row>
    <row r="469" spans="1:18" x14ac:dyDescent="0.3">
      <c r="A469" s="1">
        <v>41863</v>
      </c>
      <c r="B469" s="1">
        <v>41874</v>
      </c>
      <c r="C469">
        <v>8.51</v>
      </c>
      <c r="D469">
        <v>0.22</v>
      </c>
      <c r="E469">
        <v>2</v>
      </c>
      <c r="F469">
        <f t="shared" si="91"/>
        <v>11</v>
      </c>
      <c r="G469">
        <f t="shared" si="92"/>
        <v>0</v>
      </c>
      <c r="H469">
        <f t="shared" si="93"/>
        <v>0</v>
      </c>
      <c r="I469">
        <f t="shared" si="94"/>
        <v>0</v>
      </c>
      <c r="J469">
        <f t="shared" si="95"/>
        <v>0</v>
      </c>
      <c r="K469">
        <f t="shared" si="96"/>
        <v>220</v>
      </c>
      <c r="L469">
        <f t="shared" si="97"/>
        <v>8.73</v>
      </c>
      <c r="M469">
        <f t="shared" si="98"/>
        <v>228.73</v>
      </c>
      <c r="N469">
        <f t="shared" si="99"/>
        <v>228.73</v>
      </c>
      <c r="O469">
        <f t="shared" si="100"/>
        <v>0</v>
      </c>
      <c r="P469">
        <f t="shared" si="101"/>
        <v>0</v>
      </c>
      <c r="Q469">
        <f t="shared" si="102"/>
        <v>0</v>
      </c>
      <c r="R469">
        <f t="shared" si="103"/>
        <v>0</v>
      </c>
    </row>
    <row r="470" spans="1:18" x14ac:dyDescent="0.3">
      <c r="A470" s="1">
        <v>41863</v>
      </c>
      <c r="B470" s="1">
        <v>41878</v>
      </c>
      <c r="C470">
        <v>6.88</v>
      </c>
      <c r="D470">
        <v>0.18</v>
      </c>
      <c r="E470">
        <v>3</v>
      </c>
      <c r="F470">
        <f t="shared" si="91"/>
        <v>0</v>
      </c>
      <c r="G470">
        <f t="shared" si="92"/>
        <v>15</v>
      </c>
      <c r="H470">
        <f t="shared" si="93"/>
        <v>0</v>
      </c>
      <c r="I470">
        <f t="shared" si="94"/>
        <v>0</v>
      </c>
      <c r="J470">
        <f t="shared" si="95"/>
        <v>0</v>
      </c>
      <c r="K470">
        <f t="shared" si="96"/>
        <v>450</v>
      </c>
      <c r="L470">
        <f t="shared" si="97"/>
        <v>7.06</v>
      </c>
      <c r="M470">
        <f t="shared" si="98"/>
        <v>457.06</v>
      </c>
      <c r="N470">
        <f t="shared" si="99"/>
        <v>0</v>
      </c>
      <c r="O470">
        <f t="shared" si="100"/>
        <v>457.06</v>
      </c>
      <c r="P470">
        <f t="shared" si="101"/>
        <v>0</v>
      </c>
      <c r="Q470">
        <f t="shared" si="102"/>
        <v>0</v>
      </c>
      <c r="R470">
        <f t="shared" si="103"/>
        <v>0</v>
      </c>
    </row>
    <row r="471" spans="1:18" x14ac:dyDescent="0.3">
      <c r="A471" s="1">
        <v>41863</v>
      </c>
      <c r="B471" s="1">
        <v>41874</v>
      </c>
      <c r="C471">
        <v>6.75</v>
      </c>
      <c r="D471">
        <v>0.18</v>
      </c>
      <c r="E471">
        <v>4</v>
      </c>
      <c r="F471">
        <f t="shared" si="91"/>
        <v>0</v>
      </c>
      <c r="G471">
        <f t="shared" si="92"/>
        <v>0</v>
      </c>
      <c r="H471">
        <f t="shared" si="93"/>
        <v>11</v>
      </c>
      <c r="I471">
        <f t="shared" si="94"/>
        <v>0</v>
      </c>
      <c r="J471">
        <f t="shared" si="95"/>
        <v>0</v>
      </c>
      <c r="K471">
        <f t="shared" si="96"/>
        <v>440</v>
      </c>
      <c r="L471">
        <f t="shared" si="97"/>
        <v>6.93</v>
      </c>
      <c r="M471">
        <f t="shared" si="98"/>
        <v>446.93</v>
      </c>
      <c r="N471">
        <f t="shared" si="99"/>
        <v>0</v>
      </c>
      <c r="O471">
        <f t="shared" si="100"/>
        <v>0</v>
      </c>
      <c r="P471">
        <f t="shared" si="101"/>
        <v>446.93</v>
      </c>
      <c r="Q471">
        <f t="shared" si="102"/>
        <v>0</v>
      </c>
      <c r="R471">
        <f t="shared" si="103"/>
        <v>0</v>
      </c>
    </row>
    <row r="472" spans="1:18" x14ac:dyDescent="0.3">
      <c r="A472" s="1">
        <v>41863</v>
      </c>
      <c r="B472" s="1">
        <v>41875</v>
      </c>
      <c r="C472">
        <v>11.42</v>
      </c>
      <c r="D472">
        <v>0.3</v>
      </c>
      <c r="E472">
        <v>5</v>
      </c>
      <c r="F472">
        <f t="shared" si="91"/>
        <v>0</v>
      </c>
      <c r="G472">
        <f t="shared" si="92"/>
        <v>0</v>
      </c>
      <c r="H472">
        <f t="shared" si="93"/>
        <v>0</v>
      </c>
      <c r="I472">
        <f t="shared" si="94"/>
        <v>12</v>
      </c>
      <c r="J472">
        <f t="shared" si="95"/>
        <v>0</v>
      </c>
      <c r="K472">
        <f t="shared" si="96"/>
        <v>600</v>
      </c>
      <c r="L472">
        <f t="shared" si="97"/>
        <v>11.72</v>
      </c>
      <c r="M472">
        <f t="shared" si="98"/>
        <v>611.72</v>
      </c>
      <c r="N472">
        <f t="shared" si="99"/>
        <v>0</v>
      </c>
      <c r="O472">
        <f t="shared" si="100"/>
        <v>0</v>
      </c>
      <c r="P472">
        <f t="shared" si="101"/>
        <v>0</v>
      </c>
      <c r="Q472">
        <f t="shared" si="102"/>
        <v>611.72</v>
      </c>
      <c r="R472">
        <f t="shared" si="103"/>
        <v>0</v>
      </c>
    </row>
    <row r="473" spans="1:18" x14ac:dyDescent="0.3">
      <c r="A473" s="1">
        <v>41863</v>
      </c>
      <c r="B473" s="1">
        <v>41866</v>
      </c>
      <c r="C473">
        <v>16.940000000000001</v>
      </c>
      <c r="D473">
        <v>0.45</v>
      </c>
      <c r="E473">
        <v>3</v>
      </c>
      <c r="F473">
        <f t="shared" si="91"/>
        <v>0</v>
      </c>
      <c r="G473">
        <f t="shared" si="92"/>
        <v>3</v>
      </c>
      <c r="H473">
        <f t="shared" si="93"/>
        <v>0</v>
      </c>
      <c r="I473">
        <f t="shared" si="94"/>
        <v>0</v>
      </c>
      <c r="J473">
        <f t="shared" si="95"/>
        <v>0</v>
      </c>
      <c r="K473">
        <f t="shared" si="96"/>
        <v>90</v>
      </c>
      <c r="L473">
        <f t="shared" si="97"/>
        <v>17.39</v>
      </c>
      <c r="M473">
        <f t="shared" si="98"/>
        <v>107.39</v>
      </c>
      <c r="N473">
        <f t="shared" si="99"/>
        <v>0</v>
      </c>
      <c r="O473">
        <f t="shared" si="100"/>
        <v>107.39</v>
      </c>
      <c r="P473">
        <f t="shared" si="101"/>
        <v>0</v>
      </c>
      <c r="Q473">
        <f t="shared" si="102"/>
        <v>0</v>
      </c>
      <c r="R473">
        <f t="shared" si="103"/>
        <v>0</v>
      </c>
    </row>
    <row r="474" spans="1:18" x14ac:dyDescent="0.3">
      <c r="A474" s="1">
        <v>41863</v>
      </c>
      <c r="B474" s="1">
        <v>41867</v>
      </c>
      <c r="C474">
        <v>6.34</v>
      </c>
      <c r="D474">
        <v>0.17</v>
      </c>
      <c r="E474">
        <v>6</v>
      </c>
      <c r="F474">
        <f t="shared" si="91"/>
        <v>0</v>
      </c>
      <c r="G474">
        <f t="shared" si="92"/>
        <v>0</v>
      </c>
      <c r="H474">
        <f t="shared" si="93"/>
        <v>0</v>
      </c>
      <c r="I474">
        <f t="shared" si="94"/>
        <v>0</v>
      </c>
      <c r="J474">
        <f t="shared" si="95"/>
        <v>4</v>
      </c>
      <c r="K474">
        <f t="shared" si="96"/>
        <v>240</v>
      </c>
      <c r="L474">
        <f t="shared" si="97"/>
        <v>6.51</v>
      </c>
      <c r="M474">
        <f t="shared" si="98"/>
        <v>246.51</v>
      </c>
      <c r="N474">
        <f t="shared" si="99"/>
        <v>0</v>
      </c>
      <c r="O474">
        <f t="shared" si="100"/>
        <v>0</v>
      </c>
      <c r="P474">
        <f t="shared" si="101"/>
        <v>0</v>
      </c>
      <c r="Q474">
        <f t="shared" si="102"/>
        <v>0</v>
      </c>
      <c r="R474">
        <f t="shared" si="103"/>
        <v>246.51</v>
      </c>
    </row>
    <row r="475" spans="1:18" x14ac:dyDescent="0.3">
      <c r="A475" s="1">
        <v>41863</v>
      </c>
      <c r="B475" s="1">
        <v>41870</v>
      </c>
      <c r="C475">
        <v>8.83</v>
      </c>
      <c r="D475">
        <v>0.23</v>
      </c>
      <c r="E475">
        <v>4</v>
      </c>
      <c r="F475">
        <f t="shared" si="91"/>
        <v>0</v>
      </c>
      <c r="G475">
        <f t="shared" si="92"/>
        <v>0</v>
      </c>
      <c r="H475">
        <f t="shared" si="93"/>
        <v>7</v>
      </c>
      <c r="I475">
        <f t="shared" si="94"/>
        <v>0</v>
      </c>
      <c r="J475">
        <f t="shared" si="95"/>
        <v>0</v>
      </c>
      <c r="K475">
        <f t="shared" si="96"/>
        <v>280</v>
      </c>
      <c r="L475">
        <f t="shared" si="97"/>
        <v>9.06</v>
      </c>
      <c r="M475">
        <f t="shared" si="98"/>
        <v>289.06</v>
      </c>
      <c r="N475">
        <f t="shared" si="99"/>
        <v>0</v>
      </c>
      <c r="O475">
        <f t="shared" si="100"/>
        <v>0</v>
      </c>
      <c r="P475">
        <f t="shared" si="101"/>
        <v>289.06</v>
      </c>
      <c r="Q475">
        <f t="shared" si="102"/>
        <v>0</v>
      </c>
      <c r="R475">
        <f t="shared" si="103"/>
        <v>0</v>
      </c>
    </row>
    <row r="476" spans="1:18" x14ac:dyDescent="0.3">
      <c r="A476" s="1">
        <v>41863</v>
      </c>
      <c r="B476" s="1">
        <v>41876</v>
      </c>
      <c r="C476">
        <v>6.34</v>
      </c>
      <c r="D476">
        <v>0.17</v>
      </c>
      <c r="E476">
        <v>3</v>
      </c>
      <c r="F476">
        <f t="shared" si="91"/>
        <v>0</v>
      </c>
      <c r="G476">
        <f t="shared" si="92"/>
        <v>13</v>
      </c>
      <c r="H476">
        <f t="shared" si="93"/>
        <v>0</v>
      </c>
      <c r="I476">
        <f t="shared" si="94"/>
        <v>0</v>
      </c>
      <c r="J476">
        <f t="shared" si="95"/>
        <v>0</v>
      </c>
      <c r="K476">
        <f t="shared" si="96"/>
        <v>390</v>
      </c>
      <c r="L476">
        <f t="shared" si="97"/>
        <v>6.51</v>
      </c>
      <c r="M476">
        <f t="shared" si="98"/>
        <v>396.51</v>
      </c>
      <c r="N476">
        <f t="shared" si="99"/>
        <v>0</v>
      </c>
      <c r="O476">
        <f t="shared" si="100"/>
        <v>396.51</v>
      </c>
      <c r="P476">
        <f t="shared" si="101"/>
        <v>0</v>
      </c>
      <c r="Q476">
        <f t="shared" si="102"/>
        <v>0</v>
      </c>
      <c r="R476">
        <f t="shared" si="103"/>
        <v>0</v>
      </c>
    </row>
    <row r="477" spans="1:18" x14ac:dyDescent="0.3">
      <c r="A477" s="1">
        <v>41863</v>
      </c>
      <c r="B477" s="1">
        <v>41880</v>
      </c>
      <c r="C477">
        <v>8.84</v>
      </c>
      <c r="D477">
        <v>0.23</v>
      </c>
      <c r="E477">
        <v>3</v>
      </c>
      <c r="F477">
        <f t="shared" si="91"/>
        <v>0</v>
      </c>
      <c r="G477">
        <f t="shared" si="92"/>
        <v>17</v>
      </c>
      <c r="H477">
        <f t="shared" si="93"/>
        <v>0</v>
      </c>
      <c r="I477">
        <f t="shared" si="94"/>
        <v>0</v>
      </c>
      <c r="J477">
        <f t="shared" si="95"/>
        <v>0</v>
      </c>
      <c r="K477">
        <f t="shared" si="96"/>
        <v>510</v>
      </c>
      <c r="L477">
        <f t="shared" si="97"/>
        <v>9.07</v>
      </c>
      <c r="M477">
        <f t="shared" si="98"/>
        <v>519.07000000000005</v>
      </c>
      <c r="N477">
        <f t="shared" si="99"/>
        <v>0</v>
      </c>
      <c r="O477">
        <f t="shared" si="100"/>
        <v>519.07000000000005</v>
      </c>
      <c r="P477">
        <f t="shared" si="101"/>
        <v>0</v>
      </c>
      <c r="Q477">
        <f t="shared" si="102"/>
        <v>0</v>
      </c>
      <c r="R477">
        <f t="shared" si="103"/>
        <v>0</v>
      </c>
    </row>
    <row r="478" spans="1:18" x14ac:dyDescent="0.3">
      <c r="A478" s="1">
        <v>41863</v>
      </c>
      <c r="B478" s="1">
        <v>41869</v>
      </c>
      <c r="C478">
        <v>8.65</v>
      </c>
      <c r="D478">
        <v>0.23</v>
      </c>
      <c r="E478">
        <v>2</v>
      </c>
      <c r="F478">
        <f t="shared" si="91"/>
        <v>6</v>
      </c>
      <c r="G478">
        <f t="shared" si="92"/>
        <v>0</v>
      </c>
      <c r="H478">
        <f t="shared" si="93"/>
        <v>0</v>
      </c>
      <c r="I478">
        <f t="shared" si="94"/>
        <v>0</v>
      </c>
      <c r="J478">
        <f t="shared" si="95"/>
        <v>0</v>
      </c>
      <c r="K478">
        <f t="shared" si="96"/>
        <v>120</v>
      </c>
      <c r="L478">
        <f t="shared" si="97"/>
        <v>8.8800000000000008</v>
      </c>
      <c r="M478">
        <f t="shared" si="98"/>
        <v>128.88</v>
      </c>
      <c r="N478">
        <f t="shared" si="99"/>
        <v>128.88</v>
      </c>
      <c r="O478">
        <f t="shared" si="100"/>
        <v>0</v>
      </c>
      <c r="P478">
        <f t="shared" si="101"/>
        <v>0</v>
      </c>
      <c r="Q478">
        <f t="shared" si="102"/>
        <v>0</v>
      </c>
      <c r="R478">
        <f t="shared" si="103"/>
        <v>0</v>
      </c>
    </row>
    <row r="479" spans="1:18" x14ac:dyDescent="0.3">
      <c r="A479" s="1">
        <v>41863</v>
      </c>
      <c r="B479" s="1">
        <v>41887</v>
      </c>
      <c r="C479">
        <v>8.51</v>
      </c>
      <c r="D479">
        <v>0.22</v>
      </c>
      <c r="E479">
        <v>4</v>
      </c>
      <c r="F479">
        <f t="shared" si="91"/>
        <v>0</v>
      </c>
      <c r="G479">
        <f t="shared" si="92"/>
        <v>0</v>
      </c>
      <c r="H479">
        <f t="shared" si="93"/>
        <v>24</v>
      </c>
      <c r="I479">
        <f t="shared" si="94"/>
        <v>0</v>
      </c>
      <c r="J479">
        <f t="shared" si="95"/>
        <v>0</v>
      </c>
      <c r="K479">
        <f t="shared" si="96"/>
        <v>960</v>
      </c>
      <c r="L479">
        <f t="shared" si="97"/>
        <v>8.73</v>
      </c>
      <c r="M479">
        <f t="shared" si="98"/>
        <v>968.73</v>
      </c>
      <c r="N479">
        <f t="shared" si="99"/>
        <v>0</v>
      </c>
      <c r="O479">
        <f t="shared" si="100"/>
        <v>0</v>
      </c>
      <c r="P479">
        <f t="shared" si="101"/>
        <v>968.73</v>
      </c>
      <c r="Q479">
        <f t="shared" si="102"/>
        <v>0</v>
      </c>
      <c r="R479">
        <f t="shared" si="103"/>
        <v>0</v>
      </c>
    </row>
    <row r="480" spans="1:18" x14ac:dyDescent="0.3">
      <c r="A480" s="1">
        <v>41863</v>
      </c>
      <c r="B480" s="1">
        <v>41890</v>
      </c>
      <c r="C480">
        <v>9.74</v>
      </c>
      <c r="D480">
        <v>0.26</v>
      </c>
      <c r="E480">
        <v>5</v>
      </c>
      <c r="F480">
        <f t="shared" si="91"/>
        <v>0</v>
      </c>
      <c r="G480">
        <f t="shared" si="92"/>
        <v>0</v>
      </c>
      <c r="H480">
        <f t="shared" si="93"/>
        <v>0</v>
      </c>
      <c r="I480">
        <f t="shared" si="94"/>
        <v>27</v>
      </c>
      <c r="J480">
        <f t="shared" si="95"/>
        <v>0</v>
      </c>
      <c r="K480">
        <f t="shared" si="96"/>
        <v>1350</v>
      </c>
      <c r="L480">
        <f t="shared" si="97"/>
        <v>10</v>
      </c>
      <c r="M480">
        <f t="shared" si="98"/>
        <v>1360</v>
      </c>
      <c r="N480">
        <f t="shared" si="99"/>
        <v>0</v>
      </c>
      <c r="O480">
        <f t="shared" si="100"/>
        <v>0</v>
      </c>
      <c r="P480">
        <f t="shared" si="101"/>
        <v>0</v>
      </c>
      <c r="Q480">
        <f t="shared" si="102"/>
        <v>1360</v>
      </c>
      <c r="R480">
        <f t="shared" si="103"/>
        <v>0</v>
      </c>
    </row>
    <row r="481" spans="1:18" x14ac:dyDescent="0.3">
      <c r="A481" s="1">
        <v>41863</v>
      </c>
      <c r="B481" s="1">
        <v>41887</v>
      </c>
      <c r="C481">
        <v>13.02</v>
      </c>
      <c r="D481">
        <v>0.34</v>
      </c>
      <c r="E481">
        <v>2</v>
      </c>
      <c r="F481">
        <f t="shared" si="91"/>
        <v>24</v>
      </c>
      <c r="G481">
        <f t="shared" si="92"/>
        <v>0</v>
      </c>
      <c r="H481">
        <f t="shared" si="93"/>
        <v>0</v>
      </c>
      <c r="I481">
        <f t="shared" si="94"/>
        <v>0</v>
      </c>
      <c r="J481">
        <f t="shared" si="95"/>
        <v>0</v>
      </c>
      <c r="K481">
        <f t="shared" si="96"/>
        <v>480</v>
      </c>
      <c r="L481">
        <f t="shared" si="97"/>
        <v>13.36</v>
      </c>
      <c r="M481">
        <f t="shared" si="98"/>
        <v>493.36</v>
      </c>
      <c r="N481">
        <f t="shared" si="99"/>
        <v>493.36</v>
      </c>
      <c r="O481">
        <f t="shared" si="100"/>
        <v>0</v>
      </c>
      <c r="P481">
        <f t="shared" si="101"/>
        <v>0</v>
      </c>
      <c r="Q481">
        <f t="shared" si="102"/>
        <v>0</v>
      </c>
      <c r="R481">
        <f t="shared" si="103"/>
        <v>0</v>
      </c>
    </row>
    <row r="482" spans="1:18" x14ac:dyDescent="0.3">
      <c r="A482" s="1">
        <v>41865</v>
      </c>
      <c r="B482" s="1">
        <v>41869</v>
      </c>
      <c r="C482">
        <v>4.66</v>
      </c>
      <c r="D482">
        <v>0.12</v>
      </c>
      <c r="E482">
        <v>3</v>
      </c>
      <c r="F482">
        <f t="shared" si="91"/>
        <v>0</v>
      </c>
      <c r="G482">
        <f t="shared" si="92"/>
        <v>4</v>
      </c>
      <c r="H482">
        <f t="shared" si="93"/>
        <v>0</v>
      </c>
      <c r="I482">
        <f t="shared" si="94"/>
        <v>0</v>
      </c>
      <c r="J482">
        <f t="shared" si="95"/>
        <v>0</v>
      </c>
      <c r="K482">
        <f t="shared" si="96"/>
        <v>120</v>
      </c>
      <c r="L482">
        <f t="shared" si="97"/>
        <v>4.78</v>
      </c>
      <c r="M482">
        <f t="shared" si="98"/>
        <v>124.78</v>
      </c>
      <c r="N482">
        <f t="shared" si="99"/>
        <v>0</v>
      </c>
      <c r="O482">
        <f t="shared" si="100"/>
        <v>124.78</v>
      </c>
      <c r="P482">
        <f t="shared" si="101"/>
        <v>0</v>
      </c>
      <c r="Q482">
        <f t="shared" si="102"/>
        <v>0</v>
      </c>
      <c r="R482">
        <f t="shared" si="103"/>
        <v>0</v>
      </c>
    </row>
    <row r="483" spans="1:18" x14ac:dyDescent="0.3">
      <c r="A483" s="1">
        <v>41869</v>
      </c>
      <c r="B483" s="1">
        <v>41884</v>
      </c>
      <c r="C483">
        <v>14.13</v>
      </c>
      <c r="D483">
        <v>0.37</v>
      </c>
      <c r="E483">
        <v>4</v>
      </c>
      <c r="F483">
        <f t="shared" si="91"/>
        <v>0</v>
      </c>
      <c r="G483">
        <f t="shared" si="92"/>
        <v>0</v>
      </c>
      <c r="H483">
        <f t="shared" si="93"/>
        <v>15</v>
      </c>
      <c r="I483">
        <f t="shared" si="94"/>
        <v>0</v>
      </c>
      <c r="J483">
        <f t="shared" si="95"/>
        <v>0</v>
      </c>
      <c r="K483">
        <f t="shared" si="96"/>
        <v>600</v>
      </c>
      <c r="L483">
        <f t="shared" si="97"/>
        <v>14.5</v>
      </c>
      <c r="M483">
        <f t="shared" si="98"/>
        <v>614.5</v>
      </c>
      <c r="N483">
        <f t="shared" si="99"/>
        <v>0</v>
      </c>
      <c r="O483">
        <f t="shared" si="100"/>
        <v>0</v>
      </c>
      <c r="P483">
        <f t="shared" si="101"/>
        <v>614.5</v>
      </c>
      <c r="Q483">
        <f t="shared" si="102"/>
        <v>0</v>
      </c>
      <c r="R483">
        <f t="shared" si="103"/>
        <v>0</v>
      </c>
    </row>
    <row r="484" spans="1:18" x14ac:dyDescent="0.3">
      <c r="A484" s="1">
        <v>41869</v>
      </c>
      <c r="B484" s="1">
        <v>41892</v>
      </c>
      <c r="C484">
        <v>11.37</v>
      </c>
      <c r="D484">
        <v>0.3</v>
      </c>
      <c r="E484">
        <v>2</v>
      </c>
      <c r="F484">
        <f t="shared" si="91"/>
        <v>23</v>
      </c>
      <c r="G484">
        <f t="shared" si="92"/>
        <v>0</v>
      </c>
      <c r="H484">
        <f t="shared" si="93"/>
        <v>0</v>
      </c>
      <c r="I484">
        <f t="shared" si="94"/>
        <v>0</v>
      </c>
      <c r="J484">
        <f t="shared" si="95"/>
        <v>0</v>
      </c>
      <c r="K484">
        <f t="shared" si="96"/>
        <v>460</v>
      </c>
      <c r="L484">
        <f t="shared" si="97"/>
        <v>11.67</v>
      </c>
      <c r="M484">
        <f t="shared" si="98"/>
        <v>471.67</v>
      </c>
      <c r="N484">
        <f t="shared" si="99"/>
        <v>471.67</v>
      </c>
      <c r="O484">
        <f t="shared" si="100"/>
        <v>0</v>
      </c>
      <c r="P484">
        <f t="shared" si="101"/>
        <v>0</v>
      </c>
      <c r="Q484">
        <f t="shared" si="102"/>
        <v>0</v>
      </c>
      <c r="R484">
        <f t="shared" si="103"/>
        <v>0</v>
      </c>
    </row>
    <row r="485" spans="1:18" x14ac:dyDescent="0.3">
      <c r="A485" s="1">
        <v>41869</v>
      </c>
      <c r="B485" s="1">
        <v>41890</v>
      </c>
      <c r="C485">
        <v>3.79</v>
      </c>
      <c r="D485">
        <v>0.1</v>
      </c>
      <c r="E485">
        <v>3</v>
      </c>
      <c r="F485">
        <f t="shared" si="91"/>
        <v>0</v>
      </c>
      <c r="G485">
        <f t="shared" si="92"/>
        <v>21</v>
      </c>
      <c r="H485">
        <f t="shared" si="93"/>
        <v>0</v>
      </c>
      <c r="I485">
        <f t="shared" si="94"/>
        <v>0</v>
      </c>
      <c r="J485">
        <f t="shared" si="95"/>
        <v>0</v>
      </c>
      <c r="K485">
        <f t="shared" si="96"/>
        <v>630</v>
      </c>
      <c r="L485">
        <f t="shared" si="97"/>
        <v>3.89</v>
      </c>
      <c r="M485">
        <f t="shared" si="98"/>
        <v>633.89</v>
      </c>
      <c r="N485">
        <f t="shared" si="99"/>
        <v>0</v>
      </c>
      <c r="O485">
        <f t="shared" si="100"/>
        <v>633.89</v>
      </c>
      <c r="P485">
        <f t="shared" si="101"/>
        <v>0</v>
      </c>
      <c r="Q485">
        <f t="shared" si="102"/>
        <v>0</v>
      </c>
      <c r="R485">
        <f t="shared" si="103"/>
        <v>0</v>
      </c>
    </row>
    <row r="486" spans="1:18" x14ac:dyDescent="0.3">
      <c r="A486" s="1">
        <v>41869</v>
      </c>
      <c r="B486" s="1">
        <v>41875</v>
      </c>
      <c r="C486">
        <v>11.42</v>
      </c>
      <c r="D486">
        <v>0.3</v>
      </c>
      <c r="E486">
        <v>6</v>
      </c>
      <c r="F486">
        <f t="shared" si="91"/>
        <v>0</v>
      </c>
      <c r="G486">
        <f t="shared" si="92"/>
        <v>0</v>
      </c>
      <c r="H486">
        <f t="shared" si="93"/>
        <v>0</v>
      </c>
      <c r="I486">
        <f t="shared" si="94"/>
        <v>0</v>
      </c>
      <c r="J486">
        <f t="shared" si="95"/>
        <v>6</v>
      </c>
      <c r="K486">
        <f t="shared" si="96"/>
        <v>360</v>
      </c>
      <c r="L486">
        <f t="shared" si="97"/>
        <v>11.72</v>
      </c>
      <c r="M486">
        <f t="shared" si="98"/>
        <v>371.72</v>
      </c>
      <c r="N486">
        <f t="shared" si="99"/>
        <v>0</v>
      </c>
      <c r="O486">
        <f t="shared" si="100"/>
        <v>0</v>
      </c>
      <c r="P486">
        <f t="shared" si="101"/>
        <v>0</v>
      </c>
      <c r="Q486">
        <f t="shared" si="102"/>
        <v>0</v>
      </c>
      <c r="R486">
        <f t="shared" si="103"/>
        <v>371.72</v>
      </c>
    </row>
    <row r="487" spans="1:18" x14ac:dyDescent="0.3">
      <c r="A487" s="1">
        <v>41869</v>
      </c>
      <c r="B487" s="1">
        <v>41892</v>
      </c>
      <c r="C487">
        <v>8.84</v>
      </c>
      <c r="D487">
        <v>0.23</v>
      </c>
      <c r="E487">
        <v>3</v>
      </c>
      <c r="F487">
        <f t="shared" si="91"/>
        <v>0</v>
      </c>
      <c r="G487">
        <f t="shared" si="92"/>
        <v>23</v>
      </c>
      <c r="H487">
        <f t="shared" si="93"/>
        <v>0</v>
      </c>
      <c r="I487">
        <f t="shared" si="94"/>
        <v>0</v>
      </c>
      <c r="J487">
        <f t="shared" si="95"/>
        <v>0</v>
      </c>
      <c r="K487">
        <f t="shared" si="96"/>
        <v>690</v>
      </c>
      <c r="L487">
        <f t="shared" si="97"/>
        <v>9.07</v>
      </c>
      <c r="M487">
        <f t="shared" si="98"/>
        <v>699.07</v>
      </c>
      <c r="N487">
        <f t="shared" si="99"/>
        <v>0</v>
      </c>
      <c r="O487">
        <f t="shared" si="100"/>
        <v>699.07</v>
      </c>
      <c r="P487">
        <f t="shared" si="101"/>
        <v>0</v>
      </c>
      <c r="Q487">
        <f t="shared" si="102"/>
        <v>0</v>
      </c>
      <c r="R487">
        <f t="shared" si="103"/>
        <v>0</v>
      </c>
    </row>
    <row r="488" spans="1:18" x14ac:dyDescent="0.3">
      <c r="A488" s="1">
        <v>41869</v>
      </c>
      <c r="B488" s="1">
        <v>41875</v>
      </c>
      <c r="C488">
        <v>11.69</v>
      </c>
      <c r="D488">
        <v>0.31</v>
      </c>
      <c r="E488">
        <v>6</v>
      </c>
      <c r="F488">
        <f t="shared" si="91"/>
        <v>0</v>
      </c>
      <c r="G488">
        <f t="shared" si="92"/>
        <v>0</v>
      </c>
      <c r="H488">
        <f t="shared" si="93"/>
        <v>0</v>
      </c>
      <c r="I488">
        <f t="shared" si="94"/>
        <v>0</v>
      </c>
      <c r="J488">
        <f t="shared" si="95"/>
        <v>6</v>
      </c>
      <c r="K488">
        <f t="shared" si="96"/>
        <v>360</v>
      </c>
      <c r="L488">
        <f t="shared" si="97"/>
        <v>12</v>
      </c>
      <c r="M488">
        <f t="shared" si="98"/>
        <v>372</v>
      </c>
      <c r="N488">
        <f t="shared" si="99"/>
        <v>0</v>
      </c>
      <c r="O488">
        <f t="shared" si="100"/>
        <v>0</v>
      </c>
      <c r="P488">
        <f t="shared" si="101"/>
        <v>0</v>
      </c>
      <c r="Q488">
        <f t="shared" si="102"/>
        <v>0</v>
      </c>
      <c r="R488">
        <f t="shared" si="103"/>
        <v>372</v>
      </c>
    </row>
    <row r="489" spans="1:18" x14ac:dyDescent="0.3">
      <c r="A489" s="1">
        <v>41875</v>
      </c>
      <c r="B489" s="1">
        <v>41879</v>
      </c>
      <c r="C489">
        <v>5.78</v>
      </c>
      <c r="D489">
        <v>0.15</v>
      </c>
      <c r="E489">
        <v>4</v>
      </c>
      <c r="F489">
        <f t="shared" si="91"/>
        <v>0</v>
      </c>
      <c r="G489">
        <f t="shared" si="92"/>
        <v>0</v>
      </c>
      <c r="H489">
        <f t="shared" si="93"/>
        <v>4</v>
      </c>
      <c r="I489">
        <f t="shared" si="94"/>
        <v>0</v>
      </c>
      <c r="J489">
        <f t="shared" si="95"/>
        <v>0</v>
      </c>
      <c r="K489">
        <f t="shared" si="96"/>
        <v>160</v>
      </c>
      <c r="L489">
        <f t="shared" si="97"/>
        <v>5.9300000000000006</v>
      </c>
      <c r="M489">
        <f t="shared" si="98"/>
        <v>165.93</v>
      </c>
      <c r="N489">
        <f t="shared" si="99"/>
        <v>0</v>
      </c>
      <c r="O489">
        <f t="shared" si="100"/>
        <v>0</v>
      </c>
      <c r="P489">
        <f t="shared" si="101"/>
        <v>165.93</v>
      </c>
      <c r="Q489">
        <f t="shared" si="102"/>
        <v>0</v>
      </c>
      <c r="R489">
        <f t="shared" si="103"/>
        <v>0</v>
      </c>
    </row>
    <row r="490" spans="1:18" x14ac:dyDescent="0.3">
      <c r="A490" s="1">
        <v>41875</v>
      </c>
      <c r="B490" s="1">
        <v>41877</v>
      </c>
      <c r="C490">
        <v>19.54</v>
      </c>
      <c r="D490">
        <v>0.51</v>
      </c>
      <c r="E490">
        <v>5</v>
      </c>
      <c r="F490">
        <f t="shared" si="91"/>
        <v>0</v>
      </c>
      <c r="G490">
        <f t="shared" si="92"/>
        <v>0</v>
      </c>
      <c r="H490">
        <f t="shared" si="93"/>
        <v>0</v>
      </c>
      <c r="I490">
        <f t="shared" si="94"/>
        <v>2</v>
      </c>
      <c r="J490">
        <f t="shared" si="95"/>
        <v>0</v>
      </c>
      <c r="K490">
        <f t="shared" si="96"/>
        <v>100</v>
      </c>
      <c r="L490">
        <f t="shared" si="97"/>
        <v>20.05</v>
      </c>
      <c r="M490">
        <f t="shared" si="98"/>
        <v>120.05</v>
      </c>
      <c r="N490">
        <f t="shared" si="99"/>
        <v>0</v>
      </c>
      <c r="O490">
        <f t="shared" si="100"/>
        <v>0</v>
      </c>
      <c r="P490">
        <f t="shared" si="101"/>
        <v>0</v>
      </c>
      <c r="Q490">
        <f t="shared" si="102"/>
        <v>120.05</v>
      </c>
      <c r="R490">
        <f t="shared" si="103"/>
        <v>0</v>
      </c>
    </row>
    <row r="491" spans="1:18" x14ac:dyDescent="0.3">
      <c r="A491" s="1">
        <v>41875</v>
      </c>
      <c r="B491" s="1">
        <v>41891</v>
      </c>
      <c r="C491">
        <v>9.06</v>
      </c>
      <c r="D491">
        <v>0.24</v>
      </c>
      <c r="E491">
        <v>2</v>
      </c>
      <c r="F491">
        <f t="shared" si="91"/>
        <v>16</v>
      </c>
      <c r="G491">
        <f t="shared" si="92"/>
        <v>0</v>
      </c>
      <c r="H491">
        <f t="shared" si="93"/>
        <v>0</v>
      </c>
      <c r="I491">
        <f t="shared" si="94"/>
        <v>0</v>
      </c>
      <c r="J491">
        <f t="shared" si="95"/>
        <v>0</v>
      </c>
      <c r="K491">
        <f t="shared" si="96"/>
        <v>320</v>
      </c>
      <c r="L491">
        <f t="shared" si="97"/>
        <v>9.3000000000000007</v>
      </c>
      <c r="M491">
        <f t="shared" si="98"/>
        <v>329.3</v>
      </c>
      <c r="N491">
        <f t="shared" si="99"/>
        <v>329.3</v>
      </c>
      <c r="O491">
        <f t="shared" si="100"/>
        <v>0</v>
      </c>
      <c r="P491">
        <f t="shared" si="101"/>
        <v>0</v>
      </c>
      <c r="Q491">
        <f t="shared" si="102"/>
        <v>0</v>
      </c>
      <c r="R491">
        <f t="shared" si="103"/>
        <v>0</v>
      </c>
    </row>
    <row r="492" spans="1:18" x14ac:dyDescent="0.3">
      <c r="A492" s="1">
        <v>41875</v>
      </c>
      <c r="B492" s="1">
        <v>41890</v>
      </c>
      <c r="C492">
        <v>13.81</v>
      </c>
      <c r="D492">
        <v>0.36</v>
      </c>
      <c r="E492">
        <v>6</v>
      </c>
      <c r="F492">
        <f t="shared" si="91"/>
        <v>0</v>
      </c>
      <c r="G492">
        <f t="shared" si="92"/>
        <v>0</v>
      </c>
      <c r="H492">
        <f t="shared" si="93"/>
        <v>0</v>
      </c>
      <c r="I492">
        <f t="shared" si="94"/>
        <v>0</v>
      </c>
      <c r="J492">
        <f t="shared" si="95"/>
        <v>15</v>
      </c>
      <c r="K492">
        <f t="shared" si="96"/>
        <v>900</v>
      </c>
      <c r="L492">
        <f t="shared" si="97"/>
        <v>14.17</v>
      </c>
      <c r="M492">
        <f t="shared" si="98"/>
        <v>914.17</v>
      </c>
      <c r="N492">
        <f t="shared" si="99"/>
        <v>0</v>
      </c>
      <c r="O492">
        <f t="shared" si="100"/>
        <v>0</v>
      </c>
      <c r="P492">
        <f t="shared" si="101"/>
        <v>0</v>
      </c>
      <c r="Q492">
        <f t="shared" si="102"/>
        <v>0</v>
      </c>
      <c r="R492">
        <f t="shared" si="103"/>
        <v>914.17</v>
      </c>
    </row>
    <row r="493" spans="1:18" x14ac:dyDescent="0.3">
      <c r="A493" s="1">
        <v>41875</v>
      </c>
      <c r="B493" s="1">
        <v>41886</v>
      </c>
      <c r="C493">
        <v>11.42</v>
      </c>
      <c r="D493">
        <v>0.3</v>
      </c>
      <c r="E493">
        <v>5</v>
      </c>
      <c r="F493">
        <f t="shared" si="91"/>
        <v>0</v>
      </c>
      <c r="G493">
        <f t="shared" si="92"/>
        <v>0</v>
      </c>
      <c r="H493">
        <f t="shared" si="93"/>
        <v>0</v>
      </c>
      <c r="I493">
        <f t="shared" si="94"/>
        <v>11</v>
      </c>
      <c r="J493">
        <f t="shared" si="95"/>
        <v>0</v>
      </c>
      <c r="K493">
        <f t="shared" si="96"/>
        <v>550</v>
      </c>
      <c r="L493">
        <f t="shared" si="97"/>
        <v>11.72</v>
      </c>
      <c r="M493">
        <f t="shared" si="98"/>
        <v>561.72</v>
      </c>
      <c r="N493">
        <f t="shared" si="99"/>
        <v>0</v>
      </c>
      <c r="O493">
        <f t="shared" si="100"/>
        <v>0</v>
      </c>
      <c r="P493">
        <f t="shared" si="101"/>
        <v>0</v>
      </c>
      <c r="Q493">
        <f t="shared" si="102"/>
        <v>561.72</v>
      </c>
      <c r="R493">
        <f t="shared" si="103"/>
        <v>0</v>
      </c>
    </row>
    <row r="494" spans="1:18" x14ac:dyDescent="0.3">
      <c r="A494" s="1">
        <v>41875</v>
      </c>
      <c r="B494" s="1">
        <v>41881</v>
      </c>
      <c r="C494">
        <v>14.31</v>
      </c>
      <c r="D494">
        <v>0.38</v>
      </c>
      <c r="E494">
        <v>2</v>
      </c>
      <c r="F494">
        <f t="shared" si="91"/>
        <v>6</v>
      </c>
      <c r="G494">
        <f t="shared" si="92"/>
        <v>0</v>
      </c>
      <c r="H494">
        <f t="shared" si="93"/>
        <v>0</v>
      </c>
      <c r="I494">
        <f t="shared" si="94"/>
        <v>0</v>
      </c>
      <c r="J494">
        <f t="shared" si="95"/>
        <v>0</v>
      </c>
      <c r="K494">
        <f t="shared" si="96"/>
        <v>120</v>
      </c>
      <c r="L494">
        <f t="shared" si="97"/>
        <v>14.690000000000001</v>
      </c>
      <c r="M494">
        <f t="shared" si="98"/>
        <v>134.69</v>
      </c>
      <c r="N494">
        <f t="shared" si="99"/>
        <v>134.69</v>
      </c>
      <c r="O494">
        <f t="shared" si="100"/>
        <v>0</v>
      </c>
      <c r="P494">
        <f t="shared" si="101"/>
        <v>0</v>
      </c>
      <c r="Q494">
        <f t="shared" si="102"/>
        <v>0</v>
      </c>
      <c r="R494">
        <f t="shared" si="103"/>
        <v>0</v>
      </c>
    </row>
    <row r="495" spans="1:18" x14ac:dyDescent="0.3">
      <c r="A495" s="1">
        <v>41875</v>
      </c>
      <c r="B495" s="1">
        <v>41894</v>
      </c>
      <c r="C495">
        <v>8.83</v>
      </c>
      <c r="D495">
        <v>0.23</v>
      </c>
      <c r="E495">
        <v>3</v>
      </c>
      <c r="F495">
        <f t="shared" si="91"/>
        <v>0</v>
      </c>
      <c r="G495">
        <f t="shared" si="92"/>
        <v>19</v>
      </c>
      <c r="H495">
        <f t="shared" si="93"/>
        <v>0</v>
      </c>
      <c r="I495">
        <f t="shared" si="94"/>
        <v>0</v>
      </c>
      <c r="J495">
        <f t="shared" si="95"/>
        <v>0</v>
      </c>
      <c r="K495">
        <f t="shared" si="96"/>
        <v>570</v>
      </c>
      <c r="L495">
        <f t="shared" si="97"/>
        <v>9.06</v>
      </c>
      <c r="M495">
        <f t="shared" si="98"/>
        <v>579.05999999999995</v>
      </c>
      <c r="N495">
        <f t="shared" si="99"/>
        <v>0</v>
      </c>
      <c r="O495">
        <f t="shared" si="100"/>
        <v>579.05999999999995</v>
      </c>
      <c r="P495">
        <f t="shared" si="101"/>
        <v>0</v>
      </c>
      <c r="Q495">
        <f t="shared" si="102"/>
        <v>0</v>
      </c>
      <c r="R495">
        <f t="shared" si="103"/>
        <v>0</v>
      </c>
    </row>
    <row r="496" spans="1:18" x14ac:dyDescent="0.3">
      <c r="A496" s="1">
        <v>41875</v>
      </c>
      <c r="B496" s="1">
        <v>41885</v>
      </c>
      <c r="C496">
        <v>14.31</v>
      </c>
      <c r="D496">
        <v>0.38</v>
      </c>
      <c r="E496">
        <v>3</v>
      </c>
      <c r="F496">
        <f t="shared" si="91"/>
        <v>0</v>
      </c>
      <c r="G496">
        <f t="shared" si="92"/>
        <v>10</v>
      </c>
      <c r="H496">
        <f t="shared" si="93"/>
        <v>0</v>
      </c>
      <c r="I496">
        <f t="shared" si="94"/>
        <v>0</v>
      </c>
      <c r="J496">
        <f t="shared" si="95"/>
        <v>0</v>
      </c>
      <c r="K496">
        <f t="shared" si="96"/>
        <v>300</v>
      </c>
      <c r="L496">
        <f t="shared" si="97"/>
        <v>14.690000000000001</v>
      </c>
      <c r="M496">
        <f t="shared" si="98"/>
        <v>314.69</v>
      </c>
      <c r="N496">
        <f t="shared" si="99"/>
        <v>0</v>
      </c>
      <c r="O496">
        <f t="shared" si="100"/>
        <v>314.69</v>
      </c>
      <c r="P496">
        <f t="shared" si="101"/>
        <v>0</v>
      </c>
      <c r="Q496">
        <f t="shared" si="102"/>
        <v>0</v>
      </c>
      <c r="R496">
        <f t="shared" si="103"/>
        <v>0</v>
      </c>
    </row>
    <row r="497" spans="1:18" x14ac:dyDescent="0.3">
      <c r="A497" s="1">
        <v>41875</v>
      </c>
      <c r="B497" s="1">
        <v>41895</v>
      </c>
      <c r="C497">
        <v>11.37</v>
      </c>
      <c r="D497">
        <v>0.3</v>
      </c>
      <c r="E497">
        <v>2</v>
      </c>
      <c r="F497">
        <f t="shared" si="91"/>
        <v>20</v>
      </c>
      <c r="G497">
        <f t="shared" si="92"/>
        <v>0</v>
      </c>
      <c r="H497">
        <f t="shared" si="93"/>
        <v>0</v>
      </c>
      <c r="I497">
        <f t="shared" si="94"/>
        <v>0</v>
      </c>
      <c r="J497">
        <f t="shared" si="95"/>
        <v>0</v>
      </c>
      <c r="K497">
        <f t="shared" si="96"/>
        <v>400</v>
      </c>
      <c r="L497">
        <f t="shared" si="97"/>
        <v>11.67</v>
      </c>
      <c r="M497">
        <f t="shared" si="98"/>
        <v>411.67</v>
      </c>
      <c r="N497">
        <f t="shared" si="99"/>
        <v>411.67</v>
      </c>
      <c r="O497">
        <f t="shared" si="100"/>
        <v>0</v>
      </c>
      <c r="P497">
        <f t="shared" si="101"/>
        <v>0</v>
      </c>
      <c r="Q497">
        <f t="shared" si="102"/>
        <v>0</v>
      </c>
      <c r="R497">
        <f t="shared" si="103"/>
        <v>0</v>
      </c>
    </row>
    <row r="498" spans="1:18" x14ac:dyDescent="0.3">
      <c r="A498" s="1">
        <v>41875</v>
      </c>
      <c r="B498" s="1">
        <v>41894</v>
      </c>
      <c r="C498">
        <v>11.44</v>
      </c>
      <c r="D498">
        <v>0.3</v>
      </c>
      <c r="E498">
        <v>2</v>
      </c>
      <c r="F498">
        <f t="shared" si="91"/>
        <v>19</v>
      </c>
      <c r="G498">
        <f t="shared" si="92"/>
        <v>0</v>
      </c>
      <c r="H498">
        <f t="shared" si="93"/>
        <v>0</v>
      </c>
      <c r="I498">
        <f t="shared" si="94"/>
        <v>0</v>
      </c>
      <c r="J498">
        <f t="shared" si="95"/>
        <v>0</v>
      </c>
      <c r="K498">
        <f t="shared" si="96"/>
        <v>380</v>
      </c>
      <c r="L498">
        <f t="shared" si="97"/>
        <v>11.74</v>
      </c>
      <c r="M498">
        <f t="shared" si="98"/>
        <v>391.74</v>
      </c>
      <c r="N498">
        <f t="shared" si="99"/>
        <v>391.74</v>
      </c>
      <c r="O498">
        <f t="shared" si="100"/>
        <v>0</v>
      </c>
      <c r="P498">
        <f t="shared" si="101"/>
        <v>0</v>
      </c>
      <c r="Q498">
        <f t="shared" si="102"/>
        <v>0</v>
      </c>
      <c r="R498">
        <f t="shared" si="103"/>
        <v>0</v>
      </c>
    </row>
    <row r="499" spans="1:18" x14ac:dyDescent="0.3">
      <c r="A499" s="1">
        <v>41875</v>
      </c>
      <c r="B499" s="1">
        <v>41902</v>
      </c>
      <c r="C499">
        <v>8.65</v>
      </c>
      <c r="D499">
        <v>0.23</v>
      </c>
      <c r="E499">
        <v>4</v>
      </c>
      <c r="F499">
        <f t="shared" si="91"/>
        <v>0</v>
      </c>
      <c r="G499">
        <f t="shared" si="92"/>
        <v>0</v>
      </c>
      <c r="H499">
        <f t="shared" si="93"/>
        <v>27</v>
      </c>
      <c r="I499">
        <f t="shared" si="94"/>
        <v>0</v>
      </c>
      <c r="J499">
        <f t="shared" si="95"/>
        <v>0</v>
      </c>
      <c r="K499">
        <f t="shared" si="96"/>
        <v>1080</v>
      </c>
      <c r="L499">
        <f t="shared" si="97"/>
        <v>8.8800000000000008</v>
      </c>
      <c r="M499">
        <f t="shared" si="98"/>
        <v>1088.8800000000001</v>
      </c>
      <c r="N499">
        <f t="shared" si="99"/>
        <v>0</v>
      </c>
      <c r="O499">
        <f t="shared" si="100"/>
        <v>0</v>
      </c>
      <c r="P499">
        <f t="shared" si="101"/>
        <v>1088.8800000000001</v>
      </c>
      <c r="Q499">
        <f t="shared" si="102"/>
        <v>0</v>
      </c>
      <c r="R499">
        <f t="shared" si="103"/>
        <v>0</v>
      </c>
    </row>
    <row r="500" spans="1:18" x14ac:dyDescent="0.3">
      <c r="A500" s="1">
        <v>41876</v>
      </c>
      <c r="B500" s="1">
        <v>41886</v>
      </c>
      <c r="C500">
        <v>11.42</v>
      </c>
      <c r="D500">
        <v>0.3</v>
      </c>
      <c r="E500">
        <v>5</v>
      </c>
      <c r="F500">
        <f t="shared" si="91"/>
        <v>0</v>
      </c>
      <c r="G500">
        <f t="shared" si="92"/>
        <v>0</v>
      </c>
      <c r="H500">
        <f t="shared" si="93"/>
        <v>0</v>
      </c>
      <c r="I500">
        <f t="shared" si="94"/>
        <v>10</v>
      </c>
      <c r="J500">
        <f t="shared" si="95"/>
        <v>0</v>
      </c>
      <c r="K500">
        <f t="shared" si="96"/>
        <v>500</v>
      </c>
      <c r="L500">
        <f t="shared" si="97"/>
        <v>11.72</v>
      </c>
      <c r="M500">
        <f t="shared" si="98"/>
        <v>511.72</v>
      </c>
      <c r="N500">
        <f t="shared" si="99"/>
        <v>0</v>
      </c>
      <c r="O500">
        <f t="shared" si="100"/>
        <v>0</v>
      </c>
      <c r="P500">
        <f t="shared" si="101"/>
        <v>0</v>
      </c>
      <c r="Q500">
        <f t="shared" si="102"/>
        <v>511.72</v>
      </c>
      <c r="R500">
        <f t="shared" si="103"/>
        <v>0</v>
      </c>
    </row>
    <row r="501" spans="1:18" x14ac:dyDescent="0.3">
      <c r="A501" s="1">
        <v>41876</v>
      </c>
      <c r="B501" s="1">
        <v>41886</v>
      </c>
      <c r="C501">
        <v>8.39</v>
      </c>
      <c r="D501">
        <v>0.22</v>
      </c>
      <c r="E501">
        <v>2</v>
      </c>
      <c r="F501">
        <f t="shared" si="91"/>
        <v>10</v>
      </c>
      <c r="G501">
        <f t="shared" si="92"/>
        <v>0</v>
      </c>
      <c r="H501">
        <f t="shared" si="93"/>
        <v>0</v>
      </c>
      <c r="I501">
        <f t="shared" si="94"/>
        <v>0</v>
      </c>
      <c r="J501">
        <f t="shared" si="95"/>
        <v>0</v>
      </c>
      <c r="K501">
        <f t="shared" si="96"/>
        <v>200</v>
      </c>
      <c r="L501">
        <f t="shared" si="97"/>
        <v>8.6100000000000012</v>
      </c>
      <c r="M501">
        <f t="shared" si="98"/>
        <v>208.61</v>
      </c>
      <c r="N501">
        <f t="shared" si="99"/>
        <v>208.61</v>
      </c>
      <c r="O501">
        <f t="shared" si="100"/>
        <v>0</v>
      </c>
      <c r="P501">
        <f t="shared" si="101"/>
        <v>0</v>
      </c>
      <c r="Q501">
        <f t="shared" si="102"/>
        <v>0</v>
      </c>
      <c r="R501">
        <f t="shared" si="103"/>
        <v>0</v>
      </c>
    </row>
    <row r="502" spans="1:18" x14ac:dyDescent="0.3">
      <c r="A502" s="1">
        <v>41876</v>
      </c>
      <c r="B502" s="1">
        <v>41887</v>
      </c>
      <c r="C502">
        <v>9.74</v>
      </c>
      <c r="D502">
        <v>0.26</v>
      </c>
      <c r="E502">
        <v>4</v>
      </c>
      <c r="F502">
        <f t="shared" si="91"/>
        <v>0</v>
      </c>
      <c r="G502">
        <f t="shared" si="92"/>
        <v>0</v>
      </c>
      <c r="H502">
        <f t="shared" si="93"/>
        <v>11</v>
      </c>
      <c r="I502">
        <f t="shared" si="94"/>
        <v>0</v>
      </c>
      <c r="J502">
        <f t="shared" si="95"/>
        <v>0</v>
      </c>
      <c r="K502">
        <f t="shared" si="96"/>
        <v>440</v>
      </c>
      <c r="L502">
        <f t="shared" si="97"/>
        <v>10</v>
      </c>
      <c r="M502">
        <f t="shared" si="98"/>
        <v>450</v>
      </c>
      <c r="N502">
        <f t="shared" si="99"/>
        <v>0</v>
      </c>
      <c r="O502">
        <f t="shared" si="100"/>
        <v>0</v>
      </c>
      <c r="P502">
        <f t="shared" si="101"/>
        <v>450</v>
      </c>
      <c r="Q502">
        <f t="shared" si="102"/>
        <v>0</v>
      </c>
      <c r="R502">
        <f t="shared" si="103"/>
        <v>0</v>
      </c>
    </row>
    <row r="503" spans="1:18" x14ac:dyDescent="0.3">
      <c r="A503" s="1">
        <v>41876</v>
      </c>
      <c r="B503" s="1">
        <v>41903</v>
      </c>
      <c r="C503">
        <v>5.23</v>
      </c>
      <c r="D503">
        <v>0.14000000000000001</v>
      </c>
      <c r="E503">
        <v>6</v>
      </c>
      <c r="F503">
        <f t="shared" si="91"/>
        <v>0</v>
      </c>
      <c r="G503">
        <f t="shared" si="92"/>
        <v>0</v>
      </c>
      <c r="H503">
        <f t="shared" si="93"/>
        <v>0</v>
      </c>
      <c r="I503">
        <f t="shared" si="94"/>
        <v>0</v>
      </c>
      <c r="J503">
        <f t="shared" si="95"/>
        <v>27</v>
      </c>
      <c r="K503">
        <f t="shared" si="96"/>
        <v>1620</v>
      </c>
      <c r="L503">
        <f t="shared" si="97"/>
        <v>5.37</v>
      </c>
      <c r="M503">
        <f t="shared" si="98"/>
        <v>1625.37</v>
      </c>
      <c r="N503">
        <f t="shared" si="99"/>
        <v>0</v>
      </c>
      <c r="O503">
        <f t="shared" si="100"/>
        <v>0</v>
      </c>
      <c r="P503">
        <f t="shared" si="101"/>
        <v>0</v>
      </c>
      <c r="Q503">
        <f t="shared" si="102"/>
        <v>0</v>
      </c>
      <c r="R503">
        <f t="shared" si="103"/>
        <v>1625.37</v>
      </c>
    </row>
    <row r="504" spans="1:18" x14ac:dyDescent="0.3">
      <c r="A504" s="1">
        <v>41876</v>
      </c>
      <c r="B504" s="1">
        <v>41894</v>
      </c>
      <c r="C504">
        <v>8.39</v>
      </c>
      <c r="D504">
        <v>0.22</v>
      </c>
      <c r="E504">
        <v>3</v>
      </c>
      <c r="F504">
        <f t="shared" si="91"/>
        <v>0</v>
      </c>
      <c r="G504">
        <f t="shared" si="92"/>
        <v>18</v>
      </c>
      <c r="H504">
        <f t="shared" si="93"/>
        <v>0</v>
      </c>
      <c r="I504">
        <f t="shared" si="94"/>
        <v>0</v>
      </c>
      <c r="J504">
        <f t="shared" si="95"/>
        <v>0</v>
      </c>
      <c r="K504">
        <f t="shared" si="96"/>
        <v>540</v>
      </c>
      <c r="L504">
        <f t="shared" si="97"/>
        <v>8.6100000000000012</v>
      </c>
      <c r="M504">
        <f t="shared" si="98"/>
        <v>548.61</v>
      </c>
      <c r="N504">
        <f t="shared" si="99"/>
        <v>0</v>
      </c>
      <c r="O504">
        <f t="shared" si="100"/>
        <v>548.61</v>
      </c>
      <c r="P504">
        <f t="shared" si="101"/>
        <v>0</v>
      </c>
      <c r="Q504">
        <f t="shared" si="102"/>
        <v>0</v>
      </c>
      <c r="R504">
        <f t="shared" si="103"/>
        <v>0</v>
      </c>
    </row>
    <row r="505" spans="1:18" x14ac:dyDescent="0.3">
      <c r="A505" s="1">
        <v>41877</v>
      </c>
      <c r="B505" s="1">
        <v>41896</v>
      </c>
      <c r="C505">
        <v>5.23</v>
      </c>
      <c r="D505">
        <v>0.14000000000000001</v>
      </c>
      <c r="E505">
        <v>4</v>
      </c>
      <c r="F505">
        <f t="shared" si="91"/>
        <v>0</v>
      </c>
      <c r="G505">
        <f t="shared" si="92"/>
        <v>0</v>
      </c>
      <c r="H505">
        <f t="shared" si="93"/>
        <v>19</v>
      </c>
      <c r="I505">
        <f t="shared" si="94"/>
        <v>0</v>
      </c>
      <c r="J505">
        <f t="shared" si="95"/>
        <v>0</v>
      </c>
      <c r="K505">
        <f t="shared" si="96"/>
        <v>760</v>
      </c>
      <c r="L505">
        <f t="shared" si="97"/>
        <v>5.37</v>
      </c>
      <c r="M505">
        <f t="shared" si="98"/>
        <v>765.37</v>
      </c>
      <c r="N505">
        <f t="shared" si="99"/>
        <v>0</v>
      </c>
      <c r="O505">
        <f t="shared" si="100"/>
        <v>0</v>
      </c>
      <c r="P505">
        <f t="shared" si="101"/>
        <v>765.37</v>
      </c>
      <c r="Q505">
        <f t="shared" si="102"/>
        <v>0</v>
      </c>
      <c r="R505">
        <f t="shared" si="103"/>
        <v>0</v>
      </c>
    </row>
    <row r="506" spans="1:18" x14ac:dyDescent="0.3">
      <c r="A506" s="1">
        <v>41878</v>
      </c>
      <c r="B506" s="1">
        <v>41884</v>
      </c>
      <c r="C506">
        <v>6.34</v>
      </c>
      <c r="D506">
        <v>0.17</v>
      </c>
      <c r="E506">
        <v>4</v>
      </c>
      <c r="F506">
        <f t="shared" si="91"/>
        <v>0</v>
      </c>
      <c r="G506">
        <f t="shared" si="92"/>
        <v>0</v>
      </c>
      <c r="H506">
        <f t="shared" si="93"/>
        <v>6</v>
      </c>
      <c r="I506">
        <f t="shared" si="94"/>
        <v>0</v>
      </c>
      <c r="J506">
        <f t="shared" si="95"/>
        <v>0</v>
      </c>
      <c r="K506">
        <f t="shared" si="96"/>
        <v>240</v>
      </c>
      <c r="L506">
        <f t="shared" si="97"/>
        <v>6.51</v>
      </c>
      <c r="M506">
        <f t="shared" si="98"/>
        <v>246.51</v>
      </c>
      <c r="N506">
        <f t="shared" si="99"/>
        <v>0</v>
      </c>
      <c r="O506">
        <f t="shared" si="100"/>
        <v>0</v>
      </c>
      <c r="P506">
        <f t="shared" si="101"/>
        <v>246.51</v>
      </c>
      <c r="Q506">
        <f t="shared" si="102"/>
        <v>0</v>
      </c>
      <c r="R506">
        <f t="shared" si="103"/>
        <v>0</v>
      </c>
    </row>
    <row r="507" spans="1:18" x14ac:dyDescent="0.3">
      <c r="A507" s="1">
        <v>41881</v>
      </c>
      <c r="B507" s="1">
        <v>41908</v>
      </c>
      <c r="C507">
        <v>10.93</v>
      </c>
      <c r="D507">
        <v>0.28999999999999998</v>
      </c>
      <c r="E507">
        <v>4</v>
      </c>
      <c r="F507">
        <f t="shared" si="91"/>
        <v>0</v>
      </c>
      <c r="G507">
        <f t="shared" si="92"/>
        <v>0</v>
      </c>
      <c r="H507">
        <f t="shared" si="93"/>
        <v>27</v>
      </c>
      <c r="I507">
        <f t="shared" si="94"/>
        <v>0</v>
      </c>
      <c r="J507">
        <f t="shared" si="95"/>
        <v>0</v>
      </c>
      <c r="K507">
        <f t="shared" si="96"/>
        <v>1080</v>
      </c>
      <c r="L507">
        <f t="shared" si="97"/>
        <v>11.219999999999999</v>
      </c>
      <c r="M507">
        <f t="shared" si="98"/>
        <v>1091.22</v>
      </c>
      <c r="N507">
        <f t="shared" si="99"/>
        <v>0</v>
      </c>
      <c r="O507">
        <f t="shared" si="100"/>
        <v>0</v>
      </c>
      <c r="P507">
        <f t="shared" si="101"/>
        <v>1091.22</v>
      </c>
      <c r="Q507">
        <f t="shared" si="102"/>
        <v>0</v>
      </c>
      <c r="R507">
        <f t="shared" si="103"/>
        <v>0</v>
      </c>
    </row>
    <row r="508" spans="1:18" x14ac:dyDescent="0.3">
      <c r="A508" s="1">
        <v>41881</v>
      </c>
      <c r="B508" s="1">
        <v>41894</v>
      </c>
      <c r="C508">
        <v>8.89</v>
      </c>
      <c r="D508">
        <v>0.23</v>
      </c>
      <c r="E508">
        <v>2</v>
      </c>
      <c r="F508">
        <f t="shared" si="91"/>
        <v>13</v>
      </c>
      <c r="G508">
        <f t="shared" si="92"/>
        <v>0</v>
      </c>
      <c r="H508">
        <f t="shared" si="93"/>
        <v>0</v>
      </c>
      <c r="I508">
        <f t="shared" si="94"/>
        <v>0</v>
      </c>
      <c r="J508">
        <f t="shared" si="95"/>
        <v>0</v>
      </c>
      <c r="K508">
        <f t="shared" si="96"/>
        <v>260</v>
      </c>
      <c r="L508">
        <f t="shared" si="97"/>
        <v>9.120000000000001</v>
      </c>
      <c r="M508">
        <f t="shared" si="98"/>
        <v>269.12</v>
      </c>
      <c r="N508">
        <f t="shared" si="99"/>
        <v>269.12</v>
      </c>
      <c r="O508">
        <f t="shared" si="100"/>
        <v>0</v>
      </c>
      <c r="P508">
        <f t="shared" si="101"/>
        <v>0</v>
      </c>
      <c r="Q508">
        <f t="shared" si="102"/>
        <v>0</v>
      </c>
      <c r="R508">
        <f t="shared" si="103"/>
        <v>0</v>
      </c>
    </row>
    <row r="509" spans="1:18" x14ac:dyDescent="0.3">
      <c r="A509" s="1">
        <v>41881</v>
      </c>
      <c r="B509" s="1">
        <v>41883</v>
      </c>
      <c r="C509">
        <v>5.57</v>
      </c>
      <c r="D509">
        <v>0.15</v>
      </c>
      <c r="E509">
        <v>2</v>
      </c>
      <c r="F509">
        <f t="shared" si="91"/>
        <v>2</v>
      </c>
      <c r="G509">
        <f t="shared" si="92"/>
        <v>0</v>
      </c>
      <c r="H509">
        <f t="shared" si="93"/>
        <v>0</v>
      </c>
      <c r="I509">
        <f t="shared" si="94"/>
        <v>0</v>
      </c>
      <c r="J509">
        <f t="shared" si="95"/>
        <v>0</v>
      </c>
      <c r="K509">
        <f t="shared" si="96"/>
        <v>40</v>
      </c>
      <c r="L509">
        <f t="shared" si="97"/>
        <v>5.7200000000000006</v>
      </c>
      <c r="M509">
        <f t="shared" si="98"/>
        <v>45.72</v>
      </c>
      <c r="N509">
        <f t="shared" si="99"/>
        <v>45.72</v>
      </c>
      <c r="O509">
        <f t="shared" si="100"/>
        <v>0</v>
      </c>
      <c r="P509">
        <f t="shared" si="101"/>
        <v>0</v>
      </c>
      <c r="Q509">
        <f t="shared" si="102"/>
        <v>0</v>
      </c>
      <c r="R509">
        <f t="shared" si="103"/>
        <v>0</v>
      </c>
    </row>
    <row r="510" spans="1:18" x14ac:dyDescent="0.3">
      <c r="A510" s="1">
        <v>41881</v>
      </c>
      <c r="B510" s="1">
        <v>41907</v>
      </c>
      <c r="C510">
        <v>6.23</v>
      </c>
      <c r="D510">
        <v>0.16</v>
      </c>
      <c r="E510">
        <v>3</v>
      </c>
      <c r="F510">
        <f t="shared" si="91"/>
        <v>0</v>
      </c>
      <c r="G510">
        <f t="shared" si="92"/>
        <v>26</v>
      </c>
      <c r="H510">
        <f t="shared" si="93"/>
        <v>0</v>
      </c>
      <c r="I510">
        <f t="shared" si="94"/>
        <v>0</v>
      </c>
      <c r="J510">
        <f t="shared" si="95"/>
        <v>0</v>
      </c>
      <c r="K510">
        <f t="shared" si="96"/>
        <v>780</v>
      </c>
      <c r="L510">
        <f t="shared" si="97"/>
        <v>6.3900000000000006</v>
      </c>
      <c r="M510">
        <f t="shared" si="98"/>
        <v>786.39</v>
      </c>
      <c r="N510">
        <f t="shared" si="99"/>
        <v>0</v>
      </c>
      <c r="O510">
        <f t="shared" si="100"/>
        <v>786.39</v>
      </c>
      <c r="P510">
        <f t="shared" si="101"/>
        <v>0</v>
      </c>
      <c r="Q510">
        <f t="shared" si="102"/>
        <v>0</v>
      </c>
      <c r="R510">
        <f t="shared" si="103"/>
        <v>0</v>
      </c>
    </row>
    <row r="511" spans="1:18" x14ac:dyDescent="0.3">
      <c r="A511" s="1">
        <v>41881</v>
      </c>
      <c r="B511" s="1">
        <v>41896</v>
      </c>
      <c r="C511">
        <v>11.42</v>
      </c>
      <c r="D511">
        <v>0.3</v>
      </c>
      <c r="E511">
        <v>4</v>
      </c>
      <c r="F511">
        <f t="shared" si="91"/>
        <v>0</v>
      </c>
      <c r="G511">
        <f t="shared" si="92"/>
        <v>0</v>
      </c>
      <c r="H511">
        <f t="shared" si="93"/>
        <v>15</v>
      </c>
      <c r="I511">
        <f t="shared" si="94"/>
        <v>0</v>
      </c>
      <c r="J511">
        <f t="shared" si="95"/>
        <v>0</v>
      </c>
      <c r="K511">
        <f t="shared" si="96"/>
        <v>600</v>
      </c>
      <c r="L511">
        <f t="shared" si="97"/>
        <v>11.72</v>
      </c>
      <c r="M511">
        <f t="shared" si="98"/>
        <v>611.72</v>
      </c>
      <c r="N511">
        <f t="shared" si="99"/>
        <v>0</v>
      </c>
      <c r="O511">
        <f t="shared" si="100"/>
        <v>0</v>
      </c>
      <c r="P511">
        <f t="shared" si="101"/>
        <v>611.72</v>
      </c>
      <c r="Q511">
        <f t="shared" si="102"/>
        <v>0</v>
      </c>
      <c r="R511">
        <f t="shared" si="103"/>
        <v>0</v>
      </c>
    </row>
    <row r="512" spans="1:18" x14ac:dyDescent="0.3">
      <c r="A512" s="1">
        <v>41881</v>
      </c>
      <c r="B512" s="1">
        <v>41903</v>
      </c>
      <c r="C512">
        <v>16.940000000000001</v>
      </c>
      <c r="D512">
        <v>0.45</v>
      </c>
      <c r="E512">
        <v>3</v>
      </c>
      <c r="F512">
        <f t="shared" si="91"/>
        <v>0</v>
      </c>
      <c r="G512">
        <f t="shared" si="92"/>
        <v>22</v>
      </c>
      <c r="H512">
        <f t="shared" si="93"/>
        <v>0</v>
      </c>
      <c r="I512">
        <f t="shared" si="94"/>
        <v>0</v>
      </c>
      <c r="J512">
        <f t="shared" si="95"/>
        <v>0</v>
      </c>
      <c r="K512">
        <f t="shared" si="96"/>
        <v>660</v>
      </c>
      <c r="L512">
        <f t="shared" si="97"/>
        <v>17.39</v>
      </c>
      <c r="M512">
        <f t="shared" si="98"/>
        <v>677.39</v>
      </c>
      <c r="N512">
        <f t="shared" si="99"/>
        <v>0</v>
      </c>
      <c r="O512">
        <f t="shared" si="100"/>
        <v>677.39</v>
      </c>
      <c r="P512">
        <f t="shared" si="101"/>
        <v>0</v>
      </c>
      <c r="Q512">
        <f t="shared" si="102"/>
        <v>0</v>
      </c>
      <c r="R512">
        <f t="shared" si="103"/>
        <v>0</v>
      </c>
    </row>
    <row r="513" spans="1:18" x14ac:dyDescent="0.3">
      <c r="A513" s="1">
        <v>41885</v>
      </c>
      <c r="B513" s="1">
        <v>41901</v>
      </c>
      <c r="C513">
        <v>7.06</v>
      </c>
      <c r="D513">
        <v>0.19</v>
      </c>
      <c r="E513">
        <v>4</v>
      </c>
      <c r="F513">
        <f t="shared" si="91"/>
        <v>0</v>
      </c>
      <c r="G513">
        <f t="shared" si="92"/>
        <v>0</v>
      </c>
      <c r="H513">
        <f t="shared" si="93"/>
        <v>16</v>
      </c>
      <c r="I513">
        <f t="shared" si="94"/>
        <v>0</v>
      </c>
      <c r="J513">
        <f t="shared" si="95"/>
        <v>0</v>
      </c>
      <c r="K513">
        <f t="shared" si="96"/>
        <v>640</v>
      </c>
      <c r="L513">
        <f t="shared" si="97"/>
        <v>7.25</v>
      </c>
      <c r="M513">
        <f t="shared" si="98"/>
        <v>647.25</v>
      </c>
      <c r="N513">
        <f t="shared" si="99"/>
        <v>0</v>
      </c>
      <c r="O513">
        <f t="shared" si="100"/>
        <v>0</v>
      </c>
      <c r="P513">
        <f t="shared" si="101"/>
        <v>647.25</v>
      </c>
      <c r="Q513">
        <f t="shared" si="102"/>
        <v>0</v>
      </c>
      <c r="R513">
        <f t="shared" si="103"/>
        <v>0</v>
      </c>
    </row>
    <row r="514" spans="1:18" x14ac:dyDescent="0.3">
      <c r="A514" s="1">
        <v>41886</v>
      </c>
      <c r="B514" s="1">
        <v>41899</v>
      </c>
      <c r="C514">
        <v>5.64</v>
      </c>
      <c r="D514">
        <v>0.15</v>
      </c>
      <c r="E514">
        <v>4</v>
      </c>
      <c r="F514">
        <f t="shared" si="91"/>
        <v>0</v>
      </c>
      <c r="G514">
        <f t="shared" si="92"/>
        <v>0</v>
      </c>
      <c r="H514">
        <f t="shared" si="93"/>
        <v>13</v>
      </c>
      <c r="I514">
        <f t="shared" si="94"/>
        <v>0</v>
      </c>
      <c r="J514">
        <f t="shared" si="95"/>
        <v>0</v>
      </c>
      <c r="K514">
        <f t="shared" si="96"/>
        <v>520</v>
      </c>
      <c r="L514">
        <f t="shared" si="97"/>
        <v>5.79</v>
      </c>
      <c r="M514">
        <f t="shared" si="98"/>
        <v>525.79</v>
      </c>
      <c r="N514">
        <f t="shared" si="99"/>
        <v>0</v>
      </c>
      <c r="O514">
        <f t="shared" si="100"/>
        <v>0</v>
      </c>
      <c r="P514">
        <f t="shared" si="101"/>
        <v>525.79</v>
      </c>
      <c r="Q514">
        <f t="shared" si="102"/>
        <v>0</v>
      </c>
      <c r="R514">
        <f t="shared" si="103"/>
        <v>0</v>
      </c>
    </row>
    <row r="515" spans="1:18" x14ac:dyDescent="0.3">
      <c r="A515" s="1">
        <v>41886</v>
      </c>
      <c r="B515" s="1">
        <v>41898</v>
      </c>
      <c r="C515">
        <v>7.3</v>
      </c>
      <c r="D515">
        <v>0.19</v>
      </c>
      <c r="E515">
        <v>3</v>
      </c>
      <c r="F515">
        <f t="shared" ref="F515:F578" si="104">IF(EXACT(E515,2),B515-A515,0)</f>
        <v>0</v>
      </c>
      <c r="G515">
        <f t="shared" ref="G515:G578" si="105">IF(EXACT(E515,3),B515-A515,0)</f>
        <v>12</v>
      </c>
      <c r="H515">
        <f t="shared" ref="H515:H578" si="106">IF(EXACT(E515,4),B515-A515,0)</f>
        <v>0</v>
      </c>
      <c r="I515">
        <f t="shared" ref="I515:I578" si="107">IF(EXACT(E515,5),B515-A515,0)</f>
        <v>0</v>
      </c>
      <c r="J515">
        <f t="shared" ref="J515:J578" si="108">IF(EXACT(E515,6),B515-A515,0)</f>
        <v>0</v>
      </c>
      <c r="K515">
        <f t="shared" ref="K515:K578" si="109">10 * E515 * (F515+G515+H515+I515+J515)</f>
        <v>360</v>
      </c>
      <c r="L515">
        <f t="shared" ref="L515:L578" si="110">C515+D515</f>
        <v>7.49</v>
      </c>
      <c r="M515">
        <f t="shared" ref="M515:M578" si="111">K515+L515</f>
        <v>367.49</v>
      </c>
      <c r="N515">
        <f t="shared" ref="N515:N578" si="112">IF(EXACT(E515,2),M515,0)</f>
        <v>0</v>
      </c>
      <c r="O515">
        <f t="shared" ref="O515:O578" si="113">IF(EXACT(E515,3),M515,0)</f>
        <v>367.49</v>
      </c>
      <c r="P515">
        <f t="shared" ref="P515:P578" si="114">IF(EXACT(E515,4),M515,0)</f>
        <v>0</v>
      </c>
      <c r="Q515">
        <f t="shared" ref="Q515:Q578" si="115">IF(EXACT(E515,5),M515,0)</f>
        <v>0</v>
      </c>
      <c r="R515">
        <f t="shared" ref="R515:R578" si="116">IF(EXACT(E515,6),M515,0)</f>
        <v>0</v>
      </c>
    </row>
    <row r="516" spans="1:18" x14ac:dyDescent="0.3">
      <c r="A516" s="1">
        <v>41886</v>
      </c>
      <c r="B516" s="1">
        <v>41896</v>
      </c>
      <c r="C516">
        <v>7.06</v>
      </c>
      <c r="D516">
        <v>0.19</v>
      </c>
      <c r="E516">
        <v>3</v>
      </c>
      <c r="F516">
        <f t="shared" si="104"/>
        <v>0</v>
      </c>
      <c r="G516">
        <f t="shared" si="105"/>
        <v>10</v>
      </c>
      <c r="H516">
        <f t="shared" si="106"/>
        <v>0</v>
      </c>
      <c r="I516">
        <f t="shared" si="107"/>
        <v>0</v>
      </c>
      <c r="J516">
        <f t="shared" si="108"/>
        <v>0</v>
      </c>
      <c r="K516">
        <f t="shared" si="109"/>
        <v>300</v>
      </c>
      <c r="L516">
        <f t="shared" si="110"/>
        <v>7.25</v>
      </c>
      <c r="M516">
        <f t="shared" si="111"/>
        <v>307.25</v>
      </c>
      <c r="N516">
        <f t="shared" si="112"/>
        <v>0</v>
      </c>
      <c r="O516">
        <f t="shared" si="113"/>
        <v>307.25</v>
      </c>
      <c r="P516">
        <f t="shared" si="114"/>
        <v>0</v>
      </c>
      <c r="Q516">
        <f t="shared" si="115"/>
        <v>0</v>
      </c>
      <c r="R516">
        <f t="shared" si="116"/>
        <v>0</v>
      </c>
    </row>
    <row r="517" spans="1:18" x14ac:dyDescent="0.3">
      <c r="A517" s="1">
        <v>41886</v>
      </c>
      <c r="B517" s="1">
        <v>41896</v>
      </c>
      <c r="C517">
        <v>5.64</v>
      </c>
      <c r="D517">
        <v>0.15</v>
      </c>
      <c r="E517">
        <v>5</v>
      </c>
      <c r="F517">
        <f t="shared" si="104"/>
        <v>0</v>
      </c>
      <c r="G517">
        <f t="shared" si="105"/>
        <v>0</v>
      </c>
      <c r="H517">
        <f t="shared" si="106"/>
        <v>0</v>
      </c>
      <c r="I517">
        <f t="shared" si="107"/>
        <v>10</v>
      </c>
      <c r="J517">
        <f t="shared" si="108"/>
        <v>0</v>
      </c>
      <c r="K517">
        <f t="shared" si="109"/>
        <v>500</v>
      </c>
      <c r="L517">
        <f t="shared" si="110"/>
        <v>5.79</v>
      </c>
      <c r="M517">
        <f t="shared" si="111"/>
        <v>505.79</v>
      </c>
      <c r="N517">
        <f t="shared" si="112"/>
        <v>0</v>
      </c>
      <c r="O517">
        <f t="shared" si="113"/>
        <v>0</v>
      </c>
      <c r="P517">
        <f t="shared" si="114"/>
        <v>0</v>
      </c>
      <c r="Q517">
        <f t="shared" si="115"/>
        <v>505.79</v>
      </c>
      <c r="R517">
        <f t="shared" si="116"/>
        <v>0</v>
      </c>
    </row>
    <row r="518" spans="1:18" x14ac:dyDescent="0.3">
      <c r="A518" s="1">
        <v>41886</v>
      </c>
      <c r="B518" s="1">
        <v>41889</v>
      </c>
      <c r="C518">
        <v>3.73</v>
      </c>
      <c r="D518">
        <v>0.1</v>
      </c>
      <c r="E518">
        <v>6</v>
      </c>
      <c r="F518">
        <f t="shared" si="104"/>
        <v>0</v>
      </c>
      <c r="G518">
        <f t="shared" si="105"/>
        <v>0</v>
      </c>
      <c r="H518">
        <f t="shared" si="106"/>
        <v>0</v>
      </c>
      <c r="I518">
        <f t="shared" si="107"/>
        <v>0</v>
      </c>
      <c r="J518">
        <f t="shared" si="108"/>
        <v>3</v>
      </c>
      <c r="K518">
        <f t="shared" si="109"/>
        <v>180</v>
      </c>
      <c r="L518">
        <f t="shared" si="110"/>
        <v>3.83</v>
      </c>
      <c r="M518">
        <f t="shared" si="111"/>
        <v>183.83</v>
      </c>
      <c r="N518">
        <f t="shared" si="112"/>
        <v>0</v>
      </c>
      <c r="O518">
        <f t="shared" si="113"/>
        <v>0</v>
      </c>
      <c r="P518">
        <f t="shared" si="114"/>
        <v>0</v>
      </c>
      <c r="Q518">
        <f t="shared" si="115"/>
        <v>0</v>
      </c>
      <c r="R518">
        <f t="shared" si="116"/>
        <v>183.83</v>
      </c>
    </row>
    <row r="519" spans="1:18" x14ac:dyDescent="0.3">
      <c r="A519" s="1">
        <v>41886</v>
      </c>
      <c r="B519" s="1">
        <v>41908</v>
      </c>
      <c r="C519">
        <v>13.81</v>
      </c>
      <c r="D519">
        <v>0.36</v>
      </c>
      <c r="E519">
        <v>6</v>
      </c>
      <c r="F519">
        <f t="shared" si="104"/>
        <v>0</v>
      </c>
      <c r="G519">
        <f t="shared" si="105"/>
        <v>0</v>
      </c>
      <c r="H519">
        <f t="shared" si="106"/>
        <v>0</v>
      </c>
      <c r="I519">
        <f t="shared" si="107"/>
        <v>0</v>
      </c>
      <c r="J519">
        <f t="shared" si="108"/>
        <v>22</v>
      </c>
      <c r="K519">
        <f t="shared" si="109"/>
        <v>1320</v>
      </c>
      <c r="L519">
        <f t="shared" si="110"/>
        <v>14.17</v>
      </c>
      <c r="M519">
        <f t="shared" si="111"/>
        <v>1334.17</v>
      </c>
      <c r="N519">
        <f t="shared" si="112"/>
        <v>0</v>
      </c>
      <c r="O519">
        <f t="shared" si="113"/>
        <v>0</v>
      </c>
      <c r="P519">
        <f t="shared" si="114"/>
        <v>0</v>
      </c>
      <c r="Q519">
        <f t="shared" si="115"/>
        <v>0</v>
      </c>
      <c r="R519">
        <f t="shared" si="116"/>
        <v>1334.17</v>
      </c>
    </row>
    <row r="520" spans="1:18" x14ac:dyDescent="0.3">
      <c r="A520" s="1">
        <v>41886</v>
      </c>
      <c r="B520" s="1">
        <v>41896</v>
      </c>
      <c r="C520">
        <v>5.47</v>
      </c>
      <c r="D520">
        <v>0.14000000000000001</v>
      </c>
      <c r="E520">
        <v>2</v>
      </c>
      <c r="F520">
        <f t="shared" si="104"/>
        <v>10</v>
      </c>
      <c r="G520">
        <f t="shared" si="105"/>
        <v>0</v>
      </c>
      <c r="H520">
        <f t="shared" si="106"/>
        <v>0</v>
      </c>
      <c r="I520">
        <f t="shared" si="107"/>
        <v>0</v>
      </c>
      <c r="J520">
        <f t="shared" si="108"/>
        <v>0</v>
      </c>
      <c r="K520">
        <f t="shared" si="109"/>
        <v>200</v>
      </c>
      <c r="L520">
        <f t="shared" si="110"/>
        <v>5.6099999999999994</v>
      </c>
      <c r="M520">
        <f t="shared" si="111"/>
        <v>205.61</v>
      </c>
      <c r="N520">
        <f t="shared" si="112"/>
        <v>205.61</v>
      </c>
      <c r="O520">
        <f t="shared" si="113"/>
        <v>0</v>
      </c>
      <c r="P520">
        <f t="shared" si="114"/>
        <v>0</v>
      </c>
      <c r="Q520">
        <f t="shared" si="115"/>
        <v>0</v>
      </c>
      <c r="R520">
        <f t="shared" si="116"/>
        <v>0</v>
      </c>
    </row>
    <row r="521" spans="1:18" x14ac:dyDescent="0.3">
      <c r="A521" s="1">
        <v>41886</v>
      </c>
      <c r="B521" s="1">
        <v>41914</v>
      </c>
      <c r="C521">
        <v>7.31</v>
      </c>
      <c r="D521">
        <v>0.19</v>
      </c>
      <c r="E521">
        <v>6</v>
      </c>
      <c r="F521">
        <f t="shared" si="104"/>
        <v>0</v>
      </c>
      <c r="G521">
        <f t="shared" si="105"/>
        <v>0</v>
      </c>
      <c r="H521">
        <f t="shared" si="106"/>
        <v>0</v>
      </c>
      <c r="I521">
        <f t="shared" si="107"/>
        <v>0</v>
      </c>
      <c r="J521">
        <f t="shared" si="108"/>
        <v>28</v>
      </c>
      <c r="K521">
        <f t="shared" si="109"/>
        <v>1680</v>
      </c>
      <c r="L521">
        <f t="shared" si="110"/>
        <v>7.5</v>
      </c>
      <c r="M521">
        <f t="shared" si="111"/>
        <v>1687.5</v>
      </c>
      <c r="N521">
        <f t="shared" si="112"/>
        <v>0</v>
      </c>
      <c r="O521">
        <f t="shared" si="113"/>
        <v>0</v>
      </c>
      <c r="P521">
        <f t="shared" si="114"/>
        <v>0</v>
      </c>
      <c r="Q521">
        <f t="shared" si="115"/>
        <v>0</v>
      </c>
      <c r="R521">
        <f t="shared" si="116"/>
        <v>1687.5</v>
      </c>
    </row>
    <row r="522" spans="1:18" x14ac:dyDescent="0.3">
      <c r="A522" s="1">
        <v>41886</v>
      </c>
      <c r="B522" s="1">
        <v>41888</v>
      </c>
      <c r="C522">
        <v>3.73</v>
      </c>
      <c r="D522">
        <v>0.1</v>
      </c>
      <c r="E522">
        <v>3</v>
      </c>
      <c r="F522">
        <f t="shared" si="104"/>
        <v>0</v>
      </c>
      <c r="G522">
        <f t="shared" si="105"/>
        <v>2</v>
      </c>
      <c r="H522">
        <f t="shared" si="106"/>
        <v>0</v>
      </c>
      <c r="I522">
        <f t="shared" si="107"/>
        <v>0</v>
      </c>
      <c r="J522">
        <f t="shared" si="108"/>
        <v>0</v>
      </c>
      <c r="K522">
        <f t="shared" si="109"/>
        <v>60</v>
      </c>
      <c r="L522">
        <f t="shared" si="110"/>
        <v>3.83</v>
      </c>
      <c r="M522">
        <f t="shared" si="111"/>
        <v>63.83</v>
      </c>
      <c r="N522">
        <f t="shared" si="112"/>
        <v>0</v>
      </c>
      <c r="O522">
        <f t="shared" si="113"/>
        <v>63.83</v>
      </c>
      <c r="P522">
        <f t="shared" si="114"/>
        <v>0</v>
      </c>
      <c r="Q522">
        <f t="shared" si="115"/>
        <v>0</v>
      </c>
      <c r="R522">
        <f t="shared" si="116"/>
        <v>0</v>
      </c>
    </row>
    <row r="523" spans="1:18" x14ac:dyDescent="0.3">
      <c r="A523" s="1">
        <v>41886</v>
      </c>
      <c r="B523" s="1">
        <v>41907</v>
      </c>
      <c r="C523">
        <v>8.39</v>
      </c>
      <c r="D523">
        <v>0.22</v>
      </c>
      <c r="E523">
        <v>4</v>
      </c>
      <c r="F523">
        <f t="shared" si="104"/>
        <v>0</v>
      </c>
      <c r="G523">
        <f t="shared" si="105"/>
        <v>0</v>
      </c>
      <c r="H523">
        <f t="shared" si="106"/>
        <v>21</v>
      </c>
      <c r="I523">
        <f t="shared" si="107"/>
        <v>0</v>
      </c>
      <c r="J523">
        <f t="shared" si="108"/>
        <v>0</v>
      </c>
      <c r="K523">
        <f t="shared" si="109"/>
        <v>840</v>
      </c>
      <c r="L523">
        <f t="shared" si="110"/>
        <v>8.6100000000000012</v>
      </c>
      <c r="M523">
        <f t="shared" si="111"/>
        <v>848.61</v>
      </c>
      <c r="N523">
        <f t="shared" si="112"/>
        <v>0</v>
      </c>
      <c r="O523">
        <f t="shared" si="113"/>
        <v>0</v>
      </c>
      <c r="P523">
        <f t="shared" si="114"/>
        <v>848.61</v>
      </c>
      <c r="Q523">
        <f t="shared" si="115"/>
        <v>0</v>
      </c>
      <c r="R523">
        <f t="shared" si="116"/>
        <v>0</v>
      </c>
    </row>
    <row r="524" spans="1:18" x14ac:dyDescent="0.3">
      <c r="A524" s="1">
        <v>41886</v>
      </c>
      <c r="B524" s="1">
        <v>41897</v>
      </c>
      <c r="C524">
        <v>13.07</v>
      </c>
      <c r="D524">
        <v>0.34</v>
      </c>
      <c r="E524">
        <v>2</v>
      </c>
      <c r="F524">
        <f t="shared" si="104"/>
        <v>11</v>
      </c>
      <c r="G524">
        <f t="shared" si="105"/>
        <v>0</v>
      </c>
      <c r="H524">
        <f t="shared" si="106"/>
        <v>0</v>
      </c>
      <c r="I524">
        <f t="shared" si="107"/>
        <v>0</v>
      </c>
      <c r="J524">
        <f t="shared" si="108"/>
        <v>0</v>
      </c>
      <c r="K524">
        <f t="shared" si="109"/>
        <v>220</v>
      </c>
      <c r="L524">
        <f t="shared" si="110"/>
        <v>13.41</v>
      </c>
      <c r="M524">
        <f t="shared" si="111"/>
        <v>233.41</v>
      </c>
      <c r="N524">
        <f t="shared" si="112"/>
        <v>233.41</v>
      </c>
      <c r="O524">
        <f t="shared" si="113"/>
        <v>0</v>
      </c>
      <c r="P524">
        <f t="shared" si="114"/>
        <v>0</v>
      </c>
      <c r="Q524">
        <f t="shared" si="115"/>
        <v>0</v>
      </c>
      <c r="R524">
        <f t="shared" si="116"/>
        <v>0</v>
      </c>
    </row>
    <row r="525" spans="1:18" x14ac:dyDescent="0.3">
      <c r="A525" s="1">
        <v>41886</v>
      </c>
      <c r="B525" s="1">
        <v>41891</v>
      </c>
      <c r="C525">
        <v>7.35</v>
      </c>
      <c r="D525">
        <v>0.19</v>
      </c>
      <c r="E525">
        <v>3</v>
      </c>
      <c r="F525">
        <f t="shared" si="104"/>
        <v>0</v>
      </c>
      <c r="G525">
        <f t="shared" si="105"/>
        <v>5</v>
      </c>
      <c r="H525">
        <f t="shared" si="106"/>
        <v>0</v>
      </c>
      <c r="I525">
        <f t="shared" si="107"/>
        <v>0</v>
      </c>
      <c r="J525">
        <f t="shared" si="108"/>
        <v>0</v>
      </c>
      <c r="K525">
        <f t="shared" si="109"/>
        <v>150</v>
      </c>
      <c r="L525">
        <f t="shared" si="110"/>
        <v>7.54</v>
      </c>
      <c r="M525">
        <f t="shared" si="111"/>
        <v>157.54</v>
      </c>
      <c r="N525">
        <f t="shared" si="112"/>
        <v>0</v>
      </c>
      <c r="O525">
        <f t="shared" si="113"/>
        <v>157.54</v>
      </c>
      <c r="P525">
        <f t="shared" si="114"/>
        <v>0</v>
      </c>
      <c r="Q525">
        <f t="shared" si="115"/>
        <v>0</v>
      </c>
      <c r="R525">
        <f t="shared" si="116"/>
        <v>0</v>
      </c>
    </row>
    <row r="526" spans="1:18" x14ac:dyDescent="0.3">
      <c r="A526" s="1">
        <v>41886</v>
      </c>
      <c r="B526" s="1">
        <v>41896</v>
      </c>
      <c r="C526">
        <v>14.31</v>
      </c>
      <c r="D526">
        <v>0.38</v>
      </c>
      <c r="E526">
        <v>5</v>
      </c>
      <c r="F526">
        <f t="shared" si="104"/>
        <v>0</v>
      </c>
      <c r="G526">
        <f t="shared" si="105"/>
        <v>0</v>
      </c>
      <c r="H526">
        <f t="shared" si="106"/>
        <v>0</v>
      </c>
      <c r="I526">
        <f t="shared" si="107"/>
        <v>10</v>
      </c>
      <c r="J526">
        <f t="shared" si="108"/>
        <v>0</v>
      </c>
      <c r="K526">
        <f t="shared" si="109"/>
        <v>500</v>
      </c>
      <c r="L526">
        <f t="shared" si="110"/>
        <v>14.690000000000001</v>
      </c>
      <c r="M526">
        <f t="shared" si="111"/>
        <v>514.69000000000005</v>
      </c>
      <c r="N526">
        <f t="shared" si="112"/>
        <v>0</v>
      </c>
      <c r="O526">
        <f t="shared" si="113"/>
        <v>0</v>
      </c>
      <c r="P526">
        <f t="shared" si="114"/>
        <v>0</v>
      </c>
      <c r="Q526">
        <f t="shared" si="115"/>
        <v>514.69000000000005</v>
      </c>
      <c r="R526">
        <f t="shared" si="116"/>
        <v>0</v>
      </c>
    </row>
    <row r="527" spans="1:18" x14ac:dyDescent="0.3">
      <c r="A527" s="1">
        <v>41886</v>
      </c>
      <c r="B527" s="1">
        <v>41914</v>
      </c>
      <c r="C527">
        <v>5.57</v>
      </c>
      <c r="D527">
        <v>0.15</v>
      </c>
      <c r="E527">
        <v>4</v>
      </c>
      <c r="F527">
        <f t="shared" si="104"/>
        <v>0</v>
      </c>
      <c r="G527">
        <f t="shared" si="105"/>
        <v>0</v>
      </c>
      <c r="H527">
        <f t="shared" si="106"/>
        <v>28</v>
      </c>
      <c r="I527">
        <f t="shared" si="107"/>
        <v>0</v>
      </c>
      <c r="J527">
        <f t="shared" si="108"/>
        <v>0</v>
      </c>
      <c r="K527">
        <f t="shared" si="109"/>
        <v>1120</v>
      </c>
      <c r="L527">
        <f t="shared" si="110"/>
        <v>5.7200000000000006</v>
      </c>
      <c r="M527">
        <f t="shared" si="111"/>
        <v>1125.72</v>
      </c>
      <c r="N527">
        <f t="shared" si="112"/>
        <v>0</v>
      </c>
      <c r="O527">
        <f t="shared" si="113"/>
        <v>0</v>
      </c>
      <c r="P527">
        <f t="shared" si="114"/>
        <v>1125.72</v>
      </c>
      <c r="Q527">
        <f t="shared" si="115"/>
        <v>0</v>
      </c>
      <c r="R527">
        <f t="shared" si="116"/>
        <v>0</v>
      </c>
    </row>
    <row r="528" spans="1:18" x14ac:dyDescent="0.3">
      <c r="A528" s="1">
        <v>41886</v>
      </c>
      <c r="B528" s="1">
        <v>41888</v>
      </c>
      <c r="C528">
        <v>5.23</v>
      </c>
      <c r="D528">
        <v>0.14000000000000001</v>
      </c>
      <c r="E528">
        <v>2</v>
      </c>
      <c r="F528">
        <f t="shared" si="104"/>
        <v>2</v>
      </c>
      <c r="G528">
        <f t="shared" si="105"/>
        <v>0</v>
      </c>
      <c r="H528">
        <f t="shared" si="106"/>
        <v>0</v>
      </c>
      <c r="I528">
        <f t="shared" si="107"/>
        <v>0</v>
      </c>
      <c r="J528">
        <f t="shared" si="108"/>
        <v>0</v>
      </c>
      <c r="K528">
        <f t="shared" si="109"/>
        <v>40</v>
      </c>
      <c r="L528">
        <f t="shared" si="110"/>
        <v>5.37</v>
      </c>
      <c r="M528">
        <f t="shared" si="111"/>
        <v>45.37</v>
      </c>
      <c r="N528">
        <f t="shared" si="112"/>
        <v>45.37</v>
      </c>
      <c r="O528">
        <f t="shared" si="113"/>
        <v>0</v>
      </c>
      <c r="P528">
        <f t="shared" si="114"/>
        <v>0</v>
      </c>
      <c r="Q528">
        <f t="shared" si="115"/>
        <v>0</v>
      </c>
      <c r="R528">
        <f t="shared" si="116"/>
        <v>0</v>
      </c>
    </row>
    <row r="529" spans="1:18" x14ac:dyDescent="0.3">
      <c r="A529" s="1">
        <v>41886</v>
      </c>
      <c r="B529" s="1">
        <v>41900</v>
      </c>
      <c r="C529">
        <v>10.79</v>
      </c>
      <c r="D529">
        <v>0.28000000000000003</v>
      </c>
      <c r="E529">
        <v>4</v>
      </c>
      <c r="F529">
        <f t="shared" si="104"/>
        <v>0</v>
      </c>
      <c r="G529">
        <f t="shared" si="105"/>
        <v>0</v>
      </c>
      <c r="H529">
        <f t="shared" si="106"/>
        <v>14</v>
      </c>
      <c r="I529">
        <f t="shared" si="107"/>
        <v>0</v>
      </c>
      <c r="J529">
        <f t="shared" si="108"/>
        <v>0</v>
      </c>
      <c r="K529">
        <f t="shared" si="109"/>
        <v>560</v>
      </c>
      <c r="L529">
        <f t="shared" si="110"/>
        <v>11.069999999999999</v>
      </c>
      <c r="M529">
        <f t="shared" si="111"/>
        <v>571.07000000000005</v>
      </c>
      <c r="N529">
        <f t="shared" si="112"/>
        <v>0</v>
      </c>
      <c r="O529">
        <f t="shared" si="113"/>
        <v>0</v>
      </c>
      <c r="P529">
        <f t="shared" si="114"/>
        <v>571.07000000000005</v>
      </c>
      <c r="Q529">
        <f t="shared" si="115"/>
        <v>0</v>
      </c>
      <c r="R529">
        <f t="shared" si="116"/>
        <v>0</v>
      </c>
    </row>
    <row r="530" spans="1:18" x14ac:dyDescent="0.3">
      <c r="A530" s="1">
        <v>41886</v>
      </c>
      <c r="B530" s="1">
        <v>41892</v>
      </c>
      <c r="C530">
        <v>2.72</v>
      </c>
      <c r="D530">
        <v>7.0000000000000007E-2</v>
      </c>
      <c r="E530">
        <v>2</v>
      </c>
      <c r="F530">
        <f t="shared" si="104"/>
        <v>6</v>
      </c>
      <c r="G530">
        <f t="shared" si="105"/>
        <v>0</v>
      </c>
      <c r="H530">
        <f t="shared" si="106"/>
        <v>0</v>
      </c>
      <c r="I530">
        <f t="shared" si="107"/>
        <v>0</v>
      </c>
      <c r="J530">
        <f t="shared" si="108"/>
        <v>0</v>
      </c>
      <c r="K530">
        <f t="shared" si="109"/>
        <v>120</v>
      </c>
      <c r="L530">
        <f t="shared" si="110"/>
        <v>2.79</v>
      </c>
      <c r="M530">
        <f t="shared" si="111"/>
        <v>122.79</v>
      </c>
      <c r="N530">
        <f t="shared" si="112"/>
        <v>122.79</v>
      </c>
      <c r="O530">
        <f t="shared" si="113"/>
        <v>0</v>
      </c>
      <c r="P530">
        <f t="shared" si="114"/>
        <v>0</v>
      </c>
      <c r="Q530">
        <f t="shared" si="115"/>
        <v>0</v>
      </c>
      <c r="R530">
        <f t="shared" si="116"/>
        <v>0</v>
      </c>
    </row>
    <row r="531" spans="1:18" x14ac:dyDescent="0.3">
      <c r="A531" s="1">
        <v>41887</v>
      </c>
      <c r="B531" s="1">
        <v>41913</v>
      </c>
      <c r="C531">
        <v>7.55</v>
      </c>
      <c r="D531">
        <v>0.2</v>
      </c>
      <c r="E531">
        <v>3</v>
      </c>
      <c r="F531">
        <f t="shared" si="104"/>
        <v>0</v>
      </c>
      <c r="G531">
        <f t="shared" si="105"/>
        <v>26</v>
      </c>
      <c r="H531">
        <f t="shared" si="106"/>
        <v>0</v>
      </c>
      <c r="I531">
        <f t="shared" si="107"/>
        <v>0</v>
      </c>
      <c r="J531">
        <f t="shared" si="108"/>
        <v>0</v>
      </c>
      <c r="K531">
        <f t="shared" si="109"/>
        <v>780</v>
      </c>
      <c r="L531">
        <f t="shared" si="110"/>
        <v>7.75</v>
      </c>
      <c r="M531">
        <f t="shared" si="111"/>
        <v>787.75</v>
      </c>
      <c r="N531">
        <f t="shared" si="112"/>
        <v>0</v>
      </c>
      <c r="O531">
        <f t="shared" si="113"/>
        <v>787.75</v>
      </c>
      <c r="P531">
        <f t="shared" si="114"/>
        <v>0</v>
      </c>
      <c r="Q531">
        <f t="shared" si="115"/>
        <v>0</v>
      </c>
      <c r="R531">
        <f t="shared" si="116"/>
        <v>0</v>
      </c>
    </row>
    <row r="532" spans="1:18" x14ac:dyDescent="0.3">
      <c r="A532" s="1">
        <v>41887</v>
      </c>
      <c r="B532" s="1">
        <v>41906</v>
      </c>
      <c r="C532">
        <v>6.43</v>
      </c>
      <c r="D532">
        <v>0.17</v>
      </c>
      <c r="E532">
        <v>2</v>
      </c>
      <c r="F532">
        <f t="shared" si="104"/>
        <v>19</v>
      </c>
      <c r="G532">
        <f t="shared" si="105"/>
        <v>0</v>
      </c>
      <c r="H532">
        <f t="shared" si="106"/>
        <v>0</v>
      </c>
      <c r="I532">
        <f t="shared" si="107"/>
        <v>0</v>
      </c>
      <c r="J532">
        <f t="shared" si="108"/>
        <v>0</v>
      </c>
      <c r="K532">
        <f t="shared" si="109"/>
        <v>380</v>
      </c>
      <c r="L532">
        <f t="shared" si="110"/>
        <v>6.6</v>
      </c>
      <c r="M532">
        <f t="shared" si="111"/>
        <v>386.6</v>
      </c>
      <c r="N532">
        <f t="shared" si="112"/>
        <v>386.6</v>
      </c>
      <c r="O532">
        <f t="shared" si="113"/>
        <v>0</v>
      </c>
      <c r="P532">
        <f t="shared" si="114"/>
        <v>0</v>
      </c>
      <c r="Q532">
        <f t="shared" si="115"/>
        <v>0</v>
      </c>
      <c r="R532">
        <f t="shared" si="116"/>
        <v>0</v>
      </c>
    </row>
    <row r="533" spans="1:18" x14ac:dyDescent="0.3">
      <c r="A533" s="1">
        <v>41887</v>
      </c>
      <c r="B533" s="1">
        <v>41905</v>
      </c>
      <c r="C533">
        <v>3.88</v>
      </c>
      <c r="D533">
        <v>0.1</v>
      </c>
      <c r="E533">
        <v>6</v>
      </c>
      <c r="F533">
        <f t="shared" si="104"/>
        <v>0</v>
      </c>
      <c r="G533">
        <f t="shared" si="105"/>
        <v>0</v>
      </c>
      <c r="H533">
        <f t="shared" si="106"/>
        <v>0</v>
      </c>
      <c r="I533">
        <f t="shared" si="107"/>
        <v>0</v>
      </c>
      <c r="J533">
        <f t="shared" si="108"/>
        <v>18</v>
      </c>
      <c r="K533">
        <f t="shared" si="109"/>
        <v>1080</v>
      </c>
      <c r="L533">
        <f t="shared" si="110"/>
        <v>3.98</v>
      </c>
      <c r="M533">
        <f t="shared" si="111"/>
        <v>1083.98</v>
      </c>
      <c r="N533">
        <f t="shared" si="112"/>
        <v>0</v>
      </c>
      <c r="O533">
        <f t="shared" si="113"/>
        <v>0</v>
      </c>
      <c r="P533">
        <f t="shared" si="114"/>
        <v>0</v>
      </c>
      <c r="Q533">
        <f t="shared" si="115"/>
        <v>0</v>
      </c>
      <c r="R533">
        <f t="shared" si="116"/>
        <v>1083.98</v>
      </c>
    </row>
    <row r="534" spans="1:18" x14ac:dyDescent="0.3">
      <c r="A534" s="1">
        <v>41887</v>
      </c>
      <c r="B534" s="1">
        <v>41889</v>
      </c>
      <c r="C534">
        <v>5.67</v>
      </c>
      <c r="D534">
        <v>0.15</v>
      </c>
      <c r="E534">
        <v>4</v>
      </c>
      <c r="F534">
        <f t="shared" si="104"/>
        <v>0</v>
      </c>
      <c r="G534">
        <f t="shared" si="105"/>
        <v>0</v>
      </c>
      <c r="H534">
        <f t="shared" si="106"/>
        <v>2</v>
      </c>
      <c r="I534">
        <f t="shared" si="107"/>
        <v>0</v>
      </c>
      <c r="J534">
        <f t="shared" si="108"/>
        <v>0</v>
      </c>
      <c r="K534">
        <f t="shared" si="109"/>
        <v>80</v>
      </c>
      <c r="L534">
        <f t="shared" si="110"/>
        <v>5.82</v>
      </c>
      <c r="M534">
        <f t="shared" si="111"/>
        <v>85.82</v>
      </c>
      <c r="N534">
        <f t="shared" si="112"/>
        <v>0</v>
      </c>
      <c r="O534">
        <f t="shared" si="113"/>
        <v>0</v>
      </c>
      <c r="P534">
        <f t="shared" si="114"/>
        <v>85.82</v>
      </c>
      <c r="Q534">
        <f t="shared" si="115"/>
        <v>0</v>
      </c>
      <c r="R534">
        <f t="shared" si="116"/>
        <v>0</v>
      </c>
    </row>
    <row r="535" spans="1:18" x14ac:dyDescent="0.3">
      <c r="A535" s="1">
        <v>41887</v>
      </c>
      <c r="B535" s="1">
        <v>41889</v>
      </c>
      <c r="C535">
        <v>12.01</v>
      </c>
      <c r="D535">
        <v>0.32</v>
      </c>
      <c r="E535">
        <v>4</v>
      </c>
      <c r="F535">
        <f t="shared" si="104"/>
        <v>0</v>
      </c>
      <c r="G535">
        <f t="shared" si="105"/>
        <v>0</v>
      </c>
      <c r="H535">
        <f t="shared" si="106"/>
        <v>2</v>
      </c>
      <c r="I535">
        <f t="shared" si="107"/>
        <v>0</v>
      </c>
      <c r="J535">
        <f t="shared" si="108"/>
        <v>0</v>
      </c>
      <c r="K535">
        <f t="shared" si="109"/>
        <v>80</v>
      </c>
      <c r="L535">
        <f t="shared" si="110"/>
        <v>12.33</v>
      </c>
      <c r="M535">
        <f t="shared" si="111"/>
        <v>92.33</v>
      </c>
      <c r="N535">
        <f t="shared" si="112"/>
        <v>0</v>
      </c>
      <c r="O535">
        <f t="shared" si="113"/>
        <v>0</v>
      </c>
      <c r="P535">
        <f t="shared" si="114"/>
        <v>92.33</v>
      </c>
      <c r="Q535">
        <f t="shared" si="115"/>
        <v>0</v>
      </c>
      <c r="R535">
        <f t="shared" si="116"/>
        <v>0</v>
      </c>
    </row>
    <row r="536" spans="1:18" x14ac:dyDescent="0.3">
      <c r="A536" s="1">
        <v>41887</v>
      </c>
      <c r="B536" s="1">
        <v>41908</v>
      </c>
      <c r="C536">
        <v>6.58</v>
      </c>
      <c r="D536">
        <v>0.17</v>
      </c>
      <c r="E536">
        <v>6</v>
      </c>
      <c r="F536">
        <f t="shared" si="104"/>
        <v>0</v>
      </c>
      <c r="G536">
        <f t="shared" si="105"/>
        <v>0</v>
      </c>
      <c r="H536">
        <f t="shared" si="106"/>
        <v>0</v>
      </c>
      <c r="I536">
        <f t="shared" si="107"/>
        <v>0</v>
      </c>
      <c r="J536">
        <f t="shared" si="108"/>
        <v>21</v>
      </c>
      <c r="K536">
        <f t="shared" si="109"/>
        <v>1260</v>
      </c>
      <c r="L536">
        <f t="shared" si="110"/>
        <v>6.75</v>
      </c>
      <c r="M536">
        <f t="shared" si="111"/>
        <v>1266.75</v>
      </c>
      <c r="N536">
        <f t="shared" si="112"/>
        <v>0</v>
      </c>
      <c r="O536">
        <f t="shared" si="113"/>
        <v>0</v>
      </c>
      <c r="P536">
        <f t="shared" si="114"/>
        <v>0</v>
      </c>
      <c r="Q536">
        <f t="shared" si="115"/>
        <v>0</v>
      </c>
      <c r="R536">
        <f t="shared" si="116"/>
        <v>1266.75</v>
      </c>
    </row>
    <row r="537" spans="1:18" x14ac:dyDescent="0.3">
      <c r="A537" s="1">
        <v>41887</v>
      </c>
      <c r="B537" s="1">
        <v>41914</v>
      </c>
      <c r="C537">
        <v>3.79</v>
      </c>
      <c r="D537">
        <v>0.1</v>
      </c>
      <c r="E537">
        <v>3</v>
      </c>
      <c r="F537">
        <f t="shared" si="104"/>
        <v>0</v>
      </c>
      <c r="G537">
        <f t="shared" si="105"/>
        <v>27</v>
      </c>
      <c r="H537">
        <f t="shared" si="106"/>
        <v>0</v>
      </c>
      <c r="I537">
        <f t="shared" si="107"/>
        <v>0</v>
      </c>
      <c r="J537">
        <f t="shared" si="108"/>
        <v>0</v>
      </c>
      <c r="K537">
        <f t="shared" si="109"/>
        <v>810</v>
      </c>
      <c r="L537">
        <f t="shared" si="110"/>
        <v>3.89</v>
      </c>
      <c r="M537">
        <f t="shared" si="111"/>
        <v>813.89</v>
      </c>
      <c r="N537">
        <f t="shared" si="112"/>
        <v>0</v>
      </c>
      <c r="O537">
        <f t="shared" si="113"/>
        <v>813.89</v>
      </c>
      <c r="P537">
        <f t="shared" si="114"/>
        <v>0</v>
      </c>
      <c r="Q537">
        <f t="shared" si="115"/>
        <v>0</v>
      </c>
      <c r="R537">
        <f t="shared" si="116"/>
        <v>0</v>
      </c>
    </row>
    <row r="538" spans="1:18" x14ac:dyDescent="0.3">
      <c r="A538" s="1">
        <v>41887</v>
      </c>
      <c r="B538" s="1">
        <v>41891</v>
      </c>
      <c r="C538">
        <v>8.83</v>
      </c>
      <c r="D538">
        <v>0.23</v>
      </c>
      <c r="E538">
        <v>2</v>
      </c>
      <c r="F538">
        <f t="shared" si="104"/>
        <v>4</v>
      </c>
      <c r="G538">
        <f t="shared" si="105"/>
        <v>0</v>
      </c>
      <c r="H538">
        <f t="shared" si="106"/>
        <v>0</v>
      </c>
      <c r="I538">
        <f t="shared" si="107"/>
        <v>0</v>
      </c>
      <c r="J538">
        <f t="shared" si="108"/>
        <v>0</v>
      </c>
      <c r="K538">
        <f t="shared" si="109"/>
        <v>80</v>
      </c>
      <c r="L538">
        <f t="shared" si="110"/>
        <v>9.06</v>
      </c>
      <c r="M538">
        <f t="shared" si="111"/>
        <v>89.06</v>
      </c>
      <c r="N538">
        <f t="shared" si="112"/>
        <v>89.06</v>
      </c>
      <c r="O538">
        <f t="shared" si="113"/>
        <v>0</v>
      </c>
      <c r="P538">
        <f t="shared" si="114"/>
        <v>0</v>
      </c>
      <c r="Q538">
        <f t="shared" si="115"/>
        <v>0</v>
      </c>
      <c r="R538">
        <f t="shared" si="116"/>
        <v>0</v>
      </c>
    </row>
    <row r="539" spans="1:18" x14ac:dyDescent="0.3">
      <c r="A539" s="1">
        <v>41887</v>
      </c>
      <c r="B539" s="1">
        <v>41891</v>
      </c>
      <c r="C539">
        <v>14.31</v>
      </c>
      <c r="D539">
        <v>0.38</v>
      </c>
      <c r="E539">
        <v>3</v>
      </c>
      <c r="F539">
        <f t="shared" si="104"/>
        <v>0</v>
      </c>
      <c r="G539">
        <f t="shared" si="105"/>
        <v>4</v>
      </c>
      <c r="H539">
        <f t="shared" si="106"/>
        <v>0</v>
      </c>
      <c r="I539">
        <f t="shared" si="107"/>
        <v>0</v>
      </c>
      <c r="J539">
        <f t="shared" si="108"/>
        <v>0</v>
      </c>
      <c r="K539">
        <f t="shared" si="109"/>
        <v>120</v>
      </c>
      <c r="L539">
        <f t="shared" si="110"/>
        <v>14.690000000000001</v>
      </c>
      <c r="M539">
        <f t="shared" si="111"/>
        <v>134.69</v>
      </c>
      <c r="N539">
        <f t="shared" si="112"/>
        <v>0</v>
      </c>
      <c r="O539">
        <f t="shared" si="113"/>
        <v>134.69</v>
      </c>
      <c r="P539">
        <f t="shared" si="114"/>
        <v>0</v>
      </c>
      <c r="Q539">
        <f t="shared" si="115"/>
        <v>0</v>
      </c>
      <c r="R539">
        <f t="shared" si="116"/>
        <v>0</v>
      </c>
    </row>
    <row r="540" spans="1:18" x14ac:dyDescent="0.3">
      <c r="A540" s="1">
        <v>41887</v>
      </c>
      <c r="B540" s="1">
        <v>41900</v>
      </c>
      <c r="C540">
        <v>5.47</v>
      </c>
      <c r="D540">
        <v>0.14000000000000001</v>
      </c>
      <c r="E540">
        <v>3</v>
      </c>
      <c r="F540">
        <f t="shared" si="104"/>
        <v>0</v>
      </c>
      <c r="G540">
        <f t="shared" si="105"/>
        <v>13</v>
      </c>
      <c r="H540">
        <f t="shared" si="106"/>
        <v>0</v>
      </c>
      <c r="I540">
        <f t="shared" si="107"/>
        <v>0</v>
      </c>
      <c r="J540">
        <f t="shared" si="108"/>
        <v>0</v>
      </c>
      <c r="K540">
        <f t="shared" si="109"/>
        <v>390</v>
      </c>
      <c r="L540">
        <f t="shared" si="110"/>
        <v>5.6099999999999994</v>
      </c>
      <c r="M540">
        <f t="shared" si="111"/>
        <v>395.61</v>
      </c>
      <c r="N540">
        <f t="shared" si="112"/>
        <v>0</v>
      </c>
      <c r="O540">
        <f t="shared" si="113"/>
        <v>395.61</v>
      </c>
      <c r="P540">
        <f t="shared" si="114"/>
        <v>0</v>
      </c>
      <c r="Q540">
        <f t="shared" si="115"/>
        <v>0</v>
      </c>
      <c r="R540">
        <f t="shared" si="116"/>
        <v>0</v>
      </c>
    </row>
    <row r="541" spans="1:18" x14ac:dyDescent="0.3">
      <c r="A541" s="1">
        <v>41887</v>
      </c>
      <c r="B541" s="1">
        <v>41907</v>
      </c>
      <c r="C541">
        <v>8.9499999999999993</v>
      </c>
      <c r="D541">
        <v>0.24</v>
      </c>
      <c r="E541">
        <v>4</v>
      </c>
      <c r="F541">
        <f t="shared" si="104"/>
        <v>0</v>
      </c>
      <c r="G541">
        <f t="shared" si="105"/>
        <v>0</v>
      </c>
      <c r="H541">
        <f t="shared" si="106"/>
        <v>20</v>
      </c>
      <c r="I541">
        <f t="shared" si="107"/>
        <v>0</v>
      </c>
      <c r="J541">
        <f t="shared" si="108"/>
        <v>0</v>
      </c>
      <c r="K541">
        <f t="shared" si="109"/>
        <v>800</v>
      </c>
      <c r="L541">
        <f t="shared" si="110"/>
        <v>9.19</v>
      </c>
      <c r="M541">
        <f t="shared" si="111"/>
        <v>809.19</v>
      </c>
      <c r="N541">
        <f t="shared" si="112"/>
        <v>0</v>
      </c>
      <c r="O541">
        <f t="shared" si="113"/>
        <v>0</v>
      </c>
      <c r="P541">
        <f t="shared" si="114"/>
        <v>809.19</v>
      </c>
      <c r="Q541">
        <f t="shared" si="115"/>
        <v>0</v>
      </c>
      <c r="R541">
        <f t="shared" si="116"/>
        <v>0</v>
      </c>
    </row>
    <row r="542" spans="1:18" x14ac:dyDescent="0.3">
      <c r="A542" s="1">
        <v>41887</v>
      </c>
      <c r="B542" s="1">
        <v>41912</v>
      </c>
      <c r="C542">
        <v>4.25</v>
      </c>
      <c r="D542">
        <v>0.11</v>
      </c>
      <c r="E542">
        <v>5</v>
      </c>
      <c r="F542">
        <f t="shared" si="104"/>
        <v>0</v>
      </c>
      <c r="G542">
        <f t="shared" si="105"/>
        <v>0</v>
      </c>
      <c r="H542">
        <f t="shared" si="106"/>
        <v>0</v>
      </c>
      <c r="I542">
        <f t="shared" si="107"/>
        <v>25</v>
      </c>
      <c r="J542">
        <f t="shared" si="108"/>
        <v>0</v>
      </c>
      <c r="K542">
        <f t="shared" si="109"/>
        <v>1250</v>
      </c>
      <c r="L542">
        <f t="shared" si="110"/>
        <v>4.3600000000000003</v>
      </c>
      <c r="M542">
        <f t="shared" si="111"/>
        <v>1254.3599999999999</v>
      </c>
      <c r="N542">
        <f t="shared" si="112"/>
        <v>0</v>
      </c>
      <c r="O542">
        <f t="shared" si="113"/>
        <v>0</v>
      </c>
      <c r="P542">
        <f t="shared" si="114"/>
        <v>0</v>
      </c>
      <c r="Q542">
        <f t="shared" si="115"/>
        <v>1254.3599999999999</v>
      </c>
      <c r="R542">
        <f t="shared" si="116"/>
        <v>0</v>
      </c>
    </row>
    <row r="543" spans="1:18" x14ac:dyDescent="0.3">
      <c r="A543" s="1">
        <v>41887</v>
      </c>
      <c r="B543" s="1">
        <v>41894</v>
      </c>
      <c r="C543">
        <v>6.88</v>
      </c>
      <c r="D543">
        <v>0.18</v>
      </c>
      <c r="E543">
        <v>5</v>
      </c>
      <c r="F543">
        <f t="shared" si="104"/>
        <v>0</v>
      </c>
      <c r="G543">
        <f t="shared" si="105"/>
        <v>0</v>
      </c>
      <c r="H543">
        <f t="shared" si="106"/>
        <v>0</v>
      </c>
      <c r="I543">
        <f t="shared" si="107"/>
        <v>7</v>
      </c>
      <c r="J543">
        <f t="shared" si="108"/>
        <v>0</v>
      </c>
      <c r="K543">
        <f t="shared" si="109"/>
        <v>350</v>
      </c>
      <c r="L543">
        <f t="shared" si="110"/>
        <v>7.06</v>
      </c>
      <c r="M543">
        <f t="shared" si="111"/>
        <v>357.06</v>
      </c>
      <c r="N543">
        <f t="shared" si="112"/>
        <v>0</v>
      </c>
      <c r="O543">
        <f t="shared" si="113"/>
        <v>0</v>
      </c>
      <c r="P543">
        <f t="shared" si="114"/>
        <v>0</v>
      </c>
      <c r="Q543">
        <f t="shared" si="115"/>
        <v>357.06</v>
      </c>
      <c r="R543">
        <f t="shared" si="116"/>
        <v>0</v>
      </c>
    </row>
    <row r="544" spans="1:18" x14ac:dyDescent="0.3">
      <c r="A544" s="1">
        <v>41887</v>
      </c>
      <c r="B544" s="1">
        <v>41911</v>
      </c>
      <c r="C544">
        <v>8.89</v>
      </c>
      <c r="D544">
        <v>0.23</v>
      </c>
      <c r="E544">
        <v>3</v>
      </c>
      <c r="F544">
        <f t="shared" si="104"/>
        <v>0</v>
      </c>
      <c r="G544">
        <f t="shared" si="105"/>
        <v>24</v>
      </c>
      <c r="H544">
        <f t="shared" si="106"/>
        <v>0</v>
      </c>
      <c r="I544">
        <f t="shared" si="107"/>
        <v>0</v>
      </c>
      <c r="J544">
        <f t="shared" si="108"/>
        <v>0</v>
      </c>
      <c r="K544">
        <f t="shared" si="109"/>
        <v>720</v>
      </c>
      <c r="L544">
        <f t="shared" si="110"/>
        <v>9.120000000000001</v>
      </c>
      <c r="M544">
        <f t="shared" si="111"/>
        <v>729.12</v>
      </c>
      <c r="N544">
        <f t="shared" si="112"/>
        <v>0</v>
      </c>
      <c r="O544">
        <f t="shared" si="113"/>
        <v>729.12</v>
      </c>
      <c r="P544">
        <f t="shared" si="114"/>
        <v>0</v>
      </c>
      <c r="Q544">
        <f t="shared" si="115"/>
        <v>0</v>
      </c>
      <c r="R544">
        <f t="shared" si="116"/>
        <v>0</v>
      </c>
    </row>
    <row r="545" spans="1:18" x14ac:dyDescent="0.3">
      <c r="A545" s="1">
        <v>41889</v>
      </c>
      <c r="B545" s="1">
        <v>41916</v>
      </c>
      <c r="C545">
        <v>6.43</v>
      </c>
      <c r="D545">
        <v>0.17</v>
      </c>
      <c r="E545">
        <v>5</v>
      </c>
      <c r="F545">
        <f t="shared" si="104"/>
        <v>0</v>
      </c>
      <c r="G545">
        <f t="shared" si="105"/>
        <v>0</v>
      </c>
      <c r="H545">
        <f t="shared" si="106"/>
        <v>0</v>
      </c>
      <c r="I545">
        <f t="shared" si="107"/>
        <v>27</v>
      </c>
      <c r="J545">
        <f t="shared" si="108"/>
        <v>0</v>
      </c>
      <c r="K545">
        <f t="shared" si="109"/>
        <v>1350</v>
      </c>
      <c r="L545">
        <f t="shared" si="110"/>
        <v>6.6</v>
      </c>
      <c r="M545">
        <f t="shared" si="111"/>
        <v>1356.6</v>
      </c>
      <c r="N545">
        <f t="shared" si="112"/>
        <v>0</v>
      </c>
      <c r="O545">
        <f t="shared" si="113"/>
        <v>0</v>
      </c>
      <c r="P545">
        <f t="shared" si="114"/>
        <v>0</v>
      </c>
      <c r="Q545">
        <f t="shared" si="115"/>
        <v>1356.6</v>
      </c>
      <c r="R545">
        <f t="shared" si="116"/>
        <v>0</v>
      </c>
    </row>
    <row r="546" spans="1:18" x14ac:dyDescent="0.3">
      <c r="A546" s="1">
        <v>41890</v>
      </c>
      <c r="B546" s="1">
        <v>41918</v>
      </c>
      <c r="C546">
        <v>6.58</v>
      </c>
      <c r="D546">
        <v>0.17</v>
      </c>
      <c r="E546">
        <v>5</v>
      </c>
      <c r="F546">
        <f t="shared" si="104"/>
        <v>0</v>
      </c>
      <c r="G546">
        <f t="shared" si="105"/>
        <v>0</v>
      </c>
      <c r="H546">
        <f t="shared" si="106"/>
        <v>0</v>
      </c>
      <c r="I546">
        <f t="shared" si="107"/>
        <v>28</v>
      </c>
      <c r="J546">
        <f t="shared" si="108"/>
        <v>0</v>
      </c>
      <c r="K546">
        <f t="shared" si="109"/>
        <v>1400</v>
      </c>
      <c r="L546">
        <f t="shared" si="110"/>
        <v>6.75</v>
      </c>
      <c r="M546">
        <f t="shared" si="111"/>
        <v>1406.75</v>
      </c>
      <c r="N546">
        <f t="shared" si="112"/>
        <v>0</v>
      </c>
      <c r="O546">
        <f t="shared" si="113"/>
        <v>0</v>
      </c>
      <c r="P546">
        <f t="shared" si="114"/>
        <v>0</v>
      </c>
      <c r="Q546">
        <f t="shared" si="115"/>
        <v>1406.75</v>
      </c>
      <c r="R546">
        <f t="shared" si="116"/>
        <v>0</v>
      </c>
    </row>
    <row r="547" spans="1:18" x14ac:dyDescent="0.3">
      <c r="A547" s="1">
        <v>41890</v>
      </c>
      <c r="B547" s="1">
        <v>41898</v>
      </c>
      <c r="C547">
        <v>5.67</v>
      </c>
      <c r="D547">
        <v>0.15</v>
      </c>
      <c r="E547">
        <v>2</v>
      </c>
      <c r="F547">
        <f t="shared" si="104"/>
        <v>8</v>
      </c>
      <c r="G547">
        <f t="shared" si="105"/>
        <v>0</v>
      </c>
      <c r="H547">
        <f t="shared" si="106"/>
        <v>0</v>
      </c>
      <c r="I547">
        <f t="shared" si="107"/>
        <v>0</v>
      </c>
      <c r="J547">
        <f t="shared" si="108"/>
        <v>0</v>
      </c>
      <c r="K547">
        <f t="shared" si="109"/>
        <v>160</v>
      </c>
      <c r="L547">
        <f t="shared" si="110"/>
        <v>5.82</v>
      </c>
      <c r="M547">
        <f t="shared" si="111"/>
        <v>165.82</v>
      </c>
      <c r="N547">
        <f t="shared" si="112"/>
        <v>165.82</v>
      </c>
      <c r="O547">
        <f t="shared" si="113"/>
        <v>0</v>
      </c>
      <c r="P547">
        <f t="shared" si="114"/>
        <v>0</v>
      </c>
      <c r="Q547">
        <f t="shared" si="115"/>
        <v>0</v>
      </c>
      <c r="R547">
        <f t="shared" si="116"/>
        <v>0</v>
      </c>
    </row>
    <row r="548" spans="1:18" x14ac:dyDescent="0.3">
      <c r="A548" s="1">
        <v>41890</v>
      </c>
      <c r="B548" s="1">
        <v>41912</v>
      </c>
      <c r="C548">
        <v>3.57</v>
      </c>
      <c r="D548">
        <v>0.09</v>
      </c>
      <c r="E548">
        <v>3</v>
      </c>
      <c r="F548">
        <f t="shared" si="104"/>
        <v>0</v>
      </c>
      <c r="G548">
        <f t="shared" si="105"/>
        <v>22</v>
      </c>
      <c r="H548">
        <f t="shared" si="106"/>
        <v>0</v>
      </c>
      <c r="I548">
        <f t="shared" si="107"/>
        <v>0</v>
      </c>
      <c r="J548">
        <f t="shared" si="108"/>
        <v>0</v>
      </c>
      <c r="K548">
        <f t="shared" si="109"/>
        <v>660</v>
      </c>
      <c r="L548">
        <f t="shared" si="110"/>
        <v>3.6599999999999997</v>
      </c>
      <c r="M548">
        <f t="shared" si="111"/>
        <v>663.66</v>
      </c>
      <c r="N548">
        <f t="shared" si="112"/>
        <v>0</v>
      </c>
      <c r="O548">
        <f t="shared" si="113"/>
        <v>663.66</v>
      </c>
      <c r="P548">
        <f t="shared" si="114"/>
        <v>0</v>
      </c>
      <c r="Q548">
        <f t="shared" si="115"/>
        <v>0</v>
      </c>
      <c r="R548">
        <f t="shared" si="116"/>
        <v>0</v>
      </c>
    </row>
    <row r="549" spans="1:18" x14ac:dyDescent="0.3">
      <c r="A549" s="1">
        <v>41890</v>
      </c>
      <c r="B549" s="1">
        <v>41895</v>
      </c>
      <c r="C549">
        <v>3.73</v>
      </c>
      <c r="D549">
        <v>0.1</v>
      </c>
      <c r="E549">
        <v>3</v>
      </c>
      <c r="F549">
        <f t="shared" si="104"/>
        <v>0</v>
      </c>
      <c r="G549">
        <f t="shared" si="105"/>
        <v>5</v>
      </c>
      <c r="H549">
        <f t="shared" si="106"/>
        <v>0</v>
      </c>
      <c r="I549">
        <f t="shared" si="107"/>
        <v>0</v>
      </c>
      <c r="J549">
        <f t="shared" si="108"/>
        <v>0</v>
      </c>
      <c r="K549">
        <f t="shared" si="109"/>
        <v>150</v>
      </c>
      <c r="L549">
        <f t="shared" si="110"/>
        <v>3.83</v>
      </c>
      <c r="M549">
        <f t="shared" si="111"/>
        <v>153.83000000000001</v>
      </c>
      <c r="N549">
        <f t="shared" si="112"/>
        <v>0</v>
      </c>
      <c r="O549">
        <f t="shared" si="113"/>
        <v>153.83000000000001</v>
      </c>
      <c r="P549">
        <f t="shared" si="114"/>
        <v>0</v>
      </c>
      <c r="Q549">
        <f t="shared" si="115"/>
        <v>0</v>
      </c>
      <c r="R549">
        <f t="shared" si="116"/>
        <v>0</v>
      </c>
    </row>
    <row r="550" spans="1:18" x14ac:dyDescent="0.3">
      <c r="A550" s="1">
        <v>41893</v>
      </c>
      <c r="B550" s="1">
        <v>41900</v>
      </c>
      <c r="C550">
        <v>8.5399999999999991</v>
      </c>
      <c r="D550">
        <v>0.22</v>
      </c>
      <c r="E550">
        <v>4</v>
      </c>
      <c r="F550">
        <f t="shared" si="104"/>
        <v>0</v>
      </c>
      <c r="G550">
        <f t="shared" si="105"/>
        <v>0</v>
      </c>
      <c r="H550">
        <f t="shared" si="106"/>
        <v>7</v>
      </c>
      <c r="I550">
        <f t="shared" si="107"/>
        <v>0</v>
      </c>
      <c r="J550">
        <f t="shared" si="108"/>
        <v>0</v>
      </c>
      <c r="K550">
        <f t="shared" si="109"/>
        <v>280</v>
      </c>
      <c r="L550">
        <f t="shared" si="110"/>
        <v>8.76</v>
      </c>
      <c r="M550">
        <f t="shared" si="111"/>
        <v>288.76</v>
      </c>
      <c r="N550">
        <f t="shared" si="112"/>
        <v>0</v>
      </c>
      <c r="O550">
        <f t="shared" si="113"/>
        <v>0</v>
      </c>
      <c r="P550">
        <f t="shared" si="114"/>
        <v>288.76</v>
      </c>
      <c r="Q550">
        <f t="shared" si="115"/>
        <v>0</v>
      </c>
      <c r="R550">
        <f t="shared" si="116"/>
        <v>0</v>
      </c>
    </row>
    <row r="551" spans="1:18" x14ac:dyDescent="0.3">
      <c r="A551" s="1">
        <v>41893</v>
      </c>
      <c r="B551" s="1">
        <v>41898</v>
      </c>
      <c r="C551">
        <v>16.829999999999998</v>
      </c>
      <c r="D551">
        <v>0.44</v>
      </c>
      <c r="E551">
        <v>3</v>
      </c>
      <c r="F551">
        <f t="shared" si="104"/>
        <v>0</v>
      </c>
      <c r="G551">
        <f t="shared" si="105"/>
        <v>5</v>
      </c>
      <c r="H551">
        <f t="shared" si="106"/>
        <v>0</v>
      </c>
      <c r="I551">
        <f t="shared" si="107"/>
        <v>0</v>
      </c>
      <c r="J551">
        <f t="shared" si="108"/>
        <v>0</v>
      </c>
      <c r="K551">
        <f t="shared" si="109"/>
        <v>150</v>
      </c>
      <c r="L551">
        <f t="shared" si="110"/>
        <v>17.27</v>
      </c>
      <c r="M551">
        <f t="shared" si="111"/>
        <v>167.27</v>
      </c>
      <c r="N551">
        <f t="shared" si="112"/>
        <v>0</v>
      </c>
      <c r="O551">
        <f t="shared" si="113"/>
        <v>167.27</v>
      </c>
      <c r="P551">
        <f t="shared" si="114"/>
        <v>0</v>
      </c>
      <c r="Q551">
        <f t="shared" si="115"/>
        <v>0</v>
      </c>
      <c r="R551">
        <f t="shared" si="116"/>
        <v>0</v>
      </c>
    </row>
    <row r="552" spans="1:18" x14ac:dyDescent="0.3">
      <c r="A552" s="1">
        <v>41893</v>
      </c>
      <c r="B552" s="1">
        <v>41918</v>
      </c>
      <c r="C552">
        <v>11.42</v>
      </c>
      <c r="D552">
        <v>0.3</v>
      </c>
      <c r="E552">
        <v>6</v>
      </c>
      <c r="F552">
        <f t="shared" si="104"/>
        <v>0</v>
      </c>
      <c r="G552">
        <f t="shared" si="105"/>
        <v>0</v>
      </c>
      <c r="H552">
        <f t="shared" si="106"/>
        <v>0</v>
      </c>
      <c r="I552">
        <f t="shared" si="107"/>
        <v>0</v>
      </c>
      <c r="J552">
        <f t="shared" si="108"/>
        <v>25</v>
      </c>
      <c r="K552">
        <f t="shared" si="109"/>
        <v>1500</v>
      </c>
      <c r="L552">
        <f t="shared" si="110"/>
        <v>11.72</v>
      </c>
      <c r="M552">
        <f t="shared" si="111"/>
        <v>1511.72</v>
      </c>
      <c r="N552">
        <f t="shared" si="112"/>
        <v>0</v>
      </c>
      <c r="O552">
        <f t="shared" si="113"/>
        <v>0</v>
      </c>
      <c r="P552">
        <f t="shared" si="114"/>
        <v>0</v>
      </c>
      <c r="Q552">
        <f t="shared" si="115"/>
        <v>0</v>
      </c>
      <c r="R552">
        <f t="shared" si="116"/>
        <v>1511.72</v>
      </c>
    </row>
    <row r="553" spans="1:18" x14ac:dyDescent="0.3">
      <c r="A553" s="1">
        <v>41893</v>
      </c>
      <c r="B553" s="1">
        <v>41899</v>
      </c>
      <c r="C553">
        <v>8.84</v>
      </c>
      <c r="D553">
        <v>0.23</v>
      </c>
      <c r="E553">
        <v>2</v>
      </c>
      <c r="F553">
        <f t="shared" si="104"/>
        <v>6</v>
      </c>
      <c r="G553">
        <f t="shared" si="105"/>
        <v>0</v>
      </c>
      <c r="H553">
        <f t="shared" si="106"/>
        <v>0</v>
      </c>
      <c r="I553">
        <f t="shared" si="107"/>
        <v>0</v>
      </c>
      <c r="J553">
        <f t="shared" si="108"/>
        <v>0</v>
      </c>
      <c r="K553">
        <f t="shared" si="109"/>
        <v>120</v>
      </c>
      <c r="L553">
        <f t="shared" si="110"/>
        <v>9.07</v>
      </c>
      <c r="M553">
        <f t="shared" si="111"/>
        <v>129.07</v>
      </c>
      <c r="N553">
        <f t="shared" si="112"/>
        <v>129.07</v>
      </c>
      <c r="O553">
        <f t="shared" si="113"/>
        <v>0</v>
      </c>
      <c r="P553">
        <f t="shared" si="114"/>
        <v>0</v>
      </c>
      <c r="Q553">
        <f t="shared" si="115"/>
        <v>0</v>
      </c>
      <c r="R553">
        <f t="shared" si="116"/>
        <v>0</v>
      </c>
    </row>
    <row r="554" spans="1:18" x14ac:dyDescent="0.3">
      <c r="A554" s="1">
        <v>41893</v>
      </c>
      <c r="B554" s="1">
        <v>41906</v>
      </c>
      <c r="C554">
        <v>6.75</v>
      </c>
      <c r="D554">
        <v>0.18</v>
      </c>
      <c r="E554">
        <v>6</v>
      </c>
      <c r="F554">
        <f t="shared" si="104"/>
        <v>0</v>
      </c>
      <c r="G554">
        <f t="shared" si="105"/>
        <v>0</v>
      </c>
      <c r="H554">
        <f t="shared" si="106"/>
        <v>0</v>
      </c>
      <c r="I554">
        <f t="shared" si="107"/>
        <v>0</v>
      </c>
      <c r="J554">
        <f t="shared" si="108"/>
        <v>13</v>
      </c>
      <c r="K554">
        <f t="shared" si="109"/>
        <v>780</v>
      </c>
      <c r="L554">
        <f t="shared" si="110"/>
        <v>6.93</v>
      </c>
      <c r="M554">
        <f t="shared" si="111"/>
        <v>786.93</v>
      </c>
      <c r="N554">
        <f t="shared" si="112"/>
        <v>0</v>
      </c>
      <c r="O554">
        <f t="shared" si="113"/>
        <v>0</v>
      </c>
      <c r="P554">
        <f t="shared" si="114"/>
        <v>0</v>
      </c>
      <c r="Q554">
        <f t="shared" si="115"/>
        <v>0</v>
      </c>
      <c r="R554">
        <f t="shared" si="116"/>
        <v>786.93</v>
      </c>
    </row>
    <row r="555" spans="1:18" x14ac:dyDescent="0.3">
      <c r="A555" s="1">
        <v>41893</v>
      </c>
      <c r="B555" s="1">
        <v>41919</v>
      </c>
      <c r="C555">
        <v>7.35</v>
      </c>
      <c r="D555">
        <v>0.19</v>
      </c>
      <c r="E555">
        <v>5</v>
      </c>
      <c r="F555">
        <f t="shared" si="104"/>
        <v>0</v>
      </c>
      <c r="G555">
        <f t="shared" si="105"/>
        <v>0</v>
      </c>
      <c r="H555">
        <f t="shared" si="106"/>
        <v>0</v>
      </c>
      <c r="I555">
        <f t="shared" si="107"/>
        <v>26</v>
      </c>
      <c r="J555">
        <f t="shared" si="108"/>
        <v>0</v>
      </c>
      <c r="K555">
        <f t="shared" si="109"/>
        <v>1300</v>
      </c>
      <c r="L555">
        <f t="shared" si="110"/>
        <v>7.54</v>
      </c>
      <c r="M555">
        <f t="shared" si="111"/>
        <v>1307.54</v>
      </c>
      <c r="N555">
        <f t="shared" si="112"/>
        <v>0</v>
      </c>
      <c r="O555">
        <f t="shared" si="113"/>
        <v>0</v>
      </c>
      <c r="P555">
        <f t="shared" si="114"/>
        <v>0</v>
      </c>
      <c r="Q555">
        <f t="shared" si="115"/>
        <v>1307.54</v>
      </c>
      <c r="R555">
        <f t="shared" si="116"/>
        <v>0</v>
      </c>
    </row>
    <row r="556" spans="1:18" x14ac:dyDescent="0.3">
      <c r="A556" s="1">
        <v>41897</v>
      </c>
      <c r="B556" s="1">
        <v>41921</v>
      </c>
      <c r="C556">
        <v>3.57</v>
      </c>
      <c r="D556">
        <v>0.09</v>
      </c>
      <c r="E556">
        <v>4</v>
      </c>
      <c r="F556">
        <f t="shared" si="104"/>
        <v>0</v>
      </c>
      <c r="G556">
        <f t="shared" si="105"/>
        <v>0</v>
      </c>
      <c r="H556">
        <f t="shared" si="106"/>
        <v>24</v>
      </c>
      <c r="I556">
        <f t="shared" si="107"/>
        <v>0</v>
      </c>
      <c r="J556">
        <f t="shared" si="108"/>
        <v>0</v>
      </c>
      <c r="K556">
        <f t="shared" si="109"/>
        <v>960</v>
      </c>
      <c r="L556">
        <f t="shared" si="110"/>
        <v>3.6599999999999997</v>
      </c>
      <c r="M556">
        <f t="shared" si="111"/>
        <v>963.66</v>
      </c>
      <c r="N556">
        <f t="shared" si="112"/>
        <v>0</v>
      </c>
      <c r="O556">
        <f t="shared" si="113"/>
        <v>0</v>
      </c>
      <c r="P556">
        <f t="shared" si="114"/>
        <v>963.66</v>
      </c>
      <c r="Q556">
        <f t="shared" si="115"/>
        <v>0</v>
      </c>
      <c r="R556">
        <f t="shared" si="116"/>
        <v>0</v>
      </c>
    </row>
    <row r="557" spans="1:18" x14ac:dyDescent="0.3">
      <c r="A557" s="1">
        <v>41897</v>
      </c>
      <c r="B557" s="1">
        <v>41905</v>
      </c>
      <c r="C557">
        <v>9.06</v>
      </c>
      <c r="D557">
        <v>0.24</v>
      </c>
      <c r="E557">
        <v>5</v>
      </c>
      <c r="F557">
        <f t="shared" si="104"/>
        <v>0</v>
      </c>
      <c r="G557">
        <f t="shared" si="105"/>
        <v>0</v>
      </c>
      <c r="H557">
        <f t="shared" si="106"/>
        <v>0</v>
      </c>
      <c r="I557">
        <f t="shared" si="107"/>
        <v>8</v>
      </c>
      <c r="J557">
        <f t="shared" si="108"/>
        <v>0</v>
      </c>
      <c r="K557">
        <f t="shared" si="109"/>
        <v>400</v>
      </c>
      <c r="L557">
        <f t="shared" si="110"/>
        <v>9.3000000000000007</v>
      </c>
      <c r="M557">
        <f t="shared" si="111"/>
        <v>409.3</v>
      </c>
      <c r="N557">
        <f t="shared" si="112"/>
        <v>0</v>
      </c>
      <c r="O557">
        <f t="shared" si="113"/>
        <v>0</v>
      </c>
      <c r="P557">
        <f t="shared" si="114"/>
        <v>0</v>
      </c>
      <c r="Q557">
        <f t="shared" si="115"/>
        <v>409.3</v>
      </c>
      <c r="R557">
        <f t="shared" si="116"/>
        <v>0</v>
      </c>
    </row>
    <row r="558" spans="1:18" x14ac:dyDescent="0.3">
      <c r="A558" s="1">
        <v>41898</v>
      </c>
      <c r="B558" s="1">
        <v>41906</v>
      </c>
      <c r="C558">
        <v>9.4600000000000009</v>
      </c>
      <c r="D558">
        <v>0.25</v>
      </c>
      <c r="E558">
        <v>4</v>
      </c>
      <c r="F558">
        <f t="shared" si="104"/>
        <v>0</v>
      </c>
      <c r="G558">
        <f t="shared" si="105"/>
        <v>0</v>
      </c>
      <c r="H558">
        <f t="shared" si="106"/>
        <v>8</v>
      </c>
      <c r="I558">
        <f t="shared" si="107"/>
        <v>0</v>
      </c>
      <c r="J558">
        <f t="shared" si="108"/>
        <v>0</v>
      </c>
      <c r="K558">
        <f t="shared" si="109"/>
        <v>320</v>
      </c>
      <c r="L558">
        <f t="shared" si="110"/>
        <v>9.7100000000000009</v>
      </c>
      <c r="M558">
        <f t="shared" si="111"/>
        <v>329.71</v>
      </c>
      <c r="N558">
        <f t="shared" si="112"/>
        <v>0</v>
      </c>
      <c r="O558">
        <f t="shared" si="113"/>
        <v>0</v>
      </c>
      <c r="P558">
        <f t="shared" si="114"/>
        <v>329.71</v>
      </c>
      <c r="Q558">
        <f t="shared" si="115"/>
        <v>0</v>
      </c>
      <c r="R558">
        <f t="shared" si="116"/>
        <v>0</v>
      </c>
    </row>
    <row r="559" spans="1:18" x14ac:dyDescent="0.3">
      <c r="A559" s="1">
        <v>41898</v>
      </c>
      <c r="B559" s="1">
        <v>41924</v>
      </c>
      <c r="C559">
        <v>8.9499999999999993</v>
      </c>
      <c r="D559">
        <v>0.24</v>
      </c>
      <c r="E559">
        <v>5</v>
      </c>
      <c r="F559">
        <f t="shared" si="104"/>
        <v>0</v>
      </c>
      <c r="G559">
        <f t="shared" si="105"/>
        <v>0</v>
      </c>
      <c r="H559">
        <f t="shared" si="106"/>
        <v>0</v>
      </c>
      <c r="I559">
        <f t="shared" si="107"/>
        <v>26</v>
      </c>
      <c r="J559">
        <f t="shared" si="108"/>
        <v>0</v>
      </c>
      <c r="K559">
        <f t="shared" si="109"/>
        <v>1300</v>
      </c>
      <c r="L559">
        <f t="shared" si="110"/>
        <v>9.19</v>
      </c>
      <c r="M559">
        <f t="shared" si="111"/>
        <v>1309.19</v>
      </c>
      <c r="N559">
        <f t="shared" si="112"/>
        <v>0</v>
      </c>
      <c r="O559">
        <f t="shared" si="113"/>
        <v>0</v>
      </c>
      <c r="P559">
        <f t="shared" si="114"/>
        <v>0</v>
      </c>
      <c r="Q559">
        <f t="shared" si="115"/>
        <v>1309.19</v>
      </c>
      <c r="R559">
        <f t="shared" si="116"/>
        <v>0</v>
      </c>
    </row>
    <row r="560" spans="1:18" x14ac:dyDescent="0.3">
      <c r="A560" s="1">
        <v>41898</v>
      </c>
      <c r="B560" s="1">
        <v>41923</v>
      </c>
      <c r="C560">
        <v>9.06</v>
      </c>
      <c r="D560">
        <v>0.24</v>
      </c>
      <c r="E560">
        <v>2</v>
      </c>
      <c r="F560">
        <f t="shared" si="104"/>
        <v>25</v>
      </c>
      <c r="G560">
        <f t="shared" si="105"/>
        <v>0</v>
      </c>
      <c r="H560">
        <f t="shared" si="106"/>
        <v>0</v>
      </c>
      <c r="I560">
        <f t="shared" si="107"/>
        <v>0</v>
      </c>
      <c r="J560">
        <f t="shared" si="108"/>
        <v>0</v>
      </c>
      <c r="K560">
        <f t="shared" si="109"/>
        <v>500</v>
      </c>
      <c r="L560">
        <f t="shared" si="110"/>
        <v>9.3000000000000007</v>
      </c>
      <c r="M560">
        <f t="shared" si="111"/>
        <v>509.3</v>
      </c>
      <c r="N560">
        <f t="shared" si="112"/>
        <v>509.3</v>
      </c>
      <c r="O560">
        <f t="shared" si="113"/>
        <v>0</v>
      </c>
      <c r="P560">
        <f t="shared" si="114"/>
        <v>0</v>
      </c>
      <c r="Q560">
        <f t="shared" si="115"/>
        <v>0</v>
      </c>
      <c r="R560">
        <f t="shared" si="116"/>
        <v>0</v>
      </c>
    </row>
    <row r="561" spans="1:18" x14ac:dyDescent="0.3">
      <c r="A561" s="1">
        <v>41898</v>
      </c>
      <c r="B561" s="1">
        <v>41904</v>
      </c>
      <c r="C561">
        <v>6.88</v>
      </c>
      <c r="D561">
        <v>0.18</v>
      </c>
      <c r="E561">
        <v>3</v>
      </c>
      <c r="F561">
        <f t="shared" si="104"/>
        <v>0</v>
      </c>
      <c r="G561">
        <f t="shared" si="105"/>
        <v>6</v>
      </c>
      <c r="H561">
        <f t="shared" si="106"/>
        <v>0</v>
      </c>
      <c r="I561">
        <f t="shared" si="107"/>
        <v>0</v>
      </c>
      <c r="J561">
        <f t="shared" si="108"/>
        <v>0</v>
      </c>
      <c r="K561">
        <f t="shared" si="109"/>
        <v>180</v>
      </c>
      <c r="L561">
        <f t="shared" si="110"/>
        <v>7.06</v>
      </c>
      <c r="M561">
        <f t="shared" si="111"/>
        <v>187.06</v>
      </c>
      <c r="N561">
        <f t="shared" si="112"/>
        <v>0</v>
      </c>
      <c r="O561">
        <f t="shared" si="113"/>
        <v>187.06</v>
      </c>
      <c r="P561">
        <f t="shared" si="114"/>
        <v>0</v>
      </c>
      <c r="Q561">
        <f t="shared" si="115"/>
        <v>0</v>
      </c>
      <c r="R561">
        <f t="shared" si="116"/>
        <v>0</v>
      </c>
    </row>
    <row r="562" spans="1:18" x14ac:dyDescent="0.3">
      <c r="A562" s="1">
        <v>41898</v>
      </c>
      <c r="B562" s="1">
        <v>41917</v>
      </c>
      <c r="C562">
        <v>9.1300000000000008</v>
      </c>
      <c r="D562">
        <v>0.24</v>
      </c>
      <c r="E562">
        <v>4</v>
      </c>
      <c r="F562">
        <f t="shared" si="104"/>
        <v>0</v>
      </c>
      <c r="G562">
        <f t="shared" si="105"/>
        <v>0</v>
      </c>
      <c r="H562">
        <f t="shared" si="106"/>
        <v>19</v>
      </c>
      <c r="I562">
        <f t="shared" si="107"/>
        <v>0</v>
      </c>
      <c r="J562">
        <f t="shared" si="108"/>
        <v>0</v>
      </c>
      <c r="K562">
        <f t="shared" si="109"/>
        <v>760</v>
      </c>
      <c r="L562">
        <f t="shared" si="110"/>
        <v>9.370000000000001</v>
      </c>
      <c r="M562">
        <f t="shared" si="111"/>
        <v>769.37</v>
      </c>
      <c r="N562">
        <f t="shared" si="112"/>
        <v>0</v>
      </c>
      <c r="O562">
        <f t="shared" si="113"/>
        <v>0</v>
      </c>
      <c r="P562">
        <f t="shared" si="114"/>
        <v>769.37</v>
      </c>
      <c r="Q562">
        <f t="shared" si="115"/>
        <v>0</v>
      </c>
      <c r="R562">
        <f t="shared" si="116"/>
        <v>0</v>
      </c>
    </row>
    <row r="563" spans="1:18" x14ac:dyDescent="0.3">
      <c r="A563" s="1">
        <v>41898</v>
      </c>
      <c r="B563" s="1">
        <v>41924</v>
      </c>
      <c r="C563">
        <v>12.01</v>
      </c>
      <c r="D563">
        <v>0.32</v>
      </c>
      <c r="E563">
        <v>3</v>
      </c>
      <c r="F563">
        <f t="shared" si="104"/>
        <v>0</v>
      </c>
      <c r="G563">
        <f t="shared" si="105"/>
        <v>26</v>
      </c>
      <c r="H563">
        <f t="shared" si="106"/>
        <v>0</v>
      </c>
      <c r="I563">
        <f t="shared" si="107"/>
        <v>0</v>
      </c>
      <c r="J563">
        <f t="shared" si="108"/>
        <v>0</v>
      </c>
      <c r="K563">
        <f t="shared" si="109"/>
        <v>780</v>
      </c>
      <c r="L563">
        <f t="shared" si="110"/>
        <v>12.33</v>
      </c>
      <c r="M563">
        <f t="shared" si="111"/>
        <v>792.33</v>
      </c>
      <c r="N563">
        <f t="shared" si="112"/>
        <v>0</v>
      </c>
      <c r="O563">
        <f t="shared" si="113"/>
        <v>792.33</v>
      </c>
      <c r="P563">
        <f t="shared" si="114"/>
        <v>0</v>
      </c>
      <c r="Q563">
        <f t="shared" si="115"/>
        <v>0</v>
      </c>
      <c r="R563">
        <f t="shared" si="116"/>
        <v>0</v>
      </c>
    </row>
    <row r="564" spans="1:18" x14ac:dyDescent="0.3">
      <c r="A564" s="1">
        <v>41898</v>
      </c>
      <c r="B564" s="1">
        <v>41920</v>
      </c>
      <c r="C564">
        <v>19.54</v>
      </c>
      <c r="D564">
        <v>0.51</v>
      </c>
      <c r="E564">
        <v>5</v>
      </c>
      <c r="F564">
        <f t="shared" si="104"/>
        <v>0</v>
      </c>
      <c r="G564">
        <f t="shared" si="105"/>
        <v>0</v>
      </c>
      <c r="H564">
        <f t="shared" si="106"/>
        <v>0</v>
      </c>
      <c r="I564">
        <f t="shared" si="107"/>
        <v>22</v>
      </c>
      <c r="J564">
        <f t="shared" si="108"/>
        <v>0</v>
      </c>
      <c r="K564">
        <f t="shared" si="109"/>
        <v>1100</v>
      </c>
      <c r="L564">
        <f t="shared" si="110"/>
        <v>20.05</v>
      </c>
      <c r="M564">
        <f t="shared" si="111"/>
        <v>1120.05</v>
      </c>
      <c r="N564">
        <f t="shared" si="112"/>
        <v>0</v>
      </c>
      <c r="O564">
        <f t="shared" si="113"/>
        <v>0</v>
      </c>
      <c r="P564">
        <f t="shared" si="114"/>
        <v>0</v>
      </c>
      <c r="Q564">
        <f t="shared" si="115"/>
        <v>1120.05</v>
      </c>
      <c r="R564">
        <f t="shared" si="116"/>
        <v>0</v>
      </c>
    </row>
    <row r="565" spans="1:18" x14ac:dyDescent="0.3">
      <c r="A565" s="1">
        <v>41898</v>
      </c>
      <c r="B565" s="1">
        <v>41918</v>
      </c>
      <c r="C565">
        <v>10.199999999999999</v>
      </c>
      <c r="D565">
        <v>0.27</v>
      </c>
      <c r="E565">
        <v>5</v>
      </c>
      <c r="F565">
        <f t="shared" si="104"/>
        <v>0</v>
      </c>
      <c r="G565">
        <f t="shared" si="105"/>
        <v>0</v>
      </c>
      <c r="H565">
        <f t="shared" si="106"/>
        <v>0</v>
      </c>
      <c r="I565">
        <f t="shared" si="107"/>
        <v>20</v>
      </c>
      <c r="J565">
        <f t="shared" si="108"/>
        <v>0</v>
      </c>
      <c r="K565">
        <f t="shared" si="109"/>
        <v>1000</v>
      </c>
      <c r="L565">
        <f t="shared" si="110"/>
        <v>10.469999999999999</v>
      </c>
      <c r="M565">
        <f t="shared" si="111"/>
        <v>1010.47</v>
      </c>
      <c r="N565">
        <f t="shared" si="112"/>
        <v>0</v>
      </c>
      <c r="O565">
        <f t="shared" si="113"/>
        <v>0</v>
      </c>
      <c r="P565">
        <f t="shared" si="114"/>
        <v>0</v>
      </c>
      <c r="Q565">
        <f t="shared" si="115"/>
        <v>1010.47</v>
      </c>
      <c r="R565">
        <f t="shared" si="116"/>
        <v>0</v>
      </c>
    </row>
    <row r="566" spans="1:18" x14ac:dyDescent="0.3">
      <c r="A566" s="1">
        <v>41898</v>
      </c>
      <c r="B566" s="1">
        <v>41910</v>
      </c>
      <c r="C566">
        <v>14.31</v>
      </c>
      <c r="D566">
        <v>0.38</v>
      </c>
      <c r="E566">
        <v>6</v>
      </c>
      <c r="F566">
        <f t="shared" si="104"/>
        <v>0</v>
      </c>
      <c r="G566">
        <f t="shared" si="105"/>
        <v>0</v>
      </c>
      <c r="H566">
        <f t="shared" si="106"/>
        <v>0</v>
      </c>
      <c r="I566">
        <f t="shared" si="107"/>
        <v>0</v>
      </c>
      <c r="J566">
        <f t="shared" si="108"/>
        <v>12</v>
      </c>
      <c r="K566">
        <f t="shared" si="109"/>
        <v>720</v>
      </c>
      <c r="L566">
        <f t="shared" si="110"/>
        <v>14.690000000000001</v>
      </c>
      <c r="M566">
        <f t="shared" si="111"/>
        <v>734.69</v>
      </c>
      <c r="N566">
        <f t="shared" si="112"/>
        <v>0</v>
      </c>
      <c r="O566">
        <f t="shared" si="113"/>
        <v>0</v>
      </c>
      <c r="P566">
        <f t="shared" si="114"/>
        <v>0</v>
      </c>
      <c r="Q566">
        <f t="shared" si="115"/>
        <v>0</v>
      </c>
      <c r="R566">
        <f t="shared" si="116"/>
        <v>734.69</v>
      </c>
    </row>
    <row r="567" spans="1:18" x14ac:dyDescent="0.3">
      <c r="A567" s="1">
        <v>41898</v>
      </c>
      <c r="B567" s="1">
        <v>41924</v>
      </c>
      <c r="C567">
        <v>8.89</v>
      </c>
      <c r="D567">
        <v>0.23</v>
      </c>
      <c r="E567">
        <v>6</v>
      </c>
      <c r="F567">
        <f t="shared" si="104"/>
        <v>0</v>
      </c>
      <c r="G567">
        <f t="shared" si="105"/>
        <v>0</v>
      </c>
      <c r="H567">
        <f t="shared" si="106"/>
        <v>0</v>
      </c>
      <c r="I567">
        <f t="shared" si="107"/>
        <v>0</v>
      </c>
      <c r="J567">
        <f t="shared" si="108"/>
        <v>26</v>
      </c>
      <c r="K567">
        <f t="shared" si="109"/>
        <v>1560</v>
      </c>
      <c r="L567">
        <f t="shared" si="110"/>
        <v>9.120000000000001</v>
      </c>
      <c r="M567">
        <f t="shared" si="111"/>
        <v>1569.12</v>
      </c>
      <c r="N567">
        <f t="shared" si="112"/>
        <v>0</v>
      </c>
      <c r="O567">
        <f t="shared" si="113"/>
        <v>0</v>
      </c>
      <c r="P567">
        <f t="shared" si="114"/>
        <v>0</v>
      </c>
      <c r="Q567">
        <f t="shared" si="115"/>
        <v>0</v>
      </c>
      <c r="R567">
        <f t="shared" si="116"/>
        <v>1569.12</v>
      </c>
    </row>
    <row r="568" spans="1:18" x14ac:dyDescent="0.3">
      <c r="A568" s="1">
        <v>41898</v>
      </c>
      <c r="B568" s="1">
        <v>41925</v>
      </c>
      <c r="C568">
        <v>11.44</v>
      </c>
      <c r="D568">
        <v>0.3</v>
      </c>
      <c r="E568">
        <v>2</v>
      </c>
      <c r="F568">
        <f t="shared" si="104"/>
        <v>27</v>
      </c>
      <c r="G568">
        <f t="shared" si="105"/>
        <v>0</v>
      </c>
      <c r="H568">
        <f t="shared" si="106"/>
        <v>0</v>
      </c>
      <c r="I568">
        <f t="shared" si="107"/>
        <v>0</v>
      </c>
      <c r="J568">
        <f t="shared" si="108"/>
        <v>0</v>
      </c>
      <c r="K568">
        <f t="shared" si="109"/>
        <v>540</v>
      </c>
      <c r="L568">
        <f t="shared" si="110"/>
        <v>11.74</v>
      </c>
      <c r="M568">
        <f t="shared" si="111"/>
        <v>551.74</v>
      </c>
      <c r="N568">
        <f t="shared" si="112"/>
        <v>551.74</v>
      </c>
      <c r="O568">
        <f t="shared" si="113"/>
        <v>0</v>
      </c>
      <c r="P568">
        <f t="shared" si="114"/>
        <v>0</v>
      </c>
      <c r="Q568">
        <f t="shared" si="115"/>
        <v>0</v>
      </c>
      <c r="R568">
        <f t="shared" si="116"/>
        <v>0</v>
      </c>
    </row>
    <row r="569" spans="1:18" x14ac:dyDescent="0.3">
      <c r="A569" s="1">
        <v>41898</v>
      </c>
      <c r="B569" s="1">
        <v>41911</v>
      </c>
      <c r="C569">
        <v>6.43</v>
      </c>
      <c r="D569">
        <v>0.17</v>
      </c>
      <c r="E569">
        <v>5</v>
      </c>
      <c r="F569">
        <f t="shared" si="104"/>
        <v>0</v>
      </c>
      <c r="G569">
        <f t="shared" si="105"/>
        <v>0</v>
      </c>
      <c r="H569">
        <f t="shared" si="106"/>
        <v>0</v>
      </c>
      <c r="I569">
        <f t="shared" si="107"/>
        <v>13</v>
      </c>
      <c r="J569">
        <f t="shared" si="108"/>
        <v>0</v>
      </c>
      <c r="K569">
        <f t="shared" si="109"/>
        <v>650</v>
      </c>
      <c r="L569">
        <f t="shared" si="110"/>
        <v>6.6</v>
      </c>
      <c r="M569">
        <f t="shared" si="111"/>
        <v>656.6</v>
      </c>
      <c r="N569">
        <f t="shared" si="112"/>
        <v>0</v>
      </c>
      <c r="O569">
        <f t="shared" si="113"/>
        <v>0</v>
      </c>
      <c r="P569">
        <f t="shared" si="114"/>
        <v>0</v>
      </c>
      <c r="Q569">
        <f t="shared" si="115"/>
        <v>656.6</v>
      </c>
      <c r="R569">
        <f t="shared" si="116"/>
        <v>0</v>
      </c>
    </row>
    <row r="570" spans="1:18" x14ac:dyDescent="0.3">
      <c r="A570" s="1">
        <v>41898</v>
      </c>
      <c r="B570" s="1">
        <v>41907</v>
      </c>
      <c r="C570">
        <v>7.31</v>
      </c>
      <c r="D570">
        <v>0.19</v>
      </c>
      <c r="E570">
        <v>5</v>
      </c>
      <c r="F570">
        <f t="shared" si="104"/>
        <v>0</v>
      </c>
      <c r="G570">
        <f t="shared" si="105"/>
        <v>0</v>
      </c>
      <c r="H570">
        <f t="shared" si="106"/>
        <v>0</v>
      </c>
      <c r="I570">
        <f t="shared" si="107"/>
        <v>9</v>
      </c>
      <c r="J570">
        <f t="shared" si="108"/>
        <v>0</v>
      </c>
      <c r="K570">
        <f t="shared" si="109"/>
        <v>450</v>
      </c>
      <c r="L570">
        <f t="shared" si="110"/>
        <v>7.5</v>
      </c>
      <c r="M570">
        <f t="shared" si="111"/>
        <v>457.5</v>
      </c>
      <c r="N570">
        <f t="shared" si="112"/>
        <v>0</v>
      </c>
      <c r="O570">
        <f t="shared" si="113"/>
        <v>0</v>
      </c>
      <c r="P570">
        <f t="shared" si="114"/>
        <v>0</v>
      </c>
      <c r="Q570">
        <f t="shared" si="115"/>
        <v>457.5</v>
      </c>
      <c r="R570">
        <f t="shared" si="116"/>
        <v>0</v>
      </c>
    </row>
    <row r="571" spans="1:18" x14ac:dyDescent="0.3">
      <c r="A571" s="1">
        <v>41898</v>
      </c>
      <c r="B571" s="1">
        <v>41924</v>
      </c>
      <c r="C571">
        <v>8.5399999999999991</v>
      </c>
      <c r="D571">
        <v>0.22</v>
      </c>
      <c r="E571">
        <v>4</v>
      </c>
      <c r="F571">
        <f t="shared" si="104"/>
        <v>0</v>
      </c>
      <c r="G571">
        <f t="shared" si="105"/>
        <v>0</v>
      </c>
      <c r="H571">
        <f t="shared" si="106"/>
        <v>26</v>
      </c>
      <c r="I571">
        <f t="shared" si="107"/>
        <v>0</v>
      </c>
      <c r="J571">
        <f t="shared" si="108"/>
        <v>0</v>
      </c>
      <c r="K571">
        <f t="shared" si="109"/>
        <v>1040</v>
      </c>
      <c r="L571">
        <f t="shared" si="110"/>
        <v>8.76</v>
      </c>
      <c r="M571">
        <f t="shared" si="111"/>
        <v>1048.76</v>
      </c>
      <c r="N571">
        <f t="shared" si="112"/>
        <v>0</v>
      </c>
      <c r="O571">
        <f t="shared" si="113"/>
        <v>0</v>
      </c>
      <c r="P571">
        <f t="shared" si="114"/>
        <v>1048.76</v>
      </c>
      <c r="Q571">
        <f t="shared" si="115"/>
        <v>0</v>
      </c>
      <c r="R571">
        <f t="shared" si="116"/>
        <v>0</v>
      </c>
    </row>
    <row r="572" spans="1:18" x14ac:dyDescent="0.3">
      <c r="A572" s="1">
        <v>41898</v>
      </c>
      <c r="B572" s="1">
        <v>41901</v>
      </c>
      <c r="C572">
        <v>4.25</v>
      </c>
      <c r="D572">
        <v>0.11</v>
      </c>
      <c r="E572">
        <v>6</v>
      </c>
      <c r="F572">
        <f t="shared" si="104"/>
        <v>0</v>
      </c>
      <c r="G572">
        <f t="shared" si="105"/>
        <v>0</v>
      </c>
      <c r="H572">
        <f t="shared" si="106"/>
        <v>0</v>
      </c>
      <c r="I572">
        <f t="shared" si="107"/>
        <v>0</v>
      </c>
      <c r="J572">
        <f t="shared" si="108"/>
        <v>3</v>
      </c>
      <c r="K572">
        <f t="shared" si="109"/>
        <v>180</v>
      </c>
      <c r="L572">
        <f t="shared" si="110"/>
        <v>4.3600000000000003</v>
      </c>
      <c r="M572">
        <f t="shared" si="111"/>
        <v>184.36</v>
      </c>
      <c r="N572">
        <f t="shared" si="112"/>
        <v>0</v>
      </c>
      <c r="O572">
        <f t="shared" si="113"/>
        <v>0</v>
      </c>
      <c r="P572">
        <f t="shared" si="114"/>
        <v>0</v>
      </c>
      <c r="Q572">
        <f t="shared" si="115"/>
        <v>0</v>
      </c>
      <c r="R572">
        <f t="shared" si="116"/>
        <v>184.36</v>
      </c>
    </row>
    <row r="573" spans="1:18" x14ac:dyDescent="0.3">
      <c r="A573" s="1">
        <v>41898</v>
      </c>
      <c r="B573" s="1">
        <v>41922</v>
      </c>
      <c r="C573">
        <v>7.3</v>
      </c>
      <c r="D573">
        <v>0.19</v>
      </c>
      <c r="E573">
        <v>2</v>
      </c>
      <c r="F573">
        <f t="shared" si="104"/>
        <v>24</v>
      </c>
      <c r="G573">
        <f t="shared" si="105"/>
        <v>0</v>
      </c>
      <c r="H573">
        <f t="shared" si="106"/>
        <v>0</v>
      </c>
      <c r="I573">
        <f t="shared" si="107"/>
        <v>0</v>
      </c>
      <c r="J573">
        <f t="shared" si="108"/>
        <v>0</v>
      </c>
      <c r="K573">
        <f t="shared" si="109"/>
        <v>480</v>
      </c>
      <c r="L573">
        <f t="shared" si="110"/>
        <v>7.49</v>
      </c>
      <c r="M573">
        <f t="shared" si="111"/>
        <v>487.49</v>
      </c>
      <c r="N573">
        <f t="shared" si="112"/>
        <v>487.49</v>
      </c>
      <c r="O573">
        <f t="shared" si="113"/>
        <v>0</v>
      </c>
      <c r="P573">
        <f t="shared" si="114"/>
        <v>0</v>
      </c>
      <c r="Q573">
        <f t="shared" si="115"/>
        <v>0</v>
      </c>
      <c r="R573">
        <f t="shared" si="116"/>
        <v>0</v>
      </c>
    </row>
    <row r="574" spans="1:18" x14ac:dyDescent="0.3">
      <c r="A574" s="1">
        <v>41898</v>
      </c>
      <c r="B574" s="1">
        <v>41919</v>
      </c>
      <c r="C574">
        <v>11.37</v>
      </c>
      <c r="D574">
        <v>0.3</v>
      </c>
      <c r="E574">
        <v>6</v>
      </c>
      <c r="F574">
        <f t="shared" si="104"/>
        <v>0</v>
      </c>
      <c r="G574">
        <f t="shared" si="105"/>
        <v>0</v>
      </c>
      <c r="H574">
        <f t="shared" si="106"/>
        <v>0</v>
      </c>
      <c r="I574">
        <f t="shared" si="107"/>
        <v>0</v>
      </c>
      <c r="J574">
        <f t="shared" si="108"/>
        <v>21</v>
      </c>
      <c r="K574">
        <f t="shared" si="109"/>
        <v>1260</v>
      </c>
      <c r="L574">
        <f t="shared" si="110"/>
        <v>11.67</v>
      </c>
      <c r="M574">
        <f t="shared" si="111"/>
        <v>1271.67</v>
      </c>
      <c r="N574">
        <f t="shared" si="112"/>
        <v>0</v>
      </c>
      <c r="O574">
        <f t="shared" si="113"/>
        <v>0</v>
      </c>
      <c r="P574">
        <f t="shared" si="114"/>
        <v>0</v>
      </c>
      <c r="Q574">
        <f t="shared" si="115"/>
        <v>0</v>
      </c>
      <c r="R574">
        <f t="shared" si="116"/>
        <v>1271.67</v>
      </c>
    </row>
    <row r="575" spans="1:18" x14ac:dyDescent="0.3">
      <c r="A575" s="1">
        <v>41898</v>
      </c>
      <c r="B575" s="1">
        <v>41903</v>
      </c>
      <c r="C575">
        <v>14.13</v>
      </c>
      <c r="D575">
        <v>0.37</v>
      </c>
      <c r="E575">
        <v>2</v>
      </c>
      <c r="F575">
        <f t="shared" si="104"/>
        <v>5</v>
      </c>
      <c r="G575">
        <f t="shared" si="105"/>
        <v>0</v>
      </c>
      <c r="H575">
        <f t="shared" si="106"/>
        <v>0</v>
      </c>
      <c r="I575">
        <f t="shared" si="107"/>
        <v>0</v>
      </c>
      <c r="J575">
        <f t="shared" si="108"/>
        <v>0</v>
      </c>
      <c r="K575">
        <f t="shared" si="109"/>
        <v>100</v>
      </c>
      <c r="L575">
        <f t="shared" si="110"/>
        <v>14.5</v>
      </c>
      <c r="M575">
        <f t="shared" si="111"/>
        <v>114.5</v>
      </c>
      <c r="N575">
        <f t="shared" si="112"/>
        <v>114.5</v>
      </c>
      <c r="O575">
        <f t="shared" si="113"/>
        <v>0</v>
      </c>
      <c r="P575">
        <f t="shared" si="114"/>
        <v>0</v>
      </c>
      <c r="Q575">
        <f t="shared" si="115"/>
        <v>0</v>
      </c>
      <c r="R575">
        <f t="shared" si="116"/>
        <v>0</v>
      </c>
    </row>
    <row r="576" spans="1:18" x14ac:dyDescent="0.3">
      <c r="A576" s="1">
        <v>41898</v>
      </c>
      <c r="B576" s="1">
        <v>41925</v>
      </c>
      <c r="C576">
        <v>11.44</v>
      </c>
      <c r="D576">
        <v>0.3</v>
      </c>
      <c r="E576">
        <v>2</v>
      </c>
      <c r="F576">
        <f t="shared" si="104"/>
        <v>27</v>
      </c>
      <c r="G576">
        <f t="shared" si="105"/>
        <v>0</v>
      </c>
      <c r="H576">
        <f t="shared" si="106"/>
        <v>0</v>
      </c>
      <c r="I576">
        <f t="shared" si="107"/>
        <v>0</v>
      </c>
      <c r="J576">
        <f t="shared" si="108"/>
        <v>0</v>
      </c>
      <c r="K576">
        <f t="shared" si="109"/>
        <v>540</v>
      </c>
      <c r="L576">
        <f t="shared" si="110"/>
        <v>11.74</v>
      </c>
      <c r="M576">
        <f t="shared" si="111"/>
        <v>551.74</v>
      </c>
      <c r="N576">
        <f t="shared" si="112"/>
        <v>551.74</v>
      </c>
      <c r="O576">
        <f t="shared" si="113"/>
        <v>0</v>
      </c>
      <c r="P576">
        <f t="shared" si="114"/>
        <v>0</v>
      </c>
      <c r="Q576">
        <f t="shared" si="115"/>
        <v>0</v>
      </c>
      <c r="R576">
        <f t="shared" si="116"/>
        <v>0</v>
      </c>
    </row>
    <row r="577" spans="1:18" x14ac:dyDescent="0.3">
      <c r="A577" s="1">
        <v>41899</v>
      </c>
      <c r="B577" s="1">
        <v>41927</v>
      </c>
      <c r="C577">
        <v>9.4600000000000009</v>
      </c>
      <c r="D577">
        <v>0.25</v>
      </c>
      <c r="E577">
        <v>6</v>
      </c>
      <c r="F577">
        <f t="shared" si="104"/>
        <v>0</v>
      </c>
      <c r="G577">
        <f t="shared" si="105"/>
        <v>0</v>
      </c>
      <c r="H577">
        <f t="shared" si="106"/>
        <v>0</v>
      </c>
      <c r="I577">
        <f t="shared" si="107"/>
        <v>0</v>
      </c>
      <c r="J577">
        <f t="shared" si="108"/>
        <v>28</v>
      </c>
      <c r="K577">
        <f t="shared" si="109"/>
        <v>1680</v>
      </c>
      <c r="L577">
        <f t="shared" si="110"/>
        <v>9.7100000000000009</v>
      </c>
      <c r="M577">
        <f t="shared" si="111"/>
        <v>1689.71</v>
      </c>
      <c r="N577">
        <f t="shared" si="112"/>
        <v>0</v>
      </c>
      <c r="O577">
        <f t="shared" si="113"/>
        <v>0</v>
      </c>
      <c r="P577">
        <f t="shared" si="114"/>
        <v>0</v>
      </c>
      <c r="Q577">
        <f t="shared" si="115"/>
        <v>0</v>
      </c>
      <c r="R577">
        <f t="shared" si="116"/>
        <v>1689.71</v>
      </c>
    </row>
    <row r="578" spans="1:18" x14ac:dyDescent="0.3">
      <c r="A578" s="1">
        <v>41899</v>
      </c>
      <c r="B578" s="1">
        <v>41902</v>
      </c>
      <c r="C578">
        <v>4.25</v>
      </c>
      <c r="D578">
        <v>0.11</v>
      </c>
      <c r="E578">
        <v>2</v>
      </c>
      <c r="F578">
        <f t="shared" si="104"/>
        <v>3</v>
      </c>
      <c r="G578">
        <f t="shared" si="105"/>
        <v>0</v>
      </c>
      <c r="H578">
        <f t="shared" si="106"/>
        <v>0</v>
      </c>
      <c r="I578">
        <f t="shared" si="107"/>
        <v>0</v>
      </c>
      <c r="J578">
        <f t="shared" si="108"/>
        <v>0</v>
      </c>
      <c r="K578">
        <f t="shared" si="109"/>
        <v>60</v>
      </c>
      <c r="L578">
        <f t="shared" si="110"/>
        <v>4.3600000000000003</v>
      </c>
      <c r="M578">
        <f t="shared" si="111"/>
        <v>64.36</v>
      </c>
      <c r="N578">
        <f t="shared" si="112"/>
        <v>64.36</v>
      </c>
      <c r="O578">
        <f t="shared" si="113"/>
        <v>0</v>
      </c>
      <c r="P578">
        <f t="shared" si="114"/>
        <v>0</v>
      </c>
      <c r="Q578">
        <f t="shared" si="115"/>
        <v>0</v>
      </c>
      <c r="R578">
        <f t="shared" si="116"/>
        <v>0</v>
      </c>
    </row>
    <row r="579" spans="1:18" x14ac:dyDescent="0.3">
      <c r="A579" s="1">
        <v>41899</v>
      </c>
      <c r="B579" s="1">
        <v>41911</v>
      </c>
      <c r="C579">
        <v>7.31</v>
      </c>
      <c r="D579">
        <v>0.19</v>
      </c>
      <c r="E579">
        <v>4</v>
      </c>
      <c r="F579">
        <f t="shared" ref="F579:F642" si="117">IF(EXACT(E579,2),B579-A579,0)</f>
        <v>0</v>
      </c>
      <c r="G579">
        <f t="shared" ref="G579:G642" si="118">IF(EXACT(E579,3),B579-A579,0)</f>
        <v>0</v>
      </c>
      <c r="H579">
        <f t="shared" ref="H579:H642" si="119">IF(EXACT(E579,4),B579-A579,0)</f>
        <v>12</v>
      </c>
      <c r="I579">
        <f t="shared" ref="I579:I642" si="120">IF(EXACT(E579,5),B579-A579,0)</f>
        <v>0</v>
      </c>
      <c r="J579">
        <f t="shared" ref="J579:J642" si="121">IF(EXACT(E579,6),B579-A579,0)</f>
        <v>0</v>
      </c>
      <c r="K579">
        <f t="shared" ref="K579:K642" si="122">10 * E579 * (F579+G579+H579+I579+J579)</f>
        <v>480</v>
      </c>
      <c r="L579">
        <f t="shared" ref="L579:L642" si="123">C579+D579</f>
        <v>7.5</v>
      </c>
      <c r="M579">
        <f t="shared" ref="M579:M642" si="124">K579+L579</f>
        <v>487.5</v>
      </c>
      <c r="N579">
        <f t="shared" ref="N579:N642" si="125">IF(EXACT(E579,2),M579,0)</f>
        <v>0</v>
      </c>
      <c r="O579">
        <f t="shared" ref="O579:O642" si="126">IF(EXACT(E579,3),M579,0)</f>
        <v>0</v>
      </c>
      <c r="P579">
        <f t="shared" ref="P579:P642" si="127">IF(EXACT(E579,4),M579,0)</f>
        <v>487.5</v>
      </c>
      <c r="Q579">
        <f t="shared" ref="Q579:Q642" si="128">IF(EXACT(E579,5),M579,0)</f>
        <v>0</v>
      </c>
      <c r="R579">
        <f t="shared" ref="R579:R642" si="129">IF(EXACT(E579,6),M579,0)</f>
        <v>0</v>
      </c>
    </row>
    <row r="580" spans="1:18" x14ac:dyDescent="0.3">
      <c r="A580" s="1">
        <v>41899</v>
      </c>
      <c r="B580" s="1">
        <v>41913</v>
      </c>
      <c r="C580">
        <v>14</v>
      </c>
      <c r="D580">
        <v>0.37</v>
      </c>
      <c r="E580">
        <v>6</v>
      </c>
      <c r="F580">
        <f t="shared" si="117"/>
        <v>0</v>
      </c>
      <c r="G580">
        <f t="shared" si="118"/>
        <v>0</v>
      </c>
      <c r="H580">
        <f t="shared" si="119"/>
        <v>0</v>
      </c>
      <c r="I580">
        <f t="shared" si="120"/>
        <v>0</v>
      </c>
      <c r="J580">
        <f t="shared" si="121"/>
        <v>14</v>
      </c>
      <c r="K580">
        <f t="shared" si="122"/>
        <v>840</v>
      </c>
      <c r="L580">
        <f t="shared" si="123"/>
        <v>14.37</v>
      </c>
      <c r="M580">
        <f t="shared" si="124"/>
        <v>854.37</v>
      </c>
      <c r="N580">
        <f t="shared" si="125"/>
        <v>0</v>
      </c>
      <c r="O580">
        <f t="shared" si="126"/>
        <v>0</v>
      </c>
      <c r="P580">
        <f t="shared" si="127"/>
        <v>0</v>
      </c>
      <c r="Q580">
        <f t="shared" si="128"/>
        <v>0</v>
      </c>
      <c r="R580">
        <f t="shared" si="129"/>
        <v>854.37</v>
      </c>
    </row>
    <row r="581" spans="1:18" x14ac:dyDescent="0.3">
      <c r="A581" s="1">
        <v>41899</v>
      </c>
      <c r="B581" s="1">
        <v>41907</v>
      </c>
      <c r="C581">
        <v>6.23</v>
      </c>
      <c r="D581">
        <v>0.16</v>
      </c>
      <c r="E581">
        <v>2</v>
      </c>
      <c r="F581">
        <f t="shared" si="117"/>
        <v>8</v>
      </c>
      <c r="G581">
        <f t="shared" si="118"/>
        <v>0</v>
      </c>
      <c r="H581">
        <f t="shared" si="119"/>
        <v>0</v>
      </c>
      <c r="I581">
        <f t="shared" si="120"/>
        <v>0</v>
      </c>
      <c r="J581">
        <f t="shared" si="121"/>
        <v>0</v>
      </c>
      <c r="K581">
        <f t="shared" si="122"/>
        <v>160</v>
      </c>
      <c r="L581">
        <f t="shared" si="123"/>
        <v>6.3900000000000006</v>
      </c>
      <c r="M581">
        <f t="shared" si="124"/>
        <v>166.39</v>
      </c>
      <c r="N581">
        <f t="shared" si="125"/>
        <v>166.39</v>
      </c>
      <c r="O581">
        <f t="shared" si="126"/>
        <v>0</v>
      </c>
      <c r="P581">
        <f t="shared" si="127"/>
        <v>0</v>
      </c>
      <c r="Q581">
        <f t="shared" si="128"/>
        <v>0</v>
      </c>
      <c r="R581">
        <f t="shared" si="129"/>
        <v>0</v>
      </c>
    </row>
    <row r="582" spans="1:18" x14ac:dyDescent="0.3">
      <c r="A582" s="1">
        <v>41899</v>
      </c>
      <c r="B582" s="1">
        <v>41904</v>
      </c>
      <c r="C582">
        <v>9.1300000000000008</v>
      </c>
      <c r="D582">
        <v>0.24</v>
      </c>
      <c r="E582">
        <v>3</v>
      </c>
      <c r="F582">
        <f t="shared" si="117"/>
        <v>0</v>
      </c>
      <c r="G582">
        <f t="shared" si="118"/>
        <v>5</v>
      </c>
      <c r="H582">
        <f t="shared" si="119"/>
        <v>0</v>
      </c>
      <c r="I582">
        <f t="shared" si="120"/>
        <v>0</v>
      </c>
      <c r="J582">
        <f t="shared" si="121"/>
        <v>0</v>
      </c>
      <c r="K582">
        <f t="shared" si="122"/>
        <v>150</v>
      </c>
      <c r="L582">
        <f t="shared" si="123"/>
        <v>9.370000000000001</v>
      </c>
      <c r="M582">
        <f t="shared" si="124"/>
        <v>159.37</v>
      </c>
      <c r="N582">
        <f t="shared" si="125"/>
        <v>0</v>
      </c>
      <c r="O582">
        <f t="shared" si="126"/>
        <v>159.37</v>
      </c>
      <c r="P582">
        <f t="shared" si="127"/>
        <v>0</v>
      </c>
      <c r="Q582">
        <f t="shared" si="128"/>
        <v>0</v>
      </c>
      <c r="R582">
        <f t="shared" si="129"/>
        <v>0</v>
      </c>
    </row>
    <row r="583" spans="1:18" x14ac:dyDescent="0.3">
      <c r="A583" s="1">
        <v>41899</v>
      </c>
      <c r="B583" s="1">
        <v>41919</v>
      </c>
      <c r="C583">
        <v>10.59</v>
      </c>
      <c r="D583">
        <v>0.28000000000000003</v>
      </c>
      <c r="E583">
        <v>5</v>
      </c>
      <c r="F583">
        <f t="shared" si="117"/>
        <v>0</v>
      </c>
      <c r="G583">
        <f t="shared" si="118"/>
        <v>0</v>
      </c>
      <c r="H583">
        <f t="shared" si="119"/>
        <v>0</v>
      </c>
      <c r="I583">
        <f t="shared" si="120"/>
        <v>20</v>
      </c>
      <c r="J583">
        <f t="shared" si="121"/>
        <v>0</v>
      </c>
      <c r="K583">
        <f t="shared" si="122"/>
        <v>1000</v>
      </c>
      <c r="L583">
        <f t="shared" si="123"/>
        <v>10.87</v>
      </c>
      <c r="M583">
        <f t="shared" si="124"/>
        <v>1010.87</v>
      </c>
      <c r="N583">
        <f t="shared" si="125"/>
        <v>0</v>
      </c>
      <c r="O583">
        <f t="shared" si="126"/>
        <v>0</v>
      </c>
      <c r="P583">
        <f t="shared" si="127"/>
        <v>0</v>
      </c>
      <c r="Q583">
        <f t="shared" si="128"/>
        <v>1010.87</v>
      </c>
      <c r="R583">
        <f t="shared" si="129"/>
        <v>0</v>
      </c>
    </row>
    <row r="584" spans="1:18" x14ac:dyDescent="0.3">
      <c r="A584" s="1">
        <v>41899</v>
      </c>
      <c r="B584" s="1">
        <v>41902</v>
      </c>
      <c r="C584">
        <v>9.06</v>
      </c>
      <c r="D584">
        <v>0.24</v>
      </c>
      <c r="E584">
        <v>2</v>
      </c>
      <c r="F584">
        <f t="shared" si="117"/>
        <v>3</v>
      </c>
      <c r="G584">
        <f t="shared" si="118"/>
        <v>0</v>
      </c>
      <c r="H584">
        <f t="shared" si="119"/>
        <v>0</v>
      </c>
      <c r="I584">
        <f t="shared" si="120"/>
        <v>0</v>
      </c>
      <c r="J584">
        <f t="shared" si="121"/>
        <v>0</v>
      </c>
      <c r="K584">
        <f t="shared" si="122"/>
        <v>60</v>
      </c>
      <c r="L584">
        <f t="shared" si="123"/>
        <v>9.3000000000000007</v>
      </c>
      <c r="M584">
        <f t="shared" si="124"/>
        <v>69.3</v>
      </c>
      <c r="N584">
        <f t="shared" si="125"/>
        <v>69.3</v>
      </c>
      <c r="O584">
        <f t="shared" si="126"/>
        <v>0</v>
      </c>
      <c r="P584">
        <f t="shared" si="127"/>
        <v>0</v>
      </c>
      <c r="Q584">
        <f t="shared" si="128"/>
        <v>0</v>
      </c>
      <c r="R584">
        <f t="shared" si="129"/>
        <v>0</v>
      </c>
    </row>
    <row r="585" spans="1:18" x14ac:dyDescent="0.3">
      <c r="A585" s="1">
        <v>41899</v>
      </c>
      <c r="B585" s="1">
        <v>41901</v>
      </c>
      <c r="C585">
        <v>7.06</v>
      </c>
      <c r="D585">
        <v>0.19</v>
      </c>
      <c r="E585">
        <v>2</v>
      </c>
      <c r="F585">
        <f t="shared" si="117"/>
        <v>2</v>
      </c>
      <c r="G585">
        <f t="shared" si="118"/>
        <v>0</v>
      </c>
      <c r="H585">
        <f t="shared" si="119"/>
        <v>0</v>
      </c>
      <c r="I585">
        <f t="shared" si="120"/>
        <v>0</v>
      </c>
      <c r="J585">
        <f t="shared" si="121"/>
        <v>0</v>
      </c>
      <c r="K585">
        <f t="shared" si="122"/>
        <v>40</v>
      </c>
      <c r="L585">
        <f t="shared" si="123"/>
        <v>7.25</v>
      </c>
      <c r="M585">
        <f t="shared" si="124"/>
        <v>47.25</v>
      </c>
      <c r="N585">
        <f t="shared" si="125"/>
        <v>47.25</v>
      </c>
      <c r="O585">
        <f t="shared" si="126"/>
        <v>0</v>
      </c>
      <c r="P585">
        <f t="shared" si="127"/>
        <v>0</v>
      </c>
      <c r="Q585">
        <f t="shared" si="128"/>
        <v>0</v>
      </c>
      <c r="R585">
        <f t="shared" si="129"/>
        <v>0</v>
      </c>
    </row>
    <row r="586" spans="1:18" x14ac:dyDescent="0.3">
      <c r="A586" s="1">
        <v>41899</v>
      </c>
      <c r="B586" s="1">
        <v>41916</v>
      </c>
      <c r="C586">
        <v>6.75</v>
      </c>
      <c r="D586">
        <v>0.18</v>
      </c>
      <c r="E586">
        <v>5</v>
      </c>
      <c r="F586">
        <f t="shared" si="117"/>
        <v>0</v>
      </c>
      <c r="G586">
        <f t="shared" si="118"/>
        <v>0</v>
      </c>
      <c r="H586">
        <f t="shared" si="119"/>
        <v>0</v>
      </c>
      <c r="I586">
        <f t="shared" si="120"/>
        <v>17</v>
      </c>
      <c r="J586">
        <f t="shared" si="121"/>
        <v>0</v>
      </c>
      <c r="K586">
        <f t="shared" si="122"/>
        <v>850</v>
      </c>
      <c r="L586">
        <f t="shared" si="123"/>
        <v>6.93</v>
      </c>
      <c r="M586">
        <f t="shared" si="124"/>
        <v>856.93</v>
      </c>
      <c r="N586">
        <f t="shared" si="125"/>
        <v>0</v>
      </c>
      <c r="O586">
        <f t="shared" si="126"/>
        <v>0</v>
      </c>
      <c r="P586">
        <f t="shared" si="127"/>
        <v>0</v>
      </c>
      <c r="Q586">
        <f t="shared" si="128"/>
        <v>856.93</v>
      </c>
      <c r="R586">
        <f t="shared" si="129"/>
        <v>0</v>
      </c>
    </row>
    <row r="587" spans="1:18" x14ac:dyDescent="0.3">
      <c r="A587" s="1">
        <v>41899</v>
      </c>
      <c r="B587" s="1">
        <v>41911</v>
      </c>
      <c r="C587">
        <v>7.3</v>
      </c>
      <c r="D587">
        <v>0.19</v>
      </c>
      <c r="E587">
        <v>4</v>
      </c>
      <c r="F587">
        <f t="shared" si="117"/>
        <v>0</v>
      </c>
      <c r="G587">
        <f t="shared" si="118"/>
        <v>0</v>
      </c>
      <c r="H587">
        <f t="shared" si="119"/>
        <v>12</v>
      </c>
      <c r="I587">
        <f t="shared" si="120"/>
        <v>0</v>
      </c>
      <c r="J587">
        <f t="shared" si="121"/>
        <v>0</v>
      </c>
      <c r="K587">
        <f t="shared" si="122"/>
        <v>480</v>
      </c>
      <c r="L587">
        <f t="shared" si="123"/>
        <v>7.49</v>
      </c>
      <c r="M587">
        <f t="shared" si="124"/>
        <v>487.49</v>
      </c>
      <c r="N587">
        <f t="shared" si="125"/>
        <v>0</v>
      </c>
      <c r="O587">
        <f t="shared" si="126"/>
        <v>0</v>
      </c>
      <c r="P587">
        <f t="shared" si="127"/>
        <v>487.49</v>
      </c>
      <c r="Q587">
        <f t="shared" si="128"/>
        <v>0</v>
      </c>
      <c r="R587">
        <f t="shared" si="129"/>
        <v>0</v>
      </c>
    </row>
    <row r="588" spans="1:18" x14ac:dyDescent="0.3">
      <c r="A588" s="1">
        <v>41899</v>
      </c>
      <c r="B588" s="1">
        <v>41902</v>
      </c>
      <c r="C588">
        <v>13.02</v>
      </c>
      <c r="D588">
        <v>0.34</v>
      </c>
      <c r="E588">
        <v>5</v>
      </c>
      <c r="F588">
        <f t="shared" si="117"/>
        <v>0</v>
      </c>
      <c r="G588">
        <f t="shared" si="118"/>
        <v>0</v>
      </c>
      <c r="H588">
        <f t="shared" si="119"/>
        <v>0</v>
      </c>
      <c r="I588">
        <f t="shared" si="120"/>
        <v>3</v>
      </c>
      <c r="J588">
        <f t="shared" si="121"/>
        <v>0</v>
      </c>
      <c r="K588">
        <f t="shared" si="122"/>
        <v>150</v>
      </c>
      <c r="L588">
        <f t="shared" si="123"/>
        <v>13.36</v>
      </c>
      <c r="M588">
        <f t="shared" si="124"/>
        <v>163.36000000000001</v>
      </c>
      <c r="N588">
        <f t="shared" si="125"/>
        <v>0</v>
      </c>
      <c r="O588">
        <f t="shared" si="126"/>
        <v>0</v>
      </c>
      <c r="P588">
        <f t="shared" si="127"/>
        <v>0</v>
      </c>
      <c r="Q588">
        <f t="shared" si="128"/>
        <v>163.36000000000001</v>
      </c>
      <c r="R588">
        <f t="shared" si="129"/>
        <v>0</v>
      </c>
    </row>
    <row r="589" spans="1:18" x14ac:dyDescent="0.3">
      <c r="A589" s="1">
        <v>41899</v>
      </c>
      <c r="B589" s="1">
        <v>41905</v>
      </c>
      <c r="C589">
        <v>14.13</v>
      </c>
      <c r="D589">
        <v>0.37</v>
      </c>
      <c r="E589">
        <v>3</v>
      </c>
      <c r="F589">
        <f t="shared" si="117"/>
        <v>0</v>
      </c>
      <c r="G589">
        <f t="shared" si="118"/>
        <v>6</v>
      </c>
      <c r="H589">
        <f t="shared" si="119"/>
        <v>0</v>
      </c>
      <c r="I589">
        <f t="shared" si="120"/>
        <v>0</v>
      </c>
      <c r="J589">
        <f t="shared" si="121"/>
        <v>0</v>
      </c>
      <c r="K589">
        <f t="shared" si="122"/>
        <v>180</v>
      </c>
      <c r="L589">
        <f t="shared" si="123"/>
        <v>14.5</v>
      </c>
      <c r="M589">
        <f t="shared" si="124"/>
        <v>194.5</v>
      </c>
      <c r="N589">
        <f t="shared" si="125"/>
        <v>0</v>
      </c>
      <c r="O589">
        <f t="shared" si="126"/>
        <v>194.5</v>
      </c>
      <c r="P589">
        <f t="shared" si="127"/>
        <v>0</v>
      </c>
      <c r="Q589">
        <f t="shared" si="128"/>
        <v>0</v>
      </c>
      <c r="R589">
        <f t="shared" si="129"/>
        <v>0</v>
      </c>
    </row>
    <row r="590" spans="1:18" x14ac:dyDescent="0.3">
      <c r="A590" s="1">
        <v>41899</v>
      </c>
      <c r="B590" s="1">
        <v>41906</v>
      </c>
      <c r="C590">
        <v>10.59</v>
      </c>
      <c r="D590">
        <v>0.28000000000000003</v>
      </c>
      <c r="E590">
        <v>3</v>
      </c>
      <c r="F590">
        <f t="shared" si="117"/>
        <v>0</v>
      </c>
      <c r="G590">
        <f t="shared" si="118"/>
        <v>7</v>
      </c>
      <c r="H590">
        <f t="shared" si="119"/>
        <v>0</v>
      </c>
      <c r="I590">
        <f t="shared" si="120"/>
        <v>0</v>
      </c>
      <c r="J590">
        <f t="shared" si="121"/>
        <v>0</v>
      </c>
      <c r="K590">
        <f t="shared" si="122"/>
        <v>210</v>
      </c>
      <c r="L590">
        <f t="shared" si="123"/>
        <v>10.87</v>
      </c>
      <c r="M590">
        <f t="shared" si="124"/>
        <v>220.87</v>
      </c>
      <c r="N590">
        <f t="shared" si="125"/>
        <v>0</v>
      </c>
      <c r="O590">
        <f t="shared" si="126"/>
        <v>220.87</v>
      </c>
      <c r="P590">
        <f t="shared" si="127"/>
        <v>0</v>
      </c>
      <c r="Q590">
        <f t="shared" si="128"/>
        <v>0</v>
      </c>
      <c r="R590">
        <f t="shared" si="129"/>
        <v>0</v>
      </c>
    </row>
    <row r="591" spans="1:18" x14ac:dyDescent="0.3">
      <c r="A591" s="1">
        <v>41899</v>
      </c>
      <c r="B591" s="1">
        <v>41917</v>
      </c>
      <c r="C591">
        <v>5.57</v>
      </c>
      <c r="D591">
        <v>0.15</v>
      </c>
      <c r="E591">
        <v>6</v>
      </c>
      <c r="F591">
        <f t="shared" si="117"/>
        <v>0</v>
      </c>
      <c r="G591">
        <f t="shared" si="118"/>
        <v>0</v>
      </c>
      <c r="H591">
        <f t="shared" si="119"/>
        <v>0</v>
      </c>
      <c r="I591">
        <f t="shared" si="120"/>
        <v>0</v>
      </c>
      <c r="J591">
        <f t="shared" si="121"/>
        <v>18</v>
      </c>
      <c r="K591">
        <f t="shared" si="122"/>
        <v>1080</v>
      </c>
      <c r="L591">
        <f t="shared" si="123"/>
        <v>5.7200000000000006</v>
      </c>
      <c r="M591">
        <f t="shared" si="124"/>
        <v>1085.72</v>
      </c>
      <c r="N591">
        <f t="shared" si="125"/>
        <v>0</v>
      </c>
      <c r="O591">
        <f t="shared" si="126"/>
        <v>0</v>
      </c>
      <c r="P591">
        <f t="shared" si="127"/>
        <v>0</v>
      </c>
      <c r="Q591">
        <f t="shared" si="128"/>
        <v>0</v>
      </c>
      <c r="R591">
        <f t="shared" si="129"/>
        <v>1085.72</v>
      </c>
    </row>
    <row r="592" spans="1:18" x14ac:dyDescent="0.3">
      <c r="A592" s="1">
        <v>41900</v>
      </c>
      <c r="B592" s="1">
        <v>41906</v>
      </c>
      <c r="C592">
        <v>5.57</v>
      </c>
      <c r="D592">
        <v>0.15</v>
      </c>
      <c r="E592">
        <v>2</v>
      </c>
      <c r="F592">
        <f t="shared" si="117"/>
        <v>6</v>
      </c>
      <c r="G592">
        <f t="shared" si="118"/>
        <v>0</v>
      </c>
      <c r="H592">
        <f t="shared" si="119"/>
        <v>0</v>
      </c>
      <c r="I592">
        <f t="shared" si="120"/>
        <v>0</v>
      </c>
      <c r="J592">
        <f t="shared" si="121"/>
        <v>0</v>
      </c>
      <c r="K592">
        <f t="shared" si="122"/>
        <v>120</v>
      </c>
      <c r="L592">
        <f t="shared" si="123"/>
        <v>5.7200000000000006</v>
      </c>
      <c r="M592">
        <f t="shared" si="124"/>
        <v>125.72</v>
      </c>
      <c r="N592">
        <f t="shared" si="125"/>
        <v>125.72</v>
      </c>
      <c r="O592">
        <f t="shared" si="126"/>
        <v>0</v>
      </c>
      <c r="P592">
        <f t="shared" si="127"/>
        <v>0</v>
      </c>
      <c r="Q592">
        <f t="shared" si="128"/>
        <v>0</v>
      </c>
      <c r="R592">
        <f t="shared" si="129"/>
        <v>0</v>
      </c>
    </row>
    <row r="593" spans="1:18" x14ac:dyDescent="0.3">
      <c r="A593" s="1">
        <v>41901</v>
      </c>
      <c r="B593" s="1">
        <v>41919</v>
      </c>
      <c r="C593">
        <v>8.7200000000000006</v>
      </c>
      <c r="D593">
        <v>0.23</v>
      </c>
      <c r="E593">
        <v>2</v>
      </c>
      <c r="F593">
        <f t="shared" si="117"/>
        <v>18</v>
      </c>
      <c r="G593">
        <f t="shared" si="118"/>
        <v>0</v>
      </c>
      <c r="H593">
        <f t="shared" si="119"/>
        <v>0</v>
      </c>
      <c r="I593">
        <f t="shared" si="120"/>
        <v>0</v>
      </c>
      <c r="J593">
        <f t="shared" si="121"/>
        <v>0</v>
      </c>
      <c r="K593">
        <f t="shared" si="122"/>
        <v>360</v>
      </c>
      <c r="L593">
        <f t="shared" si="123"/>
        <v>8.9500000000000011</v>
      </c>
      <c r="M593">
        <f t="shared" si="124"/>
        <v>368.95</v>
      </c>
      <c r="N593">
        <f t="shared" si="125"/>
        <v>368.95</v>
      </c>
      <c r="O593">
        <f t="shared" si="126"/>
        <v>0</v>
      </c>
      <c r="P593">
        <f t="shared" si="127"/>
        <v>0</v>
      </c>
      <c r="Q593">
        <f t="shared" si="128"/>
        <v>0</v>
      </c>
      <c r="R593">
        <f t="shared" si="129"/>
        <v>0</v>
      </c>
    </row>
    <row r="594" spans="1:18" x14ac:dyDescent="0.3">
      <c r="A594" s="1">
        <v>41902</v>
      </c>
      <c r="B594" s="1">
        <v>41904</v>
      </c>
      <c r="C594">
        <v>6.43</v>
      </c>
      <c r="D594">
        <v>0.17</v>
      </c>
      <c r="E594">
        <v>4</v>
      </c>
      <c r="F594">
        <f t="shared" si="117"/>
        <v>0</v>
      </c>
      <c r="G594">
        <f t="shared" si="118"/>
        <v>0</v>
      </c>
      <c r="H594">
        <f t="shared" si="119"/>
        <v>2</v>
      </c>
      <c r="I594">
        <f t="shared" si="120"/>
        <v>0</v>
      </c>
      <c r="J594">
        <f t="shared" si="121"/>
        <v>0</v>
      </c>
      <c r="K594">
        <f t="shared" si="122"/>
        <v>80</v>
      </c>
      <c r="L594">
        <f t="shared" si="123"/>
        <v>6.6</v>
      </c>
      <c r="M594">
        <f t="shared" si="124"/>
        <v>86.6</v>
      </c>
      <c r="N594">
        <f t="shared" si="125"/>
        <v>0</v>
      </c>
      <c r="O594">
        <f t="shared" si="126"/>
        <v>0</v>
      </c>
      <c r="P594">
        <f t="shared" si="127"/>
        <v>86.6</v>
      </c>
      <c r="Q594">
        <f t="shared" si="128"/>
        <v>0</v>
      </c>
      <c r="R594">
        <f t="shared" si="129"/>
        <v>0</v>
      </c>
    </row>
    <row r="595" spans="1:18" x14ac:dyDescent="0.3">
      <c r="A595" s="1">
        <v>41904</v>
      </c>
      <c r="B595" s="1">
        <v>41929</v>
      </c>
      <c r="C595">
        <v>3.57</v>
      </c>
      <c r="D595">
        <v>0.09</v>
      </c>
      <c r="E595">
        <v>2</v>
      </c>
      <c r="F595">
        <f t="shared" si="117"/>
        <v>25</v>
      </c>
      <c r="G595">
        <f t="shared" si="118"/>
        <v>0</v>
      </c>
      <c r="H595">
        <f t="shared" si="119"/>
        <v>0</v>
      </c>
      <c r="I595">
        <f t="shared" si="120"/>
        <v>0</v>
      </c>
      <c r="J595">
        <f t="shared" si="121"/>
        <v>0</v>
      </c>
      <c r="K595">
        <f t="shared" si="122"/>
        <v>500</v>
      </c>
      <c r="L595">
        <f t="shared" si="123"/>
        <v>3.6599999999999997</v>
      </c>
      <c r="M595">
        <f t="shared" si="124"/>
        <v>503.66</v>
      </c>
      <c r="N595">
        <f t="shared" si="125"/>
        <v>503.66</v>
      </c>
      <c r="O595">
        <f t="shared" si="126"/>
        <v>0</v>
      </c>
      <c r="P595">
        <f t="shared" si="127"/>
        <v>0</v>
      </c>
      <c r="Q595">
        <f t="shared" si="128"/>
        <v>0</v>
      </c>
      <c r="R595">
        <f t="shared" si="129"/>
        <v>0</v>
      </c>
    </row>
    <row r="596" spans="1:18" x14ac:dyDescent="0.3">
      <c r="A596" s="1">
        <v>41905</v>
      </c>
      <c r="B596" s="1">
        <v>41924</v>
      </c>
      <c r="C596">
        <v>13.82</v>
      </c>
      <c r="D596">
        <v>0.36</v>
      </c>
      <c r="E596">
        <v>4</v>
      </c>
      <c r="F596">
        <f t="shared" si="117"/>
        <v>0</v>
      </c>
      <c r="G596">
        <f t="shared" si="118"/>
        <v>0</v>
      </c>
      <c r="H596">
        <f t="shared" si="119"/>
        <v>19</v>
      </c>
      <c r="I596">
        <f t="shared" si="120"/>
        <v>0</v>
      </c>
      <c r="J596">
        <f t="shared" si="121"/>
        <v>0</v>
      </c>
      <c r="K596">
        <f t="shared" si="122"/>
        <v>760</v>
      </c>
      <c r="L596">
        <f t="shared" si="123"/>
        <v>14.18</v>
      </c>
      <c r="M596">
        <f t="shared" si="124"/>
        <v>774.18</v>
      </c>
      <c r="N596">
        <f t="shared" si="125"/>
        <v>0</v>
      </c>
      <c r="O596">
        <f t="shared" si="126"/>
        <v>0</v>
      </c>
      <c r="P596">
        <f t="shared" si="127"/>
        <v>774.18</v>
      </c>
      <c r="Q596">
        <f t="shared" si="128"/>
        <v>0</v>
      </c>
      <c r="R596">
        <f t="shared" si="129"/>
        <v>0</v>
      </c>
    </row>
    <row r="597" spans="1:18" x14ac:dyDescent="0.3">
      <c r="A597" s="1">
        <v>41905</v>
      </c>
      <c r="B597" s="1">
        <v>41910</v>
      </c>
      <c r="C597">
        <v>11.37</v>
      </c>
      <c r="D597">
        <v>0.3</v>
      </c>
      <c r="E597">
        <v>5</v>
      </c>
      <c r="F597">
        <f t="shared" si="117"/>
        <v>0</v>
      </c>
      <c r="G597">
        <f t="shared" si="118"/>
        <v>0</v>
      </c>
      <c r="H597">
        <f t="shared" si="119"/>
        <v>0</v>
      </c>
      <c r="I597">
        <f t="shared" si="120"/>
        <v>5</v>
      </c>
      <c r="J597">
        <f t="shared" si="121"/>
        <v>0</v>
      </c>
      <c r="K597">
        <f t="shared" si="122"/>
        <v>250</v>
      </c>
      <c r="L597">
        <f t="shared" si="123"/>
        <v>11.67</v>
      </c>
      <c r="M597">
        <f t="shared" si="124"/>
        <v>261.67</v>
      </c>
      <c r="N597">
        <f t="shared" si="125"/>
        <v>0</v>
      </c>
      <c r="O597">
        <f t="shared" si="126"/>
        <v>0</v>
      </c>
      <c r="P597">
        <f t="shared" si="127"/>
        <v>0</v>
      </c>
      <c r="Q597">
        <f t="shared" si="128"/>
        <v>261.67</v>
      </c>
      <c r="R597">
        <f t="shared" si="129"/>
        <v>0</v>
      </c>
    </row>
    <row r="598" spans="1:18" x14ac:dyDescent="0.3">
      <c r="A598" s="1">
        <v>41905</v>
      </c>
      <c r="B598" s="1">
        <v>41925</v>
      </c>
      <c r="C598">
        <v>6.58</v>
      </c>
      <c r="D598">
        <v>0.17</v>
      </c>
      <c r="E598">
        <v>4</v>
      </c>
      <c r="F598">
        <f t="shared" si="117"/>
        <v>0</v>
      </c>
      <c r="G598">
        <f t="shared" si="118"/>
        <v>0</v>
      </c>
      <c r="H598">
        <f t="shared" si="119"/>
        <v>20</v>
      </c>
      <c r="I598">
        <f t="shared" si="120"/>
        <v>0</v>
      </c>
      <c r="J598">
        <f t="shared" si="121"/>
        <v>0</v>
      </c>
      <c r="K598">
        <f t="shared" si="122"/>
        <v>800</v>
      </c>
      <c r="L598">
        <f t="shared" si="123"/>
        <v>6.75</v>
      </c>
      <c r="M598">
        <f t="shared" si="124"/>
        <v>806.75</v>
      </c>
      <c r="N598">
        <f t="shared" si="125"/>
        <v>0</v>
      </c>
      <c r="O598">
        <f t="shared" si="126"/>
        <v>0</v>
      </c>
      <c r="P598">
        <f t="shared" si="127"/>
        <v>806.75</v>
      </c>
      <c r="Q598">
        <f t="shared" si="128"/>
        <v>0</v>
      </c>
      <c r="R598">
        <f t="shared" si="129"/>
        <v>0</v>
      </c>
    </row>
    <row r="599" spans="1:18" x14ac:dyDescent="0.3">
      <c r="A599" s="1">
        <v>41905</v>
      </c>
      <c r="B599" s="1">
        <v>41927</v>
      </c>
      <c r="C599">
        <v>11.69</v>
      </c>
      <c r="D599">
        <v>0.31</v>
      </c>
      <c r="E599">
        <v>5</v>
      </c>
      <c r="F599">
        <f t="shared" si="117"/>
        <v>0</v>
      </c>
      <c r="G599">
        <f t="shared" si="118"/>
        <v>0</v>
      </c>
      <c r="H599">
        <f t="shared" si="119"/>
        <v>0</v>
      </c>
      <c r="I599">
        <f t="shared" si="120"/>
        <v>22</v>
      </c>
      <c r="J599">
        <f t="shared" si="121"/>
        <v>0</v>
      </c>
      <c r="K599">
        <f t="shared" si="122"/>
        <v>1100</v>
      </c>
      <c r="L599">
        <f t="shared" si="123"/>
        <v>12</v>
      </c>
      <c r="M599">
        <f t="shared" si="124"/>
        <v>1112</v>
      </c>
      <c r="N599">
        <f t="shared" si="125"/>
        <v>0</v>
      </c>
      <c r="O599">
        <f t="shared" si="126"/>
        <v>0</v>
      </c>
      <c r="P599">
        <f t="shared" si="127"/>
        <v>0</v>
      </c>
      <c r="Q599">
        <f t="shared" si="128"/>
        <v>1112</v>
      </c>
      <c r="R599">
        <f t="shared" si="129"/>
        <v>0</v>
      </c>
    </row>
    <row r="600" spans="1:18" x14ac:dyDescent="0.3">
      <c r="A600" s="1">
        <v>41905</v>
      </c>
      <c r="B600" s="1">
        <v>41907</v>
      </c>
      <c r="C600">
        <v>12.01</v>
      </c>
      <c r="D600">
        <v>0.32</v>
      </c>
      <c r="E600">
        <v>3</v>
      </c>
      <c r="F600">
        <f t="shared" si="117"/>
        <v>0</v>
      </c>
      <c r="G600">
        <f t="shared" si="118"/>
        <v>2</v>
      </c>
      <c r="H600">
        <f t="shared" si="119"/>
        <v>0</v>
      </c>
      <c r="I600">
        <f t="shared" si="120"/>
        <v>0</v>
      </c>
      <c r="J600">
        <f t="shared" si="121"/>
        <v>0</v>
      </c>
      <c r="K600">
        <f t="shared" si="122"/>
        <v>60</v>
      </c>
      <c r="L600">
        <f t="shared" si="123"/>
        <v>12.33</v>
      </c>
      <c r="M600">
        <f t="shared" si="124"/>
        <v>72.33</v>
      </c>
      <c r="N600">
        <f t="shared" si="125"/>
        <v>0</v>
      </c>
      <c r="O600">
        <f t="shared" si="126"/>
        <v>72.33</v>
      </c>
      <c r="P600">
        <f t="shared" si="127"/>
        <v>0</v>
      </c>
      <c r="Q600">
        <f t="shared" si="128"/>
        <v>0</v>
      </c>
      <c r="R600">
        <f t="shared" si="129"/>
        <v>0</v>
      </c>
    </row>
    <row r="601" spans="1:18" x14ac:dyDescent="0.3">
      <c r="A601" s="1">
        <v>41905</v>
      </c>
      <c r="B601" s="1">
        <v>41924</v>
      </c>
      <c r="C601">
        <v>6.43</v>
      </c>
      <c r="D601">
        <v>0.17</v>
      </c>
      <c r="E601">
        <v>2</v>
      </c>
      <c r="F601">
        <f t="shared" si="117"/>
        <v>19</v>
      </c>
      <c r="G601">
        <f t="shared" si="118"/>
        <v>0</v>
      </c>
      <c r="H601">
        <f t="shared" si="119"/>
        <v>0</v>
      </c>
      <c r="I601">
        <f t="shared" si="120"/>
        <v>0</v>
      </c>
      <c r="J601">
        <f t="shared" si="121"/>
        <v>0</v>
      </c>
      <c r="K601">
        <f t="shared" si="122"/>
        <v>380</v>
      </c>
      <c r="L601">
        <f t="shared" si="123"/>
        <v>6.6</v>
      </c>
      <c r="M601">
        <f t="shared" si="124"/>
        <v>386.6</v>
      </c>
      <c r="N601">
        <f t="shared" si="125"/>
        <v>386.6</v>
      </c>
      <c r="O601">
        <f t="shared" si="126"/>
        <v>0</v>
      </c>
      <c r="P601">
        <f t="shared" si="127"/>
        <v>0</v>
      </c>
      <c r="Q601">
        <f t="shared" si="128"/>
        <v>0</v>
      </c>
      <c r="R601">
        <f t="shared" si="129"/>
        <v>0</v>
      </c>
    </row>
    <row r="602" spans="1:18" x14ac:dyDescent="0.3">
      <c r="A602" s="1">
        <v>41906</v>
      </c>
      <c r="B602" s="1">
        <v>41921</v>
      </c>
      <c r="C602">
        <v>14.13</v>
      </c>
      <c r="D602">
        <v>0.37</v>
      </c>
      <c r="E602">
        <v>2</v>
      </c>
      <c r="F602">
        <f t="shared" si="117"/>
        <v>15</v>
      </c>
      <c r="G602">
        <f t="shared" si="118"/>
        <v>0</v>
      </c>
      <c r="H602">
        <f t="shared" si="119"/>
        <v>0</v>
      </c>
      <c r="I602">
        <f t="shared" si="120"/>
        <v>0</v>
      </c>
      <c r="J602">
        <f t="shared" si="121"/>
        <v>0</v>
      </c>
      <c r="K602">
        <f t="shared" si="122"/>
        <v>300</v>
      </c>
      <c r="L602">
        <f t="shared" si="123"/>
        <v>14.5</v>
      </c>
      <c r="M602">
        <f t="shared" si="124"/>
        <v>314.5</v>
      </c>
      <c r="N602">
        <f t="shared" si="125"/>
        <v>314.5</v>
      </c>
      <c r="O602">
        <f t="shared" si="126"/>
        <v>0</v>
      </c>
      <c r="P602">
        <f t="shared" si="127"/>
        <v>0</v>
      </c>
      <c r="Q602">
        <f t="shared" si="128"/>
        <v>0</v>
      </c>
      <c r="R602">
        <f t="shared" si="129"/>
        <v>0</v>
      </c>
    </row>
    <row r="603" spans="1:18" x14ac:dyDescent="0.3">
      <c r="A603" s="1">
        <v>41908</v>
      </c>
      <c r="B603" s="1">
        <v>41928</v>
      </c>
      <c r="C603">
        <v>3.73</v>
      </c>
      <c r="D603">
        <v>0.1</v>
      </c>
      <c r="E603">
        <v>2</v>
      </c>
      <c r="F603">
        <f t="shared" si="117"/>
        <v>20</v>
      </c>
      <c r="G603">
        <f t="shared" si="118"/>
        <v>0</v>
      </c>
      <c r="H603">
        <f t="shared" si="119"/>
        <v>0</v>
      </c>
      <c r="I603">
        <f t="shared" si="120"/>
        <v>0</v>
      </c>
      <c r="J603">
        <f t="shared" si="121"/>
        <v>0</v>
      </c>
      <c r="K603">
        <f t="shared" si="122"/>
        <v>400</v>
      </c>
      <c r="L603">
        <f t="shared" si="123"/>
        <v>3.83</v>
      </c>
      <c r="M603">
        <f t="shared" si="124"/>
        <v>403.83</v>
      </c>
      <c r="N603">
        <f t="shared" si="125"/>
        <v>403.83</v>
      </c>
      <c r="O603">
        <f t="shared" si="126"/>
        <v>0</v>
      </c>
      <c r="P603">
        <f t="shared" si="127"/>
        <v>0</v>
      </c>
      <c r="Q603">
        <f t="shared" si="128"/>
        <v>0</v>
      </c>
      <c r="R603">
        <f t="shared" si="129"/>
        <v>0</v>
      </c>
    </row>
    <row r="604" spans="1:18" x14ac:dyDescent="0.3">
      <c r="A604" s="1">
        <v>41910</v>
      </c>
      <c r="B604" s="1">
        <v>41936</v>
      </c>
      <c r="C604">
        <v>2.29</v>
      </c>
      <c r="D604">
        <v>0.06</v>
      </c>
      <c r="E604">
        <v>6</v>
      </c>
      <c r="F604">
        <f t="shared" si="117"/>
        <v>0</v>
      </c>
      <c r="G604">
        <f t="shared" si="118"/>
        <v>0</v>
      </c>
      <c r="H604">
        <f t="shared" si="119"/>
        <v>0</v>
      </c>
      <c r="I604">
        <f t="shared" si="120"/>
        <v>0</v>
      </c>
      <c r="J604">
        <f t="shared" si="121"/>
        <v>26</v>
      </c>
      <c r="K604">
        <f t="shared" si="122"/>
        <v>1560</v>
      </c>
      <c r="L604">
        <f t="shared" si="123"/>
        <v>2.35</v>
      </c>
      <c r="M604">
        <f t="shared" si="124"/>
        <v>1562.35</v>
      </c>
      <c r="N604">
        <f t="shared" si="125"/>
        <v>0</v>
      </c>
      <c r="O604">
        <f t="shared" si="126"/>
        <v>0</v>
      </c>
      <c r="P604">
        <f t="shared" si="127"/>
        <v>0</v>
      </c>
      <c r="Q604">
        <f t="shared" si="128"/>
        <v>0</v>
      </c>
      <c r="R604">
        <f t="shared" si="129"/>
        <v>1562.35</v>
      </c>
    </row>
    <row r="605" spans="1:18" x14ac:dyDescent="0.3">
      <c r="A605" s="1">
        <v>41910</v>
      </c>
      <c r="B605" s="1">
        <v>41926</v>
      </c>
      <c r="C605">
        <v>14.13</v>
      </c>
      <c r="D605">
        <v>0.37</v>
      </c>
      <c r="E605">
        <v>3</v>
      </c>
      <c r="F605">
        <f t="shared" si="117"/>
        <v>0</v>
      </c>
      <c r="G605">
        <f t="shared" si="118"/>
        <v>16</v>
      </c>
      <c r="H605">
        <f t="shared" si="119"/>
        <v>0</v>
      </c>
      <c r="I605">
        <f t="shared" si="120"/>
        <v>0</v>
      </c>
      <c r="J605">
        <f t="shared" si="121"/>
        <v>0</v>
      </c>
      <c r="K605">
        <f t="shared" si="122"/>
        <v>480</v>
      </c>
      <c r="L605">
        <f t="shared" si="123"/>
        <v>14.5</v>
      </c>
      <c r="M605">
        <f t="shared" si="124"/>
        <v>494.5</v>
      </c>
      <c r="N605">
        <f t="shared" si="125"/>
        <v>0</v>
      </c>
      <c r="O605">
        <f t="shared" si="126"/>
        <v>494.5</v>
      </c>
      <c r="P605">
        <f t="shared" si="127"/>
        <v>0</v>
      </c>
      <c r="Q605">
        <f t="shared" si="128"/>
        <v>0</v>
      </c>
      <c r="R605">
        <f t="shared" si="129"/>
        <v>0</v>
      </c>
    </row>
    <row r="606" spans="1:18" x14ac:dyDescent="0.3">
      <c r="A606" s="1">
        <v>41910</v>
      </c>
      <c r="B606" s="1">
        <v>41925</v>
      </c>
      <c r="C606">
        <v>11.37</v>
      </c>
      <c r="D606">
        <v>0.3</v>
      </c>
      <c r="E606">
        <v>4</v>
      </c>
      <c r="F606">
        <f t="shared" si="117"/>
        <v>0</v>
      </c>
      <c r="G606">
        <f t="shared" si="118"/>
        <v>0</v>
      </c>
      <c r="H606">
        <f t="shared" si="119"/>
        <v>15</v>
      </c>
      <c r="I606">
        <f t="shared" si="120"/>
        <v>0</v>
      </c>
      <c r="J606">
        <f t="shared" si="121"/>
        <v>0</v>
      </c>
      <c r="K606">
        <f t="shared" si="122"/>
        <v>600</v>
      </c>
      <c r="L606">
        <f t="shared" si="123"/>
        <v>11.67</v>
      </c>
      <c r="M606">
        <f t="shared" si="124"/>
        <v>611.66999999999996</v>
      </c>
      <c r="N606">
        <f t="shared" si="125"/>
        <v>0</v>
      </c>
      <c r="O606">
        <f t="shared" si="126"/>
        <v>0</v>
      </c>
      <c r="P606">
        <f t="shared" si="127"/>
        <v>611.66999999999996</v>
      </c>
      <c r="Q606">
        <f t="shared" si="128"/>
        <v>0</v>
      </c>
      <c r="R606">
        <f t="shared" si="129"/>
        <v>0</v>
      </c>
    </row>
    <row r="607" spans="1:18" x14ac:dyDescent="0.3">
      <c r="A607" s="1">
        <v>41910</v>
      </c>
      <c r="B607" s="1">
        <v>41917</v>
      </c>
      <c r="C607">
        <v>16.940000000000001</v>
      </c>
      <c r="D607">
        <v>0.45</v>
      </c>
      <c r="E607">
        <v>2</v>
      </c>
      <c r="F607">
        <f t="shared" si="117"/>
        <v>7</v>
      </c>
      <c r="G607">
        <f t="shared" si="118"/>
        <v>0</v>
      </c>
      <c r="H607">
        <f t="shared" si="119"/>
        <v>0</v>
      </c>
      <c r="I607">
        <f t="shared" si="120"/>
        <v>0</v>
      </c>
      <c r="J607">
        <f t="shared" si="121"/>
        <v>0</v>
      </c>
      <c r="K607">
        <f t="shared" si="122"/>
        <v>140</v>
      </c>
      <c r="L607">
        <f t="shared" si="123"/>
        <v>17.39</v>
      </c>
      <c r="M607">
        <f t="shared" si="124"/>
        <v>157.38999999999999</v>
      </c>
      <c r="N607">
        <f t="shared" si="125"/>
        <v>157.38999999999999</v>
      </c>
      <c r="O607">
        <f t="shared" si="126"/>
        <v>0</v>
      </c>
      <c r="P607">
        <f t="shared" si="127"/>
        <v>0</v>
      </c>
      <c r="Q607">
        <f t="shared" si="128"/>
        <v>0</v>
      </c>
      <c r="R607">
        <f t="shared" si="129"/>
        <v>0</v>
      </c>
    </row>
    <row r="608" spans="1:18" x14ac:dyDescent="0.3">
      <c r="A608" s="1">
        <v>41910</v>
      </c>
      <c r="B608" s="1">
        <v>41913</v>
      </c>
      <c r="C608">
        <v>11.42</v>
      </c>
      <c r="D608">
        <v>0.3</v>
      </c>
      <c r="E608">
        <v>3</v>
      </c>
      <c r="F608">
        <f t="shared" si="117"/>
        <v>0</v>
      </c>
      <c r="G608">
        <f t="shared" si="118"/>
        <v>3</v>
      </c>
      <c r="H608">
        <f t="shared" si="119"/>
        <v>0</v>
      </c>
      <c r="I608">
        <f t="shared" si="120"/>
        <v>0</v>
      </c>
      <c r="J608">
        <f t="shared" si="121"/>
        <v>0</v>
      </c>
      <c r="K608">
        <f t="shared" si="122"/>
        <v>90</v>
      </c>
      <c r="L608">
        <f t="shared" si="123"/>
        <v>11.72</v>
      </c>
      <c r="M608">
        <f t="shared" si="124"/>
        <v>101.72</v>
      </c>
      <c r="N608">
        <f t="shared" si="125"/>
        <v>0</v>
      </c>
      <c r="O608">
        <f t="shared" si="126"/>
        <v>101.72</v>
      </c>
      <c r="P608">
        <f t="shared" si="127"/>
        <v>0</v>
      </c>
      <c r="Q608">
        <f t="shared" si="128"/>
        <v>0</v>
      </c>
      <c r="R608">
        <f t="shared" si="129"/>
        <v>0</v>
      </c>
    </row>
    <row r="609" spans="1:18" x14ac:dyDescent="0.3">
      <c r="A609" s="1">
        <v>41910</v>
      </c>
      <c r="B609" s="1">
        <v>41913</v>
      </c>
      <c r="C609">
        <v>4.25</v>
      </c>
      <c r="D609">
        <v>0.11</v>
      </c>
      <c r="E609">
        <v>4</v>
      </c>
      <c r="F609">
        <f t="shared" si="117"/>
        <v>0</v>
      </c>
      <c r="G609">
        <f t="shared" si="118"/>
        <v>0</v>
      </c>
      <c r="H609">
        <f t="shared" si="119"/>
        <v>3</v>
      </c>
      <c r="I609">
        <f t="shared" si="120"/>
        <v>0</v>
      </c>
      <c r="J609">
        <f t="shared" si="121"/>
        <v>0</v>
      </c>
      <c r="K609">
        <f t="shared" si="122"/>
        <v>120</v>
      </c>
      <c r="L609">
        <f t="shared" si="123"/>
        <v>4.3600000000000003</v>
      </c>
      <c r="M609">
        <f t="shared" si="124"/>
        <v>124.36</v>
      </c>
      <c r="N609">
        <f t="shared" si="125"/>
        <v>0</v>
      </c>
      <c r="O609">
        <f t="shared" si="126"/>
        <v>0</v>
      </c>
      <c r="P609">
        <f t="shared" si="127"/>
        <v>124.36</v>
      </c>
      <c r="Q609">
        <f t="shared" si="128"/>
        <v>0</v>
      </c>
      <c r="R609">
        <f t="shared" si="129"/>
        <v>0</v>
      </c>
    </row>
    <row r="610" spans="1:18" x14ac:dyDescent="0.3">
      <c r="A610" s="1">
        <v>41910</v>
      </c>
      <c r="B610" s="1">
        <v>41930</v>
      </c>
      <c r="C610">
        <v>5.78</v>
      </c>
      <c r="D610">
        <v>0.15</v>
      </c>
      <c r="E610">
        <v>2</v>
      </c>
      <c r="F610">
        <f t="shared" si="117"/>
        <v>20</v>
      </c>
      <c r="G610">
        <f t="shared" si="118"/>
        <v>0</v>
      </c>
      <c r="H610">
        <f t="shared" si="119"/>
        <v>0</v>
      </c>
      <c r="I610">
        <f t="shared" si="120"/>
        <v>0</v>
      </c>
      <c r="J610">
        <f t="shared" si="121"/>
        <v>0</v>
      </c>
      <c r="K610">
        <f t="shared" si="122"/>
        <v>400</v>
      </c>
      <c r="L610">
        <f t="shared" si="123"/>
        <v>5.9300000000000006</v>
      </c>
      <c r="M610">
        <f t="shared" si="124"/>
        <v>405.93</v>
      </c>
      <c r="N610">
        <f t="shared" si="125"/>
        <v>405.93</v>
      </c>
      <c r="O610">
        <f t="shared" si="126"/>
        <v>0</v>
      </c>
      <c r="P610">
        <f t="shared" si="127"/>
        <v>0</v>
      </c>
      <c r="Q610">
        <f t="shared" si="128"/>
        <v>0</v>
      </c>
      <c r="R610">
        <f t="shared" si="129"/>
        <v>0</v>
      </c>
    </row>
    <row r="611" spans="1:18" x14ac:dyDescent="0.3">
      <c r="A611" s="1">
        <v>41910</v>
      </c>
      <c r="B611" s="1">
        <v>41918</v>
      </c>
      <c r="C611">
        <v>5.23</v>
      </c>
      <c r="D611">
        <v>0.14000000000000001</v>
      </c>
      <c r="E611">
        <v>5</v>
      </c>
      <c r="F611">
        <f t="shared" si="117"/>
        <v>0</v>
      </c>
      <c r="G611">
        <f t="shared" si="118"/>
        <v>0</v>
      </c>
      <c r="H611">
        <f t="shared" si="119"/>
        <v>0</v>
      </c>
      <c r="I611">
        <f t="shared" si="120"/>
        <v>8</v>
      </c>
      <c r="J611">
        <f t="shared" si="121"/>
        <v>0</v>
      </c>
      <c r="K611">
        <f t="shared" si="122"/>
        <v>400</v>
      </c>
      <c r="L611">
        <f t="shared" si="123"/>
        <v>5.37</v>
      </c>
      <c r="M611">
        <f t="shared" si="124"/>
        <v>405.37</v>
      </c>
      <c r="N611">
        <f t="shared" si="125"/>
        <v>0</v>
      </c>
      <c r="O611">
        <f t="shared" si="126"/>
        <v>0</v>
      </c>
      <c r="P611">
        <f t="shared" si="127"/>
        <v>0</v>
      </c>
      <c r="Q611">
        <f t="shared" si="128"/>
        <v>405.37</v>
      </c>
      <c r="R611">
        <f t="shared" si="129"/>
        <v>0</v>
      </c>
    </row>
    <row r="612" spans="1:18" x14ac:dyDescent="0.3">
      <c r="A612" s="1">
        <v>41910</v>
      </c>
      <c r="B612" s="1">
        <v>41933</v>
      </c>
      <c r="C612">
        <v>10.79</v>
      </c>
      <c r="D612">
        <v>0.28000000000000003</v>
      </c>
      <c r="E612">
        <v>3</v>
      </c>
      <c r="F612">
        <f t="shared" si="117"/>
        <v>0</v>
      </c>
      <c r="G612">
        <f t="shared" si="118"/>
        <v>23</v>
      </c>
      <c r="H612">
        <f t="shared" si="119"/>
        <v>0</v>
      </c>
      <c r="I612">
        <f t="shared" si="120"/>
        <v>0</v>
      </c>
      <c r="J612">
        <f t="shared" si="121"/>
        <v>0</v>
      </c>
      <c r="K612">
        <f t="shared" si="122"/>
        <v>690</v>
      </c>
      <c r="L612">
        <f t="shared" si="123"/>
        <v>11.069999999999999</v>
      </c>
      <c r="M612">
        <f t="shared" si="124"/>
        <v>701.07</v>
      </c>
      <c r="N612">
        <f t="shared" si="125"/>
        <v>0</v>
      </c>
      <c r="O612">
        <f t="shared" si="126"/>
        <v>701.07</v>
      </c>
      <c r="P612">
        <f t="shared" si="127"/>
        <v>0</v>
      </c>
      <c r="Q612">
        <f t="shared" si="128"/>
        <v>0</v>
      </c>
      <c r="R612">
        <f t="shared" si="129"/>
        <v>0</v>
      </c>
    </row>
    <row r="613" spans="1:18" x14ac:dyDescent="0.3">
      <c r="A613" s="1">
        <v>41910</v>
      </c>
      <c r="B613" s="1">
        <v>41923</v>
      </c>
      <c r="C613">
        <v>5.78</v>
      </c>
      <c r="D613">
        <v>0.15</v>
      </c>
      <c r="E613">
        <v>6</v>
      </c>
      <c r="F613">
        <f t="shared" si="117"/>
        <v>0</v>
      </c>
      <c r="G613">
        <f t="shared" si="118"/>
        <v>0</v>
      </c>
      <c r="H613">
        <f t="shared" si="119"/>
        <v>0</v>
      </c>
      <c r="I613">
        <f t="shared" si="120"/>
        <v>0</v>
      </c>
      <c r="J613">
        <f t="shared" si="121"/>
        <v>13</v>
      </c>
      <c r="K613">
        <f t="shared" si="122"/>
        <v>780</v>
      </c>
      <c r="L613">
        <f t="shared" si="123"/>
        <v>5.9300000000000006</v>
      </c>
      <c r="M613">
        <f t="shared" si="124"/>
        <v>785.93</v>
      </c>
      <c r="N613">
        <f t="shared" si="125"/>
        <v>0</v>
      </c>
      <c r="O613">
        <f t="shared" si="126"/>
        <v>0</v>
      </c>
      <c r="P613">
        <f t="shared" si="127"/>
        <v>0</v>
      </c>
      <c r="Q613">
        <f t="shared" si="128"/>
        <v>0</v>
      </c>
      <c r="R613">
        <f t="shared" si="129"/>
        <v>785.93</v>
      </c>
    </row>
    <row r="614" spans="1:18" x14ac:dyDescent="0.3">
      <c r="A614" s="1">
        <v>41911</v>
      </c>
      <c r="B614" s="1">
        <v>41919</v>
      </c>
      <c r="C614">
        <v>11.37</v>
      </c>
      <c r="D614">
        <v>0.3</v>
      </c>
      <c r="E614">
        <v>4</v>
      </c>
      <c r="F614">
        <f t="shared" si="117"/>
        <v>0</v>
      </c>
      <c r="G614">
        <f t="shared" si="118"/>
        <v>0</v>
      </c>
      <c r="H614">
        <f t="shared" si="119"/>
        <v>8</v>
      </c>
      <c r="I614">
        <f t="shared" si="120"/>
        <v>0</v>
      </c>
      <c r="J614">
        <f t="shared" si="121"/>
        <v>0</v>
      </c>
      <c r="K614">
        <f t="shared" si="122"/>
        <v>320</v>
      </c>
      <c r="L614">
        <f t="shared" si="123"/>
        <v>11.67</v>
      </c>
      <c r="M614">
        <f t="shared" si="124"/>
        <v>331.67</v>
      </c>
      <c r="N614">
        <f t="shared" si="125"/>
        <v>0</v>
      </c>
      <c r="O614">
        <f t="shared" si="126"/>
        <v>0</v>
      </c>
      <c r="P614">
        <f t="shared" si="127"/>
        <v>331.67</v>
      </c>
      <c r="Q614">
        <f t="shared" si="128"/>
        <v>0</v>
      </c>
      <c r="R614">
        <f t="shared" si="129"/>
        <v>0</v>
      </c>
    </row>
    <row r="615" spans="1:18" x14ac:dyDescent="0.3">
      <c r="A615" s="1">
        <v>41911</v>
      </c>
      <c r="B615" s="1">
        <v>41927</v>
      </c>
      <c r="C615">
        <v>8.9499999999999993</v>
      </c>
      <c r="D615">
        <v>0.24</v>
      </c>
      <c r="E615">
        <v>3</v>
      </c>
      <c r="F615">
        <f t="shared" si="117"/>
        <v>0</v>
      </c>
      <c r="G615">
        <f t="shared" si="118"/>
        <v>16</v>
      </c>
      <c r="H615">
        <f t="shared" si="119"/>
        <v>0</v>
      </c>
      <c r="I615">
        <f t="shared" si="120"/>
        <v>0</v>
      </c>
      <c r="J615">
        <f t="shared" si="121"/>
        <v>0</v>
      </c>
      <c r="K615">
        <f t="shared" si="122"/>
        <v>480</v>
      </c>
      <c r="L615">
        <f t="shared" si="123"/>
        <v>9.19</v>
      </c>
      <c r="M615">
        <f t="shared" si="124"/>
        <v>489.19</v>
      </c>
      <c r="N615">
        <f t="shared" si="125"/>
        <v>0</v>
      </c>
      <c r="O615">
        <f t="shared" si="126"/>
        <v>489.19</v>
      </c>
      <c r="P615">
        <f t="shared" si="127"/>
        <v>0</v>
      </c>
      <c r="Q615">
        <f t="shared" si="128"/>
        <v>0</v>
      </c>
      <c r="R615">
        <f t="shared" si="129"/>
        <v>0</v>
      </c>
    </row>
    <row r="616" spans="1:18" x14ac:dyDescent="0.3">
      <c r="A616" s="1">
        <v>41911</v>
      </c>
      <c r="B616" s="1">
        <v>41929</v>
      </c>
      <c r="C616">
        <v>10.199999999999999</v>
      </c>
      <c r="D616">
        <v>0.27</v>
      </c>
      <c r="E616">
        <v>3</v>
      </c>
      <c r="F616">
        <f t="shared" si="117"/>
        <v>0</v>
      </c>
      <c r="G616">
        <f t="shared" si="118"/>
        <v>18</v>
      </c>
      <c r="H616">
        <f t="shared" si="119"/>
        <v>0</v>
      </c>
      <c r="I616">
        <f t="shared" si="120"/>
        <v>0</v>
      </c>
      <c r="J616">
        <f t="shared" si="121"/>
        <v>0</v>
      </c>
      <c r="K616">
        <f t="shared" si="122"/>
        <v>540</v>
      </c>
      <c r="L616">
        <f t="shared" si="123"/>
        <v>10.469999999999999</v>
      </c>
      <c r="M616">
        <f t="shared" si="124"/>
        <v>550.47</v>
      </c>
      <c r="N616">
        <f t="shared" si="125"/>
        <v>0</v>
      </c>
      <c r="O616">
        <f t="shared" si="126"/>
        <v>550.47</v>
      </c>
      <c r="P616">
        <f t="shared" si="127"/>
        <v>0</v>
      </c>
      <c r="Q616">
        <f t="shared" si="128"/>
        <v>0</v>
      </c>
      <c r="R616">
        <f t="shared" si="129"/>
        <v>0</v>
      </c>
    </row>
    <row r="617" spans="1:18" x14ac:dyDescent="0.3">
      <c r="A617" s="1">
        <v>41911</v>
      </c>
      <c r="B617" s="1">
        <v>41921</v>
      </c>
      <c r="C617">
        <v>9.1300000000000008</v>
      </c>
      <c r="D617">
        <v>0.24</v>
      </c>
      <c r="E617">
        <v>4</v>
      </c>
      <c r="F617">
        <f t="shared" si="117"/>
        <v>0</v>
      </c>
      <c r="G617">
        <f t="shared" si="118"/>
        <v>0</v>
      </c>
      <c r="H617">
        <f t="shared" si="119"/>
        <v>10</v>
      </c>
      <c r="I617">
        <f t="shared" si="120"/>
        <v>0</v>
      </c>
      <c r="J617">
        <f t="shared" si="121"/>
        <v>0</v>
      </c>
      <c r="K617">
        <f t="shared" si="122"/>
        <v>400</v>
      </c>
      <c r="L617">
        <f t="shared" si="123"/>
        <v>9.370000000000001</v>
      </c>
      <c r="M617">
        <f t="shared" si="124"/>
        <v>409.37</v>
      </c>
      <c r="N617">
        <f t="shared" si="125"/>
        <v>0</v>
      </c>
      <c r="O617">
        <f t="shared" si="126"/>
        <v>0</v>
      </c>
      <c r="P617">
        <f t="shared" si="127"/>
        <v>409.37</v>
      </c>
      <c r="Q617">
        <f t="shared" si="128"/>
        <v>0</v>
      </c>
      <c r="R617">
        <f t="shared" si="129"/>
        <v>0</v>
      </c>
    </row>
    <row r="618" spans="1:18" x14ac:dyDescent="0.3">
      <c r="A618" s="1">
        <v>41911</v>
      </c>
      <c r="B618" s="1">
        <v>41932</v>
      </c>
      <c r="C618">
        <v>6.23</v>
      </c>
      <c r="D618">
        <v>0.16</v>
      </c>
      <c r="E618">
        <v>6</v>
      </c>
      <c r="F618">
        <f t="shared" si="117"/>
        <v>0</v>
      </c>
      <c r="G618">
        <f t="shared" si="118"/>
        <v>0</v>
      </c>
      <c r="H618">
        <f t="shared" si="119"/>
        <v>0</v>
      </c>
      <c r="I618">
        <f t="shared" si="120"/>
        <v>0</v>
      </c>
      <c r="J618">
        <f t="shared" si="121"/>
        <v>21</v>
      </c>
      <c r="K618">
        <f t="shared" si="122"/>
        <v>1260</v>
      </c>
      <c r="L618">
        <f t="shared" si="123"/>
        <v>6.3900000000000006</v>
      </c>
      <c r="M618">
        <f t="shared" si="124"/>
        <v>1266.3900000000001</v>
      </c>
      <c r="N618">
        <f t="shared" si="125"/>
        <v>0</v>
      </c>
      <c r="O618">
        <f t="shared" si="126"/>
        <v>0</v>
      </c>
      <c r="P618">
        <f t="shared" si="127"/>
        <v>0</v>
      </c>
      <c r="Q618">
        <f t="shared" si="128"/>
        <v>0</v>
      </c>
      <c r="R618">
        <f t="shared" si="129"/>
        <v>1266.3900000000001</v>
      </c>
    </row>
    <row r="619" spans="1:18" x14ac:dyDescent="0.3">
      <c r="A619" s="1">
        <v>41911</v>
      </c>
      <c r="B619" s="1">
        <v>41932</v>
      </c>
      <c r="C619">
        <v>8.84</v>
      </c>
      <c r="D619">
        <v>0.23</v>
      </c>
      <c r="E619">
        <v>4</v>
      </c>
      <c r="F619">
        <f t="shared" si="117"/>
        <v>0</v>
      </c>
      <c r="G619">
        <f t="shared" si="118"/>
        <v>0</v>
      </c>
      <c r="H619">
        <f t="shared" si="119"/>
        <v>21</v>
      </c>
      <c r="I619">
        <f t="shared" si="120"/>
        <v>0</v>
      </c>
      <c r="J619">
        <f t="shared" si="121"/>
        <v>0</v>
      </c>
      <c r="K619">
        <f t="shared" si="122"/>
        <v>840</v>
      </c>
      <c r="L619">
        <f t="shared" si="123"/>
        <v>9.07</v>
      </c>
      <c r="M619">
        <f t="shared" si="124"/>
        <v>849.07</v>
      </c>
      <c r="N619">
        <f t="shared" si="125"/>
        <v>0</v>
      </c>
      <c r="O619">
        <f t="shared" si="126"/>
        <v>0</v>
      </c>
      <c r="P619">
        <f t="shared" si="127"/>
        <v>849.07</v>
      </c>
      <c r="Q619">
        <f t="shared" si="128"/>
        <v>0</v>
      </c>
      <c r="R619">
        <f t="shared" si="129"/>
        <v>0</v>
      </c>
    </row>
    <row r="620" spans="1:18" x14ac:dyDescent="0.3">
      <c r="A620" s="1">
        <v>41911</v>
      </c>
      <c r="B620" s="1">
        <v>41919</v>
      </c>
      <c r="C620">
        <v>6.88</v>
      </c>
      <c r="D620">
        <v>0.18</v>
      </c>
      <c r="E620">
        <v>6</v>
      </c>
      <c r="F620">
        <f t="shared" si="117"/>
        <v>0</v>
      </c>
      <c r="G620">
        <f t="shared" si="118"/>
        <v>0</v>
      </c>
      <c r="H620">
        <f t="shared" si="119"/>
        <v>0</v>
      </c>
      <c r="I620">
        <f t="shared" si="120"/>
        <v>0</v>
      </c>
      <c r="J620">
        <f t="shared" si="121"/>
        <v>8</v>
      </c>
      <c r="K620">
        <f t="shared" si="122"/>
        <v>480</v>
      </c>
      <c r="L620">
        <f t="shared" si="123"/>
        <v>7.06</v>
      </c>
      <c r="M620">
        <f t="shared" si="124"/>
        <v>487.06</v>
      </c>
      <c r="N620">
        <f t="shared" si="125"/>
        <v>0</v>
      </c>
      <c r="O620">
        <f t="shared" si="126"/>
        <v>0</v>
      </c>
      <c r="P620">
        <f t="shared" si="127"/>
        <v>0</v>
      </c>
      <c r="Q620">
        <f t="shared" si="128"/>
        <v>0</v>
      </c>
      <c r="R620">
        <f t="shared" si="129"/>
        <v>487.06</v>
      </c>
    </row>
    <row r="621" spans="1:18" x14ac:dyDescent="0.3">
      <c r="A621" s="1">
        <v>41911</v>
      </c>
      <c r="B621" s="1">
        <v>41921</v>
      </c>
      <c r="C621">
        <v>8.84</v>
      </c>
      <c r="D621">
        <v>0.23</v>
      </c>
      <c r="E621">
        <v>2</v>
      </c>
      <c r="F621">
        <f t="shared" si="117"/>
        <v>10</v>
      </c>
      <c r="G621">
        <f t="shared" si="118"/>
        <v>0</v>
      </c>
      <c r="H621">
        <f t="shared" si="119"/>
        <v>0</v>
      </c>
      <c r="I621">
        <f t="shared" si="120"/>
        <v>0</v>
      </c>
      <c r="J621">
        <f t="shared" si="121"/>
        <v>0</v>
      </c>
      <c r="K621">
        <f t="shared" si="122"/>
        <v>200</v>
      </c>
      <c r="L621">
        <f t="shared" si="123"/>
        <v>9.07</v>
      </c>
      <c r="M621">
        <f t="shared" si="124"/>
        <v>209.07</v>
      </c>
      <c r="N621">
        <f t="shared" si="125"/>
        <v>209.07</v>
      </c>
      <c r="O621">
        <f t="shared" si="126"/>
        <v>0</v>
      </c>
      <c r="P621">
        <f t="shared" si="127"/>
        <v>0</v>
      </c>
      <c r="Q621">
        <f t="shared" si="128"/>
        <v>0</v>
      </c>
      <c r="R621">
        <f t="shared" si="129"/>
        <v>0</v>
      </c>
    </row>
    <row r="622" spans="1:18" x14ac:dyDescent="0.3">
      <c r="A622" s="1">
        <v>41911</v>
      </c>
      <c r="B622" s="1">
        <v>41917</v>
      </c>
      <c r="C622">
        <v>3.57</v>
      </c>
      <c r="D622">
        <v>0.09</v>
      </c>
      <c r="E622">
        <v>5</v>
      </c>
      <c r="F622">
        <f t="shared" si="117"/>
        <v>0</v>
      </c>
      <c r="G622">
        <f t="shared" si="118"/>
        <v>0</v>
      </c>
      <c r="H622">
        <f t="shared" si="119"/>
        <v>0</v>
      </c>
      <c r="I622">
        <f t="shared" si="120"/>
        <v>6</v>
      </c>
      <c r="J622">
        <f t="shared" si="121"/>
        <v>0</v>
      </c>
      <c r="K622">
        <f t="shared" si="122"/>
        <v>300</v>
      </c>
      <c r="L622">
        <f t="shared" si="123"/>
        <v>3.6599999999999997</v>
      </c>
      <c r="M622">
        <f t="shared" si="124"/>
        <v>303.66000000000003</v>
      </c>
      <c r="N622">
        <f t="shared" si="125"/>
        <v>0</v>
      </c>
      <c r="O622">
        <f t="shared" si="126"/>
        <v>0</v>
      </c>
      <c r="P622">
        <f t="shared" si="127"/>
        <v>0</v>
      </c>
      <c r="Q622">
        <f t="shared" si="128"/>
        <v>303.66000000000003</v>
      </c>
      <c r="R622">
        <f t="shared" si="129"/>
        <v>0</v>
      </c>
    </row>
    <row r="623" spans="1:18" x14ac:dyDescent="0.3">
      <c r="A623" s="1">
        <v>41911</v>
      </c>
      <c r="B623" s="1">
        <v>41926</v>
      </c>
      <c r="C623">
        <v>5.64</v>
      </c>
      <c r="D623">
        <v>0.15</v>
      </c>
      <c r="E623">
        <v>5</v>
      </c>
      <c r="F623">
        <f t="shared" si="117"/>
        <v>0</v>
      </c>
      <c r="G623">
        <f t="shared" si="118"/>
        <v>0</v>
      </c>
      <c r="H623">
        <f t="shared" si="119"/>
        <v>0</v>
      </c>
      <c r="I623">
        <f t="shared" si="120"/>
        <v>15</v>
      </c>
      <c r="J623">
        <f t="shared" si="121"/>
        <v>0</v>
      </c>
      <c r="K623">
        <f t="shared" si="122"/>
        <v>750</v>
      </c>
      <c r="L623">
        <f t="shared" si="123"/>
        <v>5.79</v>
      </c>
      <c r="M623">
        <f t="shared" si="124"/>
        <v>755.79</v>
      </c>
      <c r="N623">
        <f t="shared" si="125"/>
        <v>0</v>
      </c>
      <c r="O623">
        <f t="shared" si="126"/>
        <v>0</v>
      </c>
      <c r="P623">
        <f t="shared" si="127"/>
        <v>0</v>
      </c>
      <c r="Q623">
        <f t="shared" si="128"/>
        <v>755.79</v>
      </c>
      <c r="R623">
        <f t="shared" si="129"/>
        <v>0</v>
      </c>
    </row>
    <row r="624" spans="1:18" x14ac:dyDescent="0.3">
      <c r="A624" s="1">
        <v>41911</v>
      </c>
      <c r="B624" s="1">
        <v>41938</v>
      </c>
      <c r="C624">
        <v>9.06</v>
      </c>
      <c r="D624">
        <v>0.24</v>
      </c>
      <c r="E624">
        <v>6</v>
      </c>
      <c r="F624">
        <f t="shared" si="117"/>
        <v>0</v>
      </c>
      <c r="G624">
        <f t="shared" si="118"/>
        <v>0</v>
      </c>
      <c r="H624">
        <f t="shared" si="119"/>
        <v>0</v>
      </c>
      <c r="I624">
        <f t="shared" si="120"/>
        <v>0</v>
      </c>
      <c r="J624">
        <f t="shared" si="121"/>
        <v>27</v>
      </c>
      <c r="K624">
        <f t="shared" si="122"/>
        <v>1620</v>
      </c>
      <c r="L624">
        <f t="shared" si="123"/>
        <v>9.3000000000000007</v>
      </c>
      <c r="M624">
        <f t="shared" si="124"/>
        <v>1629.3</v>
      </c>
      <c r="N624">
        <f t="shared" si="125"/>
        <v>0</v>
      </c>
      <c r="O624">
        <f t="shared" si="126"/>
        <v>0</v>
      </c>
      <c r="P624">
        <f t="shared" si="127"/>
        <v>0</v>
      </c>
      <c r="Q624">
        <f t="shared" si="128"/>
        <v>0</v>
      </c>
      <c r="R624">
        <f t="shared" si="129"/>
        <v>1629.3</v>
      </c>
    </row>
    <row r="625" spans="1:18" x14ac:dyDescent="0.3">
      <c r="A625" s="1">
        <v>41911</v>
      </c>
      <c r="B625" s="1">
        <v>41916</v>
      </c>
      <c r="C625">
        <v>7.55</v>
      </c>
      <c r="D625">
        <v>0.2</v>
      </c>
      <c r="E625">
        <v>2</v>
      </c>
      <c r="F625">
        <f t="shared" si="117"/>
        <v>5</v>
      </c>
      <c r="G625">
        <f t="shared" si="118"/>
        <v>0</v>
      </c>
      <c r="H625">
        <f t="shared" si="119"/>
        <v>0</v>
      </c>
      <c r="I625">
        <f t="shared" si="120"/>
        <v>0</v>
      </c>
      <c r="J625">
        <f t="shared" si="121"/>
        <v>0</v>
      </c>
      <c r="K625">
        <f t="shared" si="122"/>
        <v>100</v>
      </c>
      <c r="L625">
        <f t="shared" si="123"/>
        <v>7.75</v>
      </c>
      <c r="M625">
        <f t="shared" si="124"/>
        <v>107.75</v>
      </c>
      <c r="N625">
        <f t="shared" si="125"/>
        <v>107.75</v>
      </c>
      <c r="O625">
        <f t="shared" si="126"/>
        <v>0</v>
      </c>
      <c r="P625">
        <f t="shared" si="127"/>
        <v>0</v>
      </c>
      <c r="Q625">
        <f t="shared" si="128"/>
        <v>0</v>
      </c>
      <c r="R625">
        <f t="shared" si="129"/>
        <v>0</v>
      </c>
    </row>
    <row r="626" spans="1:18" x14ac:dyDescent="0.3">
      <c r="A626" s="1">
        <v>41911</v>
      </c>
      <c r="B626" s="1">
        <v>41929</v>
      </c>
      <c r="C626">
        <v>13.02</v>
      </c>
      <c r="D626">
        <v>0.34</v>
      </c>
      <c r="E626">
        <v>5</v>
      </c>
      <c r="F626">
        <f t="shared" si="117"/>
        <v>0</v>
      </c>
      <c r="G626">
        <f t="shared" si="118"/>
        <v>0</v>
      </c>
      <c r="H626">
        <f t="shared" si="119"/>
        <v>0</v>
      </c>
      <c r="I626">
        <f t="shared" si="120"/>
        <v>18</v>
      </c>
      <c r="J626">
        <f t="shared" si="121"/>
        <v>0</v>
      </c>
      <c r="K626">
        <f t="shared" si="122"/>
        <v>900</v>
      </c>
      <c r="L626">
        <f t="shared" si="123"/>
        <v>13.36</v>
      </c>
      <c r="M626">
        <f t="shared" si="124"/>
        <v>913.36</v>
      </c>
      <c r="N626">
        <f t="shared" si="125"/>
        <v>0</v>
      </c>
      <c r="O626">
        <f t="shared" si="126"/>
        <v>0</v>
      </c>
      <c r="P626">
        <f t="shared" si="127"/>
        <v>0</v>
      </c>
      <c r="Q626">
        <f t="shared" si="128"/>
        <v>913.36</v>
      </c>
      <c r="R626">
        <f t="shared" si="129"/>
        <v>0</v>
      </c>
    </row>
    <row r="627" spans="1:18" x14ac:dyDescent="0.3">
      <c r="A627" s="1">
        <v>41911</v>
      </c>
      <c r="B627" s="1">
        <v>41913</v>
      </c>
      <c r="C627">
        <v>8.9499999999999993</v>
      </c>
      <c r="D627">
        <v>0.24</v>
      </c>
      <c r="E627">
        <v>4</v>
      </c>
      <c r="F627">
        <f t="shared" si="117"/>
        <v>0</v>
      </c>
      <c r="G627">
        <f t="shared" si="118"/>
        <v>0</v>
      </c>
      <c r="H627">
        <f t="shared" si="119"/>
        <v>2</v>
      </c>
      <c r="I627">
        <f t="shared" si="120"/>
        <v>0</v>
      </c>
      <c r="J627">
        <f t="shared" si="121"/>
        <v>0</v>
      </c>
      <c r="K627">
        <f t="shared" si="122"/>
        <v>80</v>
      </c>
      <c r="L627">
        <f t="shared" si="123"/>
        <v>9.19</v>
      </c>
      <c r="M627">
        <f t="shared" si="124"/>
        <v>89.19</v>
      </c>
      <c r="N627">
        <f t="shared" si="125"/>
        <v>0</v>
      </c>
      <c r="O627">
        <f t="shared" si="126"/>
        <v>0</v>
      </c>
      <c r="P627">
        <f t="shared" si="127"/>
        <v>89.19</v>
      </c>
      <c r="Q627">
        <f t="shared" si="128"/>
        <v>0</v>
      </c>
      <c r="R627">
        <f t="shared" si="129"/>
        <v>0</v>
      </c>
    </row>
    <row r="628" spans="1:18" x14ac:dyDescent="0.3">
      <c r="A628" s="1">
        <v>41911</v>
      </c>
      <c r="B628" s="1">
        <v>41918</v>
      </c>
      <c r="C628">
        <v>10.93</v>
      </c>
      <c r="D628">
        <v>0.28999999999999998</v>
      </c>
      <c r="E628">
        <v>3</v>
      </c>
      <c r="F628">
        <f t="shared" si="117"/>
        <v>0</v>
      </c>
      <c r="G628">
        <f t="shared" si="118"/>
        <v>7</v>
      </c>
      <c r="H628">
        <f t="shared" si="119"/>
        <v>0</v>
      </c>
      <c r="I628">
        <f t="shared" si="120"/>
        <v>0</v>
      </c>
      <c r="J628">
        <f t="shared" si="121"/>
        <v>0</v>
      </c>
      <c r="K628">
        <f t="shared" si="122"/>
        <v>210</v>
      </c>
      <c r="L628">
        <f t="shared" si="123"/>
        <v>11.219999999999999</v>
      </c>
      <c r="M628">
        <f t="shared" si="124"/>
        <v>221.22</v>
      </c>
      <c r="N628">
        <f t="shared" si="125"/>
        <v>0</v>
      </c>
      <c r="O628">
        <f t="shared" si="126"/>
        <v>221.22</v>
      </c>
      <c r="P628">
        <f t="shared" si="127"/>
        <v>0</v>
      </c>
      <c r="Q628">
        <f t="shared" si="128"/>
        <v>0</v>
      </c>
      <c r="R628">
        <f t="shared" si="129"/>
        <v>0</v>
      </c>
    </row>
    <row r="629" spans="1:18" x14ac:dyDescent="0.3">
      <c r="A629" s="1">
        <v>41911</v>
      </c>
      <c r="B629" s="1">
        <v>41931</v>
      </c>
      <c r="C629">
        <v>7.3</v>
      </c>
      <c r="D629">
        <v>0.19</v>
      </c>
      <c r="E629">
        <v>5</v>
      </c>
      <c r="F629">
        <f t="shared" si="117"/>
        <v>0</v>
      </c>
      <c r="G629">
        <f t="shared" si="118"/>
        <v>0</v>
      </c>
      <c r="H629">
        <f t="shared" si="119"/>
        <v>0</v>
      </c>
      <c r="I629">
        <f t="shared" si="120"/>
        <v>20</v>
      </c>
      <c r="J629">
        <f t="shared" si="121"/>
        <v>0</v>
      </c>
      <c r="K629">
        <f t="shared" si="122"/>
        <v>1000</v>
      </c>
      <c r="L629">
        <f t="shared" si="123"/>
        <v>7.49</v>
      </c>
      <c r="M629">
        <f t="shared" si="124"/>
        <v>1007.49</v>
      </c>
      <c r="N629">
        <f t="shared" si="125"/>
        <v>0</v>
      </c>
      <c r="O629">
        <f t="shared" si="126"/>
        <v>0</v>
      </c>
      <c r="P629">
        <f t="shared" si="127"/>
        <v>0</v>
      </c>
      <c r="Q629">
        <f t="shared" si="128"/>
        <v>1007.49</v>
      </c>
      <c r="R629">
        <f t="shared" si="129"/>
        <v>0</v>
      </c>
    </row>
    <row r="630" spans="1:18" x14ac:dyDescent="0.3">
      <c r="A630" s="1">
        <v>41911</v>
      </c>
      <c r="B630" s="1">
        <v>41939</v>
      </c>
      <c r="C630">
        <v>7.31</v>
      </c>
      <c r="D630">
        <v>0.19</v>
      </c>
      <c r="E630">
        <v>6</v>
      </c>
      <c r="F630">
        <f t="shared" si="117"/>
        <v>0</v>
      </c>
      <c r="G630">
        <f t="shared" si="118"/>
        <v>0</v>
      </c>
      <c r="H630">
        <f t="shared" si="119"/>
        <v>0</v>
      </c>
      <c r="I630">
        <f t="shared" si="120"/>
        <v>0</v>
      </c>
      <c r="J630">
        <f t="shared" si="121"/>
        <v>28</v>
      </c>
      <c r="K630">
        <f t="shared" si="122"/>
        <v>1680</v>
      </c>
      <c r="L630">
        <f t="shared" si="123"/>
        <v>7.5</v>
      </c>
      <c r="M630">
        <f t="shared" si="124"/>
        <v>1687.5</v>
      </c>
      <c r="N630">
        <f t="shared" si="125"/>
        <v>0</v>
      </c>
      <c r="O630">
        <f t="shared" si="126"/>
        <v>0</v>
      </c>
      <c r="P630">
        <f t="shared" si="127"/>
        <v>0</v>
      </c>
      <c r="Q630">
        <f t="shared" si="128"/>
        <v>0</v>
      </c>
      <c r="R630">
        <f t="shared" si="129"/>
        <v>1687.5</v>
      </c>
    </row>
    <row r="631" spans="1:18" x14ac:dyDescent="0.3">
      <c r="A631" s="1">
        <v>41911</v>
      </c>
      <c r="B631" s="1">
        <v>41918</v>
      </c>
      <c r="C631">
        <v>13.07</v>
      </c>
      <c r="D631">
        <v>0.34</v>
      </c>
      <c r="E631">
        <v>5</v>
      </c>
      <c r="F631">
        <f t="shared" si="117"/>
        <v>0</v>
      </c>
      <c r="G631">
        <f t="shared" si="118"/>
        <v>0</v>
      </c>
      <c r="H631">
        <f t="shared" si="119"/>
        <v>0</v>
      </c>
      <c r="I631">
        <f t="shared" si="120"/>
        <v>7</v>
      </c>
      <c r="J631">
        <f t="shared" si="121"/>
        <v>0</v>
      </c>
      <c r="K631">
        <f t="shared" si="122"/>
        <v>350</v>
      </c>
      <c r="L631">
        <f t="shared" si="123"/>
        <v>13.41</v>
      </c>
      <c r="M631">
        <f t="shared" si="124"/>
        <v>363.41</v>
      </c>
      <c r="N631">
        <f t="shared" si="125"/>
        <v>0</v>
      </c>
      <c r="O631">
        <f t="shared" si="126"/>
        <v>0</v>
      </c>
      <c r="P631">
        <f t="shared" si="127"/>
        <v>0</v>
      </c>
      <c r="Q631">
        <f t="shared" si="128"/>
        <v>363.41</v>
      </c>
      <c r="R631">
        <f t="shared" si="129"/>
        <v>0</v>
      </c>
    </row>
    <row r="632" spans="1:18" x14ac:dyDescent="0.3">
      <c r="A632" s="1">
        <v>41911</v>
      </c>
      <c r="B632" s="1">
        <v>41923</v>
      </c>
      <c r="C632">
        <v>5.67</v>
      </c>
      <c r="D632">
        <v>0.15</v>
      </c>
      <c r="E632">
        <v>4</v>
      </c>
      <c r="F632">
        <f t="shared" si="117"/>
        <v>0</v>
      </c>
      <c r="G632">
        <f t="shared" si="118"/>
        <v>0</v>
      </c>
      <c r="H632">
        <f t="shared" si="119"/>
        <v>12</v>
      </c>
      <c r="I632">
        <f t="shared" si="120"/>
        <v>0</v>
      </c>
      <c r="J632">
        <f t="shared" si="121"/>
        <v>0</v>
      </c>
      <c r="K632">
        <f t="shared" si="122"/>
        <v>480</v>
      </c>
      <c r="L632">
        <f t="shared" si="123"/>
        <v>5.82</v>
      </c>
      <c r="M632">
        <f t="shared" si="124"/>
        <v>485.82</v>
      </c>
      <c r="N632">
        <f t="shared" si="125"/>
        <v>0</v>
      </c>
      <c r="O632">
        <f t="shared" si="126"/>
        <v>0</v>
      </c>
      <c r="P632">
        <f t="shared" si="127"/>
        <v>485.82</v>
      </c>
      <c r="Q632">
        <f t="shared" si="128"/>
        <v>0</v>
      </c>
      <c r="R632">
        <f t="shared" si="129"/>
        <v>0</v>
      </c>
    </row>
    <row r="633" spans="1:18" x14ac:dyDescent="0.3">
      <c r="A633" s="1">
        <v>41912</v>
      </c>
      <c r="B633" s="1">
        <v>41925</v>
      </c>
      <c r="C633">
        <v>2.72</v>
      </c>
      <c r="D633">
        <v>7.0000000000000007E-2</v>
      </c>
      <c r="E633">
        <v>6</v>
      </c>
      <c r="F633">
        <f t="shared" si="117"/>
        <v>0</v>
      </c>
      <c r="G633">
        <f t="shared" si="118"/>
        <v>0</v>
      </c>
      <c r="H633">
        <f t="shared" si="119"/>
        <v>0</v>
      </c>
      <c r="I633">
        <f t="shared" si="120"/>
        <v>0</v>
      </c>
      <c r="J633">
        <f t="shared" si="121"/>
        <v>13</v>
      </c>
      <c r="K633">
        <f t="shared" si="122"/>
        <v>780</v>
      </c>
      <c r="L633">
        <f t="shared" si="123"/>
        <v>2.79</v>
      </c>
      <c r="M633">
        <f t="shared" si="124"/>
        <v>782.79</v>
      </c>
      <c r="N633">
        <f t="shared" si="125"/>
        <v>0</v>
      </c>
      <c r="O633">
        <f t="shared" si="126"/>
        <v>0</v>
      </c>
      <c r="P633">
        <f t="shared" si="127"/>
        <v>0</v>
      </c>
      <c r="Q633">
        <f t="shared" si="128"/>
        <v>0</v>
      </c>
      <c r="R633">
        <f t="shared" si="129"/>
        <v>782.79</v>
      </c>
    </row>
    <row r="634" spans="1:18" x14ac:dyDescent="0.3">
      <c r="A634" s="1">
        <v>41913</v>
      </c>
      <c r="B634" s="1">
        <v>41919</v>
      </c>
      <c r="C634">
        <v>5.67</v>
      </c>
      <c r="D634">
        <v>0.15</v>
      </c>
      <c r="E634">
        <v>4</v>
      </c>
      <c r="F634">
        <f t="shared" si="117"/>
        <v>0</v>
      </c>
      <c r="G634">
        <f t="shared" si="118"/>
        <v>0</v>
      </c>
      <c r="H634">
        <f t="shared" si="119"/>
        <v>6</v>
      </c>
      <c r="I634">
        <f t="shared" si="120"/>
        <v>0</v>
      </c>
      <c r="J634">
        <f t="shared" si="121"/>
        <v>0</v>
      </c>
      <c r="K634">
        <f t="shared" si="122"/>
        <v>240</v>
      </c>
      <c r="L634">
        <f t="shared" si="123"/>
        <v>5.82</v>
      </c>
      <c r="M634">
        <f t="shared" si="124"/>
        <v>245.82</v>
      </c>
      <c r="N634">
        <f t="shared" si="125"/>
        <v>0</v>
      </c>
      <c r="O634">
        <f t="shared" si="126"/>
        <v>0</v>
      </c>
      <c r="P634">
        <f t="shared" si="127"/>
        <v>245.82</v>
      </c>
      <c r="Q634">
        <f t="shared" si="128"/>
        <v>0</v>
      </c>
      <c r="R634">
        <f t="shared" si="129"/>
        <v>0</v>
      </c>
    </row>
    <row r="635" spans="1:18" x14ac:dyDescent="0.3">
      <c r="A635" s="1">
        <v>41913</v>
      </c>
      <c r="B635" s="1">
        <v>41928</v>
      </c>
      <c r="C635">
        <v>5.67</v>
      </c>
      <c r="D635">
        <v>0.15</v>
      </c>
      <c r="E635">
        <v>5</v>
      </c>
      <c r="F635">
        <f t="shared" si="117"/>
        <v>0</v>
      </c>
      <c r="G635">
        <f t="shared" si="118"/>
        <v>0</v>
      </c>
      <c r="H635">
        <f t="shared" si="119"/>
        <v>0</v>
      </c>
      <c r="I635">
        <f t="shared" si="120"/>
        <v>15</v>
      </c>
      <c r="J635">
        <f t="shared" si="121"/>
        <v>0</v>
      </c>
      <c r="K635">
        <f t="shared" si="122"/>
        <v>750</v>
      </c>
      <c r="L635">
        <f t="shared" si="123"/>
        <v>5.82</v>
      </c>
      <c r="M635">
        <f t="shared" si="124"/>
        <v>755.82</v>
      </c>
      <c r="N635">
        <f t="shared" si="125"/>
        <v>0</v>
      </c>
      <c r="O635">
        <f t="shared" si="126"/>
        <v>0</v>
      </c>
      <c r="P635">
        <f t="shared" si="127"/>
        <v>0</v>
      </c>
      <c r="Q635">
        <f t="shared" si="128"/>
        <v>755.82</v>
      </c>
      <c r="R635">
        <f t="shared" si="129"/>
        <v>0</v>
      </c>
    </row>
    <row r="636" spans="1:18" x14ac:dyDescent="0.3">
      <c r="A636" s="1">
        <v>41914</v>
      </c>
      <c r="B636" s="1">
        <v>41917</v>
      </c>
      <c r="C636">
        <v>3.94</v>
      </c>
      <c r="D636">
        <v>0.1</v>
      </c>
      <c r="E636">
        <v>5</v>
      </c>
      <c r="F636">
        <f t="shared" si="117"/>
        <v>0</v>
      </c>
      <c r="G636">
        <f t="shared" si="118"/>
        <v>0</v>
      </c>
      <c r="H636">
        <f t="shared" si="119"/>
        <v>0</v>
      </c>
      <c r="I636">
        <f t="shared" si="120"/>
        <v>3</v>
      </c>
      <c r="J636">
        <f t="shared" si="121"/>
        <v>0</v>
      </c>
      <c r="K636">
        <f t="shared" si="122"/>
        <v>150</v>
      </c>
      <c r="L636">
        <f t="shared" si="123"/>
        <v>4.04</v>
      </c>
      <c r="M636">
        <f t="shared" si="124"/>
        <v>154.04</v>
      </c>
      <c r="N636">
        <f t="shared" si="125"/>
        <v>0</v>
      </c>
      <c r="O636">
        <f t="shared" si="126"/>
        <v>0</v>
      </c>
      <c r="P636">
        <f t="shared" si="127"/>
        <v>0</v>
      </c>
      <c r="Q636">
        <f t="shared" si="128"/>
        <v>154.04</v>
      </c>
      <c r="R636">
        <f t="shared" si="129"/>
        <v>0</v>
      </c>
    </row>
    <row r="637" spans="1:18" x14ac:dyDescent="0.3">
      <c r="A637" s="1">
        <v>41914</v>
      </c>
      <c r="B637" s="1">
        <v>41942</v>
      </c>
      <c r="C637">
        <v>5.64</v>
      </c>
      <c r="D637">
        <v>0.15</v>
      </c>
      <c r="E637">
        <v>3</v>
      </c>
      <c r="F637">
        <f t="shared" si="117"/>
        <v>0</v>
      </c>
      <c r="G637">
        <f t="shared" si="118"/>
        <v>28</v>
      </c>
      <c r="H637">
        <f t="shared" si="119"/>
        <v>0</v>
      </c>
      <c r="I637">
        <f t="shared" si="120"/>
        <v>0</v>
      </c>
      <c r="J637">
        <f t="shared" si="121"/>
        <v>0</v>
      </c>
      <c r="K637">
        <f t="shared" si="122"/>
        <v>840</v>
      </c>
      <c r="L637">
        <f t="shared" si="123"/>
        <v>5.79</v>
      </c>
      <c r="M637">
        <f t="shared" si="124"/>
        <v>845.79</v>
      </c>
      <c r="N637">
        <f t="shared" si="125"/>
        <v>0</v>
      </c>
      <c r="O637">
        <f t="shared" si="126"/>
        <v>845.79</v>
      </c>
      <c r="P637">
        <f t="shared" si="127"/>
        <v>0</v>
      </c>
      <c r="Q637">
        <f t="shared" si="128"/>
        <v>0</v>
      </c>
      <c r="R637">
        <f t="shared" si="129"/>
        <v>0</v>
      </c>
    </row>
    <row r="638" spans="1:18" x14ac:dyDescent="0.3">
      <c r="A638" s="1">
        <v>41915</v>
      </c>
      <c r="B638" s="1">
        <v>41932</v>
      </c>
      <c r="C638">
        <v>2.0099999999999998</v>
      </c>
      <c r="D638">
        <v>0.05</v>
      </c>
      <c r="E638">
        <v>6</v>
      </c>
      <c r="F638">
        <f t="shared" si="117"/>
        <v>0</v>
      </c>
      <c r="G638">
        <f t="shared" si="118"/>
        <v>0</v>
      </c>
      <c r="H638">
        <f t="shared" si="119"/>
        <v>0</v>
      </c>
      <c r="I638">
        <f t="shared" si="120"/>
        <v>0</v>
      </c>
      <c r="J638">
        <f t="shared" si="121"/>
        <v>17</v>
      </c>
      <c r="K638">
        <f t="shared" si="122"/>
        <v>1020</v>
      </c>
      <c r="L638">
        <f t="shared" si="123"/>
        <v>2.0599999999999996</v>
      </c>
      <c r="M638">
        <f t="shared" si="124"/>
        <v>1022.06</v>
      </c>
      <c r="N638">
        <f t="shared" si="125"/>
        <v>0</v>
      </c>
      <c r="O638">
        <f t="shared" si="126"/>
        <v>0</v>
      </c>
      <c r="P638">
        <f t="shared" si="127"/>
        <v>0</v>
      </c>
      <c r="Q638">
        <f t="shared" si="128"/>
        <v>0</v>
      </c>
      <c r="R638">
        <f t="shared" si="129"/>
        <v>1022.06</v>
      </c>
    </row>
    <row r="639" spans="1:18" x14ac:dyDescent="0.3">
      <c r="A639" s="1">
        <v>41915</v>
      </c>
      <c r="B639" s="1">
        <v>41938</v>
      </c>
      <c r="C639">
        <v>3.73</v>
      </c>
      <c r="D639">
        <v>0.1</v>
      </c>
      <c r="E639">
        <v>4</v>
      </c>
      <c r="F639">
        <f t="shared" si="117"/>
        <v>0</v>
      </c>
      <c r="G639">
        <f t="shared" si="118"/>
        <v>0</v>
      </c>
      <c r="H639">
        <f t="shared" si="119"/>
        <v>23</v>
      </c>
      <c r="I639">
        <f t="shared" si="120"/>
        <v>0</v>
      </c>
      <c r="J639">
        <f t="shared" si="121"/>
        <v>0</v>
      </c>
      <c r="K639">
        <f t="shared" si="122"/>
        <v>920</v>
      </c>
      <c r="L639">
        <f t="shared" si="123"/>
        <v>3.83</v>
      </c>
      <c r="M639">
        <f t="shared" si="124"/>
        <v>923.83</v>
      </c>
      <c r="N639">
        <f t="shared" si="125"/>
        <v>0</v>
      </c>
      <c r="O639">
        <f t="shared" si="126"/>
        <v>0</v>
      </c>
      <c r="P639">
        <f t="shared" si="127"/>
        <v>923.83</v>
      </c>
      <c r="Q639">
        <f t="shared" si="128"/>
        <v>0</v>
      </c>
      <c r="R639">
        <f t="shared" si="129"/>
        <v>0</v>
      </c>
    </row>
    <row r="640" spans="1:18" x14ac:dyDescent="0.3">
      <c r="A640" s="1">
        <v>41915</v>
      </c>
      <c r="B640" s="1">
        <v>41921</v>
      </c>
      <c r="C640">
        <v>3.73</v>
      </c>
      <c r="D640">
        <v>0.1</v>
      </c>
      <c r="E640">
        <v>2</v>
      </c>
      <c r="F640">
        <f t="shared" si="117"/>
        <v>6</v>
      </c>
      <c r="G640">
        <f t="shared" si="118"/>
        <v>0</v>
      </c>
      <c r="H640">
        <f t="shared" si="119"/>
        <v>0</v>
      </c>
      <c r="I640">
        <f t="shared" si="120"/>
        <v>0</v>
      </c>
      <c r="J640">
        <f t="shared" si="121"/>
        <v>0</v>
      </c>
      <c r="K640">
        <f t="shared" si="122"/>
        <v>120</v>
      </c>
      <c r="L640">
        <f t="shared" si="123"/>
        <v>3.83</v>
      </c>
      <c r="M640">
        <f t="shared" si="124"/>
        <v>123.83</v>
      </c>
      <c r="N640">
        <f t="shared" si="125"/>
        <v>123.83</v>
      </c>
      <c r="O640">
        <f t="shared" si="126"/>
        <v>0</v>
      </c>
      <c r="P640">
        <f t="shared" si="127"/>
        <v>0</v>
      </c>
      <c r="Q640">
        <f t="shared" si="128"/>
        <v>0</v>
      </c>
      <c r="R640">
        <f t="shared" si="129"/>
        <v>0</v>
      </c>
    </row>
    <row r="641" spans="1:18" x14ac:dyDescent="0.3">
      <c r="A641" s="1">
        <v>41917</v>
      </c>
      <c r="B641" s="1">
        <v>41937</v>
      </c>
      <c r="C641">
        <v>4.25</v>
      </c>
      <c r="D641">
        <v>0.11</v>
      </c>
      <c r="E641">
        <v>5</v>
      </c>
      <c r="F641">
        <f t="shared" si="117"/>
        <v>0</v>
      </c>
      <c r="G641">
        <f t="shared" si="118"/>
        <v>0</v>
      </c>
      <c r="H641">
        <f t="shared" si="119"/>
        <v>0</v>
      </c>
      <c r="I641">
        <f t="shared" si="120"/>
        <v>20</v>
      </c>
      <c r="J641">
        <f t="shared" si="121"/>
        <v>0</v>
      </c>
      <c r="K641">
        <f t="shared" si="122"/>
        <v>1000</v>
      </c>
      <c r="L641">
        <f t="shared" si="123"/>
        <v>4.3600000000000003</v>
      </c>
      <c r="M641">
        <f t="shared" si="124"/>
        <v>1004.36</v>
      </c>
      <c r="N641">
        <f t="shared" si="125"/>
        <v>0</v>
      </c>
      <c r="O641">
        <f t="shared" si="126"/>
        <v>0</v>
      </c>
      <c r="P641">
        <f t="shared" si="127"/>
        <v>0</v>
      </c>
      <c r="Q641">
        <f t="shared" si="128"/>
        <v>1004.36</v>
      </c>
      <c r="R641">
        <f t="shared" si="129"/>
        <v>0</v>
      </c>
    </row>
    <row r="642" spans="1:18" x14ac:dyDescent="0.3">
      <c r="A642" s="1">
        <v>41917</v>
      </c>
      <c r="B642" s="1">
        <v>41928</v>
      </c>
      <c r="C642">
        <v>11.42</v>
      </c>
      <c r="D642">
        <v>0.3</v>
      </c>
      <c r="E642">
        <v>4</v>
      </c>
      <c r="F642">
        <f t="shared" si="117"/>
        <v>0</v>
      </c>
      <c r="G642">
        <f t="shared" si="118"/>
        <v>0</v>
      </c>
      <c r="H642">
        <f t="shared" si="119"/>
        <v>11</v>
      </c>
      <c r="I642">
        <f t="shared" si="120"/>
        <v>0</v>
      </c>
      <c r="J642">
        <f t="shared" si="121"/>
        <v>0</v>
      </c>
      <c r="K642">
        <f t="shared" si="122"/>
        <v>440</v>
      </c>
      <c r="L642">
        <f t="shared" si="123"/>
        <v>11.72</v>
      </c>
      <c r="M642">
        <f t="shared" si="124"/>
        <v>451.72</v>
      </c>
      <c r="N642">
        <f t="shared" si="125"/>
        <v>0</v>
      </c>
      <c r="O642">
        <f t="shared" si="126"/>
        <v>0</v>
      </c>
      <c r="P642">
        <f t="shared" si="127"/>
        <v>451.72</v>
      </c>
      <c r="Q642">
        <f t="shared" si="128"/>
        <v>0</v>
      </c>
      <c r="R642">
        <f t="shared" si="129"/>
        <v>0</v>
      </c>
    </row>
    <row r="643" spans="1:18" x14ac:dyDescent="0.3">
      <c r="A643" s="1">
        <v>41917</v>
      </c>
      <c r="B643" s="1">
        <v>41939</v>
      </c>
      <c r="C643">
        <v>13.07</v>
      </c>
      <c r="D643">
        <v>0.34</v>
      </c>
      <c r="E643">
        <v>3</v>
      </c>
      <c r="F643">
        <f t="shared" ref="F643:F706" si="130">IF(EXACT(E643,2),B643-A643,0)</f>
        <v>0</v>
      </c>
      <c r="G643">
        <f t="shared" ref="G643:G706" si="131">IF(EXACT(E643,3),B643-A643,0)</f>
        <v>22</v>
      </c>
      <c r="H643">
        <f t="shared" ref="H643:H706" si="132">IF(EXACT(E643,4),B643-A643,0)</f>
        <v>0</v>
      </c>
      <c r="I643">
        <f t="shared" ref="I643:I706" si="133">IF(EXACT(E643,5),B643-A643,0)</f>
        <v>0</v>
      </c>
      <c r="J643">
        <f t="shared" ref="J643:J706" si="134">IF(EXACT(E643,6),B643-A643,0)</f>
        <v>0</v>
      </c>
      <c r="K643">
        <f t="shared" ref="K643:K706" si="135">10 * E643 * (F643+G643+H643+I643+J643)</f>
        <v>660</v>
      </c>
      <c r="L643">
        <f t="shared" ref="L643:L706" si="136">C643+D643</f>
        <v>13.41</v>
      </c>
      <c r="M643">
        <f t="shared" ref="M643:M706" si="137">K643+L643</f>
        <v>673.41</v>
      </c>
      <c r="N643">
        <f t="shared" ref="N643:N706" si="138">IF(EXACT(E643,2),M643,0)</f>
        <v>0</v>
      </c>
      <c r="O643">
        <f t="shared" ref="O643:O706" si="139">IF(EXACT(E643,3),M643,0)</f>
        <v>673.41</v>
      </c>
      <c r="P643">
        <f t="shared" ref="P643:P706" si="140">IF(EXACT(E643,4),M643,0)</f>
        <v>0</v>
      </c>
      <c r="Q643">
        <f t="shared" ref="Q643:Q706" si="141">IF(EXACT(E643,5),M643,0)</f>
        <v>0</v>
      </c>
      <c r="R643">
        <f t="shared" ref="R643:R706" si="142">IF(EXACT(E643,6),M643,0)</f>
        <v>0</v>
      </c>
    </row>
    <row r="644" spans="1:18" x14ac:dyDescent="0.3">
      <c r="A644" s="1">
        <v>41918</v>
      </c>
      <c r="B644" s="1">
        <v>41939</v>
      </c>
      <c r="C644">
        <v>5.67</v>
      </c>
      <c r="D644">
        <v>0.15</v>
      </c>
      <c r="E644">
        <v>2</v>
      </c>
      <c r="F644">
        <f t="shared" si="130"/>
        <v>21</v>
      </c>
      <c r="G644">
        <f t="shared" si="131"/>
        <v>0</v>
      </c>
      <c r="H644">
        <f t="shared" si="132"/>
        <v>0</v>
      </c>
      <c r="I644">
        <f t="shared" si="133"/>
        <v>0</v>
      </c>
      <c r="J644">
        <f t="shared" si="134"/>
        <v>0</v>
      </c>
      <c r="K644">
        <f t="shared" si="135"/>
        <v>420</v>
      </c>
      <c r="L644">
        <f t="shared" si="136"/>
        <v>5.82</v>
      </c>
      <c r="M644">
        <f t="shared" si="137"/>
        <v>425.82</v>
      </c>
      <c r="N644">
        <f t="shared" si="138"/>
        <v>425.82</v>
      </c>
      <c r="O644">
        <f t="shared" si="139"/>
        <v>0</v>
      </c>
      <c r="P644">
        <f t="shared" si="140"/>
        <v>0</v>
      </c>
      <c r="Q644">
        <f t="shared" si="141"/>
        <v>0</v>
      </c>
      <c r="R644">
        <f t="shared" si="142"/>
        <v>0</v>
      </c>
    </row>
    <row r="645" spans="1:18" x14ac:dyDescent="0.3">
      <c r="A645" s="1">
        <v>41918</v>
      </c>
      <c r="B645" s="1">
        <v>41922</v>
      </c>
      <c r="C645">
        <v>6.23</v>
      </c>
      <c r="D645">
        <v>0.16</v>
      </c>
      <c r="E645">
        <v>4</v>
      </c>
      <c r="F645">
        <f t="shared" si="130"/>
        <v>0</v>
      </c>
      <c r="G645">
        <f t="shared" si="131"/>
        <v>0</v>
      </c>
      <c r="H645">
        <f t="shared" si="132"/>
        <v>4</v>
      </c>
      <c r="I645">
        <f t="shared" si="133"/>
        <v>0</v>
      </c>
      <c r="J645">
        <f t="shared" si="134"/>
        <v>0</v>
      </c>
      <c r="K645">
        <f t="shared" si="135"/>
        <v>160</v>
      </c>
      <c r="L645">
        <f t="shared" si="136"/>
        <v>6.3900000000000006</v>
      </c>
      <c r="M645">
        <f t="shared" si="137"/>
        <v>166.39</v>
      </c>
      <c r="N645">
        <f t="shared" si="138"/>
        <v>0</v>
      </c>
      <c r="O645">
        <f t="shared" si="139"/>
        <v>0</v>
      </c>
      <c r="P645">
        <f t="shared" si="140"/>
        <v>166.39</v>
      </c>
      <c r="Q645">
        <f t="shared" si="141"/>
        <v>0</v>
      </c>
      <c r="R645">
        <f t="shared" si="142"/>
        <v>0</v>
      </c>
    </row>
    <row r="646" spans="1:18" x14ac:dyDescent="0.3">
      <c r="A646" s="1">
        <v>41918</v>
      </c>
      <c r="B646" s="1">
        <v>41940</v>
      </c>
      <c r="C646">
        <v>19.940000000000001</v>
      </c>
      <c r="D646">
        <v>0.52</v>
      </c>
      <c r="E646">
        <v>4</v>
      </c>
      <c r="F646">
        <f t="shared" si="130"/>
        <v>0</v>
      </c>
      <c r="G646">
        <f t="shared" si="131"/>
        <v>0</v>
      </c>
      <c r="H646">
        <f t="shared" si="132"/>
        <v>22</v>
      </c>
      <c r="I646">
        <f t="shared" si="133"/>
        <v>0</v>
      </c>
      <c r="J646">
        <f t="shared" si="134"/>
        <v>0</v>
      </c>
      <c r="K646">
        <f t="shared" si="135"/>
        <v>880</v>
      </c>
      <c r="L646">
        <f t="shared" si="136"/>
        <v>20.46</v>
      </c>
      <c r="M646">
        <f t="shared" si="137"/>
        <v>900.46</v>
      </c>
      <c r="N646">
        <f t="shared" si="138"/>
        <v>0</v>
      </c>
      <c r="O646">
        <f t="shared" si="139"/>
        <v>0</v>
      </c>
      <c r="P646">
        <f t="shared" si="140"/>
        <v>900.46</v>
      </c>
      <c r="Q646">
        <f t="shared" si="141"/>
        <v>0</v>
      </c>
      <c r="R646">
        <f t="shared" si="142"/>
        <v>0</v>
      </c>
    </row>
    <row r="647" spans="1:18" x14ac:dyDescent="0.3">
      <c r="A647" s="1">
        <v>41918</v>
      </c>
      <c r="B647" s="1">
        <v>41925</v>
      </c>
      <c r="C647">
        <v>6.88</v>
      </c>
      <c r="D647">
        <v>0.18</v>
      </c>
      <c r="E647">
        <v>3</v>
      </c>
      <c r="F647">
        <f t="shared" si="130"/>
        <v>0</v>
      </c>
      <c r="G647">
        <f t="shared" si="131"/>
        <v>7</v>
      </c>
      <c r="H647">
        <f t="shared" si="132"/>
        <v>0</v>
      </c>
      <c r="I647">
        <f t="shared" si="133"/>
        <v>0</v>
      </c>
      <c r="J647">
        <f t="shared" si="134"/>
        <v>0</v>
      </c>
      <c r="K647">
        <f t="shared" si="135"/>
        <v>210</v>
      </c>
      <c r="L647">
        <f t="shared" si="136"/>
        <v>7.06</v>
      </c>
      <c r="M647">
        <f t="shared" si="137"/>
        <v>217.06</v>
      </c>
      <c r="N647">
        <f t="shared" si="138"/>
        <v>0</v>
      </c>
      <c r="O647">
        <f t="shared" si="139"/>
        <v>217.06</v>
      </c>
      <c r="P647">
        <f t="shared" si="140"/>
        <v>0</v>
      </c>
      <c r="Q647">
        <f t="shared" si="141"/>
        <v>0</v>
      </c>
      <c r="R647">
        <f t="shared" si="142"/>
        <v>0</v>
      </c>
    </row>
    <row r="648" spans="1:18" x14ac:dyDescent="0.3">
      <c r="A648" s="1">
        <v>41918</v>
      </c>
      <c r="B648" s="1">
        <v>41929</v>
      </c>
      <c r="C648">
        <v>8.39</v>
      </c>
      <c r="D648">
        <v>0.22</v>
      </c>
      <c r="E648">
        <v>6</v>
      </c>
      <c r="F648">
        <f t="shared" si="130"/>
        <v>0</v>
      </c>
      <c r="G648">
        <f t="shared" si="131"/>
        <v>0</v>
      </c>
      <c r="H648">
        <f t="shared" si="132"/>
        <v>0</v>
      </c>
      <c r="I648">
        <f t="shared" si="133"/>
        <v>0</v>
      </c>
      <c r="J648">
        <f t="shared" si="134"/>
        <v>11</v>
      </c>
      <c r="K648">
        <f t="shared" si="135"/>
        <v>660</v>
      </c>
      <c r="L648">
        <f t="shared" si="136"/>
        <v>8.6100000000000012</v>
      </c>
      <c r="M648">
        <f t="shared" si="137"/>
        <v>668.61</v>
      </c>
      <c r="N648">
        <f t="shared" si="138"/>
        <v>0</v>
      </c>
      <c r="O648">
        <f t="shared" si="139"/>
        <v>0</v>
      </c>
      <c r="P648">
        <f t="shared" si="140"/>
        <v>0</v>
      </c>
      <c r="Q648">
        <f t="shared" si="141"/>
        <v>0</v>
      </c>
      <c r="R648">
        <f t="shared" si="142"/>
        <v>668.61</v>
      </c>
    </row>
    <row r="649" spans="1:18" x14ac:dyDescent="0.3">
      <c r="A649" s="1">
        <v>41922</v>
      </c>
      <c r="B649" s="1">
        <v>41936</v>
      </c>
      <c r="C649">
        <v>11.44</v>
      </c>
      <c r="D649">
        <v>0.3</v>
      </c>
      <c r="E649">
        <v>4</v>
      </c>
      <c r="F649">
        <f t="shared" si="130"/>
        <v>0</v>
      </c>
      <c r="G649">
        <f t="shared" si="131"/>
        <v>0</v>
      </c>
      <c r="H649">
        <f t="shared" si="132"/>
        <v>14</v>
      </c>
      <c r="I649">
        <f t="shared" si="133"/>
        <v>0</v>
      </c>
      <c r="J649">
        <f t="shared" si="134"/>
        <v>0</v>
      </c>
      <c r="K649">
        <f t="shared" si="135"/>
        <v>560</v>
      </c>
      <c r="L649">
        <f t="shared" si="136"/>
        <v>11.74</v>
      </c>
      <c r="M649">
        <f t="shared" si="137"/>
        <v>571.74</v>
      </c>
      <c r="N649">
        <f t="shared" si="138"/>
        <v>0</v>
      </c>
      <c r="O649">
        <f t="shared" si="139"/>
        <v>0</v>
      </c>
      <c r="P649">
        <f t="shared" si="140"/>
        <v>571.74</v>
      </c>
      <c r="Q649">
        <f t="shared" si="141"/>
        <v>0</v>
      </c>
      <c r="R649">
        <f t="shared" si="142"/>
        <v>0</v>
      </c>
    </row>
    <row r="650" spans="1:18" x14ac:dyDescent="0.3">
      <c r="A650" s="1">
        <v>41922</v>
      </c>
      <c r="B650" s="1">
        <v>41937</v>
      </c>
      <c r="C650">
        <v>9.4600000000000009</v>
      </c>
      <c r="D650">
        <v>0.25</v>
      </c>
      <c r="E650">
        <v>5</v>
      </c>
      <c r="F650">
        <f t="shared" si="130"/>
        <v>0</v>
      </c>
      <c r="G650">
        <f t="shared" si="131"/>
        <v>0</v>
      </c>
      <c r="H650">
        <f t="shared" si="132"/>
        <v>0</v>
      </c>
      <c r="I650">
        <f t="shared" si="133"/>
        <v>15</v>
      </c>
      <c r="J650">
        <f t="shared" si="134"/>
        <v>0</v>
      </c>
      <c r="K650">
        <f t="shared" si="135"/>
        <v>750</v>
      </c>
      <c r="L650">
        <f t="shared" si="136"/>
        <v>9.7100000000000009</v>
      </c>
      <c r="M650">
        <f t="shared" si="137"/>
        <v>759.71</v>
      </c>
      <c r="N650">
        <f t="shared" si="138"/>
        <v>0</v>
      </c>
      <c r="O650">
        <f t="shared" si="139"/>
        <v>0</v>
      </c>
      <c r="P650">
        <f t="shared" si="140"/>
        <v>0</v>
      </c>
      <c r="Q650">
        <f t="shared" si="141"/>
        <v>759.71</v>
      </c>
      <c r="R650">
        <f t="shared" si="142"/>
        <v>0</v>
      </c>
    </row>
    <row r="651" spans="1:18" x14ac:dyDescent="0.3">
      <c r="A651" s="1">
        <v>41922</v>
      </c>
      <c r="B651" s="1">
        <v>41926</v>
      </c>
      <c r="C651">
        <v>5.67</v>
      </c>
      <c r="D651">
        <v>0.15</v>
      </c>
      <c r="E651">
        <v>4</v>
      </c>
      <c r="F651">
        <f t="shared" si="130"/>
        <v>0</v>
      </c>
      <c r="G651">
        <f t="shared" si="131"/>
        <v>0</v>
      </c>
      <c r="H651">
        <f t="shared" si="132"/>
        <v>4</v>
      </c>
      <c r="I651">
        <f t="shared" si="133"/>
        <v>0</v>
      </c>
      <c r="J651">
        <f t="shared" si="134"/>
        <v>0</v>
      </c>
      <c r="K651">
        <f t="shared" si="135"/>
        <v>160</v>
      </c>
      <c r="L651">
        <f t="shared" si="136"/>
        <v>5.82</v>
      </c>
      <c r="M651">
        <f t="shared" si="137"/>
        <v>165.82</v>
      </c>
      <c r="N651">
        <f t="shared" si="138"/>
        <v>0</v>
      </c>
      <c r="O651">
        <f t="shared" si="139"/>
        <v>0</v>
      </c>
      <c r="P651">
        <f t="shared" si="140"/>
        <v>165.82</v>
      </c>
      <c r="Q651">
        <f t="shared" si="141"/>
        <v>0</v>
      </c>
      <c r="R651">
        <f t="shared" si="142"/>
        <v>0</v>
      </c>
    </row>
    <row r="652" spans="1:18" x14ac:dyDescent="0.3">
      <c r="A652" s="1">
        <v>41922</v>
      </c>
      <c r="B652" s="1">
        <v>41947</v>
      </c>
      <c r="C652">
        <v>13.82</v>
      </c>
      <c r="D652">
        <v>0.36</v>
      </c>
      <c r="E652">
        <v>2</v>
      </c>
      <c r="F652">
        <f t="shared" si="130"/>
        <v>25</v>
      </c>
      <c r="G652">
        <f t="shared" si="131"/>
        <v>0</v>
      </c>
      <c r="H652">
        <f t="shared" si="132"/>
        <v>0</v>
      </c>
      <c r="I652">
        <f t="shared" si="133"/>
        <v>0</v>
      </c>
      <c r="J652">
        <f t="shared" si="134"/>
        <v>0</v>
      </c>
      <c r="K652">
        <f t="shared" si="135"/>
        <v>500</v>
      </c>
      <c r="L652">
        <f t="shared" si="136"/>
        <v>14.18</v>
      </c>
      <c r="M652">
        <f t="shared" si="137"/>
        <v>514.17999999999995</v>
      </c>
      <c r="N652">
        <f t="shared" si="138"/>
        <v>514.17999999999995</v>
      </c>
      <c r="O652">
        <f t="shared" si="139"/>
        <v>0</v>
      </c>
      <c r="P652">
        <f t="shared" si="140"/>
        <v>0</v>
      </c>
      <c r="Q652">
        <f t="shared" si="141"/>
        <v>0</v>
      </c>
      <c r="R652">
        <f t="shared" si="142"/>
        <v>0</v>
      </c>
    </row>
    <row r="653" spans="1:18" x14ac:dyDescent="0.3">
      <c r="A653" s="1">
        <v>41922</v>
      </c>
      <c r="B653" s="1">
        <v>41929</v>
      </c>
      <c r="C653">
        <v>6.43</v>
      </c>
      <c r="D653">
        <v>0.17</v>
      </c>
      <c r="E653">
        <v>5</v>
      </c>
      <c r="F653">
        <f t="shared" si="130"/>
        <v>0</v>
      </c>
      <c r="G653">
        <f t="shared" si="131"/>
        <v>0</v>
      </c>
      <c r="H653">
        <f t="shared" si="132"/>
        <v>0</v>
      </c>
      <c r="I653">
        <f t="shared" si="133"/>
        <v>7</v>
      </c>
      <c r="J653">
        <f t="shared" si="134"/>
        <v>0</v>
      </c>
      <c r="K653">
        <f t="shared" si="135"/>
        <v>350</v>
      </c>
      <c r="L653">
        <f t="shared" si="136"/>
        <v>6.6</v>
      </c>
      <c r="M653">
        <f t="shared" si="137"/>
        <v>356.6</v>
      </c>
      <c r="N653">
        <f t="shared" si="138"/>
        <v>0</v>
      </c>
      <c r="O653">
        <f t="shared" si="139"/>
        <v>0</v>
      </c>
      <c r="P653">
        <f t="shared" si="140"/>
        <v>0</v>
      </c>
      <c r="Q653">
        <f t="shared" si="141"/>
        <v>356.6</v>
      </c>
      <c r="R653">
        <f t="shared" si="142"/>
        <v>0</v>
      </c>
    </row>
    <row r="654" spans="1:18" x14ac:dyDescent="0.3">
      <c r="A654" s="1">
        <v>41922</v>
      </c>
      <c r="B654" s="1">
        <v>41928</v>
      </c>
      <c r="C654">
        <v>2.0099999999999998</v>
      </c>
      <c r="D654">
        <v>0.05</v>
      </c>
      <c r="E654">
        <v>2</v>
      </c>
      <c r="F654">
        <f t="shared" si="130"/>
        <v>6</v>
      </c>
      <c r="G654">
        <f t="shared" si="131"/>
        <v>0</v>
      </c>
      <c r="H654">
        <f t="shared" si="132"/>
        <v>0</v>
      </c>
      <c r="I654">
        <f t="shared" si="133"/>
        <v>0</v>
      </c>
      <c r="J654">
        <f t="shared" si="134"/>
        <v>0</v>
      </c>
      <c r="K654">
        <f t="shared" si="135"/>
        <v>120</v>
      </c>
      <c r="L654">
        <f t="shared" si="136"/>
        <v>2.0599999999999996</v>
      </c>
      <c r="M654">
        <f t="shared" si="137"/>
        <v>122.06</v>
      </c>
      <c r="N654">
        <f t="shared" si="138"/>
        <v>122.06</v>
      </c>
      <c r="O654">
        <f t="shared" si="139"/>
        <v>0</v>
      </c>
      <c r="P654">
        <f t="shared" si="140"/>
        <v>0</v>
      </c>
      <c r="Q654">
        <f t="shared" si="141"/>
        <v>0</v>
      </c>
      <c r="R654">
        <f t="shared" si="142"/>
        <v>0</v>
      </c>
    </row>
    <row r="655" spans="1:18" x14ac:dyDescent="0.3">
      <c r="A655" s="1">
        <v>41922</v>
      </c>
      <c r="B655" s="1">
        <v>41950</v>
      </c>
      <c r="C655">
        <v>6.43</v>
      </c>
      <c r="D655">
        <v>0.17</v>
      </c>
      <c r="E655">
        <v>5</v>
      </c>
      <c r="F655">
        <f t="shared" si="130"/>
        <v>0</v>
      </c>
      <c r="G655">
        <f t="shared" si="131"/>
        <v>0</v>
      </c>
      <c r="H655">
        <f t="shared" si="132"/>
        <v>0</v>
      </c>
      <c r="I655">
        <f t="shared" si="133"/>
        <v>28</v>
      </c>
      <c r="J655">
        <f t="shared" si="134"/>
        <v>0</v>
      </c>
      <c r="K655">
        <f t="shared" si="135"/>
        <v>1400</v>
      </c>
      <c r="L655">
        <f t="shared" si="136"/>
        <v>6.6</v>
      </c>
      <c r="M655">
        <f t="shared" si="137"/>
        <v>1406.6</v>
      </c>
      <c r="N655">
        <f t="shared" si="138"/>
        <v>0</v>
      </c>
      <c r="O655">
        <f t="shared" si="139"/>
        <v>0</v>
      </c>
      <c r="P655">
        <f t="shared" si="140"/>
        <v>0</v>
      </c>
      <c r="Q655">
        <f t="shared" si="141"/>
        <v>1406.6</v>
      </c>
      <c r="R655">
        <f t="shared" si="142"/>
        <v>0</v>
      </c>
    </row>
    <row r="656" spans="1:18" x14ac:dyDescent="0.3">
      <c r="A656" s="1">
        <v>41922</v>
      </c>
      <c r="B656" s="1">
        <v>41944</v>
      </c>
      <c r="C656">
        <v>7.35</v>
      </c>
      <c r="D656">
        <v>0.19</v>
      </c>
      <c r="E656">
        <v>6</v>
      </c>
      <c r="F656">
        <f t="shared" si="130"/>
        <v>0</v>
      </c>
      <c r="G656">
        <f t="shared" si="131"/>
        <v>0</v>
      </c>
      <c r="H656">
        <f t="shared" si="132"/>
        <v>0</v>
      </c>
      <c r="I656">
        <f t="shared" si="133"/>
        <v>0</v>
      </c>
      <c r="J656">
        <f t="shared" si="134"/>
        <v>22</v>
      </c>
      <c r="K656">
        <f t="shared" si="135"/>
        <v>1320</v>
      </c>
      <c r="L656">
        <f t="shared" si="136"/>
        <v>7.54</v>
      </c>
      <c r="M656">
        <f t="shared" si="137"/>
        <v>1327.54</v>
      </c>
      <c r="N656">
        <f t="shared" si="138"/>
        <v>0</v>
      </c>
      <c r="O656">
        <f t="shared" si="139"/>
        <v>0</v>
      </c>
      <c r="P656">
        <f t="shared" si="140"/>
        <v>0</v>
      </c>
      <c r="Q656">
        <f t="shared" si="141"/>
        <v>0</v>
      </c>
      <c r="R656">
        <f t="shared" si="142"/>
        <v>1327.54</v>
      </c>
    </row>
    <row r="657" spans="1:18" x14ac:dyDescent="0.3">
      <c r="A657" s="1">
        <v>41922</v>
      </c>
      <c r="B657" s="1">
        <v>41947</v>
      </c>
      <c r="C657">
        <v>16.55</v>
      </c>
      <c r="D657">
        <v>0.44</v>
      </c>
      <c r="E657">
        <v>6</v>
      </c>
      <c r="F657">
        <f t="shared" si="130"/>
        <v>0</v>
      </c>
      <c r="G657">
        <f t="shared" si="131"/>
        <v>0</v>
      </c>
      <c r="H657">
        <f t="shared" si="132"/>
        <v>0</v>
      </c>
      <c r="I657">
        <f t="shared" si="133"/>
        <v>0</v>
      </c>
      <c r="J657">
        <f t="shared" si="134"/>
        <v>25</v>
      </c>
      <c r="K657">
        <f t="shared" si="135"/>
        <v>1500</v>
      </c>
      <c r="L657">
        <f t="shared" si="136"/>
        <v>16.990000000000002</v>
      </c>
      <c r="M657">
        <f t="shared" si="137"/>
        <v>1516.99</v>
      </c>
      <c r="N657">
        <f t="shared" si="138"/>
        <v>0</v>
      </c>
      <c r="O657">
        <f t="shared" si="139"/>
        <v>0</v>
      </c>
      <c r="P657">
        <f t="shared" si="140"/>
        <v>0</v>
      </c>
      <c r="Q657">
        <f t="shared" si="141"/>
        <v>0</v>
      </c>
      <c r="R657">
        <f t="shared" si="142"/>
        <v>1516.99</v>
      </c>
    </row>
    <row r="658" spans="1:18" x14ac:dyDescent="0.3">
      <c r="A658" s="1">
        <v>41922</v>
      </c>
      <c r="B658" s="1">
        <v>41928</v>
      </c>
      <c r="C658">
        <v>9.06</v>
      </c>
      <c r="D658">
        <v>0.24</v>
      </c>
      <c r="E658">
        <v>6</v>
      </c>
      <c r="F658">
        <f t="shared" si="130"/>
        <v>0</v>
      </c>
      <c r="G658">
        <f t="shared" si="131"/>
        <v>0</v>
      </c>
      <c r="H658">
        <f t="shared" si="132"/>
        <v>0</v>
      </c>
      <c r="I658">
        <f t="shared" si="133"/>
        <v>0</v>
      </c>
      <c r="J658">
        <f t="shared" si="134"/>
        <v>6</v>
      </c>
      <c r="K658">
        <f t="shared" si="135"/>
        <v>360</v>
      </c>
      <c r="L658">
        <f t="shared" si="136"/>
        <v>9.3000000000000007</v>
      </c>
      <c r="M658">
        <f t="shared" si="137"/>
        <v>369.3</v>
      </c>
      <c r="N658">
        <f t="shared" si="138"/>
        <v>0</v>
      </c>
      <c r="O658">
        <f t="shared" si="139"/>
        <v>0</v>
      </c>
      <c r="P658">
        <f t="shared" si="140"/>
        <v>0</v>
      </c>
      <c r="Q658">
        <f t="shared" si="141"/>
        <v>0</v>
      </c>
      <c r="R658">
        <f t="shared" si="142"/>
        <v>369.3</v>
      </c>
    </row>
    <row r="659" spans="1:18" x14ac:dyDescent="0.3">
      <c r="A659" s="1">
        <v>41922</v>
      </c>
      <c r="B659" s="1">
        <v>41945</v>
      </c>
      <c r="C659">
        <v>10.59</v>
      </c>
      <c r="D659">
        <v>0.28000000000000003</v>
      </c>
      <c r="E659">
        <v>4</v>
      </c>
      <c r="F659">
        <f t="shared" si="130"/>
        <v>0</v>
      </c>
      <c r="G659">
        <f t="shared" si="131"/>
        <v>0</v>
      </c>
      <c r="H659">
        <f t="shared" si="132"/>
        <v>23</v>
      </c>
      <c r="I659">
        <f t="shared" si="133"/>
        <v>0</v>
      </c>
      <c r="J659">
        <f t="shared" si="134"/>
        <v>0</v>
      </c>
      <c r="K659">
        <f t="shared" si="135"/>
        <v>920</v>
      </c>
      <c r="L659">
        <f t="shared" si="136"/>
        <v>10.87</v>
      </c>
      <c r="M659">
        <f t="shared" si="137"/>
        <v>930.87</v>
      </c>
      <c r="N659">
        <f t="shared" si="138"/>
        <v>0</v>
      </c>
      <c r="O659">
        <f t="shared" si="139"/>
        <v>0</v>
      </c>
      <c r="P659">
        <f t="shared" si="140"/>
        <v>930.87</v>
      </c>
      <c r="Q659">
        <f t="shared" si="141"/>
        <v>0</v>
      </c>
      <c r="R659">
        <f t="shared" si="142"/>
        <v>0</v>
      </c>
    </row>
    <row r="660" spans="1:18" x14ac:dyDescent="0.3">
      <c r="A660" s="1">
        <v>41922</v>
      </c>
      <c r="B660" s="1">
        <v>41930</v>
      </c>
      <c r="C660">
        <v>7.71</v>
      </c>
      <c r="D660">
        <v>0.2</v>
      </c>
      <c r="E660">
        <v>3</v>
      </c>
      <c r="F660">
        <f t="shared" si="130"/>
        <v>0</v>
      </c>
      <c r="G660">
        <f t="shared" si="131"/>
        <v>8</v>
      </c>
      <c r="H660">
        <f t="shared" si="132"/>
        <v>0</v>
      </c>
      <c r="I660">
        <f t="shared" si="133"/>
        <v>0</v>
      </c>
      <c r="J660">
        <f t="shared" si="134"/>
        <v>0</v>
      </c>
      <c r="K660">
        <f t="shared" si="135"/>
        <v>240</v>
      </c>
      <c r="L660">
        <f t="shared" si="136"/>
        <v>7.91</v>
      </c>
      <c r="M660">
        <f t="shared" si="137"/>
        <v>247.91</v>
      </c>
      <c r="N660">
        <f t="shared" si="138"/>
        <v>0</v>
      </c>
      <c r="O660">
        <f t="shared" si="139"/>
        <v>247.91</v>
      </c>
      <c r="P660">
        <f t="shared" si="140"/>
        <v>0</v>
      </c>
      <c r="Q660">
        <f t="shared" si="141"/>
        <v>0</v>
      </c>
      <c r="R660">
        <f t="shared" si="142"/>
        <v>0</v>
      </c>
    </row>
    <row r="661" spans="1:18" x14ac:dyDescent="0.3">
      <c r="A661" s="1">
        <v>41922</v>
      </c>
      <c r="B661" s="1">
        <v>41949</v>
      </c>
      <c r="C661">
        <v>10.19</v>
      </c>
      <c r="D661">
        <v>0.27</v>
      </c>
      <c r="E661">
        <v>4</v>
      </c>
      <c r="F661">
        <f t="shared" si="130"/>
        <v>0</v>
      </c>
      <c r="G661">
        <f t="shared" si="131"/>
        <v>0</v>
      </c>
      <c r="H661">
        <f t="shared" si="132"/>
        <v>27</v>
      </c>
      <c r="I661">
        <f t="shared" si="133"/>
        <v>0</v>
      </c>
      <c r="J661">
        <f t="shared" si="134"/>
        <v>0</v>
      </c>
      <c r="K661">
        <f t="shared" si="135"/>
        <v>1080</v>
      </c>
      <c r="L661">
        <f t="shared" si="136"/>
        <v>10.459999999999999</v>
      </c>
      <c r="M661">
        <f t="shared" si="137"/>
        <v>1090.46</v>
      </c>
      <c r="N661">
        <f t="shared" si="138"/>
        <v>0</v>
      </c>
      <c r="O661">
        <f t="shared" si="139"/>
        <v>0</v>
      </c>
      <c r="P661">
        <f t="shared" si="140"/>
        <v>1090.46</v>
      </c>
      <c r="Q661">
        <f t="shared" si="141"/>
        <v>0</v>
      </c>
      <c r="R661">
        <f t="shared" si="142"/>
        <v>0</v>
      </c>
    </row>
    <row r="662" spans="1:18" x14ac:dyDescent="0.3">
      <c r="A662" s="1">
        <v>41922</v>
      </c>
      <c r="B662" s="1">
        <v>41928</v>
      </c>
      <c r="C662">
        <v>4.25</v>
      </c>
      <c r="D662">
        <v>0.11</v>
      </c>
      <c r="E662">
        <v>4</v>
      </c>
      <c r="F662">
        <f t="shared" si="130"/>
        <v>0</v>
      </c>
      <c r="G662">
        <f t="shared" si="131"/>
        <v>0</v>
      </c>
      <c r="H662">
        <f t="shared" si="132"/>
        <v>6</v>
      </c>
      <c r="I662">
        <f t="shared" si="133"/>
        <v>0</v>
      </c>
      <c r="J662">
        <f t="shared" si="134"/>
        <v>0</v>
      </c>
      <c r="K662">
        <f t="shared" si="135"/>
        <v>240</v>
      </c>
      <c r="L662">
        <f t="shared" si="136"/>
        <v>4.3600000000000003</v>
      </c>
      <c r="M662">
        <f t="shared" si="137"/>
        <v>244.36</v>
      </c>
      <c r="N662">
        <f t="shared" si="138"/>
        <v>0</v>
      </c>
      <c r="O662">
        <f t="shared" si="139"/>
        <v>0</v>
      </c>
      <c r="P662">
        <f t="shared" si="140"/>
        <v>244.36</v>
      </c>
      <c r="Q662">
        <f t="shared" si="141"/>
        <v>0</v>
      </c>
      <c r="R662">
        <f t="shared" si="142"/>
        <v>0</v>
      </c>
    </row>
    <row r="663" spans="1:18" x14ac:dyDescent="0.3">
      <c r="A663" s="1">
        <v>41922</v>
      </c>
      <c r="B663" s="1">
        <v>41926</v>
      </c>
      <c r="C663">
        <v>9.06</v>
      </c>
      <c r="D663">
        <v>0.24</v>
      </c>
      <c r="E663">
        <v>3</v>
      </c>
      <c r="F663">
        <f t="shared" si="130"/>
        <v>0</v>
      </c>
      <c r="G663">
        <f t="shared" si="131"/>
        <v>4</v>
      </c>
      <c r="H663">
        <f t="shared" si="132"/>
        <v>0</v>
      </c>
      <c r="I663">
        <f t="shared" si="133"/>
        <v>0</v>
      </c>
      <c r="J663">
        <f t="shared" si="134"/>
        <v>0</v>
      </c>
      <c r="K663">
        <f t="shared" si="135"/>
        <v>120</v>
      </c>
      <c r="L663">
        <f t="shared" si="136"/>
        <v>9.3000000000000007</v>
      </c>
      <c r="M663">
        <f t="shared" si="137"/>
        <v>129.30000000000001</v>
      </c>
      <c r="N663">
        <f t="shared" si="138"/>
        <v>0</v>
      </c>
      <c r="O663">
        <f t="shared" si="139"/>
        <v>129.30000000000001</v>
      </c>
      <c r="P663">
        <f t="shared" si="140"/>
        <v>0</v>
      </c>
      <c r="Q663">
        <f t="shared" si="141"/>
        <v>0</v>
      </c>
      <c r="R663">
        <f t="shared" si="142"/>
        <v>0</v>
      </c>
    </row>
    <row r="664" spans="1:18" x14ac:dyDescent="0.3">
      <c r="A664" s="1">
        <v>41923</v>
      </c>
      <c r="B664" s="1">
        <v>41932</v>
      </c>
      <c r="C664">
        <v>8.65</v>
      </c>
      <c r="D664">
        <v>0.23</v>
      </c>
      <c r="E664">
        <v>4</v>
      </c>
      <c r="F664">
        <f t="shared" si="130"/>
        <v>0</v>
      </c>
      <c r="G664">
        <f t="shared" si="131"/>
        <v>0</v>
      </c>
      <c r="H664">
        <f t="shared" si="132"/>
        <v>9</v>
      </c>
      <c r="I664">
        <f t="shared" si="133"/>
        <v>0</v>
      </c>
      <c r="J664">
        <f t="shared" si="134"/>
        <v>0</v>
      </c>
      <c r="K664">
        <f t="shared" si="135"/>
        <v>360</v>
      </c>
      <c r="L664">
        <f t="shared" si="136"/>
        <v>8.8800000000000008</v>
      </c>
      <c r="M664">
        <f t="shared" si="137"/>
        <v>368.88</v>
      </c>
      <c r="N664">
        <f t="shared" si="138"/>
        <v>0</v>
      </c>
      <c r="O664">
        <f t="shared" si="139"/>
        <v>0</v>
      </c>
      <c r="P664">
        <f t="shared" si="140"/>
        <v>368.88</v>
      </c>
      <c r="Q664">
        <f t="shared" si="141"/>
        <v>0</v>
      </c>
      <c r="R664">
        <f t="shared" si="142"/>
        <v>0</v>
      </c>
    </row>
    <row r="665" spans="1:18" x14ac:dyDescent="0.3">
      <c r="A665" s="1">
        <v>41923</v>
      </c>
      <c r="B665" s="1">
        <v>41935</v>
      </c>
      <c r="C665">
        <v>8.84</v>
      </c>
      <c r="D665">
        <v>0.23</v>
      </c>
      <c r="E665">
        <v>4</v>
      </c>
      <c r="F665">
        <f t="shared" si="130"/>
        <v>0</v>
      </c>
      <c r="G665">
        <f t="shared" si="131"/>
        <v>0</v>
      </c>
      <c r="H665">
        <f t="shared" si="132"/>
        <v>12</v>
      </c>
      <c r="I665">
        <f t="shared" si="133"/>
        <v>0</v>
      </c>
      <c r="J665">
        <f t="shared" si="134"/>
        <v>0</v>
      </c>
      <c r="K665">
        <f t="shared" si="135"/>
        <v>480</v>
      </c>
      <c r="L665">
        <f t="shared" si="136"/>
        <v>9.07</v>
      </c>
      <c r="M665">
        <f t="shared" si="137"/>
        <v>489.07</v>
      </c>
      <c r="N665">
        <f t="shared" si="138"/>
        <v>0</v>
      </c>
      <c r="O665">
        <f t="shared" si="139"/>
        <v>0</v>
      </c>
      <c r="P665">
        <f t="shared" si="140"/>
        <v>489.07</v>
      </c>
      <c r="Q665">
        <f t="shared" si="141"/>
        <v>0</v>
      </c>
      <c r="R665">
        <f t="shared" si="142"/>
        <v>0</v>
      </c>
    </row>
    <row r="666" spans="1:18" x14ac:dyDescent="0.3">
      <c r="A666" s="1">
        <v>41923</v>
      </c>
      <c r="B666" s="1">
        <v>41932</v>
      </c>
      <c r="C666">
        <v>4.25</v>
      </c>
      <c r="D666">
        <v>0.11</v>
      </c>
      <c r="E666">
        <v>5</v>
      </c>
      <c r="F666">
        <f t="shared" si="130"/>
        <v>0</v>
      </c>
      <c r="G666">
        <f t="shared" si="131"/>
        <v>0</v>
      </c>
      <c r="H666">
        <f t="shared" si="132"/>
        <v>0</v>
      </c>
      <c r="I666">
        <f t="shared" si="133"/>
        <v>9</v>
      </c>
      <c r="J666">
        <f t="shared" si="134"/>
        <v>0</v>
      </c>
      <c r="K666">
        <f t="shared" si="135"/>
        <v>450</v>
      </c>
      <c r="L666">
        <f t="shared" si="136"/>
        <v>4.3600000000000003</v>
      </c>
      <c r="M666">
        <f t="shared" si="137"/>
        <v>454.36</v>
      </c>
      <c r="N666">
        <f t="shared" si="138"/>
        <v>0</v>
      </c>
      <c r="O666">
        <f t="shared" si="139"/>
        <v>0</v>
      </c>
      <c r="P666">
        <f t="shared" si="140"/>
        <v>0</v>
      </c>
      <c r="Q666">
        <f t="shared" si="141"/>
        <v>454.36</v>
      </c>
      <c r="R666">
        <f t="shared" si="142"/>
        <v>0</v>
      </c>
    </row>
    <row r="667" spans="1:18" x14ac:dyDescent="0.3">
      <c r="A667" s="1">
        <v>41923</v>
      </c>
      <c r="B667" s="1">
        <v>41927</v>
      </c>
      <c r="C667">
        <v>5.47</v>
      </c>
      <c r="D667">
        <v>0.14000000000000001</v>
      </c>
      <c r="E667">
        <v>5</v>
      </c>
      <c r="F667">
        <f t="shared" si="130"/>
        <v>0</v>
      </c>
      <c r="G667">
        <f t="shared" si="131"/>
        <v>0</v>
      </c>
      <c r="H667">
        <f t="shared" si="132"/>
        <v>0</v>
      </c>
      <c r="I667">
        <f t="shared" si="133"/>
        <v>4</v>
      </c>
      <c r="J667">
        <f t="shared" si="134"/>
        <v>0</v>
      </c>
      <c r="K667">
        <f t="shared" si="135"/>
        <v>200</v>
      </c>
      <c r="L667">
        <f t="shared" si="136"/>
        <v>5.6099999999999994</v>
      </c>
      <c r="M667">
        <f t="shared" si="137"/>
        <v>205.61</v>
      </c>
      <c r="N667">
        <f t="shared" si="138"/>
        <v>0</v>
      </c>
      <c r="O667">
        <f t="shared" si="139"/>
        <v>0</v>
      </c>
      <c r="P667">
        <f t="shared" si="140"/>
        <v>0</v>
      </c>
      <c r="Q667">
        <f t="shared" si="141"/>
        <v>205.61</v>
      </c>
      <c r="R667">
        <f t="shared" si="142"/>
        <v>0</v>
      </c>
    </row>
    <row r="668" spans="1:18" x14ac:dyDescent="0.3">
      <c r="A668" s="1">
        <v>41923</v>
      </c>
      <c r="B668" s="1">
        <v>41937</v>
      </c>
      <c r="C668">
        <v>14.31</v>
      </c>
      <c r="D668">
        <v>0.38</v>
      </c>
      <c r="E668">
        <v>3</v>
      </c>
      <c r="F668">
        <f t="shared" si="130"/>
        <v>0</v>
      </c>
      <c r="G668">
        <f t="shared" si="131"/>
        <v>14</v>
      </c>
      <c r="H668">
        <f t="shared" si="132"/>
        <v>0</v>
      </c>
      <c r="I668">
        <f t="shared" si="133"/>
        <v>0</v>
      </c>
      <c r="J668">
        <f t="shared" si="134"/>
        <v>0</v>
      </c>
      <c r="K668">
        <f t="shared" si="135"/>
        <v>420</v>
      </c>
      <c r="L668">
        <f t="shared" si="136"/>
        <v>14.690000000000001</v>
      </c>
      <c r="M668">
        <f t="shared" si="137"/>
        <v>434.69</v>
      </c>
      <c r="N668">
        <f t="shared" si="138"/>
        <v>0</v>
      </c>
      <c r="O668">
        <f t="shared" si="139"/>
        <v>434.69</v>
      </c>
      <c r="P668">
        <f t="shared" si="140"/>
        <v>0</v>
      </c>
      <c r="Q668">
        <f t="shared" si="141"/>
        <v>0</v>
      </c>
      <c r="R668">
        <f t="shared" si="142"/>
        <v>0</v>
      </c>
    </row>
    <row r="669" spans="1:18" x14ac:dyDescent="0.3">
      <c r="A669" s="1">
        <v>41923</v>
      </c>
      <c r="B669" s="1">
        <v>41949</v>
      </c>
      <c r="C669">
        <v>13.81</v>
      </c>
      <c r="D669">
        <v>0.36</v>
      </c>
      <c r="E669">
        <v>6</v>
      </c>
      <c r="F669">
        <f t="shared" si="130"/>
        <v>0</v>
      </c>
      <c r="G669">
        <f t="shared" si="131"/>
        <v>0</v>
      </c>
      <c r="H669">
        <f t="shared" si="132"/>
        <v>0</v>
      </c>
      <c r="I669">
        <f t="shared" si="133"/>
        <v>0</v>
      </c>
      <c r="J669">
        <f t="shared" si="134"/>
        <v>26</v>
      </c>
      <c r="K669">
        <f t="shared" si="135"/>
        <v>1560</v>
      </c>
      <c r="L669">
        <f t="shared" si="136"/>
        <v>14.17</v>
      </c>
      <c r="M669">
        <f t="shared" si="137"/>
        <v>1574.17</v>
      </c>
      <c r="N669">
        <f t="shared" si="138"/>
        <v>0</v>
      </c>
      <c r="O669">
        <f t="shared" si="139"/>
        <v>0</v>
      </c>
      <c r="P669">
        <f t="shared" si="140"/>
        <v>0</v>
      </c>
      <c r="Q669">
        <f t="shared" si="141"/>
        <v>0</v>
      </c>
      <c r="R669">
        <f t="shared" si="142"/>
        <v>1574.17</v>
      </c>
    </row>
    <row r="670" spans="1:18" x14ac:dyDescent="0.3">
      <c r="A670" s="1">
        <v>41923</v>
      </c>
      <c r="B670" s="1">
        <v>41943</v>
      </c>
      <c r="C670">
        <v>9.74</v>
      </c>
      <c r="D670">
        <v>0.26</v>
      </c>
      <c r="E670">
        <v>3</v>
      </c>
      <c r="F670">
        <f t="shared" si="130"/>
        <v>0</v>
      </c>
      <c r="G670">
        <f t="shared" si="131"/>
        <v>20</v>
      </c>
      <c r="H670">
        <f t="shared" si="132"/>
        <v>0</v>
      </c>
      <c r="I670">
        <f t="shared" si="133"/>
        <v>0</v>
      </c>
      <c r="J670">
        <f t="shared" si="134"/>
        <v>0</v>
      </c>
      <c r="K670">
        <f t="shared" si="135"/>
        <v>600</v>
      </c>
      <c r="L670">
        <f t="shared" si="136"/>
        <v>10</v>
      </c>
      <c r="M670">
        <f t="shared" si="137"/>
        <v>610</v>
      </c>
      <c r="N670">
        <f t="shared" si="138"/>
        <v>0</v>
      </c>
      <c r="O670">
        <f t="shared" si="139"/>
        <v>610</v>
      </c>
      <c r="P670">
        <f t="shared" si="140"/>
        <v>0</v>
      </c>
      <c r="Q670">
        <f t="shared" si="141"/>
        <v>0</v>
      </c>
      <c r="R670">
        <f t="shared" si="142"/>
        <v>0</v>
      </c>
    </row>
    <row r="671" spans="1:18" x14ac:dyDescent="0.3">
      <c r="A671" s="1">
        <v>41923</v>
      </c>
      <c r="B671" s="1">
        <v>41951</v>
      </c>
      <c r="C671">
        <v>9.4600000000000009</v>
      </c>
      <c r="D671">
        <v>0.25</v>
      </c>
      <c r="E671">
        <v>5</v>
      </c>
      <c r="F671">
        <f t="shared" si="130"/>
        <v>0</v>
      </c>
      <c r="G671">
        <f t="shared" si="131"/>
        <v>0</v>
      </c>
      <c r="H671">
        <f t="shared" si="132"/>
        <v>0</v>
      </c>
      <c r="I671">
        <f t="shared" si="133"/>
        <v>28</v>
      </c>
      <c r="J671">
        <f t="shared" si="134"/>
        <v>0</v>
      </c>
      <c r="K671">
        <f t="shared" si="135"/>
        <v>1400</v>
      </c>
      <c r="L671">
        <f t="shared" si="136"/>
        <v>9.7100000000000009</v>
      </c>
      <c r="M671">
        <f t="shared" si="137"/>
        <v>1409.71</v>
      </c>
      <c r="N671">
        <f t="shared" si="138"/>
        <v>0</v>
      </c>
      <c r="O671">
        <f t="shared" si="139"/>
        <v>0</v>
      </c>
      <c r="P671">
        <f t="shared" si="140"/>
        <v>0</v>
      </c>
      <c r="Q671">
        <f t="shared" si="141"/>
        <v>1409.71</v>
      </c>
      <c r="R671">
        <f t="shared" si="142"/>
        <v>0</v>
      </c>
    </row>
    <row r="672" spans="1:18" x14ac:dyDescent="0.3">
      <c r="A672" s="1">
        <v>41923</v>
      </c>
      <c r="B672" s="1">
        <v>41940</v>
      </c>
      <c r="C672">
        <v>7.31</v>
      </c>
      <c r="D672">
        <v>0.19</v>
      </c>
      <c r="E672">
        <v>2</v>
      </c>
      <c r="F672">
        <f t="shared" si="130"/>
        <v>17</v>
      </c>
      <c r="G672">
        <f t="shared" si="131"/>
        <v>0</v>
      </c>
      <c r="H672">
        <f t="shared" si="132"/>
        <v>0</v>
      </c>
      <c r="I672">
        <f t="shared" si="133"/>
        <v>0</v>
      </c>
      <c r="J672">
        <f t="shared" si="134"/>
        <v>0</v>
      </c>
      <c r="K672">
        <f t="shared" si="135"/>
        <v>340</v>
      </c>
      <c r="L672">
        <f t="shared" si="136"/>
        <v>7.5</v>
      </c>
      <c r="M672">
        <f t="shared" si="137"/>
        <v>347.5</v>
      </c>
      <c r="N672">
        <f t="shared" si="138"/>
        <v>347.5</v>
      </c>
      <c r="O672">
        <f t="shared" si="139"/>
        <v>0</v>
      </c>
      <c r="P672">
        <f t="shared" si="140"/>
        <v>0</v>
      </c>
      <c r="Q672">
        <f t="shared" si="141"/>
        <v>0</v>
      </c>
      <c r="R672">
        <f t="shared" si="142"/>
        <v>0</v>
      </c>
    </row>
    <row r="673" spans="1:18" x14ac:dyDescent="0.3">
      <c r="A673" s="1">
        <v>41923</v>
      </c>
      <c r="B673" s="1">
        <v>41945</v>
      </c>
      <c r="C673">
        <v>11.78</v>
      </c>
      <c r="D673">
        <v>0.31</v>
      </c>
      <c r="E673">
        <v>4</v>
      </c>
      <c r="F673">
        <f t="shared" si="130"/>
        <v>0</v>
      </c>
      <c r="G673">
        <f t="shared" si="131"/>
        <v>0</v>
      </c>
      <c r="H673">
        <f t="shared" si="132"/>
        <v>22</v>
      </c>
      <c r="I673">
        <f t="shared" si="133"/>
        <v>0</v>
      </c>
      <c r="J673">
        <f t="shared" si="134"/>
        <v>0</v>
      </c>
      <c r="K673">
        <f t="shared" si="135"/>
        <v>880</v>
      </c>
      <c r="L673">
        <f t="shared" si="136"/>
        <v>12.09</v>
      </c>
      <c r="M673">
        <f t="shared" si="137"/>
        <v>892.09</v>
      </c>
      <c r="N673">
        <f t="shared" si="138"/>
        <v>0</v>
      </c>
      <c r="O673">
        <f t="shared" si="139"/>
        <v>0</v>
      </c>
      <c r="P673">
        <f t="shared" si="140"/>
        <v>892.09</v>
      </c>
      <c r="Q673">
        <f t="shared" si="141"/>
        <v>0</v>
      </c>
      <c r="R673">
        <f t="shared" si="142"/>
        <v>0</v>
      </c>
    </row>
    <row r="674" spans="1:18" x14ac:dyDescent="0.3">
      <c r="A674" s="1">
        <v>41923</v>
      </c>
      <c r="B674" s="1">
        <v>41940</v>
      </c>
      <c r="C674">
        <v>13.82</v>
      </c>
      <c r="D674">
        <v>0.36</v>
      </c>
      <c r="E674">
        <v>4</v>
      </c>
      <c r="F674">
        <f t="shared" si="130"/>
        <v>0</v>
      </c>
      <c r="G674">
        <f t="shared" si="131"/>
        <v>0</v>
      </c>
      <c r="H674">
        <f t="shared" si="132"/>
        <v>17</v>
      </c>
      <c r="I674">
        <f t="shared" si="133"/>
        <v>0</v>
      </c>
      <c r="J674">
        <f t="shared" si="134"/>
        <v>0</v>
      </c>
      <c r="K674">
        <f t="shared" si="135"/>
        <v>680</v>
      </c>
      <c r="L674">
        <f t="shared" si="136"/>
        <v>14.18</v>
      </c>
      <c r="M674">
        <f t="shared" si="137"/>
        <v>694.18</v>
      </c>
      <c r="N674">
        <f t="shared" si="138"/>
        <v>0</v>
      </c>
      <c r="O674">
        <f t="shared" si="139"/>
        <v>0</v>
      </c>
      <c r="P674">
        <f t="shared" si="140"/>
        <v>694.18</v>
      </c>
      <c r="Q674">
        <f t="shared" si="141"/>
        <v>0</v>
      </c>
      <c r="R674">
        <f t="shared" si="142"/>
        <v>0</v>
      </c>
    </row>
    <row r="675" spans="1:18" x14ac:dyDescent="0.3">
      <c r="A675" s="1">
        <v>41925</v>
      </c>
      <c r="B675" s="1">
        <v>41950</v>
      </c>
      <c r="C675">
        <v>3.94</v>
      </c>
      <c r="D675">
        <v>0.1</v>
      </c>
      <c r="E675">
        <v>5</v>
      </c>
      <c r="F675">
        <f t="shared" si="130"/>
        <v>0</v>
      </c>
      <c r="G675">
        <f t="shared" si="131"/>
        <v>0</v>
      </c>
      <c r="H675">
        <f t="shared" si="132"/>
        <v>0</v>
      </c>
      <c r="I675">
        <f t="shared" si="133"/>
        <v>25</v>
      </c>
      <c r="J675">
        <f t="shared" si="134"/>
        <v>0</v>
      </c>
      <c r="K675">
        <f t="shared" si="135"/>
        <v>1250</v>
      </c>
      <c r="L675">
        <f t="shared" si="136"/>
        <v>4.04</v>
      </c>
      <c r="M675">
        <f t="shared" si="137"/>
        <v>1254.04</v>
      </c>
      <c r="N675">
        <f t="shared" si="138"/>
        <v>0</v>
      </c>
      <c r="O675">
        <f t="shared" si="139"/>
        <v>0</v>
      </c>
      <c r="P675">
        <f t="shared" si="140"/>
        <v>0</v>
      </c>
      <c r="Q675">
        <f t="shared" si="141"/>
        <v>1254.04</v>
      </c>
      <c r="R675">
        <f t="shared" si="142"/>
        <v>0</v>
      </c>
    </row>
    <row r="676" spans="1:18" x14ac:dyDescent="0.3">
      <c r="A676" s="1">
        <v>41925</v>
      </c>
      <c r="B676" s="1">
        <v>41934</v>
      </c>
      <c r="C676">
        <v>6.58</v>
      </c>
      <c r="D676">
        <v>0.17</v>
      </c>
      <c r="E676">
        <v>5</v>
      </c>
      <c r="F676">
        <f t="shared" si="130"/>
        <v>0</v>
      </c>
      <c r="G676">
        <f t="shared" si="131"/>
        <v>0</v>
      </c>
      <c r="H676">
        <f t="shared" si="132"/>
        <v>0</v>
      </c>
      <c r="I676">
        <f t="shared" si="133"/>
        <v>9</v>
      </c>
      <c r="J676">
        <f t="shared" si="134"/>
        <v>0</v>
      </c>
      <c r="K676">
        <f t="shared" si="135"/>
        <v>450</v>
      </c>
      <c r="L676">
        <f t="shared" si="136"/>
        <v>6.75</v>
      </c>
      <c r="M676">
        <f t="shared" si="137"/>
        <v>456.75</v>
      </c>
      <c r="N676">
        <f t="shared" si="138"/>
        <v>0</v>
      </c>
      <c r="O676">
        <f t="shared" si="139"/>
        <v>0</v>
      </c>
      <c r="P676">
        <f t="shared" si="140"/>
        <v>0</v>
      </c>
      <c r="Q676">
        <f t="shared" si="141"/>
        <v>456.75</v>
      </c>
      <c r="R676">
        <f t="shared" si="142"/>
        <v>0</v>
      </c>
    </row>
    <row r="677" spans="1:18" x14ac:dyDescent="0.3">
      <c r="A677" s="1">
        <v>41925</v>
      </c>
      <c r="B677" s="1">
        <v>41931</v>
      </c>
      <c r="C677">
        <v>6.34</v>
      </c>
      <c r="D677">
        <v>0.17</v>
      </c>
      <c r="E677">
        <v>4</v>
      </c>
      <c r="F677">
        <f t="shared" si="130"/>
        <v>0</v>
      </c>
      <c r="G677">
        <f t="shared" si="131"/>
        <v>0</v>
      </c>
      <c r="H677">
        <f t="shared" si="132"/>
        <v>6</v>
      </c>
      <c r="I677">
        <f t="shared" si="133"/>
        <v>0</v>
      </c>
      <c r="J677">
        <f t="shared" si="134"/>
        <v>0</v>
      </c>
      <c r="K677">
        <f t="shared" si="135"/>
        <v>240</v>
      </c>
      <c r="L677">
        <f t="shared" si="136"/>
        <v>6.51</v>
      </c>
      <c r="M677">
        <f t="shared" si="137"/>
        <v>246.51</v>
      </c>
      <c r="N677">
        <f t="shared" si="138"/>
        <v>0</v>
      </c>
      <c r="O677">
        <f t="shared" si="139"/>
        <v>0</v>
      </c>
      <c r="P677">
        <f t="shared" si="140"/>
        <v>246.51</v>
      </c>
      <c r="Q677">
        <f t="shared" si="141"/>
        <v>0</v>
      </c>
      <c r="R677">
        <f t="shared" si="142"/>
        <v>0</v>
      </c>
    </row>
    <row r="678" spans="1:18" x14ac:dyDescent="0.3">
      <c r="A678" s="1">
        <v>41925</v>
      </c>
      <c r="B678" s="1">
        <v>41943</v>
      </c>
      <c r="C678">
        <v>6.58</v>
      </c>
      <c r="D678">
        <v>0.17</v>
      </c>
      <c r="E678">
        <v>4</v>
      </c>
      <c r="F678">
        <f t="shared" si="130"/>
        <v>0</v>
      </c>
      <c r="G678">
        <f t="shared" si="131"/>
        <v>0</v>
      </c>
      <c r="H678">
        <f t="shared" si="132"/>
        <v>18</v>
      </c>
      <c r="I678">
        <f t="shared" si="133"/>
        <v>0</v>
      </c>
      <c r="J678">
        <f t="shared" si="134"/>
        <v>0</v>
      </c>
      <c r="K678">
        <f t="shared" si="135"/>
        <v>720</v>
      </c>
      <c r="L678">
        <f t="shared" si="136"/>
        <v>6.75</v>
      </c>
      <c r="M678">
        <f t="shared" si="137"/>
        <v>726.75</v>
      </c>
      <c r="N678">
        <f t="shared" si="138"/>
        <v>0</v>
      </c>
      <c r="O678">
        <f t="shared" si="139"/>
        <v>0</v>
      </c>
      <c r="P678">
        <f t="shared" si="140"/>
        <v>726.75</v>
      </c>
      <c r="Q678">
        <f t="shared" si="141"/>
        <v>0</v>
      </c>
      <c r="R678">
        <f t="shared" si="142"/>
        <v>0</v>
      </c>
    </row>
    <row r="679" spans="1:18" x14ac:dyDescent="0.3">
      <c r="A679" s="1">
        <v>41925</v>
      </c>
      <c r="B679" s="1">
        <v>41949</v>
      </c>
      <c r="C679">
        <v>6.34</v>
      </c>
      <c r="D679">
        <v>0.17</v>
      </c>
      <c r="E679">
        <v>3</v>
      </c>
      <c r="F679">
        <f t="shared" si="130"/>
        <v>0</v>
      </c>
      <c r="G679">
        <f t="shared" si="131"/>
        <v>24</v>
      </c>
      <c r="H679">
        <f t="shared" si="132"/>
        <v>0</v>
      </c>
      <c r="I679">
        <f t="shared" si="133"/>
        <v>0</v>
      </c>
      <c r="J679">
        <f t="shared" si="134"/>
        <v>0</v>
      </c>
      <c r="K679">
        <f t="shared" si="135"/>
        <v>720</v>
      </c>
      <c r="L679">
        <f t="shared" si="136"/>
        <v>6.51</v>
      </c>
      <c r="M679">
        <f t="shared" si="137"/>
        <v>726.51</v>
      </c>
      <c r="N679">
        <f t="shared" si="138"/>
        <v>0</v>
      </c>
      <c r="O679">
        <f t="shared" si="139"/>
        <v>726.51</v>
      </c>
      <c r="P679">
        <f t="shared" si="140"/>
        <v>0</v>
      </c>
      <c r="Q679">
        <f t="shared" si="141"/>
        <v>0</v>
      </c>
      <c r="R679">
        <f t="shared" si="142"/>
        <v>0</v>
      </c>
    </row>
    <row r="680" spans="1:18" x14ac:dyDescent="0.3">
      <c r="A680" s="1">
        <v>41926</v>
      </c>
      <c r="B680" s="1">
        <v>41941</v>
      </c>
      <c r="C680">
        <v>6.43</v>
      </c>
      <c r="D680">
        <v>0.17</v>
      </c>
      <c r="E680">
        <v>6</v>
      </c>
      <c r="F680">
        <f t="shared" si="130"/>
        <v>0</v>
      </c>
      <c r="G680">
        <f t="shared" si="131"/>
        <v>0</v>
      </c>
      <c r="H680">
        <f t="shared" si="132"/>
        <v>0</v>
      </c>
      <c r="I680">
        <f t="shared" si="133"/>
        <v>0</v>
      </c>
      <c r="J680">
        <f t="shared" si="134"/>
        <v>15</v>
      </c>
      <c r="K680">
        <f t="shared" si="135"/>
        <v>900</v>
      </c>
      <c r="L680">
        <f t="shared" si="136"/>
        <v>6.6</v>
      </c>
      <c r="M680">
        <f t="shared" si="137"/>
        <v>906.6</v>
      </c>
      <c r="N680">
        <f t="shared" si="138"/>
        <v>0</v>
      </c>
      <c r="O680">
        <f t="shared" si="139"/>
        <v>0</v>
      </c>
      <c r="P680">
        <f t="shared" si="140"/>
        <v>0</v>
      </c>
      <c r="Q680">
        <f t="shared" si="141"/>
        <v>0</v>
      </c>
      <c r="R680">
        <f t="shared" si="142"/>
        <v>906.6</v>
      </c>
    </row>
    <row r="681" spans="1:18" x14ac:dyDescent="0.3">
      <c r="A681" s="1">
        <v>41927</v>
      </c>
      <c r="B681" s="1">
        <v>41954</v>
      </c>
      <c r="C681">
        <v>2.0099999999999998</v>
      </c>
      <c r="D681">
        <v>0.05</v>
      </c>
      <c r="E681">
        <v>6</v>
      </c>
      <c r="F681">
        <f t="shared" si="130"/>
        <v>0</v>
      </c>
      <c r="G681">
        <f t="shared" si="131"/>
        <v>0</v>
      </c>
      <c r="H681">
        <f t="shared" si="132"/>
        <v>0</v>
      </c>
      <c r="I681">
        <f t="shared" si="133"/>
        <v>0</v>
      </c>
      <c r="J681">
        <f t="shared" si="134"/>
        <v>27</v>
      </c>
      <c r="K681">
        <f t="shared" si="135"/>
        <v>1620</v>
      </c>
      <c r="L681">
        <f t="shared" si="136"/>
        <v>2.0599999999999996</v>
      </c>
      <c r="M681">
        <f t="shared" si="137"/>
        <v>1622.06</v>
      </c>
      <c r="N681">
        <f t="shared" si="138"/>
        <v>0</v>
      </c>
      <c r="O681">
        <f t="shared" si="139"/>
        <v>0</v>
      </c>
      <c r="P681">
        <f t="shared" si="140"/>
        <v>0</v>
      </c>
      <c r="Q681">
        <f t="shared" si="141"/>
        <v>0</v>
      </c>
      <c r="R681">
        <f t="shared" si="142"/>
        <v>1622.06</v>
      </c>
    </row>
    <row r="682" spans="1:18" x14ac:dyDescent="0.3">
      <c r="A682" s="1">
        <v>41927</v>
      </c>
      <c r="B682" s="1">
        <v>41953</v>
      </c>
      <c r="C682">
        <v>2.72</v>
      </c>
      <c r="D682">
        <v>7.0000000000000007E-2</v>
      </c>
      <c r="E682">
        <v>4</v>
      </c>
      <c r="F682">
        <f t="shared" si="130"/>
        <v>0</v>
      </c>
      <c r="G682">
        <f t="shared" si="131"/>
        <v>0</v>
      </c>
      <c r="H682">
        <f t="shared" si="132"/>
        <v>26</v>
      </c>
      <c r="I682">
        <f t="shared" si="133"/>
        <v>0</v>
      </c>
      <c r="J682">
        <f t="shared" si="134"/>
        <v>0</v>
      </c>
      <c r="K682">
        <f t="shared" si="135"/>
        <v>1040</v>
      </c>
      <c r="L682">
        <f t="shared" si="136"/>
        <v>2.79</v>
      </c>
      <c r="M682">
        <f t="shared" si="137"/>
        <v>1042.79</v>
      </c>
      <c r="N682">
        <f t="shared" si="138"/>
        <v>0</v>
      </c>
      <c r="O682">
        <f t="shared" si="139"/>
        <v>0</v>
      </c>
      <c r="P682">
        <f t="shared" si="140"/>
        <v>1042.79</v>
      </c>
      <c r="Q682">
        <f t="shared" si="141"/>
        <v>0</v>
      </c>
      <c r="R682">
        <f t="shared" si="142"/>
        <v>0</v>
      </c>
    </row>
    <row r="683" spans="1:18" x14ac:dyDescent="0.3">
      <c r="A683" s="1">
        <v>41928</v>
      </c>
      <c r="B683" s="1">
        <v>41934</v>
      </c>
      <c r="C683">
        <v>3.73</v>
      </c>
      <c r="D683">
        <v>0.1</v>
      </c>
      <c r="E683">
        <v>5</v>
      </c>
      <c r="F683">
        <f t="shared" si="130"/>
        <v>0</v>
      </c>
      <c r="G683">
        <f t="shared" si="131"/>
        <v>0</v>
      </c>
      <c r="H683">
        <f t="shared" si="132"/>
        <v>0</v>
      </c>
      <c r="I683">
        <f t="shared" si="133"/>
        <v>6</v>
      </c>
      <c r="J683">
        <f t="shared" si="134"/>
        <v>0</v>
      </c>
      <c r="K683">
        <f t="shared" si="135"/>
        <v>300</v>
      </c>
      <c r="L683">
        <f t="shared" si="136"/>
        <v>3.83</v>
      </c>
      <c r="M683">
        <f t="shared" si="137"/>
        <v>303.83</v>
      </c>
      <c r="N683">
        <f t="shared" si="138"/>
        <v>0</v>
      </c>
      <c r="O683">
        <f t="shared" si="139"/>
        <v>0</v>
      </c>
      <c r="P683">
        <f t="shared" si="140"/>
        <v>0</v>
      </c>
      <c r="Q683">
        <f t="shared" si="141"/>
        <v>303.83</v>
      </c>
      <c r="R683">
        <f t="shared" si="142"/>
        <v>0</v>
      </c>
    </row>
    <row r="684" spans="1:18" x14ac:dyDescent="0.3">
      <c r="A684" s="1">
        <v>41929</v>
      </c>
      <c r="B684" s="1">
        <v>41937</v>
      </c>
      <c r="C684">
        <v>5.64</v>
      </c>
      <c r="D684">
        <v>0.15</v>
      </c>
      <c r="E684">
        <v>6</v>
      </c>
      <c r="F684">
        <f t="shared" si="130"/>
        <v>0</v>
      </c>
      <c r="G684">
        <f t="shared" si="131"/>
        <v>0</v>
      </c>
      <c r="H684">
        <f t="shared" si="132"/>
        <v>0</v>
      </c>
      <c r="I684">
        <f t="shared" si="133"/>
        <v>0</v>
      </c>
      <c r="J684">
        <f t="shared" si="134"/>
        <v>8</v>
      </c>
      <c r="K684">
        <f t="shared" si="135"/>
        <v>480</v>
      </c>
      <c r="L684">
        <f t="shared" si="136"/>
        <v>5.79</v>
      </c>
      <c r="M684">
        <f t="shared" si="137"/>
        <v>485.79</v>
      </c>
      <c r="N684">
        <f t="shared" si="138"/>
        <v>0</v>
      </c>
      <c r="O684">
        <f t="shared" si="139"/>
        <v>0</v>
      </c>
      <c r="P684">
        <f t="shared" si="140"/>
        <v>0</v>
      </c>
      <c r="Q684">
        <f t="shared" si="141"/>
        <v>0</v>
      </c>
      <c r="R684">
        <f t="shared" si="142"/>
        <v>485.79</v>
      </c>
    </row>
    <row r="685" spans="1:18" x14ac:dyDescent="0.3">
      <c r="A685" s="1">
        <v>41929</v>
      </c>
      <c r="B685" s="1">
        <v>41942</v>
      </c>
      <c r="C685">
        <v>11.78</v>
      </c>
      <c r="D685">
        <v>0.31</v>
      </c>
      <c r="E685">
        <v>5</v>
      </c>
      <c r="F685">
        <f t="shared" si="130"/>
        <v>0</v>
      </c>
      <c r="G685">
        <f t="shared" si="131"/>
        <v>0</v>
      </c>
      <c r="H685">
        <f t="shared" si="132"/>
        <v>0</v>
      </c>
      <c r="I685">
        <f t="shared" si="133"/>
        <v>13</v>
      </c>
      <c r="J685">
        <f t="shared" si="134"/>
        <v>0</v>
      </c>
      <c r="K685">
        <f t="shared" si="135"/>
        <v>650</v>
      </c>
      <c r="L685">
        <f t="shared" si="136"/>
        <v>12.09</v>
      </c>
      <c r="M685">
        <f t="shared" si="137"/>
        <v>662.09</v>
      </c>
      <c r="N685">
        <f t="shared" si="138"/>
        <v>0</v>
      </c>
      <c r="O685">
        <f t="shared" si="139"/>
        <v>0</v>
      </c>
      <c r="P685">
        <f t="shared" si="140"/>
        <v>0</v>
      </c>
      <c r="Q685">
        <f t="shared" si="141"/>
        <v>662.09</v>
      </c>
      <c r="R685">
        <f t="shared" si="142"/>
        <v>0</v>
      </c>
    </row>
    <row r="686" spans="1:18" x14ac:dyDescent="0.3">
      <c r="A686" s="1">
        <v>41929</v>
      </c>
      <c r="B686" s="1">
        <v>41931</v>
      </c>
      <c r="C686">
        <v>9.4600000000000009</v>
      </c>
      <c r="D686">
        <v>0.25</v>
      </c>
      <c r="E686">
        <v>5</v>
      </c>
      <c r="F686">
        <f t="shared" si="130"/>
        <v>0</v>
      </c>
      <c r="G686">
        <f t="shared" si="131"/>
        <v>0</v>
      </c>
      <c r="H686">
        <f t="shared" si="132"/>
        <v>0</v>
      </c>
      <c r="I686">
        <f t="shared" si="133"/>
        <v>2</v>
      </c>
      <c r="J686">
        <f t="shared" si="134"/>
        <v>0</v>
      </c>
      <c r="K686">
        <f t="shared" si="135"/>
        <v>100</v>
      </c>
      <c r="L686">
        <f t="shared" si="136"/>
        <v>9.7100000000000009</v>
      </c>
      <c r="M686">
        <f t="shared" si="137"/>
        <v>109.71000000000001</v>
      </c>
      <c r="N686">
        <f t="shared" si="138"/>
        <v>0</v>
      </c>
      <c r="O686">
        <f t="shared" si="139"/>
        <v>0</v>
      </c>
      <c r="P686">
        <f t="shared" si="140"/>
        <v>0</v>
      </c>
      <c r="Q686">
        <f t="shared" si="141"/>
        <v>109.71000000000001</v>
      </c>
      <c r="R686">
        <f t="shared" si="142"/>
        <v>0</v>
      </c>
    </row>
    <row r="687" spans="1:18" x14ac:dyDescent="0.3">
      <c r="A687" s="1">
        <v>41929</v>
      </c>
      <c r="B687" s="1">
        <v>41945</v>
      </c>
      <c r="C687">
        <v>4.25</v>
      </c>
      <c r="D687">
        <v>0.11</v>
      </c>
      <c r="E687">
        <v>3</v>
      </c>
      <c r="F687">
        <f t="shared" si="130"/>
        <v>0</v>
      </c>
      <c r="G687">
        <f t="shared" si="131"/>
        <v>16</v>
      </c>
      <c r="H687">
        <f t="shared" si="132"/>
        <v>0</v>
      </c>
      <c r="I687">
        <f t="shared" si="133"/>
        <v>0</v>
      </c>
      <c r="J687">
        <f t="shared" si="134"/>
        <v>0</v>
      </c>
      <c r="K687">
        <f t="shared" si="135"/>
        <v>480</v>
      </c>
      <c r="L687">
        <f t="shared" si="136"/>
        <v>4.3600000000000003</v>
      </c>
      <c r="M687">
        <f t="shared" si="137"/>
        <v>484.36</v>
      </c>
      <c r="N687">
        <f t="shared" si="138"/>
        <v>0</v>
      </c>
      <c r="O687">
        <f t="shared" si="139"/>
        <v>484.36</v>
      </c>
      <c r="P687">
        <f t="shared" si="140"/>
        <v>0</v>
      </c>
      <c r="Q687">
        <f t="shared" si="141"/>
        <v>0</v>
      </c>
      <c r="R687">
        <f t="shared" si="142"/>
        <v>0</v>
      </c>
    </row>
    <row r="688" spans="1:18" x14ac:dyDescent="0.3">
      <c r="A688" s="1">
        <v>41929</v>
      </c>
      <c r="B688" s="1">
        <v>41955</v>
      </c>
      <c r="C688">
        <v>11.42</v>
      </c>
      <c r="D688">
        <v>0.3</v>
      </c>
      <c r="E688">
        <v>4</v>
      </c>
      <c r="F688">
        <f t="shared" si="130"/>
        <v>0</v>
      </c>
      <c r="G688">
        <f t="shared" si="131"/>
        <v>0</v>
      </c>
      <c r="H688">
        <f t="shared" si="132"/>
        <v>26</v>
      </c>
      <c r="I688">
        <f t="shared" si="133"/>
        <v>0</v>
      </c>
      <c r="J688">
        <f t="shared" si="134"/>
        <v>0</v>
      </c>
      <c r="K688">
        <f t="shared" si="135"/>
        <v>1040</v>
      </c>
      <c r="L688">
        <f t="shared" si="136"/>
        <v>11.72</v>
      </c>
      <c r="M688">
        <f t="shared" si="137"/>
        <v>1051.72</v>
      </c>
      <c r="N688">
        <f t="shared" si="138"/>
        <v>0</v>
      </c>
      <c r="O688">
        <f t="shared" si="139"/>
        <v>0</v>
      </c>
      <c r="P688">
        <f t="shared" si="140"/>
        <v>1051.72</v>
      </c>
      <c r="Q688">
        <f t="shared" si="141"/>
        <v>0</v>
      </c>
      <c r="R688">
        <f t="shared" si="142"/>
        <v>0</v>
      </c>
    </row>
    <row r="689" spans="1:18" x14ac:dyDescent="0.3">
      <c r="A689" s="1">
        <v>41929</v>
      </c>
      <c r="B689" s="1">
        <v>41955</v>
      </c>
      <c r="C689">
        <v>8.5399999999999991</v>
      </c>
      <c r="D689">
        <v>0.22</v>
      </c>
      <c r="E689">
        <v>3</v>
      </c>
      <c r="F689">
        <f t="shared" si="130"/>
        <v>0</v>
      </c>
      <c r="G689">
        <f t="shared" si="131"/>
        <v>26</v>
      </c>
      <c r="H689">
        <f t="shared" si="132"/>
        <v>0</v>
      </c>
      <c r="I689">
        <f t="shared" si="133"/>
        <v>0</v>
      </c>
      <c r="J689">
        <f t="shared" si="134"/>
        <v>0</v>
      </c>
      <c r="K689">
        <f t="shared" si="135"/>
        <v>780</v>
      </c>
      <c r="L689">
        <f t="shared" si="136"/>
        <v>8.76</v>
      </c>
      <c r="M689">
        <f t="shared" si="137"/>
        <v>788.76</v>
      </c>
      <c r="N689">
        <f t="shared" si="138"/>
        <v>0</v>
      </c>
      <c r="O689">
        <f t="shared" si="139"/>
        <v>788.76</v>
      </c>
      <c r="P689">
        <f t="shared" si="140"/>
        <v>0</v>
      </c>
      <c r="Q689">
        <f t="shared" si="141"/>
        <v>0</v>
      </c>
      <c r="R689">
        <f t="shared" si="142"/>
        <v>0</v>
      </c>
    </row>
    <row r="690" spans="1:18" x14ac:dyDescent="0.3">
      <c r="A690" s="1">
        <v>41930</v>
      </c>
      <c r="B690" s="1">
        <v>41936</v>
      </c>
      <c r="C690">
        <v>2.72</v>
      </c>
      <c r="D690">
        <v>7.0000000000000007E-2</v>
      </c>
      <c r="E690">
        <v>2</v>
      </c>
      <c r="F690">
        <f t="shared" si="130"/>
        <v>6</v>
      </c>
      <c r="G690">
        <f t="shared" si="131"/>
        <v>0</v>
      </c>
      <c r="H690">
        <f t="shared" si="132"/>
        <v>0</v>
      </c>
      <c r="I690">
        <f t="shared" si="133"/>
        <v>0</v>
      </c>
      <c r="J690">
        <f t="shared" si="134"/>
        <v>0</v>
      </c>
      <c r="K690">
        <f t="shared" si="135"/>
        <v>120</v>
      </c>
      <c r="L690">
        <f t="shared" si="136"/>
        <v>2.79</v>
      </c>
      <c r="M690">
        <f t="shared" si="137"/>
        <v>122.79</v>
      </c>
      <c r="N690">
        <f t="shared" si="138"/>
        <v>122.79</v>
      </c>
      <c r="O690">
        <f t="shared" si="139"/>
        <v>0</v>
      </c>
      <c r="P690">
        <f t="shared" si="140"/>
        <v>0</v>
      </c>
      <c r="Q690">
        <f t="shared" si="141"/>
        <v>0</v>
      </c>
      <c r="R690">
        <f t="shared" si="142"/>
        <v>0</v>
      </c>
    </row>
    <row r="691" spans="1:18" x14ac:dyDescent="0.3">
      <c r="A691" s="1">
        <v>41934</v>
      </c>
      <c r="B691" s="1">
        <v>41941</v>
      </c>
      <c r="C691">
        <v>11.78</v>
      </c>
      <c r="D691">
        <v>0.31</v>
      </c>
      <c r="E691">
        <v>3</v>
      </c>
      <c r="F691">
        <f t="shared" si="130"/>
        <v>0</v>
      </c>
      <c r="G691">
        <f t="shared" si="131"/>
        <v>7</v>
      </c>
      <c r="H691">
        <f t="shared" si="132"/>
        <v>0</v>
      </c>
      <c r="I691">
        <f t="shared" si="133"/>
        <v>0</v>
      </c>
      <c r="J691">
        <f t="shared" si="134"/>
        <v>0</v>
      </c>
      <c r="K691">
        <f t="shared" si="135"/>
        <v>210</v>
      </c>
      <c r="L691">
        <f t="shared" si="136"/>
        <v>12.09</v>
      </c>
      <c r="M691">
        <f t="shared" si="137"/>
        <v>222.09</v>
      </c>
      <c r="N691">
        <f t="shared" si="138"/>
        <v>0</v>
      </c>
      <c r="O691">
        <f t="shared" si="139"/>
        <v>222.09</v>
      </c>
      <c r="P691">
        <f t="shared" si="140"/>
        <v>0</v>
      </c>
      <c r="Q691">
        <f t="shared" si="141"/>
        <v>0</v>
      </c>
      <c r="R691">
        <f t="shared" si="142"/>
        <v>0</v>
      </c>
    </row>
    <row r="692" spans="1:18" x14ac:dyDescent="0.3">
      <c r="A692" s="1">
        <v>41934</v>
      </c>
      <c r="B692" s="1">
        <v>41959</v>
      </c>
      <c r="C692">
        <v>8.89</v>
      </c>
      <c r="D692">
        <v>0.23</v>
      </c>
      <c r="E692">
        <v>4</v>
      </c>
      <c r="F692">
        <f t="shared" si="130"/>
        <v>0</v>
      </c>
      <c r="G692">
        <f t="shared" si="131"/>
        <v>0</v>
      </c>
      <c r="H692">
        <f t="shared" si="132"/>
        <v>25</v>
      </c>
      <c r="I692">
        <f t="shared" si="133"/>
        <v>0</v>
      </c>
      <c r="J692">
        <f t="shared" si="134"/>
        <v>0</v>
      </c>
      <c r="K692">
        <f t="shared" si="135"/>
        <v>1000</v>
      </c>
      <c r="L692">
        <f t="shared" si="136"/>
        <v>9.120000000000001</v>
      </c>
      <c r="M692">
        <f t="shared" si="137"/>
        <v>1009.12</v>
      </c>
      <c r="N692">
        <f t="shared" si="138"/>
        <v>0</v>
      </c>
      <c r="O692">
        <f t="shared" si="139"/>
        <v>0</v>
      </c>
      <c r="P692">
        <f t="shared" si="140"/>
        <v>1009.12</v>
      </c>
      <c r="Q692">
        <f t="shared" si="141"/>
        <v>0</v>
      </c>
      <c r="R692">
        <f t="shared" si="142"/>
        <v>0</v>
      </c>
    </row>
    <row r="693" spans="1:18" x14ac:dyDescent="0.3">
      <c r="A693" s="1">
        <v>41934</v>
      </c>
      <c r="B693" s="1">
        <v>41937</v>
      </c>
      <c r="C693">
        <v>3.94</v>
      </c>
      <c r="D693">
        <v>0.1</v>
      </c>
      <c r="E693">
        <v>5</v>
      </c>
      <c r="F693">
        <f t="shared" si="130"/>
        <v>0</v>
      </c>
      <c r="G693">
        <f t="shared" si="131"/>
        <v>0</v>
      </c>
      <c r="H693">
        <f t="shared" si="132"/>
        <v>0</v>
      </c>
      <c r="I693">
        <f t="shared" si="133"/>
        <v>3</v>
      </c>
      <c r="J693">
        <f t="shared" si="134"/>
        <v>0</v>
      </c>
      <c r="K693">
        <f t="shared" si="135"/>
        <v>150</v>
      </c>
      <c r="L693">
        <f t="shared" si="136"/>
        <v>4.04</v>
      </c>
      <c r="M693">
        <f t="shared" si="137"/>
        <v>154.04</v>
      </c>
      <c r="N693">
        <f t="shared" si="138"/>
        <v>0</v>
      </c>
      <c r="O693">
        <f t="shared" si="139"/>
        <v>0</v>
      </c>
      <c r="P693">
        <f t="shared" si="140"/>
        <v>0</v>
      </c>
      <c r="Q693">
        <f t="shared" si="141"/>
        <v>154.04</v>
      </c>
      <c r="R693">
        <f t="shared" si="142"/>
        <v>0</v>
      </c>
    </row>
    <row r="694" spans="1:18" x14ac:dyDescent="0.3">
      <c r="A694" s="1">
        <v>41934</v>
      </c>
      <c r="B694" s="1">
        <v>41960</v>
      </c>
      <c r="C694">
        <v>6.23</v>
      </c>
      <c r="D694">
        <v>0.16</v>
      </c>
      <c r="E694">
        <v>5</v>
      </c>
      <c r="F694">
        <f t="shared" si="130"/>
        <v>0</v>
      </c>
      <c r="G694">
        <f t="shared" si="131"/>
        <v>0</v>
      </c>
      <c r="H694">
        <f t="shared" si="132"/>
        <v>0</v>
      </c>
      <c r="I694">
        <f t="shared" si="133"/>
        <v>26</v>
      </c>
      <c r="J694">
        <f t="shared" si="134"/>
        <v>0</v>
      </c>
      <c r="K694">
        <f t="shared" si="135"/>
        <v>1300</v>
      </c>
      <c r="L694">
        <f t="shared" si="136"/>
        <v>6.3900000000000006</v>
      </c>
      <c r="M694">
        <f t="shared" si="137"/>
        <v>1306.3900000000001</v>
      </c>
      <c r="N694">
        <f t="shared" si="138"/>
        <v>0</v>
      </c>
      <c r="O694">
        <f t="shared" si="139"/>
        <v>0</v>
      </c>
      <c r="P694">
        <f t="shared" si="140"/>
        <v>0</v>
      </c>
      <c r="Q694">
        <f t="shared" si="141"/>
        <v>1306.3900000000001</v>
      </c>
      <c r="R694">
        <f t="shared" si="142"/>
        <v>0</v>
      </c>
    </row>
    <row r="695" spans="1:18" x14ac:dyDescent="0.3">
      <c r="A695" s="1">
        <v>41934</v>
      </c>
      <c r="B695" s="1">
        <v>41961</v>
      </c>
      <c r="C695">
        <v>9.4600000000000009</v>
      </c>
      <c r="D695">
        <v>0.25</v>
      </c>
      <c r="E695">
        <v>6</v>
      </c>
      <c r="F695">
        <f t="shared" si="130"/>
        <v>0</v>
      </c>
      <c r="G695">
        <f t="shared" si="131"/>
        <v>0</v>
      </c>
      <c r="H695">
        <f t="shared" si="132"/>
        <v>0</v>
      </c>
      <c r="I695">
        <f t="shared" si="133"/>
        <v>0</v>
      </c>
      <c r="J695">
        <f t="shared" si="134"/>
        <v>27</v>
      </c>
      <c r="K695">
        <f t="shared" si="135"/>
        <v>1620</v>
      </c>
      <c r="L695">
        <f t="shared" si="136"/>
        <v>9.7100000000000009</v>
      </c>
      <c r="M695">
        <f t="shared" si="137"/>
        <v>1629.71</v>
      </c>
      <c r="N695">
        <f t="shared" si="138"/>
        <v>0</v>
      </c>
      <c r="O695">
        <f t="shared" si="139"/>
        <v>0</v>
      </c>
      <c r="P695">
        <f t="shared" si="140"/>
        <v>0</v>
      </c>
      <c r="Q695">
        <f t="shared" si="141"/>
        <v>0</v>
      </c>
      <c r="R695">
        <f t="shared" si="142"/>
        <v>1629.71</v>
      </c>
    </row>
    <row r="696" spans="1:18" x14ac:dyDescent="0.3">
      <c r="A696" s="1">
        <v>41934</v>
      </c>
      <c r="B696" s="1">
        <v>41942</v>
      </c>
      <c r="C696">
        <v>11.42</v>
      </c>
      <c r="D696">
        <v>0.3</v>
      </c>
      <c r="E696">
        <v>6</v>
      </c>
      <c r="F696">
        <f t="shared" si="130"/>
        <v>0</v>
      </c>
      <c r="G696">
        <f t="shared" si="131"/>
        <v>0</v>
      </c>
      <c r="H696">
        <f t="shared" si="132"/>
        <v>0</v>
      </c>
      <c r="I696">
        <f t="shared" si="133"/>
        <v>0</v>
      </c>
      <c r="J696">
        <f t="shared" si="134"/>
        <v>8</v>
      </c>
      <c r="K696">
        <f t="shared" si="135"/>
        <v>480</v>
      </c>
      <c r="L696">
        <f t="shared" si="136"/>
        <v>11.72</v>
      </c>
      <c r="M696">
        <f t="shared" si="137"/>
        <v>491.72</v>
      </c>
      <c r="N696">
        <f t="shared" si="138"/>
        <v>0</v>
      </c>
      <c r="O696">
        <f t="shared" si="139"/>
        <v>0</v>
      </c>
      <c r="P696">
        <f t="shared" si="140"/>
        <v>0</v>
      </c>
      <c r="Q696">
        <f t="shared" si="141"/>
        <v>0</v>
      </c>
      <c r="R696">
        <f t="shared" si="142"/>
        <v>491.72</v>
      </c>
    </row>
    <row r="697" spans="1:18" x14ac:dyDescent="0.3">
      <c r="A697" s="1">
        <v>41934</v>
      </c>
      <c r="B697" s="1">
        <v>41949</v>
      </c>
      <c r="C697">
        <v>8.84</v>
      </c>
      <c r="D697">
        <v>0.23</v>
      </c>
      <c r="E697">
        <v>3</v>
      </c>
      <c r="F697">
        <f t="shared" si="130"/>
        <v>0</v>
      </c>
      <c r="G697">
        <f t="shared" si="131"/>
        <v>15</v>
      </c>
      <c r="H697">
        <f t="shared" si="132"/>
        <v>0</v>
      </c>
      <c r="I697">
        <f t="shared" si="133"/>
        <v>0</v>
      </c>
      <c r="J697">
        <f t="shared" si="134"/>
        <v>0</v>
      </c>
      <c r="K697">
        <f t="shared" si="135"/>
        <v>450</v>
      </c>
      <c r="L697">
        <f t="shared" si="136"/>
        <v>9.07</v>
      </c>
      <c r="M697">
        <f t="shared" si="137"/>
        <v>459.07</v>
      </c>
      <c r="N697">
        <f t="shared" si="138"/>
        <v>0</v>
      </c>
      <c r="O697">
        <f t="shared" si="139"/>
        <v>459.07</v>
      </c>
      <c r="P697">
        <f t="shared" si="140"/>
        <v>0</v>
      </c>
      <c r="Q697">
        <f t="shared" si="141"/>
        <v>0</v>
      </c>
      <c r="R697">
        <f t="shared" si="142"/>
        <v>0</v>
      </c>
    </row>
    <row r="698" spans="1:18" x14ac:dyDescent="0.3">
      <c r="A698" s="1">
        <v>41934</v>
      </c>
      <c r="B698" s="1">
        <v>41949</v>
      </c>
      <c r="C698">
        <v>6.34</v>
      </c>
      <c r="D698">
        <v>0.17</v>
      </c>
      <c r="E698">
        <v>2</v>
      </c>
      <c r="F698">
        <f t="shared" si="130"/>
        <v>15</v>
      </c>
      <c r="G698">
        <f t="shared" si="131"/>
        <v>0</v>
      </c>
      <c r="H698">
        <f t="shared" si="132"/>
        <v>0</v>
      </c>
      <c r="I698">
        <f t="shared" si="133"/>
        <v>0</v>
      </c>
      <c r="J698">
        <f t="shared" si="134"/>
        <v>0</v>
      </c>
      <c r="K698">
        <f t="shared" si="135"/>
        <v>300</v>
      </c>
      <c r="L698">
        <f t="shared" si="136"/>
        <v>6.51</v>
      </c>
      <c r="M698">
        <f t="shared" si="137"/>
        <v>306.51</v>
      </c>
      <c r="N698">
        <f t="shared" si="138"/>
        <v>306.51</v>
      </c>
      <c r="O698">
        <f t="shared" si="139"/>
        <v>0</v>
      </c>
      <c r="P698">
        <f t="shared" si="140"/>
        <v>0</v>
      </c>
      <c r="Q698">
        <f t="shared" si="141"/>
        <v>0</v>
      </c>
      <c r="R698">
        <f t="shared" si="142"/>
        <v>0</v>
      </c>
    </row>
    <row r="699" spans="1:18" x14ac:dyDescent="0.3">
      <c r="A699" s="1">
        <v>41934</v>
      </c>
      <c r="B699" s="1">
        <v>41943</v>
      </c>
      <c r="C699">
        <v>5.67</v>
      </c>
      <c r="D699">
        <v>0.15</v>
      </c>
      <c r="E699">
        <v>2</v>
      </c>
      <c r="F699">
        <f t="shared" si="130"/>
        <v>9</v>
      </c>
      <c r="G699">
        <f t="shared" si="131"/>
        <v>0</v>
      </c>
      <c r="H699">
        <f t="shared" si="132"/>
        <v>0</v>
      </c>
      <c r="I699">
        <f t="shared" si="133"/>
        <v>0</v>
      </c>
      <c r="J699">
        <f t="shared" si="134"/>
        <v>0</v>
      </c>
      <c r="K699">
        <f t="shared" si="135"/>
        <v>180</v>
      </c>
      <c r="L699">
        <f t="shared" si="136"/>
        <v>5.82</v>
      </c>
      <c r="M699">
        <f t="shared" si="137"/>
        <v>185.82</v>
      </c>
      <c r="N699">
        <f t="shared" si="138"/>
        <v>185.82</v>
      </c>
      <c r="O699">
        <f t="shared" si="139"/>
        <v>0</v>
      </c>
      <c r="P699">
        <f t="shared" si="140"/>
        <v>0</v>
      </c>
      <c r="Q699">
        <f t="shared" si="141"/>
        <v>0</v>
      </c>
      <c r="R699">
        <f t="shared" si="142"/>
        <v>0</v>
      </c>
    </row>
    <row r="700" spans="1:18" x14ac:dyDescent="0.3">
      <c r="A700" s="1">
        <v>41934</v>
      </c>
      <c r="B700" s="1">
        <v>41954</v>
      </c>
      <c r="C700">
        <v>11.78</v>
      </c>
      <c r="D700">
        <v>0.31</v>
      </c>
      <c r="E700">
        <v>5</v>
      </c>
      <c r="F700">
        <f t="shared" si="130"/>
        <v>0</v>
      </c>
      <c r="G700">
        <f t="shared" si="131"/>
        <v>0</v>
      </c>
      <c r="H700">
        <f t="shared" si="132"/>
        <v>0</v>
      </c>
      <c r="I700">
        <f t="shared" si="133"/>
        <v>20</v>
      </c>
      <c r="J700">
        <f t="shared" si="134"/>
        <v>0</v>
      </c>
      <c r="K700">
        <f t="shared" si="135"/>
        <v>1000</v>
      </c>
      <c r="L700">
        <f t="shared" si="136"/>
        <v>12.09</v>
      </c>
      <c r="M700">
        <f t="shared" si="137"/>
        <v>1012.09</v>
      </c>
      <c r="N700">
        <f t="shared" si="138"/>
        <v>0</v>
      </c>
      <c r="O700">
        <f t="shared" si="139"/>
        <v>0</v>
      </c>
      <c r="P700">
        <f t="shared" si="140"/>
        <v>0</v>
      </c>
      <c r="Q700">
        <f t="shared" si="141"/>
        <v>1012.09</v>
      </c>
      <c r="R700">
        <f t="shared" si="142"/>
        <v>0</v>
      </c>
    </row>
    <row r="701" spans="1:18" x14ac:dyDescent="0.3">
      <c r="A701" s="1">
        <v>41934</v>
      </c>
      <c r="B701" s="1">
        <v>41944</v>
      </c>
      <c r="C701">
        <v>13.82</v>
      </c>
      <c r="D701">
        <v>0.36</v>
      </c>
      <c r="E701">
        <v>3</v>
      </c>
      <c r="F701">
        <f t="shared" si="130"/>
        <v>0</v>
      </c>
      <c r="G701">
        <f t="shared" si="131"/>
        <v>10</v>
      </c>
      <c r="H701">
        <f t="shared" si="132"/>
        <v>0</v>
      </c>
      <c r="I701">
        <f t="shared" si="133"/>
        <v>0</v>
      </c>
      <c r="J701">
        <f t="shared" si="134"/>
        <v>0</v>
      </c>
      <c r="K701">
        <f t="shared" si="135"/>
        <v>300</v>
      </c>
      <c r="L701">
        <f t="shared" si="136"/>
        <v>14.18</v>
      </c>
      <c r="M701">
        <f t="shared" si="137"/>
        <v>314.18</v>
      </c>
      <c r="N701">
        <f t="shared" si="138"/>
        <v>0</v>
      </c>
      <c r="O701">
        <f t="shared" si="139"/>
        <v>314.18</v>
      </c>
      <c r="P701">
        <f t="shared" si="140"/>
        <v>0</v>
      </c>
      <c r="Q701">
        <f t="shared" si="141"/>
        <v>0</v>
      </c>
      <c r="R701">
        <f t="shared" si="142"/>
        <v>0</v>
      </c>
    </row>
    <row r="702" spans="1:18" x14ac:dyDescent="0.3">
      <c r="A702" s="1">
        <v>41934</v>
      </c>
      <c r="B702" s="1">
        <v>41958</v>
      </c>
      <c r="C702">
        <v>3.57</v>
      </c>
      <c r="D702">
        <v>0.09</v>
      </c>
      <c r="E702">
        <v>3</v>
      </c>
      <c r="F702">
        <f t="shared" si="130"/>
        <v>0</v>
      </c>
      <c r="G702">
        <f t="shared" si="131"/>
        <v>24</v>
      </c>
      <c r="H702">
        <f t="shared" si="132"/>
        <v>0</v>
      </c>
      <c r="I702">
        <f t="shared" si="133"/>
        <v>0</v>
      </c>
      <c r="J702">
        <f t="shared" si="134"/>
        <v>0</v>
      </c>
      <c r="K702">
        <f t="shared" si="135"/>
        <v>720</v>
      </c>
      <c r="L702">
        <f t="shared" si="136"/>
        <v>3.6599999999999997</v>
      </c>
      <c r="M702">
        <f t="shared" si="137"/>
        <v>723.66</v>
      </c>
      <c r="N702">
        <f t="shared" si="138"/>
        <v>0</v>
      </c>
      <c r="O702">
        <f t="shared" si="139"/>
        <v>723.66</v>
      </c>
      <c r="P702">
        <f t="shared" si="140"/>
        <v>0</v>
      </c>
      <c r="Q702">
        <f t="shared" si="141"/>
        <v>0</v>
      </c>
      <c r="R702">
        <f t="shared" si="142"/>
        <v>0</v>
      </c>
    </row>
    <row r="703" spans="1:18" x14ac:dyDescent="0.3">
      <c r="A703" s="1">
        <v>41934</v>
      </c>
      <c r="B703" s="1">
        <v>41954</v>
      </c>
      <c r="C703">
        <v>6.88</v>
      </c>
      <c r="D703">
        <v>0.18</v>
      </c>
      <c r="E703">
        <v>3</v>
      </c>
      <c r="F703">
        <f t="shared" si="130"/>
        <v>0</v>
      </c>
      <c r="G703">
        <f t="shared" si="131"/>
        <v>20</v>
      </c>
      <c r="H703">
        <f t="shared" si="132"/>
        <v>0</v>
      </c>
      <c r="I703">
        <f t="shared" si="133"/>
        <v>0</v>
      </c>
      <c r="J703">
        <f t="shared" si="134"/>
        <v>0</v>
      </c>
      <c r="K703">
        <f t="shared" si="135"/>
        <v>600</v>
      </c>
      <c r="L703">
        <f t="shared" si="136"/>
        <v>7.06</v>
      </c>
      <c r="M703">
        <f t="shared" si="137"/>
        <v>607.05999999999995</v>
      </c>
      <c r="N703">
        <f t="shared" si="138"/>
        <v>0</v>
      </c>
      <c r="O703">
        <f t="shared" si="139"/>
        <v>607.05999999999995</v>
      </c>
      <c r="P703">
        <f t="shared" si="140"/>
        <v>0</v>
      </c>
      <c r="Q703">
        <f t="shared" si="141"/>
        <v>0</v>
      </c>
      <c r="R703">
        <f t="shared" si="142"/>
        <v>0</v>
      </c>
    </row>
    <row r="704" spans="1:18" x14ac:dyDescent="0.3">
      <c r="A704" s="1">
        <v>41934</v>
      </c>
      <c r="B704" s="1">
        <v>41958</v>
      </c>
      <c r="C704">
        <v>7.3</v>
      </c>
      <c r="D704">
        <v>0.19</v>
      </c>
      <c r="E704">
        <v>5</v>
      </c>
      <c r="F704">
        <f t="shared" si="130"/>
        <v>0</v>
      </c>
      <c r="G704">
        <f t="shared" si="131"/>
        <v>0</v>
      </c>
      <c r="H704">
        <f t="shared" si="132"/>
        <v>0</v>
      </c>
      <c r="I704">
        <f t="shared" si="133"/>
        <v>24</v>
      </c>
      <c r="J704">
        <f t="shared" si="134"/>
        <v>0</v>
      </c>
      <c r="K704">
        <f t="shared" si="135"/>
        <v>1200</v>
      </c>
      <c r="L704">
        <f t="shared" si="136"/>
        <v>7.49</v>
      </c>
      <c r="M704">
        <f t="shared" si="137"/>
        <v>1207.49</v>
      </c>
      <c r="N704">
        <f t="shared" si="138"/>
        <v>0</v>
      </c>
      <c r="O704">
        <f t="shared" si="139"/>
        <v>0</v>
      </c>
      <c r="P704">
        <f t="shared" si="140"/>
        <v>0</v>
      </c>
      <c r="Q704">
        <f t="shared" si="141"/>
        <v>1207.49</v>
      </c>
      <c r="R704">
        <f t="shared" si="142"/>
        <v>0</v>
      </c>
    </row>
    <row r="705" spans="1:18" x14ac:dyDescent="0.3">
      <c r="A705" s="1">
        <v>41934</v>
      </c>
      <c r="B705" s="1">
        <v>41955</v>
      </c>
      <c r="C705">
        <v>9.74</v>
      </c>
      <c r="D705">
        <v>0.26</v>
      </c>
      <c r="E705">
        <v>2</v>
      </c>
      <c r="F705">
        <f t="shared" si="130"/>
        <v>21</v>
      </c>
      <c r="G705">
        <f t="shared" si="131"/>
        <v>0</v>
      </c>
      <c r="H705">
        <f t="shared" si="132"/>
        <v>0</v>
      </c>
      <c r="I705">
        <f t="shared" si="133"/>
        <v>0</v>
      </c>
      <c r="J705">
        <f t="shared" si="134"/>
        <v>0</v>
      </c>
      <c r="K705">
        <f t="shared" si="135"/>
        <v>420</v>
      </c>
      <c r="L705">
        <f t="shared" si="136"/>
        <v>10</v>
      </c>
      <c r="M705">
        <f t="shared" si="137"/>
        <v>430</v>
      </c>
      <c r="N705">
        <f t="shared" si="138"/>
        <v>430</v>
      </c>
      <c r="O705">
        <f t="shared" si="139"/>
        <v>0</v>
      </c>
      <c r="P705">
        <f t="shared" si="140"/>
        <v>0</v>
      </c>
      <c r="Q705">
        <f t="shared" si="141"/>
        <v>0</v>
      </c>
      <c r="R705">
        <f t="shared" si="142"/>
        <v>0</v>
      </c>
    </row>
    <row r="706" spans="1:18" x14ac:dyDescent="0.3">
      <c r="A706" s="1">
        <v>41934</v>
      </c>
      <c r="B706" s="1">
        <v>41945</v>
      </c>
      <c r="C706">
        <v>8.65</v>
      </c>
      <c r="D706">
        <v>0.23</v>
      </c>
      <c r="E706">
        <v>2</v>
      </c>
      <c r="F706">
        <f t="shared" si="130"/>
        <v>11</v>
      </c>
      <c r="G706">
        <f t="shared" si="131"/>
        <v>0</v>
      </c>
      <c r="H706">
        <f t="shared" si="132"/>
        <v>0</v>
      </c>
      <c r="I706">
        <f t="shared" si="133"/>
        <v>0</v>
      </c>
      <c r="J706">
        <f t="shared" si="134"/>
        <v>0</v>
      </c>
      <c r="K706">
        <f t="shared" si="135"/>
        <v>220</v>
      </c>
      <c r="L706">
        <f t="shared" si="136"/>
        <v>8.8800000000000008</v>
      </c>
      <c r="M706">
        <f t="shared" si="137"/>
        <v>228.88</v>
      </c>
      <c r="N706">
        <f t="shared" si="138"/>
        <v>228.88</v>
      </c>
      <c r="O706">
        <f t="shared" si="139"/>
        <v>0</v>
      </c>
      <c r="P706">
        <f t="shared" si="140"/>
        <v>0</v>
      </c>
      <c r="Q706">
        <f t="shared" si="141"/>
        <v>0</v>
      </c>
      <c r="R706">
        <f t="shared" si="142"/>
        <v>0</v>
      </c>
    </row>
    <row r="707" spans="1:18" x14ac:dyDescent="0.3">
      <c r="A707" s="1">
        <v>41934</v>
      </c>
      <c r="B707" s="1">
        <v>41954</v>
      </c>
      <c r="C707">
        <v>3.57</v>
      </c>
      <c r="D707">
        <v>0.09</v>
      </c>
      <c r="E707">
        <v>5</v>
      </c>
      <c r="F707">
        <f t="shared" ref="F707:F770" si="143">IF(EXACT(E707,2),B707-A707,0)</f>
        <v>0</v>
      </c>
      <c r="G707">
        <f t="shared" ref="G707:G770" si="144">IF(EXACT(E707,3),B707-A707,0)</f>
        <v>0</v>
      </c>
      <c r="H707">
        <f t="shared" ref="H707:H770" si="145">IF(EXACT(E707,4),B707-A707,0)</f>
        <v>0</v>
      </c>
      <c r="I707">
        <f t="shared" ref="I707:I770" si="146">IF(EXACT(E707,5),B707-A707,0)</f>
        <v>20</v>
      </c>
      <c r="J707">
        <f t="shared" ref="J707:J770" si="147">IF(EXACT(E707,6),B707-A707,0)</f>
        <v>0</v>
      </c>
      <c r="K707">
        <f t="shared" ref="K707:K770" si="148">10 * E707 * (F707+G707+H707+I707+J707)</f>
        <v>1000</v>
      </c>
      <c r="L707">
        <f t="shared" ref="L707:L770" si="149">C707+D707</f>
        <v>3.6599999999999997</v>
      </c>
      <c r="M707">
        <f t="shared" ref="M707:M770" si="150">K707+L707</f>
        <v>1003.66</v>
      </c>
      <c r="N707">
        <f t="shared" ref="N707:N770" si="151">IF(EXACT(E707,2),M707,0)</f>
        <v>0</v>
      </c>
      <c r="O707">
        <f t="shared" ref="O707:O770" si="152">IF(EXACT(E707,3),M707,0)</f>
        <v>0</v>
      </c>
      <c r="P707">
        <f t="shared" ref="P707:P770" si="153">IF(EXACT(E707,4),M707,0)</f>
        <v>0</v>
      </c>
      <c r="Q707">
        <f t="shared" ref="Q707:Q770" si="154">IF(EXACT(E707,5),M707,0)</f>
        <v>1003.66</v>
      </c>
      <c r="R707">
        <f t="shared" ref="R707:R770" si="155">IF(EXACT(E707,6),M707,0)</f>
        <v>0</v>
      </c>
    </row>
    <row r="708" spans="1:18" x14ac:dyDescent="0.3">
      <c r="A708" s="1">
        <v>41934</v>
      </c>
      <c r="B708" s="1">
        <v>41951</v>
      </c>
      <c r="C708">
        <v>4.25</v>
      </c>
      <c r="D708">
        <v>0.11</v>
      </c>
      <c r="E708">
        <v>6</v>
      </c>
      <c r="F708">
        <f t="shared" si="143"/>
        <v>0</v>
      </c>
      <c r="G708">
        <f t="shared" si="144"/>
        <v>0</v>
      </c>
      <c r="H708">
        <f t="shared" si="145"/>
        <v>0</v>
      </c>
      <c r="I708">
        <f t="shared" si="146"/>
        <v>0</v>
      </c>
      <c r="J708">
        <f t="shared" si="147"/>
        <v>17</v>
      </c>
      <c r="K708">
        <f t="shared" si="148"/>
        <v>1020</v>
      </c>
      <c r="L708">
        <f t="shared" si="149"/>
        <v>4.3600000000000003</v>
      </c>
      <c r="M708">
        <f t="shared" si="150"/>
        <v>1024.3599999999999</v>
      </c>
      <c r="N708">
        <f t="shared" si="151"/>
        <v>0</v>
      </c>
      <c r="O708">
        <f t="shared" si="152"/>
        <v>0</v>
      </c>
      <c r="P708">
        <f t="shared" si="153"/>
        <v>0</v>
      </c>
      <c r="Q708">
        <f t="shared" si="154"/>
        <v>0</v>
      </c>
      <c r="R708">
        <f t="shared" si="155"/>
        <v>1024.3599999999999</v>
      </c>
    </row>
    <row r="709" spans="1:18" x14ac:dyDescent="0.3">
      <c r="A709" s="1">
        <v>41934</v>
      </c>
      <c r="B709" s="1">
        <v>41938</v>
      </c>
      <c r="C709">
        <v>13.02</v>
      </c>
      <c r="D709">
        <v>0.34</v>
      </c>
      <c r="E709">
        <v>2</v>
      </c>
      <c r="F709">
        <f t="shared" si="143"/>
        <v>4</v>
      </c>
      <c r="G709">
        <f t="shared" si="144"/>
        <v>0</v>
      </c>
      <c r="H709">
        <f t="shared" si="145"/>
        <v>0</v>
      </c>
      <c r="I709">
        <f t="shared" si="146"/>
        <v>0</v>
      </c>
      <c r="J709">
        <f t="shared" si="147"/>
        <v>0</v>
      </c>
      <c r="K709">
        <f t="shared" si="148"/>
        <v>80</v>
      </c>
      <c r="L709">
        <f t="shared" si="149"/>
        <v>13.36</v>
      </c>
      <c r="M709">
        <f t="shared" si="150"/>
        <v>93.36</v>
      </c>
      <c r="N709">
        <f t="shared" si="151"/>
        <v>93.36</v>
      </c>
      <c r="O709">
        <f t="shared" si="152"/>
        <v>0</v>
      </c>
      <c r="P709">
        <f t="shared" si="153"/>
        <v>0</v>
      </c>
      <c r="Q709">
        <f t="shared" si="154"/>
        <v>0</v>
      </c>
      <c r="R709">
        <f t="shared" si="155"/>
        <v>0</v>
      </c>
    </row>
    <row r="710" spans="1:18" x14ac:dyDescent="0.3">
      <c r="A710" s="1">
        <v>41935</v>
      </c>
      <c r="B710" s="1">
        <v>41945</v>
      </c>
      <c r="C710">
        <v>11.44</v>
      </c>
      <c r="D710">
        <v>0.3</v>
      </c>
      <c r="E710">
        <v>6</v>
      </c>
      <c r="F710">
        <f t="shared" si="143"/>
        <v>0</v>
      </c>
      <c r="G710">
        <f t="shared" si="144"/>
        <v>0</v>
      </c>
      <c r="H710">
        <f t="shared" si="145"/>
        <v>0</v>
      </c>
      <c r="I710">
        <f t="shared" si="146"/>
        <v>0</v>
      </c>
      <c r="J710">
        <f t="shared" si="147"/>
        <v>10</v>
      </c>
      <c r="K710">
        <f t="shared" si="148"/>
        <v>600</v>
      </c>
      <c r="L710">
        <f t="shared" si="149"/>
        <v>11.74</v>
      </c>
      <c r="M710">
        <f t="shared" si="150"/>
        <v>611.74</v>
      </c>
      <c r="N710">
        <f t="shared" si="151"/>
        <v>0</v>
      </c>
      <c r="O710">
        <f t="shared" si="152"/>
        <v>0</v>
      </c>
      <c r="P710">
        <f t="shared" si="153"/>
        <v>0</v>
      </c>
      <c r="Q710">
        <f t="shared" si="154"/>
        <v>0</v>
      </c>
      <c r="R710">
        <f t="shared" si="155"/>
        <v>611.74</v>
      </c>
    </row>
    <row r="711" spans="1:18" x14ac:dyDescent="0.3">
      <c r="A711" s="1">
        <v>41935</v>
      </c>
      <c r="B711" s="1">
        <v>41954</v>
      </c>
      <c r="C711">
        <v>11.78</v>
      </c>
      <c r="D711">
        <v>0.31</v>
      </c>
      <c r="E711">
        <v>5</v>
      </c>
      <c r="F711">
        <f t="shared" si="143"/>
        <v>0</v>
      </c>
      <c r="G711">
        <f t="shared" si="144"/>
        <v>0</v>
      </c>
      <c r="H711">
        <f t="shared" si="145"/>
        <v>0</v>
      </c>
      <c r="I711">
        <f t="shared" si="146"/>
        <v>19</v>
      </c>
      <c r="J711">
        <f t="shared" si="147"/>
        <v>0</v>
      </c>
      <c r="K711">
        <f t="shared" si="148"/>
        <v>950</v>
      </c>
      <c r="L711">
        <f t="shared" si="149"/>
        <v>12.09</v>
      </c>
      <c r="M711">
        <f t="shared" si="150"/>
        <v>962.09</v>
      </c>
      <c r="N711">
        <f t="shared" si="151"/>
        <v>0</v>
      </c>
      <c r="O711">
        <f t="shared" si="152"/>
        <v>0</v>
      </c>
      <c r="P711">
        <f t="shared" si="153"/>
        <v>0</v>
      </c>
      <c r="Q711">
        <f t="shared" si="154"/>
        <v>962.09</v>
      </c>
      <c r="R711">
        <f t="shared" si="155"/>
        <v>0</v>
      </c>
    </row>
    <row r="712" spans="1:18" x14ac:dyDescent="0.3">
      <c r="A712" s="1">
        <v>41935</v>
      </c>
      <c r="B712" s="1">
        <v>41944</v>
      </c>
      <c r="C712">
        <v>7.31</v>
      </c>
      <c r="D712">
        <v>0.19</v>
      </c>
      <c r="E712">
        <v>2</v>
      </c>
      <c r="F712">
        <f t="shared" si="143"/>
        <v>9</v>
      </c>
      <c r="G712">
        <f t="shared" si="144"/>
        <v>0</v>
      </c>
      <c r="H712">
        <f t="shared" si="145"/>
        <v>0</v>
      </c>
      <c r="I712">
        <f t="shared" si="146"/>
        <v>0</v>
      </c>
      <c r="J712">
        <f t="shared" si="147"/>
        <v>0</v>
      </c>
      <c r="K712">
        <f t="shared" si="148"/>
        <v>180</v>
      </c>
      <c r="L712">
        <f t="shared" si="149"/>
        <v>7.5</v>
      </c>
      <c r="M712">
        <f t="shared" si="150"/>
        <v>187.5</v>
      </c>
      <c r="N712">
        <f t="shared" si="151"/>
        <v>187.5</v>
      </c>
      <c r="O712">
        <f t="shared" si="152"/>
        <v>0</v>
      </c>
      <c r="P712">
        <f t="shared" si="153"/>
        <v>0</v>
      </c>
      <c r="Q712">
        <f t="shared" si="154"/>
        <v>0</v>
      </c>
      <c r="R712">
        <f t="shared" si="155"/>
        <v>0</v>
      </c>
    </row>
    <row r="713" spans="1:18" x14ac:dyDescent="0.3">
      <c r="A713" s="1">
        <v>41935</v>
      </c>
      <c r="B713" s="1">
        <v>41940</v>
      </c>
      <c r="C713">
        <v>3.79</v>
      </c>
      <c r="D713">
        <v>0.1</v>
      </c>
      <c r="E713">
        <v>4</v>
      </c>
      <c r="F713">
        <f t="shared" si="143"/>
        <v>0</v>
      </c>
      <c r="G713">
        <f t="shared" si="144"/>
        <v>0</v>
      </c>
      <c r="H713">
        <f t="shared" si="145"/>
        <v>5</v>
      </c>
      <c r="I713">
        <f t="shared" si="146"/>
        <v>0</v>
      </c>
      <c r="J713">
        <f t="shared" si="147"/>
        <v>0</v>
      </c>
      <c r="K713">
        <f t="shared" si="148"/>
        <v>200</v>
      </c>
      <c r="L713">
        <f t="shared" si="149"/>
        <v>3.89</v>
      </c>
      <c r="M713">
        <f t="shared" si="150"/>
        <v>203.89</v>
      </c>
      <c r="N713">
        <f t="shared" si="151"/>
        <v>0</v>
      </c>
      <c r="O713">
        <f t="shared" si="152"/>
        <v>0</v>
      </c>
      <c r="P713">
        <f t="shared" si="153"/>
        <v>203.89</v>
      </c>
      <c r="Q713">
        <f t="shared" si="154"/>
        <v>0</v>
      </c>
      <c r="R713">
        <f t="shared" si="155"/>
        <v>0</v>
      </c>
    </row>
    <row r="714" spans="1:18" x14ac:dyDescent="0.3">
      <c r="A714" s="1">
        <v>41935</v>
      </c>
      <c r="B714" s="1">
        <v>41947</v>
      </c>
      <c r="C714">
        <v>11.42</v>
      </c>
      <c r="D714">
        <v>0.3</v>
      </c>
      <c r="E714">
        <v>3</v>
      </c>
      <c r="F714">
        <f t="shared" si="143"/>
        <v>0</v>
      </c>
      <c r="G714">
        <f t="shared" si="144"/>
        <v>12</v>
      </c>
      <c r="H714">
        <f t="shared" si="145"/>
        <v>0</v>
      </c>
      <c r="I714">
        <f t="shared" si="146"/>
        <v>0</v>
      </c>
      <c r="J714">
        <f t="shared" si="147"/>
        <v>0</v>
      </c>
      <c r="K714">
        <f t="shared" si="148"/>
        <v>360</v>
      </c>
      <c r="L714">
        <f t="shared" si="149"/>
        <v>11.72</v>
      </c>
      <c r="M714">
        <f t="shared" si="150"/>
        <v>371.72</v>
      </c>
      <c r="N714">
        <f t="shared" si="151"/>
        <v>0</v>
      </c>
      <c r="O714">
        <f t="shared" si="152"/>
        <v>371.72</v>
      </c>
      <c r="P714">
        <f t="shared" si="153"/>
        <v>0</v>
      </c>
      <c r="Q714">
        <f t="shared" si="154"/>
        <v>0</v>
      </c>
      <c r="R714">
        <f t="shared" si="155"/>
        <v>0</v>
      </c>
    </row>
    <row r="715" spans="1:18" x14ac:dyDescent="0.3">
      <c r="A715" s="1">
        <v>41935</v>
      </c>
      <c r="B715" s="1">
        <v>41955</v>
      </c>
      <c r="C715">
        <v>7.31</v>
      </c>
      <c r="D715">
        <v>0.19</v>
      </c>
      <c r="E715">
        <v>6</v>
      </c>
      <c r="F715">
        <f t="shared" si="143"/>
        <v>0</v>
      </c>
      <c r="G715">
        <f t="shared" si="144"/>
        <v>0</v>
      </c>
      <c r="H715">
        <f t="shared" si="145"/>
        <v>0</v>
      </c>
      <c r="I715">
        <f t="shared" si="146"/>
        <v>0</v>
      </c>
      <c r="J715">
        <f t="shared" si="147"/>
        <v>20</v>
      </c>
      <c r="K715">
        <f t="shared" si="148"/>
        <v>1200</v>
      </c>
      <c r="L715">
        <f t="shared" si="149"/>
        <v>7.5</v>
      </c>
      <c r="M715">
        <f t="shared" si="150"/>
        <v>1207.5</v>
      </c>
      <c r="N715">
        <f t="shared" si="151"/>
        <v>0</v>
      </c>
      <c r="O715">
        <f t="shared" si="152"/>
        <v>0</v>
      </c>
      <c r="P715">
        <f t="shared" si="153"/>
        <v>0</v>
      </c>
      <c r="Q715">
        <f t="shared" si="154"/>
        <v>0</v>
      </c>
      <c r="R715">
        <f t="shared" si="155"/>
        <v>1207.5</v>
      </c>
    </row>
    <row r="716" spans="1:18" x14ac:dyDescent="0.3">
      <c r="A716" s="1">
        <v>41935</v>
      </c>
      <c r="B716" s="1">
        <v>41940</v>
      </c>
      <c r="C716">
        <v>3.73</v>
      </c>
      <c r="D716">
        <v>0.1</v>
      </c>
      <c r="E716">
        <v>2</v>
      </c>
      <c r="F716">
        <f t="shared" si="143"/>
        <v>5</v>
      </c>
      <c r="G716">
        <f t="shared" si="144"/>
        <v>0</v>
      </c>
      <c r="H716">
        <f t="shared" si="145"/>
        <v>0</v>
      </c>
      <c r="I716">
        <f t="shared" si="146"/>
        <v>0</v>
      </c>
      <c r="J716">
        <f t="shared" si="147"/>
        <v>0</v>
      </c>
      <c r="K716">
        <f t="shared" si="148"/>
        <v>100</v>
      </c>
      <c r="L716">
        <f t="shared" si="149"/>
        <v>3.83</v>
      </c>
      <c r="M716">
        <f t="shared" si="150"/>
        <v>103.83</v>
      </c>
      <c r="N716">
        <f t="shared" si="151"/>
        <v>103.83</v>
      </c>
      <c r="O716">
        <f t="shared" si="152"/>
        <v>0</v>
      </c>
      <c r="P716">
        <f t="shared" si="153"/>
        <v>0</v>
      </c>
      <c r="Q716">
        <f t="shared" si="154"/>
        <v>0</v>
      </c>
      <c r="R716">
        <f t="shared" si="155"/>
        <v>0</v>
      </c>
    </row>
    <row r="717" spans="1:18" x14ac:dyDescent="0.3">
      <c r="A717" s="1">
        <v>41935</v>
      </c>
      <c r="B717" s="1">
        <v>41957</v>
      </c>
      <c r="C717">
        <v>9.06</v>
      </c>
      <c r="D717">
        <v>0.24</v>
      </c>
      <c r="E717">
        <v>2</v>
      </c>
      <c r="F717">
        <f t="shared" si="143"/>
        <v>22</v>
      </c>
      <c r="G717">
        <f t="shared" si="144"/>
        <v>0</v>
      </c>
      <c r="H717">
        <f t="shared" si="145"/>
        <v>0</v>
      </c>
      <c r="I717">
        <f t="shared" si="146"/>
        <v>0</v>
      </c>
      <c r="J717">
        <f t="shared" si="147"/>
        <v>0</v>
      </c>
      <c r="K717">
        <f t="shared" si="148"/>
        <v>440</v>
      </c>
      <c r="L717">
        <f t="shared" si="149"/>
        <v>9.3000000000000007</v>
      </c>
      <c r="M717">
        <f t="shared" si="150"/>
        <v>449.3</v>
      </c>
      <c r="N717">
        <f t="shared" si="151"/>
        <v>449.3</v>
      </c>
      <c r="O717">
        <f t="shared" si="152"/>
        <v>0</v>
      </c>
      <c r="P717">
        <f t="shared" si="153"/>
        <v>0</v>
      </c>
      <c r="Q717">
        <f t="shared" si="154"/>
        <v>0</v>
      </c>
      <c r="R717">
        <f t="shared" si="155"/>
        <v>0</v>
      </c>
    </row>
    <row r="718" spans="1:18" x14ac:dyDescent="0.3">
      <c r="A718" s="1">
        <v>41935</v>
      </c>
      <c r="B718" s="1">
        <v>41956</v>
      </c>
      <c r="C718">
        <v>11.69</v>
      </c>
      <c r="D718">
        <v>0.31</v>
      </c>
      <c r="E718">
        <v>2</v>
      </c>
      <c r="F718">
        <f t="shared" si="143"/>
        <v>21</v>
      </c>
      <c r="G718">
        <f t="shared" si="144"/>
        <v>0</v>
      </c>
      <c r="H718">
        <f t="shared" si="145"/>
        <v>0</v>
      </c>
      <c r="I718">
        <f t="shared" si="146"/>
        <v>0</v>
      </c>
      <c r="J718">
        <f t="shared" si="147"/>
        <v>0</v>
      </c>
      <c r="K718">
        <f t="shared" si="148"/>
        <v>420</v>
      </c>
      <c r="L718">
        <f t="shared" si="149"/>
        <v>12</v>
      </c>
      <c r="M718">
        <f t="shared" si="150"/>
        <v>432</v>
      </c>
      <c r="N718">
        <f t="shared" si="151"/>
        <v>432</v>
      </c>
      <c r="O718">
        <f t="shared" si="152"/>
        <v>0</v>
      </c>
      <c r="P718">
        <f t="shared" si="153"/>
        <v>0</v>
      </c>
      <c r="Q718">
        <f t="shared" si="154"/>
        <v>0</v>
      </c>
      <c r="R718">
        <f t="shared" si="155"/>
        <v>0</v>
      </c>
    </row>
    <row r="719" spans="1:18" x14ac:dyDescent="0.3">
      <c r="A719" s="1">
        <v>41935</v>
      </c>
      <c r="B719" s="1">
        <v>41960</v>
      </c>
      <c r="C719">
        <v>10.79</v>
      </c>
      <c r="D719">
        <v>0.28000000000000003</v>
      </c>
      <c r="E719">
        <v>3</v>
      </c>
      <c r="F719">
        <f t="shared" si="143"/>
        <v>0</v>
      </c>
      <c r="G719">
        <f t="shared" si="144"/>
        <v>25</v>
      </c>
      <c r="H719">
        <f t="shared" si="145"/>
        <v>0</v>
      </c>
      <c r="I719">
        <f t="shared" si="146"/>
        <v>0</v>
      </c>
      <c r="J719">
        <f t="shared" si="147"/>
        <v>0</v>
      </c>
      <c r="K719">
        <f t="shared" si="148"/>
        <v>750</v>
      </c>
      <c r="L719">
        <f t="shared" si="149"/>
        <v>11.069999999999999</v>
      </c>
      <c r="M719">
        <f t="shared" si="150"/>
        <v>761.07</v>
      </c>
      <c r="N719">
        <f t="shared" si="151"/>
        <v>0</v>
      </c>
      <c r="O719">
        <f t="shared" si="152"/>
        <v>761.07</v>
      </c>
      <c r="P719">
        <f t="shared" si="153"/>
        <v>0</v>
      </c>
      <c r="Q719">
        <f t="shared" si="154"/>
        <v>0</v>
      </c>
      <c r="R719">
        <f t="shared" si="155"/>
        <v>0</v>
      </c>
    </row>
    <row r="720" spans="1:18" x14ac:dyDescent="0.3">
      <c r="A720" s="1">
        <v>41935</v>
      </c>
      <c r="B720" s="1">
        <v>41946</v>
      </c>
      <c r="C720">
        <v>14.13</v>
      </c>
      <c r="D720">
        <v>0.37</v>
      </c>
      <c r="E720">
        <v>6</v>
      </c>
      <c r="F720">
        <f t="shared" si="143"/>
        <v>0</v>
      </c>
      <c r="G720">
        <f t="shared" si="144"/>
        <v>0</v>
      </c>
      <c r="H720">
        <f t="shared" si="145"/>
        <v>0</v>
      </c>
      <c r="I720">
        <f t="shared" si="146"/>
        <v>0</v>
      </c>
      <c r="J720">
        <f t="shared" si="147"/>
        <v>11</v>
      </c>
      <c r="K720">
        <f t="shared" si="148"/>
        <v>660</v>
      </c>
      <c r="L720">
        <f t="shared" si="149"/>
        <v>14.5</v>
      </c>
      <c r="M720">
        <f t="shared" si="150"/>
        <v>674.5</v>
      </c>
      <c r="N720">
        <f t="shared" si="151"/>
        <v>0</v>
      </c>
      <c r="O720">
        <f t="shared" si="152"/>
        <v>0</v>
      </c>
      <c r="P720">
        <f t="shared" si="153"/>
        <v>0</v>
      </c>
      <c r="Q720">
        <f t="shared" si="154"/>
        <v>0</v>
      </c>
      <c r="R720">
        <f t="shared" si="155"/>
        <v>674.5</v>
      </c>
    </row>
    <row r="721" spans="1:18" x14ac:dyDescent="0.3">
      <c r="A721" s="1">
        <v>41935</v>
      </c>
      <c r="B721" s="1">
        <v>41959</v>
      </c>
      <c r="C721">
        <v>8.7200000000000006</v>
      </c>
      <c r="D721">
        <v>0.23</v>
      </c>
      <c r="E721">
        <v>2</v>
      </c>
      <c r="F721">
        <f t="shared" si="143"/>
        <v>24</v>
      </c>
      <c r="G721">
        <f t="shared" si="144"/>
        <v>0</v>
      </c>
      <c r="H721">
        <f t="shared" si="145"/>
        <v>0</v>
      </c>
      <c r="I721">
        <f t="shared" si="146"/>
        <v>0</v>
      </c>
      <c r="J721">
        <f t="shared" si="147"/>
        <v>0</v>
      </c>
      <c r="K721">
        <f t="shared" si="148"/>
        <v>480</v>
      </c>
      <c r="L721">
        <f t="shared" si="149"/>
        <v>8.9500000000000011</v>
      </c>
      <c r="M721">
        <f t="shared" si="150"/>
        <v>488.95</v>
      </c>
      <c r="N721">
        <f t="shared" si="151"/>
        <v>488.95</v>
      </c>
      <c r="O721">
        <f t="shared" si="152"/>
        <v>0</v>
      </c>
      <c r="P721">
        <f t="shared" si="153"/>
        <v>0</v>
      </c>
      <c r="Q721">
        <f t="shared" si="154"/>
        <v>0</v>
      </c>
      <c r="R721">
        <f t="shared" si="155"/>
        <v>0</v>
      </c>
    </row>
    <row r="722" spans="1:18" x14ac:dyDescent="0.3">
      <c r="A722" s="1">
        <v>41936</v>
      </c>
      <c r="B722" s="1">
        <v>41951</v>
      </c>
      <c r="C722">
        <v>3.94</v>
      </c>
      <c r="D722">
        <v>0.1</v>
      </c>
      <c r="E722">
        <v>5</v>
      </c>
      <c r="F722">
        <f t="shared" si="143"/>
        <v>0</v>
      </c>
      <c r="G722">
        <f t="shared" si="144"/>
        <v>0</v>
      </c>
      <c r="H722">
        <f t="shared" si="145"/>
        <v>0</v>
      </c>
      <c r="I722">
        <f t="shared" si="146"/>
        <v>15</v>
      </c>
      <c r="J722">
        <f t="shared" si="147"/>
        <v>0</v>
      </c>
      <c r="K722">
        <f t="shared" si="148"/>
        <v>750</v>
      </c>
      <c r="L722">
        <f t="shared" si="149"/>
        <v>4.04</v>
      </c>
      <c r="M722">
        <f t="shared" si="150"/>
        <v>754.04</v>
      </c>
      <c r="N722">
        <f t="shared" si="151"/>
        <v>0</v>
      </c>
      <c r="O722">
        <f t="shared" si="152"/>
        <v>0</v>
      </c>
      <c r="P722">
        <f t="shared" si="153"/>
        <v>0</v>
      </c>
      <c r="Q722">
        <f t="shared" si="154"/>
        <v>754.04</v>
      </c>
      <c r="R722">
        <f t="shared" si="155"/>
        <v>0</v>
      </c>
    </row>
    <row r="723" spans="1:18" x14ac:dyDescent="0.3">
      <c r="A723" s="1">
        <v>41936</v>
      </c>
      <c r="B723" s="1">
        <v>41964</v>
      </c>
      <c r="C723">
        <v>3.73</v>
      </c>
      <c r="D723">
        <v>0.1</v>
      </c>
      <c r="E723">
        <v>3</v>
      </c>
      <c r="F723">
        <f t="shared" si="143"/>
        <v>0</v>
      </c>
      <c r="G723">
        <f t="shared" si="144"/>
        <v>28</v>
      </c>
      <c r="H723">
        <f t="shared" si="145"/>
        <v>0</v>
      </c>
      <c r="I723">
        <f t="shared" si="146"/>
        <v>0</v>
      </c>
      <c r="J723">
        <f t="shared" si="147"/>
        <v>0</v>
      </c>
      <c r="K723">
        <f t="shared" si="148"/>
        <v>840</v>
      </c>
      <c r="L723">
        <f t="shared" si="149"/>
        <v>3.83</v>
      </c>
      <c r="M723">
        <f t="shared" si="150"/>
        <v>843.83</v>
      </c>
      <c r="N723">
        <f t="shared" si="151"/>
        <v>0</v>
      </c>
      <c r="O723">
        <f t="shared" si="152"/>
        <v>843.83</v>
      </c>
      <c r="P723">
        <f t="shared" si="153"/>
        <v>0</v>
      </c>
      <c r="Q723">
        <f t="shared" si="154"/>
        <v>0</v>
      </c>
      <c r="R723">
        <f t="shared" si="155"/>
        <v>0</v>
      </c>
    </row>
    <row r="724" spans="1:18" x14ac:dyDescent="0.3">
      <c r="A724" s="1">
        <v>41937</v>
      </c>
      <c r="B724" s="1">
        <v>41963</v>
      </c>
      <c r="C724">
        <v>3.94</v>
      </c>
      <c r="D724">
        <v>0.1</v>
      </c>
      <c r="E724">
        <v>4</v>
      </c>
      <c r="F724">
        <f t="shared" si="143"/>
        <v>0</v>
      </c>
      <c r="G724">
        <f t="shared" si="144"/>
        <v>0</v>
      </c>
      <c r="H724">
        <f t="shared" si="145"/>
        <v>26</v>
      </c>
      <c r="I724">
        <f t="shared" si="146"/>
        <v>0</v>
      </c>
      <c r="J724">
        <f t="shared" si="147"/>
        <v>0</v>
      </c>
      <c r="K724">
        <f t="shared" si="148"/>
        <v>1040</v>
      </c>
      <c r="L724">
        <f t="shared" si="149"/>
        <v>4.04</v>
      </c>
      <c r="M724">
        <f t="shared" si="150"/>
        <v>1044.04</v>
      </c>
      <c r="N724">
        <f t="shared" si="151"/>
        <v>0</v>
      </c>
      <c r="O724">
        <f t="shared" si="152"/>
        <v>0</v>
      </c>
      <c r="P724">
        <f t="shared" si="153"/>
        <v>1044.04</v>
      </c>
      <c r="Q724">
        <f t="shared" si="154"/>
        <v>0</v>
      </c>
      <c r="R724">
        <f t="shared" si="155"/>
        <v>0</v>
      </c>
    </row>
    <row r="725" spans="1:18" x14ac:dyDescent="0.3">
      <c r="A725" s="1">
        <v>41937</v>
      </c>
      <c r="B725" s="1">
        <v>41964</v>
      </c>
      <c r="C725">
        <v>3.57</v>
      </c>
      <c r="D725">
        <v>0.09</v>
      </c>
      <c r="E725">
        <v>2</v>
      </c>
      <c r="F725">
        <f t="shared" si="143"/>
        <v>27</v>
      </c>
      <c r="G725">
        <f t="shared" si="144"/>
        <v>0</v>
      </c>
      <c r="H725">
        <f t="shared" si="145"/>
        <v>0</v>
      </c>
      <c r="I725">
        <f t="shared" si="146"/>
        <v>0</v>
      </c>
      <c r="J725">
        <f t="shared" si="147"/>
        <v>0</v>
      </c>
      <c r="K725">
        <f t="shared" si="148"/>
        <v>540</v>
      </c>
      <c r="L725">
        <f t="shared" si="149"/>
        <v>3.6599999999999997</v>
      </c>
      <c r="M725">
        <f t="shared" si="150"/>
        <v>543.66</v>
      </c>
      <c r="N725">
        <f t="shared" si="151"/>
        <v>543.66</v>
      </c>
      <c r="O725">
        <f t="shared" si="152"/>
        <v>0</v>
      </c>
      <c r="P725">
        <f t="shared" si="153"/>
        <v>0</v>
      </c>
      <c r="Q725">
        <f t="shared" si="154"/>
        <v>0</v>
      </c>
      <c r="R725">
        <f t="shared" si="155"/>
        <v>0</v>
      </c>
    </row>
    <row r="726" spans="1:18" x14ac:dyDescent="0.3">
      <c r="A726" s="1">
        <v>41937</v>
      </c>
      <c r="B726" s="1">
        <v>41943</v>
      </c>
      <c r="C726">
        <v>7.31</v>
      </c>
      <c r="D726">
        <v>0.19</v>
      </c>
      <c r="E726">
        <v>3</v>
      </c>
      <c r="F726">
        <f t="shared" si="143"/>
        <v>0</v>
      </c>
      <c r="G726">
        <f t="shared" si="144"/>
        <v>6</v>
      </c>
      <c r="H726">
        <f t="shared" si="145"/>
        <v>0</v>
      </c>
      <c r="I726">
        <f t="shared" si="146"/>
        <v>0</v>
      </c>
      <c r="J726">
        <f t="shared" si="147"/>
        <v>0</v>
      </c>
      <c r="K726">
        <f t="shared" si="148"/>
        <v>180</v>
      </c>
      <c r="L726">
        <f t="shared" si="149"/>
        <v>7.5</v>
      </c>
      <c r="M726">
        <f t="shared" si="150"/>
        <v>187.5</v>
      </c>
      <c r="N726">
        <f t="shared" si="151"/>
        <v>0</v>
      </c>
      <c r="O726">
        <f t="shared" si="152"/>
        <v>187.5</v>
      </c>
      <c r="P726">
        <f t="shared" si="153"/>
        <v>0</v>
      </c>
      <c r="Q726">
        <f t="shared" si="154"/>
        <v>0</v>
      </c>
      <c r="R726">
        <f t="shared" si="155"/>
        <v>0</v>
      </c>
    </row>
    <row r="727" spans="1:18" x14ac:dyDescent="0.3">
      <c r="A727" s="1">
        <v>41938</v>
      </c>
      <c r="B727" s="1">
        <v>41964</v>
      </c>
      <c r="C727">
        <v>6.58</v>
      </c>
      <c r="D727">
        <v>0.17</v>
      </c>
      <c r="E727">
        <v>5</v>
      </c>
      <c r="F727">
        <f t="shared" si="143"/>
        <v>0</v>
      </c>
      <c r="G727">
        <f t="shared" si="144"/>
        <v>0</v>
      </c>
      <c r="H727">
        <f t="shared" si="145"/>
        <v>0</v>
      </c>
      <c r="I727">
        <f t="shared" si="146"/>
        <v>26</v>
      </c>
      <c r="J727">
        <f t="shared" si="147"/>
        <v>0</v>
      </c>
      <c r="K727">
        <f t="shared" si="148"/>
        <v>1300</v>
      </c>
      <c r="L727">
        <f t="shared" si="149"/>
        <v>6.75</v>
      </c>
      <c r="M727">
        <f t="shared" si="150"/>
        <v>1306.75</v>
      </c>
      <c r="N727">
        <f t="shared" si="151"/>
        <v>0</v>
      </c>
      <c r="O727">
        <f t="shared" si="152"/>
        <v>0</v>
      </c>
      <c r="P727">
        <f t="shared" si="153"/>
        <v>0</v>
      </c>
      <c r="Q727">
        <f t="shared" si="154"/>
        <v>1306.75</v>
      </c>
      <c r="R727">
        <f t="shared" si="155"/>
        <v>0</v>
      </c>
    </row>
    <row r="728" spans="1:18" x14ac:dyDescent="0.3">
      <c r="A728" s="1">
        <v>41939</v>
      </c>
      <c r="B728" s="1">
        <v>41964</v>
      </c>
      <c r="C728">
        <v>3.94</v>
      </c>
      <c r="D728">
        <v>0.1</v>
      </c>
      <c r="E728">
        <v>5</v>
      </c>
      <c r="F728">
        <f t="shared" si="143"/>
        <v>0</v>
      </c>
      <c r="G728">
        <f t="shared" si="144"/>
        <v>0</v>
      </c>
      <c r="H728">
        <f t="shared" si="145"/>
        <v>0</v>
      </c>
      <c r="I728">
        <f t="shared" si="146"/>
        <v>25</v>
      </c>
      <c r="J728">
        <f t="shared" si="147"/>
        <v>0</v>
      </c>
      <c r="K728">
        <f t="shared" si="148"/>
        <v>1250</v>
      </c>
      <c r="L728">
        <f t="shared" si="149"/>
        <v>4.04</v>
      </c>
      <c r="M728">
        <f t="shared" si="150"/>
        <v>1254.04</v>
      </c>
      <c r="N728">
        <f t="shared" si="151"/>
        <v>0</v>
      </c>
      <c r="O728">
        <f t="shared" si="152"/>
        <v>0</v>
      </c>
      <c r="P728">
        <f t="shared" si="153"/>
        <v>0</v>
      </c>
      <c r="Q728">
        <f t="shared" si="154"/>
        <v>1254.04</v>
      </c>
      <c r="R728">
        <f t="shared" si="155"/>
        <v>0</v>
      </c>
    </row>
    <row r="729" spans="1:18" x14ac:dyDescent="0.3">
      <c r="A729" s="1">
        <v>41940</v>
      </c>
      <c r="B729" s="1">
        <v>41946</v>
      </c>
      <c r="C729">
        <v>5.47</v>
      </c>
      <c r="D729">
        <v>0.14000000000000001</v>
      </c>
      <c r="E729">
        <v>5</v>
      </c>
      <c r="F729">
        <f t="shared" si="143"/>
        <v>0</v>
      </c>
      <c r="G729">
        <f t="shared" si="144"/>
        <v>0</v>
      </c>
      <c r="H729">
        <f t="shared" si="145"/>
        <v>0</v>
      </c>
      <c r="I729">
        <f t="shared" si="146"/>
        <v>6</v>
      </c>
      <c r="J729">
        <f t="shared" si="147"/>
        <v>0</v>
      </c>
      <c r="K729">
        <f t="shared" si="148"/>
        <v>300</v>
      </c>
      <c r="L729">
        <f t="shared" si="149"/>
        <v>5.6099999999999994</v>
      </c>
      <c r="M729">
        <f t="shared" si="150"/>
        <v>305.61</v>
      </c>
      <c r="N729">
        <f t="shared" si="151"/>
        <v>0</v>
      </c>
      <c r="O729">
        <f t="shared" si="152"/>
        <v>0</v>
      </c>
      <c r="P729">
        <f t="shared" si="153"/>
        <v>0</v>
      </c>
      <c r="Q729">
        <f t="shared" si="154"/>
        <v>305.61</v>
      </c>
      <c r="R729">
        <f t="shared" si="155"/>
        <v>0</v>
      </c>
    </row>
    <row r="730" spans="1:18" x14ac:dyDescent="0.3">
      <c r="A730" s="1">
        <v>41941</v>
      </c>
      <c r="B730" s="1">
        <v>41958</v>
      </c>
      <c r="C730">
        <v>5.23</v>
      </c>
      <c r="D730">
        <v>0.14000000000000001</v>
      </c>
      <c r="E730">
        <v>3</v>
      </c>
      <c r="F730">
        <f t="shared" si="143"/>
        <v>0</v>
      </c>
      <c r="G730">
        <f t="shared" si="144"/>
        <v>17</v>
      </c>
      <c r="H730">
        <f t="shared" si="145"/>
        <v>0</v>
      </c>
      <c r="I730">
        <f t="shared" si="146"/>
        <v>0</v>
      </c>
      <c r="J730">
        <f t="shared" si="147"/>
        <v>0</v>
      </c>
      <c r="K730">
        <f t="shared" si="148"/>
        <v>510</v>
      </c>
      <c r="L730">
        <f t="shared" si="149"/>
        <v>5.37</v>
      </c>
      <c r="M730">
        <f t="shared" si="150"/>
        <v>515.37</v>
      </c>
      <c r="N730">
        <f t="shared" si="151"/>
        <v>0</v>
      </c>
      <c r="O730">
        <f t="shared" si="152"/>
        <v>515.37</v>
      </c>
      <c r="P730">
        <f t="shared" si="153"/>
        <v>0</v>
      </c>
      <c r="Q730">
        <f t="shared" si="154"/>
        <v>0</v>
      </c>
      <c r="R730">
        <f t="shared" si="155"/>
        <v>0</v>
      </c>
    </row>
    <row r="731" spans="1:18" x14ac:dyDescent="0.3">
      <c r="A731" s="1">
        <v>41941</v>
      </c>
      <c r="B731" s="1">
        <v>41962</v>
      </c>
      <c r="C731">
        <v>6.58</v>
      </c>
      <c r="D731">
        <v>0.17</v>
      </c>
      <c r="E731">
        <v>5</v>
      </c>
      <c r="F731">
        <f t="shared" si="143"/>
        <v>0</v>
      </c>
      <c r="G731">
        <f t="shared" si="144"/>
        <v>0</v>
      </c>
      <c r="H731">
        <f t="shared" si="145"/>
        <v>0</v>
      </c>
      <c r="I731">
        <f t="shared" si="146"/>
        <v>21</v>
      </c>
      <c r="J731">
        <f t="shared" si="147"/>
        <v>0</v>
      </c>
      <c r="K731">
        <f t="shared" si="148"/>
        <v>1050</v>
      </c>
      <c r="L731">
        <f t="shared" si="149"/>
        <v>6.75</v>
      </c>
      <c r="M731">
        <f t="shared" si="150"/>
        <v>1056.75</v>
      </c>
      <c r="N731">
        <f t="shared" si="151"/>
        <v>0</v>
      </c>
      <c r="O731">
        <f t="shared" si="152"/>
        <v>0</v>
      </c>
      <c r="P731">
        <f t="shared" si="153"/>
        <v>0</v>
      </c>
      <c r="Q731">
        <f t="shared" si="154"/>
        <v>1056.75</v>
      </c>
      <c r="R731">
        <f t="shared" si="155"/>
        <v>0</v>
      </c>
    </row>
    <row r="732" spans="1:18" x14ac:dyDescent="0.3">
      <c r="A732" s="1">
        <v>41941</v>
      </c>
      <c r="B732" s="1">
        <v>41957</v>
      </c>
      <c r="C732">
        <v>3.79</v>
      </c>
      <c r="D732">
        <v>0.1</v>
      </c>
      <c r="E732">
        <v>4</v>
      </c>
      <c r="F732">
        <f t="shared" si="143"/>
        <v>0</v>
      </c>
      <c r="G732">
        <f t="shared" si="144"/>
        <v>0</v>
      </c>
      <c r="H732">
        <f t="shared" si="145"/>
        <v>16</v>
      </c>
      <c r="I732">
        <f t="shared" si="146"/>
        <v>0</v>
      </c>
      <c r="J732">
        <f t="shared" si="147"/>
        <v>0</v>
      </c>
      <c r="K732">
        <f t="shared" si="148"/>
        <v>640</v>
      </c>
      <c r="L732">
        <f t="shared" si="149"/>
        <v>3.89</v>
      </c>
      <c r="M732">
        <f t="shared" si="150"/>
        <v>643.89</v>
      </c>
      <c r="N732">
        <f t="shared" si="151"/>
        <v>0</v>
      </c>
      <c r="O732">
        <f t="shared" si="152"/>
        <v>0</v>
      </c>
      <c r="P732">
        <f t="shared" si="153"/>
        <v>643.89</v>
      </c>
      <c r="Q732">
        <f t="shared" si="154"/>
        <v>0</v>
      </c>
      <c r="R732">
        <f t="shared" si="155"/>
        <v>0</v>
      </c>
    </row>
    <row r="733" spans="1:18" x14ac:dyDescent="0.3">
      <c r="A733" s="1">
        <v>41941</v>
      </c>
      <c r="B733" s="1">
        <v>41953</v>
      </c>
      <c r="C733">
        <v>5.64</v>
      </c>
      <c r="D733">
        <v>0.15</v>
      </c>
      <c r="E733">
        <v>6</v>
      </c>
      <c r="F733">
        <f t="shared" si="143"/>
        <v>0</v>
      </c>
      <c r="G733">
        <f t="shared" si="144"/>
        <v>0</v>
      </c>
      <c r="H733">
        <f t="shared" si="145"/>
        <v>0</v>
      </c>
      <c r="I733">
        <f t="shared" si="146"/>
        <v>0</v>
      </c>
      <c r="J733">
        <f t="shared" si="147"/>
        <v>12</v>
      </c>
      <c r="K733">
        <f t="shared" si="148"/>
        <v>720</v>
      </c>
      <c r="L733">
        <f t="shared" si="149"/>
        <v>5.79</v>
      </c>
      <c r="M733">
        <f t="shared" si="150"/>
        <v>725.79</v>
      </c>
      <c r="N733">
        <f t="shared" si="151"/>
        <v>0</v>
      </c>
      <c r="O733">
        <f t="shared" si="152"/>
        <v>0</v>
      </c>
      <c r="P733">
        <f t="shared" si="153"/>
        <v>0</v>
      </c>
      <c r="Q733">
        <f t="shared" si="154"/>
        <v>0</v>
      </c>
      <c r="R733">
        <f t="shared" si="155"/>
        <v>725.79</v>
      </c>
    </row>
    <row r="734" spans="1:18" x14ac:dyDescent="0.3">
      <c r="A734" s="1">
        <v>41941</v>
      </c>
      <c r="B734" s="1">
        <v>41944</v>
      </c>
      <c r="C734">
        <v>11.37</v>
      </c>
      <c r="D734">
        <v>0.3</v>
      </c>
      <c r="E734">
        <v>2</v>
      </c>
      <c r="F734">
        <f t="shared" si="143"/>
        <v>3</v>
      </c>
      <c r="G734">
        <f t="shared" si="144"/>
        <v>0</v>
      </c>
      <c r="H734">
        <f t="shared" si="145"/>
        <v>0</v>
      </c>
      <c r="I734">
        <f t="shared" si="146"/>
        <v>0</v>
      </c>
      <c r="J734">
        <f t="shared" si="147"/>
        <v>0</v>
      </c>
      <c r="K734">
        <f t="shared" si="148"/>
        <v>60</v>
      </c>
      <c r="L734">
        <f t="shared" si="149"/>
        <v>11.67</v>
      </c>
      <c r="M734">
        <f t="shared" si="150"/>
        <v>71.67</v>
      </c>
      <c r="N734">
        <f t="shared" si="151"/>
        <v>71.67</v>
      </c>
      <c r="O734">
        <f t="shared" si="152"/>
        <v>0</v>
      </c>
      <c r="P734">
        <f t="shared" si="153"/>
        <v>0</v>
      </c>
      <c r="Q734">
        <f t="shared" si="154"/>
        <v>0</v>
      </c>
      <c r="R734">
        <f t="shared" si="155"/>
        <v>0</v>
      </c>
    </row>
    <row r="735" spans="1:18" x14ac:dyDescent="0.3">
      <c r="A735" s="1">
        <v>41941</v>
      </c>
      <c r="B735" s="1">
        <v>41969</v>
      </c>
      <c r="C735">
        <v>8.9499999999999993</v>
      </c>
      <c r="D735">
        <v>0.24</v>
      </c>
      <c r="E735">
        <v>2</v>
      </c>
      <c r="F735">
        <f t="shared" si="143"/>
        <v>28</v>
      </c>
      <c r="G735">
        <f t="shared" si="144"/>
        <v>0</v>
      </c>
      <c r="H735">
        <f t="shared" si="145"/>
        <v>0</v>
      </c>
      <c r="I735">
        <f t="shared" si="146"/>
        <v>0</v>
      </c>
      <c r="J735">
        <f t="shared" si="147"/>
        <v>0</v>
      </c>
      <c r="K735">
        <f t="shared" si="148"/>
        <v>560</v>
      </c>
      <c r="L735">
        <f t="shared" si="149"/>
        <v>9.19</v>
      </c>
      <c r="M735">
        <f t="shared" si="150"/>
        <v>569.19000000000005</v>
      </c>
      <c r="N735">
        <f t="shared" si="151"/>
        <v>569.19000000000005</v>
      </c>
      <c r="O735">
        <f t="shared" si="152"/>
        <v>0</v>
      </c>
      <c r="P735">
        <f t="shared" si="153"/>
        <v>0</v>
      </c>
      <c r="Q735">
        <f t="shared" si="154"/>
        <v>0</v>
      </c>
      <c r="R735">
        <f t="shared" si="155"/>
        <v>0</v>
      </c>
    </row>
    <row r="736" spans="1:18" x14ac:dyDescent="0.3">
      <c r="A736" s="1">
        <v>41941</v>
      </c>
      <c r="B736" s="1">
        <v>41961</v>
      </c>
      <c r="C736">
        <v>3.94</v>
      </c>
      <c r="D736">
        <v>0.1</v>
      </c>
      <c r="E736">
        <v>5</v>
      </c>
      <c r="F736">
        <f t="shared" si="143"/>
        <v>0</v>
      </c>
      <c r="G736">
        <f t="shared" si="144"/>
        <v>0</v>
      </c>
      <c r="H736">
        <f t="shared" si="145"/>
        <v>0</v>
      </c>
      <c r="I736">
        <f t="shared" si="146"/>
        <v>20</v>
      </c>
      <c r="J736">
        <f t="shared" si="147"/>
        <v>0</v>
      </c>
      <c r="K736">
        <f t="shared" si="148"/>
        <v>1000</v>
      </c>
      <c r="L736">
        <f t="shared" si="149"/>
        <v>4.04</v>
      </c>
      <c r="M736">
        <f t="shared" si="150"/>
        <v>1004.04</v>
      </c>
      <c r="N736">
        <f t="shared" si="151"/>
        <v>0</v>
      </c>
      <c r="O736">
        <f t="shared" si="152"/>
        <v>0</v>
      </c>
      <c r="P736">
        <f t="shared" si="153"/>
        <v>0</v>
      </c>
      <c r="Q736">
        <f t="shared" si="154"/>
        <v>1004.04</v>
      </c>
      <c r="R736">
        <f t="shared" si="155"/>
        <v>0</v>
      </c>
    </row>
    <row r="737" spans="1:18" x14ac:dyDescent="0.3">
      <c r="A737" s="1">
        <v>41946</v>
      </c>
      <c r="B737" s="1">
        <v>41962</v>
      </c>
      <c r="C737">
        <v>3.79</v>
      </c>
      <c r="D737">
        <v>0.1</v>
      </c>
      <c r="E737">
        <v>5</v>
      </c>
      <c r="F737">
        <f t="shared" si="143"/>
        <v>0</v>
      </c>
      <c r="G737">
        <f t="shared" si="144"/>
        <v>0</v>
      </c>
      <c r="H737">
        <f t="shared" si="145"/>
        <v>0</v>
      </c>
      <c r="I737">
        <f t="shared" si="146"/>
        <v>16</v>
      </c>
      <c r="J737">
        <f t="shared" si="147"/>
        <v>0</v>
      </c>
      <c r="K737">
        <f t="shared" si="148"/>
        <v>800</v>
      </c>
      <c r="L737">
        <f t="shared" si="149"/>
        <v>3.89</v>
      </c>
      <c r="M737">
        <f t="shared" si="150"/>
        <v>803.89</v>
      </c>
      <c r="N737">
        <f t="shared" si="151"/>
        <v>0</v>
      </c>
      <c r="O737">
        <f t="shared" si="152"/>
        <v>0</v>
      </c>
      <c r="P737">
        <f t="shared" si="153"/>
        <v>0</v>
      </c>
      <c r="Q737">
        <f t="shared" si="154"/>
        <v>803.89</v>
      </c>
      <c r="R737">
        <f t="shared" si="155"/>
        <v>0</v>
      </c>
    </row>
    <row r="738" spans="1:18" x14ac:dyDescent="0.3">
      <c r="A738" s="1">
        <v>41946</v>
      </c>
      <c r="B738" s="1">
        <v>41971</v>
      </c>
      <c r="C738">
        <v>6.43</v>
      </c>
      <c r="D738">
        <v>0.17</v>
      </c>
      <c r="E738">
        <v>2</v>
      </c>
      <c r="F738">
        <f t="shared" si="143"/>
        <v>25</v>
      </c>
      <c r="G738">
        <f t="shared" si="144"/>
        <v>0</v>
      </c>
      <c r="H738">
        <f t="shared" si="145"/>
        <v>0</v>
      </c>
      <c r="I738">
        <f t="shared" si="146"/>
        <v>0</v>
      </c>
      <c r="J738">
        <f t="shared" si="147"/>
        <v>0</v>
      </c>
      <c r="K738">
        <f t="shared" si="148"/>
        <v>500</v>
      </c>
      <c r="L738">
        <f t="shared" si="149"/>
        <v>6.6</v>
      </c>
      <c r="M738">
        <f t="shared" si="150"/>
        <v>506.6</v>
      </c>
      <c r="N738">
        <f t="shared" si="151"/>
        <v>506.6</v>
      </c>
      <c r="O738">
        <f t="shared" si="152"/>
        <v>0</v>
      </c>
      <c r="P738">
        <f t="shared" si="153"/>
        <v>0</v>
      </c>
      <c r="Q738">
        <f t="shared" si="154"/>
        <v>0</v>
      </c>
      <c r="R738">
        <f t="shared" si="155"/>
        <v>0</v>
      </c>
    </row>
    <row r="739" spans="1:18" x14ac:dyDescent="0.3">
      <c r="A739" s="1">
        <v>41946</v>
      </c>
      <c r="B739" s="1">
        <v>41948</v>
      </c>
      <c r="C739">
        <v>8.5399999999999991</v>
      </c>
      <c r="D739">
        <v>0.22</v>
      </c>
      <c r="E739">
        <v>6</v>
      </c>
      <c r="F739">
        <f t="shared" si="143"/>
        <v>0</v>
      </c>
      <c r="G739">
        <f t="shared" si="144"/>
        <v>0</v>
      </c>
      <c r="H739">
        <f t="shared" si="145"/>
        <v>0</v>
      </c>
      <c r="I739">
        <f t="shared" si="146"/>
        <v>0</v>
      </c>
      <c r="J739">
        <f t="shared" si="147"/>
        <v>2</v>
      </c>
      <c r="K739">
        <f t="shared" si="148"/>
        <v>120</v>
      </c>
      <c r="L739">
        <f t="shared" si="149"/>
        <v>8.76</v>
      </c>
      <c r="M739">
        <f t="shared" si="150"/>
        <v>128.76</v>
      </c>
      <c r="N739">
        <f t="shared" si="151"/>
        <v>0</v>
      </c>
      <c r="O739">
        <f t="shared" si="152"/>
        <v>0</v>
      </c>
      <c r="P739">
        <f t="shared" si="153"/>
        <v>0</v>
      </c>
      <c r="Q739">
        <f t="shared" si="154"/>
        <v>0</v>
      </c>
      <c r="R739">
        <f t="shared" si="155"/>
        <v>128.76</v>
      </c>
    </row>
    <row r="740" spans="1:18" x14ac:dyDescent="0.3">
      <c r="A740" s="1">
        <v>41946</v>
      </c>
      <c r="B740" s="1">
        <v>41956</v>
      </c>
      <c r="C740">
        <v>13.02</v>
      </c>
      <c r="D740">
        <v>0.34</v>
      </c>
      <c r="E740">
        <v>3</v>
      </c>
      <c r="F740">
        <f t="shared" si="143"/>
        <v>0</v>
      </c>
      <c r="G740">
        <f t="shared" si="144"/>
        <v>10</v>
      </c>
      <c r="H740">
        <f t="shared" si="145"/>
        <v>0</v>
      </c>
      <c r="I740">
        <f t="shared" si="146"/>
        <v>0</v>
      </c>
      <c r="J740">
        <f t="shared" si="147"/>
        <v>0</v>
      </c>
      <c r="K740">
        <f t="shared" si="148"/>
        <v>300</v>
      </c>
      <c r="L740">
        <f t="shared" si="149"/>
        <v>13.36</v>
      </c>
      <c r="M740">
        <f t="shared" si="150"/>
        <v>313.36</v>
      </c>
      <c r="N740">
        <f t="shared" si="151"/>
        <v>0</v>
      </c>
      <c r="O740">
        <f t="shared" si="152"/>
        <v>313.36</v>
      </c>
      <c r="P740">
        <f t="shared" si="153"/>
        <v>0</v>
      </c>
      <c r="Q740">
        <f t="shared" si="154"/>
        <v>0</v>
      </c>
      <c r="R740">
        <f t="shared" si="155"/>
        <v>0</v>
      </c>
    </row>
    <row r="741" spans="1:18" x14ac:dyDescent="0.3">
      <c r="A741" s="1">
        <v>41946</v>
      </c>
      <c r="B741" s="1">
        <v>41960</v>
      </c>
      <c r="C741">
        <v>5.64</v>
      </c>
      <c r="D741">
        <v>0.15</v>
      </c>
      <c r="E741">
        <v>4</v>
      </c>
      <c r="F741">
        <f t="shared" si="143"/>
        <v>0</v>
      </c>
      <c r="G741">
        <f t="shared" si="144"/>
        <v>0</v>
      </c>
      <c r="H741">
        <f t="shared" si="145"/>
        <v>14</v>
      </c>
      <c r="I741">
        <f t="shared" si="146"/>
        <v>0</v>
      </c>
      <c r="J741">
        <f t="shared" si="147"/>
        <v>0</v>
      </c>
      <c r="K741">
        <f t="shared" si="148"/>
        <v>560</v>
      </c>
      <c r="L741">
        <f t="shared" si="149"/>
        <v>5.79</v>
      </c>
      <c r="M741">
        <f t="shared" si="150"/>
        <v>565.79</v>
      </c>
      <c r="N741">
        <f t="shared" si="151"/>
        <v>0</v>
      </c>
      <c r="O741">
        <f t="shared" si="152"/>
        <v>0</v>
      </c>
      <c r="P741">
        <f t="shared" si="153"/>
        <v>565.79</v>
      </c>
      <c r="Q741">
        <f t="shared" si="154"/>
        <v>0</v>
      </c>
      <c r="R741">
        <f t="shared" si="155"/>
        <v>0</v>
      </c>
    </row>
    <row r="742" spans="1:18" x14ac:dyDescent="0.3">
      <c r="A742" s="1">
        <v>41946</v>
      </c>
      <c r="B742" s="1">
        <v>41966</v>
      </c>
      <c r="C742">
        <v>4.66</v>
      </c>
      <c r="D742">
        <v>0.12</v>
      </c>
      <c r="E742">
        <v>6</v>
      </c>
      <c r="F742">
        <f t="shared" si="143"/>
        <v>0</v>
      </c>
      <c r="G742">
        <f t="shared" si="144"/>
        <v>0</v>
      </c>
      <c r="H742">
        <f t="shared" si="145"/>
        <v>0</v>
      </c>
      <c r="I742">
        <f t="shared" si="146"/>
        <v>0</v>
      </c>
      <c r="J742">
        <f t="shared" si="147"/>
        <v>20</v>
      </c>
      <c r="K742">
        <f t="shared" si="148"/>
        <v>1200</v>
      </c>
      <c r="L742">
        <f t="shared" si="149"/>
        <v>4.78</v>
      </c>
      <c r="M742">
        <f t="shared" si="150"/>
        <v>1204.78</v>
      </c>
      <c r="N742">
        <f t="shared" si="151"/>
        <v>0</v>
      </c>
      <c r="O742">
        <f t="shared" si="152"/>
        <v>0</v>
      </c>
      <c r="P742">
        <f t="shared" si="153"/>
        <v>0</v>
      </c>
      <c r="Q742">
        <f t="shared" si="154"/>
        <v>0</v>
      </c>
      <c r="R742">
        <f t="shared" si="155"/>
        <v>1204.78</v>
      </c>
    </row>
    <row r="743" spans="1:18" x14ac:dyDescent="0.3">
      <c r="A743" s="1">
        <v>41946</v>
      </c>
      <c r="B743" s="1">
        <v>41968</v>
      </c>
      <c r="C743">
        <v>7.71</v>
      </c>
      <c r="D743">
        <v>0.2</v>
      </c>
      <c r="E743">
        <v>5</v>
      </c>
      <c r="F743">
        <f t="shared" si="143"/>
        <v>0</v>
      </c>
      <c r="G743">
        <f t="shared" si="144"/>
        <v>0</v>
      </c>
      <c r="H743">
        <f t="shared" si="145"/>
        <v>0</v>
      </c>
      <c r="I743">
        <f t="shared" si="146"/>
        <v>22</v>
      </c>
      <c r="J743">
        <f t="shared" si="147"/>
        <v>0</v>
      </c>
      <c r="K743">
        <f t="shared" si="148"/>
        <v>1100</v>
      </c>
      <c r="L743">
        <f t="shared" si="149"/>
        <v>7.91</v>
      </c>
      <c r="M743">
        <f t="shared" si="150"/>
        <v>1107.9100000000001</v>
      </c>
      <c r="N743">
        <f t="shared" si="151"/>
        <v>0</v>
      </c>
      <c r="O743">
        <f t="shared" si="152"/>
        <v>0</v>
      </c>
      <c r="P743">
        <f t="shared" si="153"/>
        <v>0</v>
      </c>
      <c r="Q743">
        <f t="shared" si="154"/>
        <v>1107.9100000000001</v>
      </c>
      <c r="R743">
        <f t="shared" si="155"/>
        <v>0</v>
      </c>
    </row>
    <row r="744" spans="1:18" x14ac:dyDescent="0.3">
      <c r="A744" s="1">
        <v>41946</v>
      </c>
      <c r="B744" s="1">
        <v>41951</v>
      </c>
      <c r="C744">
        <v>7.71</v>
      </c>
      <c r="D744">
        <v>0.2</v>
      </c>
      <c r="E744">
        <v>6</v>
      </c>
      <c r="F744">
        <f t="shared" si="143"/>
        <v>0</v>
      </c>
      <c r="G744">
        <f t="shared" si="144"/>
        <v>0</v>
      </c>
      <c r="H744">
        <f t="shared" si="145"/>
        <v>0</v>
      </c>
      <c r="I744">
        <f t="shared" si="146"/>
        <v>0</v>
      </c>
      <c r="J744">
        <f t="shared" si="147"/>
        <v>5</v>
      </c>
      <c r="K744">
        <f t="shared" si="148"/>
        <v>300</v>
      </c>
      <c r="L744">
        <f t="shared" si="149"/>
        <v>7.91</v>
      </c>
      <c r="M744">
        <f t="shared" si="150"/>
        <v>307.91000000000003</v>
      </c>
      <c r="N744">
        <f t="shared" si="151"/>
        <v>0</v>
      </c>
      <c r="O744">
        <f t="shared" si="152"/>
        <v>0</v>
      </c>
      <c r="P744">
        <f t="shared" si="153"/>
        <v>0</v>
      </c>
      <c r="Q744">
        <f t="shared" si="154"/>
        <v>0</v>
      </c>
      <c r="R744">
        <f t="shared" si="155"/>
        <v>307.91000000000003</v>
      </c>
    </row>
    <row r="745" spans="1:18" x14ac:dyDescent="0.3">
      <c r="A745" s="1">
        <v>41946</v>
      </c>
      <c r="B745" s="1">
        <v>41957</v>
      </c>
      <c r="C745">
        <v>6.34</v>
      </c>
      <c r="D745">
        <v>0.17</v>
      </c>
      <c r="E745">
        <v>3</v>
      </c>
      <c r="F745">
        <f t="shared" si="143"/>
        <v>0</v>
      </c>
      <c r="G745">
        <f t="shared" si="144"/>
        <v>11</v>
      </c>
      <c r="H745">
        <f t="shared" si="145"/>
        <v>0</v>
      </c>
      <c r="I745">
        <f t="shared" si="146"/>
        <v>0</v>
      </c>
      <c r="J745">
        <f t="shared" si="147"/>
        <v>0</v>
      </c>
      <c r="K745">
        <f t="shared" si="148"/>
        <v>330</v>
      </c>
      <c r="L745">
        <f t="shared" si="149"/>
        <v>6.51</v>
      </c>
      <c r="M745">
        <f t="shared" si="150"/>
        <v>336.51</v>
      </c>
      <c r="N745">
        <f t="shared" si="151"/>
        <v>0</v>
      </c>
      <c r="O745">
        <f t="shared" si="152"/>
        <v>336.51</v>
      </c>
      <c r="P745">
        <f t="shared" si="153"/>
        <v>0</v>
      </c>
      <c r="Q745">
        <f t="shared" si="154"/>
        <v>0</v>
      </c>
      <c r="R745">
        <f t="shared" si="155"/>
        <v>0</v>
      </c>
    </row>
    <row r="746" spans="1:18" x14ac:dyDescent="0.3">
      <c r="A746" s="1">
        <v>41946</v>
      </c>
      <c r="B746" s="1">
        <v>41954</v>
      </c>
      <c r="C746">
        <v>11.37</v>
      </c>
      <c r="D746">
        <v>0.3</v>
      </c>
      <c r="E746">
        <v>2</v>
      </c>
      <c r="F746">
        <f t="shared" si="143"/>
        <v>8</v>
      </c>
      <c r="G746">
        <f t="shared" si="144"/>
        <v>0</v>
      </c>
      <c r="H746">
        <f t="shared" si="145"/>
        <v>0</v>
      </c>
      <c r="I746">
        <f t="shared" si="146"/>
        <v>0</v>
      </c>
      <c r="J746">
        <f t="shared" si="147"/>
        <v>0</v>
      </c>
      <c r="K746">
        <f t="shared" si="148"/>
        <v>160</v>
      </c>
      <c r="L746">
        <f t="shared" si="149"/>
        <v>11.67</v>
      </c>
      <c r="M746">
        <f t="shared" si="150"/>
        <v>171.67</v>
      </c>
      <c r="N746">
        <f t="shared" si="151"/>
        <v>171.67</v>
      </c>
      <c r="O746">
        <f t="shared" si="152"/>
        <v>0</v>
      </c>
      <c r="P746">
        <f t="shared" si="153"/>
        <v>0</v>
      </c>
      <c r="Q746">
        <f t="shared" si="154"/>
        <v>0</v>
      </c>
      <c r="R746">
        <f t="shared" si="155"/>
        <v>0</v>
      </c>
    </row>
    <row r="747" spans="1:18" x14ac:dyDescent="0.3">
      <c r="A747" s="1">
        <v>41946</v>
      </c>
      <c r="B747" s="1">
        <v>41953</v>
      </c>
      <c r="C747">
        <v>6.34</v>
      </c>
      <c r="D747">
        <v>0.17</v>
      </c>
      <c r="E747">
        <v>2</v>
      </c>
      <c r="F747">
        <f t="shared" si="143"/>
        <v>7</v>
      </c>
      <c r="G747">
        <f t="shared" si="144"/>
        <v>0</v>
      </c>
      <c r="H747">
        <f t="shared" si="145"/>
        <v>0</v>
      </c>
      <c r="I747">
        <f t="shared" si="146"/>
        <v>0</v>
      </c>
      <c r="J747">
        <f t="shared" si="147"/>
        <v>0</v>
      </c>
      <c r="K747">
        <f t="shared" si="148"/>
        <v>140</v>
      </c>
      <c r="L747">
        <f t="shared" si="149"/>
        <v>6.51</v>
      </c>
      <c r="M747">
        <f t="shared" si="150"/>
        <v>146.51</v>
      </c>
      <c r="N747">
        <f t="shared" si="151"/>
        <v>146.51</v>
      </c>
      <c r="O747">
        <f t="shared" si="152"/>
        <v>0</v>
      </c>
      <c r="P747">
        <f t="shared" si="153"/>
        <v>0</v>
      </c>
      <c r="Q747">
        <f t="shared" si="154"/>
        <v>0</v>
      </c>
      <c r="R747">
        <f t="shared" si="155"/>
        <v>0</v>
      </c>
    </row>
    <row r="748" spans="1:18" x14ac:dyDescent="0.3">
      <c r="A748" s="1">
        <v>41946</v>
      </c>
      <c r="B748" s="1">
        <v>41955</v>
      </c>
      <c r="C748">
        <v>3.57</v>
      </c>
      <c r="D748">
        <v>0.09</v>
      </c>
      <c r="E748">
        <v>6</v>
      </c>
      <c r="F748">
        <f t="shared" si="143"/>
        <v>0</v>
      </c>
      <c r="G748">
        <f t="shared" si="144"/>
        <v>0</v>
      </c>
      <c r="H748">
        <f t="shared" si="145"/>
        <v>0</v>
      </c>
      <c r="I748">
        <f t="shared" si="146"/>
        <v>0</v>
      </c>
      <c r="J748">
        <f t="shared" si="147"/>
        <v>9</v>
      </c>
      <c r="K748">
        <f t="shared" si="148"/>
        <v>540</v>
      </c>
      <c r="L748">
        <f t="shared" si="149"/>
        <v>3.6599999999999997</v>
      </c>
      <c r="M748">
        <f t="shared" si="150"/>
        <v>543.66</v>
      </c>
      <c r="N748">
        <f t="shared" si="151"/>
        <v>0</v>
      </c>
      <c r="O748">
        <f t="shared" si="152"/>
        <v>0</v>
      </c>
      <c r="P748">
        <f t="shared" si="153"/>
        <v>0</v>
      </c>
      <c r="Q748">
        <f t="shared" si="154"/>
        <v>0</v>
      </c>
      <c r="R748">
        <f t="shared" si="155"/>
        <v>543.66</v>
      </c>
    </row>
    <row r="749" spans="1:18" x14ac:dyDescent="0.3">
      <c r="A749" s="1">
        <v>41946</v>
      </c>
      <c r="B749" s="1">
        <v>41964</v>
      </c>
      <c r="C749">
        <v>7.31</v>
      </c>
      <c r="D749">
        <v>0.19</v>
      </c>
      <c r="E749">
        <v>3</v>
      </c>
      <c r="F749">
        <f t="shared" si="143"/>
        <v>0</v>
      </c>
      <c r="G749">
        <f t="shared" si="144"/>
        <v>18</v>
      </c>
      <c r="H749">
        <f t="shared" si="145"/>
        <v>0</v>
      </c>
      <c r="I749">
        <f t="shared" si="146"/>
        <v>0</v>
      </c>
      <c r="J749">
        <f t="shared" si="147"/>
        <v>0</v>
      </c>
      <c r="K749">
        <f t="shared" si="148"/>
        <v>540</v>
      </c>
      <c r="L749">
        <f t="shared" si="149"/>
        <v>7.5</v>
      </c>
      <c r="M749">
        <f t="shared" si="150"/>
        <v>547.5</v>
      </c>
      <c r="N749">
        <f t="shared" si="151"/>
        <v>0</v>
      </c>
      <c r="O749">
        <f t="shared" si="152"/>
        <v>547.5</v>
      </c>
      <c r="P749">
        <f t="shared" si="153"/>
        <v>0</v>
      </c>
      <c r="Q749">
        <f t="shared" si="154"/>
        <v>0</v>
      </c>
      <c r="R749">
        <f t="shared" si="155"/>
        <v>0</v>
      </c>
    </row>
    <row r="750" spans="1:18" x14ac:dyDescent="0.3">
      <c r="A750" s="1">
        <v>41946</v>
      </c>
      <c r="B750" s="1">
        <v>41966</v>
      </c>
      <c r="C750">
        <v>5.64</v>
      </c>
      <c r="D750">
        <v>0.15</v>
      </c>
      <c r="E750">
        <v>6</v>
      </c>
      <c r="F750">
        <f t="shared" si="143"/>
        <v>0</v>
      </c>
      <c r="G750">
        <f t="shared" si="144"/>
        <v>0</v>
      </c>
      <c r="H750">
        <f t="shared" si="145"/>
        <v>0</v>
      </c>
      <c r="I750">
        <f t="shared" si="146"/>
        <v>0</v>
      </c>
      <c r="J750">
        <f t="shared" si="147"/>
        <v>20</v>
      </c>
      <c r="K750">
        <f t="shared" si="148"/>
        <v>1200</v>
      </c>
      <c r="L750">
        <f t="shared" si="149"/>
        <v>5.79</v>
      </c>
      <c r="M750">
        <f t="shared" si="150"/>
        <v>1205.79</v>
      </c>
      <c r="N750">
        <f t="shared" si="151"/>
        <v>0</v>
      </c>
      <c r="O750">
        <f t="shared" si="152"/>
        <v>0</v>
      </c>
      <c r="P750">
        <f t="shared" si="153"/>
        <v>0</v>
      </c>
      <c r="Q750">
        <f t="shared" si="154"/>
        <v>0</v>
      </c>
      <c r="R750">
        <f t="shared" si="155"/>
        <v>1205.79</v>
      </c>
    </row>
    <row r="751" spans="1:18" x14ac:dyDescent="0.3">
      <c r="A751" s="1">
        <v>41946</v>
      </c>
      <c r="B751" s="1">
        <v>41964</v>
      </c>
      <c r="C751">
        <v>4.25</v>
      </c>
      <c r="D751">
        <v>0.11</v>
      </c>
      <c r="E751">
        <v>6</v>
      </c>
      <c r="F751">
        <f t="shared" si="143"/>
        <v>0</v>
      </c>
      <c r="G751">
        <f t="shared" si="144"/>
        <v>0</v>
      </c>
      <c r="H751">
        <f t="shared" si="145"/>
        <v>0</v>
      </c>
      <c r="I751">
        <f t="shared" si="146"/>
        <v>0</v>
      </c>
      <c r="J751">
        <f t="shared" si="147"/>
        <v>18</v>
      </c>
      <c r="K751">
        <f t="shared" si="148"/>
        <v>1080</v>
      </c>
      <c r="L751">
        <f t="shared" si="149"/>
        <v>4.3600000000000003</v>
      </c>
      <c r="M751">
        <f t="shared" si="150"/>
        <v>1084.3599999999999</v>
      </c>
      <c r="N751">
        <f t="shared" si="151"/>
        <v>0</v>
      </c>
      <c r="O751">
        <f t="shared" si="152"/>
        <v>0</v>
      </c>
      <c r="P751">
        <f t="shared" si="153"/>
        <v>0</v>
      </c>
      <c r="Q751">
        <f t="shared" si="154"/>
        <v>0</v>
      </c>
      <c r="R751">
        <f t="shared" si="155"/>
        <v>1084.3599999999999</v>
      </c>
    </row>
    <row r="752" spans="1:18" x14ac:dyDescent="0.3">
      <c r="A752" s="1">
        <v>41946</v>
      </c>
      <c r="B752" s="1">
        <v>41953</v>
      </c>
      <c r="C752">
        <v>9.1300000000000008</v>
      </c>
      <c r="D752">
        <v>0.24</v>
      </c>
      <c r="E752">
        <v>5</v>
      </c>
      <c r="F752">
        <f t="shared" si="143"/>
        <v>0</v>
      </c>
      <c r="G752">
        <f t="shared" si="144"/>
        <v>0</v>
      </c>
      <c r="H752">
        <f t="shared" si="145"/>
        <v>0</v>
      </c>
      <c r="I752">
        <f t="shared" si="146"/>
        <v>7</v>
      </c>
      <c r="J752">
        <f t="shared" si="147"/>
        <v>0</v>
      </c>
      <c r="K752">
        <f t="shared" si="148"/>
        <v>350</v>
      </c>
      <c r="L752">
        <f t="shared" si="149"/>
        <v>9.370000000000001</v>
      </c>
      <c r="M752">
        <f t="shared" si="150"/>
        <v>359.37</v>
      </c>
      <c r="N752">
        <f t="shared" si="151"/>
        <v>0</v>
      </c>
      <c r="O752">
        <f t="shared" si="152"/>
        <v>0</v>
      </c>
      <c r="P752">
        <f t="shared" si="153"/>
        <v>0</v>
      </c>
      <c r="Q752">
        <f t="shared" si="154"/>
        <v>359.37</v>
      </c>
      <c r="R752">
        <f t="shared" si="155"/>
        <v>0</v>
      </c>
    </row>
    <row r="753" spans="1:18" x14ac:dyDescent="0.3">
      <c r="A753" s="1">
        <v>41946</v>
      </c>
      <c r="B753" s="1">
        <v>41956</v>
      </c>
      <c r="C753">
        <v>3.79</v>
      </c>
      <c r="D753">
        <v>0.1</v>
      </c>
      <c r="E753">
        <v>6</v>
      </c>
      <c r="F753">
        <f t="shared" si="143"/>
        <v>0</v>
      </c>
      <c r="G753">
        <f t="shared" si="144"/>
        <v>0</v>
      </c>
      <c r="H753">
        <f t="shared" si="145"/>
        <v>0</v>
      </c>
      <c r="I753">
        <f t="shared" si="146"/>
        <v>0</v>
      </c>
      <c r="J753">
        <f t="shared" si="147"/>
        <v>10</v>
      </c>
      <c r="K753">
        <f t="shared" si="148"/>
        <v>600</v>
      </c>
      <c r="L753">
        <f t="shared" si="149"/>
        <v>3.89</v>
      </c>
      <c r="M753">
        <f t="shared" si="150"/>
        <v>603.89</v>
      </c>
      <c r="N753">
        <f t="shared" si="151"/>
        <v>0</v>
      </c>
      <c r="O753">
        <f t="shared" si="152"/>
        <v>0</v>
      </c>
      <c r="P753">
        <f t="shared" si="153"/>
        <v>0</v>
      </c>
      <c r="Q753">
        <f t="shared" si="154"/>
        <v>0</v>
      </c>
      <c r="R753">
        <f t="shared" si="155"/>
        <v>603.89</v>
      </c>
    </row>
    <row r="754" spans="1:18" x14ac:dyDescent="0.3">
      <c r="A754" s="1">
        <v>41946</v>
      </c>
      <c r="B754" s="1">
        <v>41948</v>
      </c>
      <c r="C754">
        <v>9.1300000000000008</v>
      </c>
      <c r="D754">
        <v>0.24</v>
      </c>
      <c r="E754">
        <v>4</v>
      </c>
      <c r="F754">
        <f t="shared" si="143"/>
        <v>0</v>
      </c>
      <c r="G754">
        <f t="shared" si="144"/>
        <v>0</v>
      </c>
      <c r="H754">
        <f t="shared" si="145"/>
        <v>2</v>
      </c>
      <c r="I754">
        <f t="shared" si="146"/>
        <v>0</v>
      </c>
      <c r="J754">
        <f t="shared" si="147"/>
        <v>0</v>
      </c>
      <c r="K754">
        <f t="shared" si="148"/>
        <v>80</v>
      </c>
      <c r="L754">
        <f t="shared" si="149"/>
        <v>9.370000000000001</v>
      </c>
      <c r="M754">
        <f t="shared" si="150"/>
        <v>89.37</v>
      </c>
      <c r="N754">
        <f t="shared" si="151"/>
        <v>0</v>
      </c>
      <c r="O754">
        <f t="shared" si="152"/>
        <v>0</v>
      </c>
      <c r="P754">
        <f t="shared" si="153"/>
        <v>89.37</v>
      </c>
      <c r="Q754">
        <f t="shared" si="154"/>
        <v>0</v>
      </c>
      <c r="R754">
        <f t="shared" si="155"/>
        <v>0</v>
      </c>
    </row>
    <row r="755" spans="1:18" x14ac:dyDescent="0.3">
      <c r="A755" s="1">
        <v>41947</v>
      </c>
      <c r="B755" s="1">
        <v>41960</v>
      </c>
      <c r="C755">
        <v>11.44</v>
      </c>
      <c r="D755">
        <v>0.3</v>
      </c>
      <c r="E755">
        <v>6</v>
      </c>
      <c r="F755">
        <f t="shared" si="143"/>
        <v>0</v>
      </c>
      <c r="G755">
        <f t="shared" si="144"/>
        <v>0</v>
      </c>
      <c r="H755">
        <f t="shared" si="145"/>
        <v>0</v>
      </c>
      <c r="I755">
        <f t="shared" si="146"/>
        <v>0</v>
      </c>
      <c r="J755">
        <f t="shared" si="147"/>
        <v>13</v>
      </c>
      <c r="K755">
        <f t="shared" si="148"/>
        <v>780</v>
      </c>
      <c r="L755">
        <f t="shared" si="149"/>
        <v>11.74</v>
      </c>
      <c r="M755">
        <f t="shared" si="150"/>
        <v>791.74</v>
      </c>
      <c r="N755">
        <f t="shared" si="151"/>
        <v>0</v>
      </c>
      <c r="O755">
        <f t="shared" si="152"/>
        <v>0</v>
      </c>
      <c r="P755">
        <f t="shared" si="153"/>
        <v>0</v>
      </c>
      <c r="Q755">
        <f t="shared" si="154"/>
        <v>0</v>
      </c>
      <c r="R755">
        <f t="shared" si="155"/>
        <v>791.74</v>
      </c>
    </row>
    <row r="756" spans="1:18" x14ac:dyDescent="0.3">
      <c r="A756" s="1">
        <v>41947</v>
      </c>
      <c r="B756" s="1">
        <v>41972</v>
      </c>
      <c r="C756">
        <v>5.47</v>
      </c>
      <c r="D756">
        <v>0.14000000000000001</v>
      </c>
      <c r="E756">
        <v>6</v>
      </c>
      <c r="F756">
        <f t="shared" si="143"/>
        <v>0</v>
      </c>
      <c r="G756">
        <f t="shared" si="144"/>
        <v>0</v>
      </c>
      <c r="H756">
        <f t="shared" si="145"/>
        <v>0</v>
      </c>
      <c r="I756">
        <f t="shared" si="146"/>
        <v>0</v>
      </c>
      <c r="J756">
        <f t="shared" si="147"/>
        <v>25</v>
      </c>
      <c r="K756">
        <f t="shared" si="148"/>
        <v>1500</v>
      </c>
      <c r="L756">
        <f t="shared" si="149"/>
        <v>5.6099999999999994</v>
      </c>
      <c r="M756">
        <f t="shared" si="150"/>
        <v>1505.61</v>
      </c>
      <c r="N756">
        <f t="shared" si="151"/>
        <v>0</v>
      </c>
      <c r="O756">
        <f t="shared" si="152"/>
        <v>0</v>
      </c>
      <c r="P756">
        <f t="shared" si="153"/>
        <v>0</v>
      </c>
      <c r="Q756">
        <f t="shared" si="154"/>
        <v>0</v>
      </c>
      <c r="R756">
        <f t="shared" si="155"/>
        <v>1505.61</v>
      </c>
    </row>
    <row r="757" spans="1:18" x14ac:dyDescent="0.3">
      <c r="A757" s="1">
        <v>41947</v>
      </c>
      <c r="B757" s="1">
        <v>41968</v>
      </c>
      <c r="C757">
        <v>14.13</v>
      </c>
      <c r="D757">
        <v>0.37</v>
      </c>
      <c r="E757">
        <v>2</v>
      </c>
      <c r="F757">
        <f t="shared" si="143"/>
        <v>21</v>
      </c>
      <c r="G757">
        <f t="shared" si="144"/>
        <v>0</v>
      </c>
      <c r="H757">
        <f t="shared" si="145"/>
        <v>0</v>
      </c>
      <c r="I757">
        <f t="shared" si="146"/>
        <v>0</v>
      </c>
      <c r="J757">
        <f t="shared" si="147"/>
        <v>0</v>
      </c>
      <c r="K757">
        <f t="shared" si="148"/>
        <v>420</v>
      </c>
      <c r="L757">
        <f t="shared" si="149"/>
        <v>14.5</v>
      </c>
      <c r="M757">
        <f t="shared" si="150"/>
        <v>434.5</v>
      </c>
      <c r="N757">
        <f t="shared" si="151"/>
        <v>434.5</v>
      </c>
      <c r="O757">
        <f t="shared" si="152"/>
        <v>0</v>
      </c>
      <c r="P757">
        <f t="shared" si="153"/>
        <v>0</v>
      </c>
      <c r="Q757">
        <f t="shared" si="154"/>
        <v>0</v>
      </c>
      <c r="R757">
        <f t="shared" si="155"/>
        <v>0</v>
      </c>
    </row>
    <row r="758" spans="1:18" x14ac:dyDescent="0.3">
      <c r="A758" s="1">
        <v>41947</v>
      </c>
      <c r="B758" s="1">
        <v>41956</v>
      </c>
      <c r="C758">
        <v>11.69</v>
      </c>
      <c r="D758">
        <v>0.31</v>
      </c>
      <c r="E758">
        <v>3</v>
      </c>
      <c r="F758">
        <f t="shared" si="143"/>
        <v>0</v>
      </c>
      <c r="G758">
        <f t="shared" si="144"/>
        <v>9</v>
      </c>
      <c r="H758">
        <f t="shared" si="145"/>
        <v>0</v>
      </c>
      <c r="I758">
        <f t="shared" si="146"/>
        <v>0</v>
      </c>
      <c r="J758">
        <f t="shared" si="147"/>
        <v>0</v>
      </c>
      <c r="K758">
        <f t="shared" si="148"/>
        <v>270</v>
      </c>
      <c r="L758">
        <f t="shared" si="149"/>
        <v>12</v>
      </c>
      <c r="M758">
        <f t="shared" si="150"/>
        <v>282</v>
      </c>
      <c r="N758">
        <f t="shared" si="151"/>
        <v>0</v>
      </c>
      <c r="O758">
        <f t="shared" si="152"/>
        <v>282</v>
      </c>
      <c r="P758">
        <f t="shared" si="153"/>
        <v>0</v>
      </c>
      <c r="Q758">
        <f t="shared" si="154"/>
        <v>0</v>
      </c>
      <c r="R758">
        <f t="shared" si="155"/>
        <v>0</v>
      </c>
    </row>
    <row r="759" spans="1:18" x14ac:dyDescent="0.3">
      <c r="A759" s="1">
        <v>41947</v>
      </c>
      <c r="B759" s="1">
        <v>41970</v>
      </c>
      <c r="C759">
        <v>6.75</v>
      </c>
      <c r="D759">
        <v>0.18</v>
      </c>
      <c r="E759">
        <v>2</v>
      </c>
      <c r="F759">
        <f t="shared" si="143"/>
        <v>23</v>
      </c>
      <c r="G759">
        <f t="shared" si="144"/>
        <v>0</v>
      </c>
      <c r="H759">
        <f t="shared" si="145"/>
        <v>0</v>
      </c>
      <c r="I759">
        <f t="shared" si="146"/>
        <v>0</v>
      </c>
      <c r="J759">
        <f t="shared" si="147"/>
        <v>0</v>
      </c>
      <c r="K759">
        <f t="shared" si="148"/>
        <v>460</v>
      </c>
      <c r="L759">
        <f t="shared" si="149"/>
        <v>6.93</v>
      </c>
      <c r="M759">
        <f t="shared" si="150"/>
        <v>466.93</v>
      </c>
      <c r="N759">
        <f t="shared" si="151"/>
        <v>466.93</v>
      </c>
      <c r="O759">
        <f t="shared" si="152"/>
        <v>0</v>
      </c>
      <c r="P759">
        <f t="shared" si="153"/>
        <v>0</v>
      </c>
      <c r="Q759">
        <f t="shared" si="154"/>
        <v>0</v>
      </c>
      <c r="R759">
        <f t="shared" si="155"/>
        <v>0</v>
      </c>
    </row>
    <row r="760" spans="1:18" x14ac:dyDescent="0.3">
      <c r="A760" s="1">
        <v>41947</v>
      </c>
      <c r="B760" s="1">
        <v>41962</v>
      </c>
      <c r="C760">
        <v>8.65</v>
      </c>
      <c r="D760">
        <v>0.23</v>
      </c>
      <c r="E760">
        <v>6</v>
      </c>
      <c r="F760">
        <f t="shared" si="143"/>
        <v>0</v>
      </c>
      <c r="G760">
        <f t="shared" si="144"/>
        <v>0</v>
      </c>
      <c r="H760">
        <f t="shared" si="145"/>
        <v>0</v>
      </c>
      <c r="I760">
        <f t="shared" si="146"/>
        <v>0</v>
      </c>
      <c r="J760">
        <f t="shared" si="147"/>
        <v>15</v>
      </c>
      <c r="K760">
        <f t="shared" si="148"/>
        <v>900</v>
      </c>
      <c r="L760">
        <f t="shared" si="149"/>
        <v>8.8800000000000008</v>
      </c>
      <c r="M760">
        <f t="shared" si="150"/>
        <v>908.88</v>
      </c>
      <c r="N760">
        <f t="shared" si="151"/>
        <v>0</v>
      </c>
      <c r="O760">
        <f t="shared" si="152"/>
        <v>0</v>
      </c>
      <c r="P760">
        <f t="shared" si="153"/>
        <v>0</v>
      </c>
      <c r="Q760">
        <f t="shared" si="154"/>
        <v>0</v>
      </c>
      <c r="R760">
        <f t="shared" si="155"/>
        <v>908.88</v>
      </c>
    </row>
    <row r="761" spans="1:18" x14ac:dyDescent="0.3">
      <c r="A761" s="1">
        <v>41947</v>
      </c>
      <c r="B761" s="1">
        <v>41975</v>
      </c>
      <c r="C761">
        <v>10.93</v>
      </c>
      <c r="D761">
        <v>0.28999999999999998</v>
      </c>
      <c r="E761">
        <v>5</v>
      </c>
      <c r="F761">
        <f t="shared" si="143"/>
        <v>0</v>
      </c>
      <c r="G761">
        <f t="shared" si="144"/>
        <v>0</v>
      </c>
      <c r="H761">
        <f t="shared" si="145"/>
        <v>0</v>
      </c>
      <c r="I761">
        <f t="shared" si="146"/>
        <v>28</v>
      </c>
      <c r="J761">
        <f t="shared" si="147"/>
        <v>0</v>
      </c>
      <c r="K761">
        <f t="shared" si="148"/>
        <v>1400</v>
      </c>
      <c r="L761">
        <f t="shared" si="149"/>
        <v>11.219999999999999</v>
      </c>
      <c r="M761">
        <f t="shared" si="150"/>
        <v>1411.22</v>
      </c>
      <c r="N761">
        <f t="shared" si="151"/>
        <v>0</v>
      </c>
      <c r="O761">
        <f t="shared" si="152"/>
        <v>0</v>
      </c>
      <c r="P761">
        <f t="shared" si="153"/>
        <v>0</v>
      </c>
      <c r="Q761">
        <f t="shared" si="154"/>
        <v>1411.22</v>
      </c>
      <c r="R761">
        <f t="shared" si="155"/>
        <v>0</v>
      </c>
    </row>
    <row r="762" spans="1:18" x14ac:dyDescent="0.3">
      <c r="A762" s="1">
        <v>41947</v>
      </c>
      <c r="B762" s="1">
        <v>41962</v>
      </c>
      <c r="C762">
        <v>16.55</v>
      </c>
      <c r="D762">
        <v>0.44</v>
      </c>
      <c r="E762">
        <v>6</v>
      </c>
      <c r="F762">
        <f t="shared" si="143"/>
        <v>0</v>
      </c>
      <c r="G762">
        <f t="shared" si="144"/>
        <v>0</v>
      </c>
      <c r="H762">
        <f t="shared" si="145"/>
        <v>0</v>
      </c>
      <c r="I762">
        <f t="shared" si="146"/>
        <v>0</v>
      </c>
      <c r="J762">
        <f t="shared" si="147"/>
        <v>15</v>
      </c>
      <c r="K762">
        <f t="shared" si="148"/>
        <v>900</v>
      </c>
      <c r="L762">
        <f t="shared" si="149"/>
        <v>16.990000000000002</v>
      </c>
      <c r="M762">
        <f t="shared" si="150"/>
        <v>916.99</v>
      </c>
      <c r="N762">
        <f t="shared" si="151"/>
        <v>0</v>
      </c>
      <c r="O762">
        <f t="shared" si="152"/>
        <v>0</v>
      </c>
      <c r="P762">
        <f t="shared" si="153"/>
        <v>0</v>
      </c>
      <c r="Q762">
        <f t="shared" si="154"/>
        <v>0</v>
      </c>
      <c r="R762">
        <f t="shared" si="155"/>
        <v>916.99</v>
      </c>
    </row>
    <row r="763" spans="1:18" x14ac:dyDescent="0.3">
      <c r="A763" s="1">
        <v>41947</v>
      </c>
      <c r="B763" s="1">
        <v>41960</v>
      </c>
      <c r="C763">
        <v>9.06</v>
      </c>
      <c r="D763">
        <v>0.24</v>
      </c>
      <c r="E763">
        <v>4</v>
      </c>
      <c r="F763">
        <f t="shared" si="143"/>
        <v>0</v>
      </c>
      <c r="G763">
        <f t="shared" si="144"/>
        <v>0</v>
      </c>
      <c r="H763">
        <f t="shared" si="145"/>
        <v>13</v>
      </c>
      <c r="I763">
        <f t="shared" si="146"/>
        <v>0</v>
      </c>
      <c r="J763">
        <f t="shared" si="147"/>
        <v>0</v>
      </c>
      <c r="K763">
        <f t="shared" si="148"/>
        <v>520</v>
      </c>
      <c r="L763">
        <f t="shared" si="149"/>
        <v>9.3000000000000007</v>
      </c>
      <c r="M763">
        <f t="shared" si="150"/>
        <v>529.29999999999995</v>
      </c>
      <c r="N763">
        <f t="shared" si="151"/>
        <v>0</v>
      </c>
      <c r="O763">
        <f t="shared" si="152"/>
        <v>0</v>
      </c>
      <c r="P763">
        <f t="shared" si="153"/>
        <v>529.29999999999995</v>
      </c>
      <c r="Q763">
        <f t="shared" si="154"/>
        <v>0</v>
      </c>
      <c r="R763">
        <f t="shared" si="155"/>
        <v>0</v>
      </c>
    </row>
    <row r="764" spans="1:18" x14ac:dyDescent="0.3">
      <c r="A764" s="1">
        <v>41947</v>
      </c>
      <c r="B764" s="1">
        <v>41974</v>
      </c>
      <c r="C764">
        <v>9.06</v>
      </c>
      <c r="D764">
        <v>0.24</v>
      </c>
      <c r="E764">
        <v>4</v>
      </c>
      <c r="F764">
        <f t="shared" si="143"/>
        <v>0</v>
      </c>
      <c r="G764">
        <f t="shared" si="144"/>
        <v>0</v>
      </c>
      <c r="H764">
        <f t="shared" si="145"/>
        <v>27</v>
      </c>
      <c r="I764">
        <f t="shared" si="146"/>
        <v>0</v>
      </c>
      <c r="J764">
        <f t="shared" si="147"/>
        <v>0</v>
      </c>
      <c r="K764">
        <f t="shared" si="148"/>
        <v>1080</v>
      </c>
      <c r="L764">
        <f t="shared" si="149"/>
        <v>9.3000000000000007</v>
      </c>
      <c r="M764">
        <f t="shared" si="150"/>
        <v>1089.3</v>
      </c>
      <c r="N764">
        <f t="shared" si="151"/>
        <v>0</v>
      </c>
      <c r="O764">
        <f t="shared" si="152"/>
        <v>0</v>
      </c>
      <c r="P764">
        <f t="shared" si="153"/>
        <v>1089.3</v>
      </c>
      <c r="Q764">
        <f t="shared" si="154"/>
        <v>0</v>
      </c>
      <c r="R764">
        <f t="shared" si="155"/>
        <v>0</v>
      </c>
    </row>
    <row r="765" spans="1:18" x14ac:dyDescent="0.3">
      <c r="A765" s="1">
        <v>41947</v>
      </c>
      <c r="B765" s="1">
        <v>41969</v>
      </c>
      <c r="C765">
        <v>6.43</v>
      </c>
      <c r="D765">
        <v>0.17</v>
      </c>
      <c r="E765">
        <v>2</v>
      </c>
      <c r="F765">
        <f t="shared" si="143"/>
        <v>22</v>
      </c>
      <c r="G765">
        <f t="shared" si="144"/>
        <v>0</v>
      </c>
      <c r="H765">
        <f t="shared" si="145"/>
        <v>0</v>
      </c>
      <c r="I765">
        <f t="shared" si="146"/>
        <v>0</v>
      </c>
      <c r="J765">
        <f t="shared" si="147"/>
        <v>0</v>
      </c>
      <c r="K765">
        <f t="shared" si="148"/>
        <v>440</v>
      </c>
      <c r="L765">
        <f t="shared" si="149"/>
        <v>6.6</v>
      </c>
      <c r="M765">
        <f t="shared" si="150"/>
        <v>446.6</v>
      </c>
      <c r="N765">
        <f t="shared" si="151"/>
        <v>446.6</v>
      </c>
      <c r="O765">
        <f t="shared" si="152"/>
        <v>0</v>
      </c>
      <c r="P765">
        <f t="shared" si="153"/>
        <v>0</v>
      </c>
      <c r="Q765">
        <f t="shared" si="154"/>
        <v>0</v>
      </c>
      <c r="R765">
        <f t="shared" si="155"/>
        <v>0</v>
      </c>
    </row>
    <row r="766" spans="1:18" x14ac:dyDescent="0.3">
      <c r="A766" s="1">
        <v>41947</v>
      </c>
      <c r="B766" s="1">
        <v>41954</v>
      </c>
      <c r="C766">
        <v>6.23</v>
      </c>
      <c r="D766">
        <v>0.16</v>
      </c>
      <c r="E766">
        <v>3</v>
      </c>
      <c r="F766">
        <f t="shared" si="143"/>
        <v>0</v>
      </c>
      <c r="G766">
        <f t="shared" si="144"/>
        <v>7</v>
      </c>
      <c r="H766">
        <f t="shared" si="145"/>
        <v>0</v>
      </c>
      <c r="I766">
        <f t="shared" si="146"/>
        <v>0</v>
      </c>
      <c r="J766">
        <f t="shared" si="147"/>
        <v>0</v>
      </c>
      <c r="K766">
        <f t="shared" si="148"/>
        <v>210</v>
      </c>
      <c r="L766">
        <f t="shared" si="149"/>
        <v>6.3900000000000006</v>
      </c>
      <c r="M766">
        <f t="shared" si="150"/>
        <v>216.39</v>
      </c>
      <c r="N766">
        <f t="shared" si="151"/>
        <v>0</v>
      </c>
      <c r="O766">
        <f t="shared" si="152"/>
        <v>216.39</v>
      </c>
      <c r="P766">
        <f t="shared" si="153"/>
        <v>0</v>
      </c>
      <c r="Q766">
        <f t="shared" si="154"/>
        <v>0</v>
      </c>
      <c r="R766">
        <f t="shared" si="155"/>
        <v>0</v>
      </c>
    </row>
    <row r="767" spans="1:18" x14ac:dyDescent="0.3">
      <c r="A767" s="1">
        <v>41947</v>
      </c>
      <c r="B767" s="1">
        <v>41952</v>
      </c>
      <c r="C767">
        <v>6.75</v>
      </c>
      <c r="D767">
        <v>0.18</v>
      </c>
      <c r="E767">
        <v>3</v>
      </c>
      <c r="F767">
        <f t="shared" si="143"/>
        <v>0</v>
      </c>
      <c r="G767">
        <f t="shared" si="144"/>
        <v>5</v>
      </c>
      <c r="H767">
        <f t="shared" si="145"/>
        <v>0</v>
      </c>
      <c r="I767">
        <f t="shared" si="146"/>
        <v>0</v>
      </c>
      <c r="J767">
        <f t="shared" si="147"/>
        <v>0</v>
      </c>
      <c r="K767">
        <f t="shared" si="148"/>
        <v>150</v>
      </c>
      <c r="L767">
        <f t="shared" si="149"/>
        <v>6.93</v>
      </c>
      <c r="M767">
        <f t="shared" si="150"/>
        <v>156.93</v>
      </c>
      <c r="N767">
        <f t="shared" si="151"/>
        <v>0</v>
      </c>
      <c r="O767">
        <f t="shared" si="152"/>
        <v>156.93</v>
      </c>
      <c r="P767">
        <f t="shared" si="153"/>
        <v>0</v>
      </c>
      <c r="Q767">
        <f t="shared" si="154"/>
        <v>0</v>
      </c>
      <c r="R767">
        <f t="shared" si="155"/>
        <v>0</v>
      </c>
    </row>
    <row r="768" spans="1:18" x14ac:dyDescent="0.3">
      <c r="A768" s="1">
        <v>41947</v>
      </c>
      <c r="B768" s="1">
        <v>41953</v>
      </c>
      <c r="C768">
        <v>10.79</v>
      </c>
      <c r="D768">
        <v>0.28000000000000003</v>
      </c>
      <c r="E768">
        <v>6</v>
      </c>
      <c r="F768">
        <f t="shared" si="143"/>
        <v>0</v>
      </c>
      <c r="G768">
        <f t="shared" si="144"/>
        <v>0</v>
      </c>
      <c r="H768">
        <f t="shared" si="145"/>
        <v>0</v>
      </c>
      <c r="I768">
        <f t="shared" si="146"/>
        <v>0</v>
      </c>
      <c r="J768">
        <f t="shared" si="147"/>
        <v>6</v>
      </c>
      <c r="K768">
        <f t="shared" si="148"/>
        <v>360</v>
      </c>
      <c r="L768">
        <f t="shared" si="149"/>
        <v>11.069999999999999</v>
      </c>
      <c r="M768">
        <f t="shared" si="150"/>
        <v>371.07</v>
      </c>
      <c r="N768">
        <f t="shared" si="151"/>
        <v>0</v>
      </c>
      <c r="O768">
        <f t="shared" si="152"/>
        <v>0</v>
      </c>
      <c r="P768">
        <f t="shared" si="153"/>
        <v>0</v>
      </c>
      <c r="Q768">
        <f t="shared" si="154"/>
        <v>0</v>
      </c>
      <c r="R768">
        <f t="shared" si="155"/>
        <v>371.07</v>
      </c>
    </row>
    <row r="769" spans="1:18" x14ac:dyDescent="0.3">
      <c r="A769" s="1">
        <v>41949</v>
      </c>
      <c r="B769" s="1">
        <v>41956</v>
      </c>
      <c r="C769">
        <v>5.67</v>
      </c>
      <c r="D769">
        <v>0.15</v>
      </c>
      <c r="E769">
        <v>4</v>
      </c>
      <c r="F769">
        <f t="shared" si="143"/>
        <v>0</v>
      </c>
      <c r="G769">
        <f t="shared" si="144"/>
        <v>0</v>
      </c>
      <c r="H769">
        <f t="shared" si="145"/>
        <v>7</v>
      </c>
      <c r="I769">
        <f t="shared" si="146"/>
        <v>0</v>
      </c>
      <c r="J769">
        <f t="shared" si="147"/>
        <v>0</v>
      </c>
      <c r="K769">
        <f t="shared" si="148"/>
        <v>280</v>
      </c>
      <c r="L769">
        <f t="shared" si="149"/>
        <v>5.82</v>
      </c>
      <c r="M769">
        <f t="shared" si="150"/>
        <v>285.82</v>
      </c>
      <c r="N769">
        <f t="shared" si="151"/>
        <v>0</v>
      </c>
      <c r="O769">
        <f t="shared" si="152"/>
        <v>0</v>
      </c>
      <c r="P769">
        <f t="shared" si="153"/>
        <v>285.82</v>
      </c>
      <c r="Q769">
        <f t="shared" si="154"/>
        <v>0</v>
      </c>
      <c r="R769">
        <f t="shared" si="155"/>
        <v>0</v>
      </c>
    </row>
    <row r="770" spans="1:18" x14ac:dyDescent="0.3">
      <c r="A770" s="1">
        <v>41949</v>
      </c>
      <c r="B770" s="1">
        <v>41959</v>
      </c>
      <c r="C770">
        <v>11.44</v>
      </c>
      <c r="D770">
        <v>0.3</v>
      </c>
      <c r="E770">
        <v>4</v>
      </c>
      <c r="F770">
        <f t="shared" si="143"/>
        <v>0</v>
      </c>
      <c r="G770">
        <f t="shared" si="144"/>
        <v>0</v>
      </c>
      <c r="H770">
        <f t="shared" si="145"/>
        <v>10</v>
      </c>
      <c r="I770">
        <f t="shared" si="146"/>
        <v>0</v>
      </c>
      <c r="J770">
        <f t="shared" si="147"/>
        <v>0</v>
      </c>
      <c r="K770">
        <f t="shared" si="148"/>
        <v>400</v>
      </c>
      <c r="L770">
        <f t="shared" si="149"/>
        <v>11.74</v>
      </c>
      <c r="M770">
        <f t="shared" si="150"/>
        <v>411.74</v>
      </c>
      <c r="N770">
        <f t="shared" si="151"/>
        <v>0</v>
      </c>
      <c r="O770">
        <f t="shared" si="152"/>
        <v>0</v>
      </c>
      <c r="P770">
        <f t="shared" si="153"/>
        <v>411.74</v>
      </c>
      <c r="Q770">
        <f t="shared" si="154"/>
        <v>0</v>
      </c>
      <c r="R770">
        <f t="shared" si="155"/>
        <v>0</v>
      </c>
    </row>
    <row r="771" spans="1:18" x14ac:dyDescent="0.3">
      <c r="A771" s="1">
        <v>41950</v>
      </c>
      <c r="B771" s="1">
        <v>41977</v>
      </c>
      <c r="C771">
        <v>4.25</v>
      </c>
      <c r="D771">
        <v>0.11</v>
      </c>
      <c r="E771">
        <v>5</v>
      </c>
      <c r="F771">
        <f t="shared" ref="F771:F834" si="156">IF(EXACT(E771,2),B771-A771,0)</f>
        <v>0</v>
      </c>
      <c r="G771">
        <f t="shared" ref="G771:G834" si="157">IF(EXACT(E771,3),B771-A771,0)</f>
        <v>0</v>
      </c>
      <c r="H771">
        <f t="shared" ref="H771:H834" si="158">IF(EXACT(E771,4),B771-A771,0)</f>
        <v>0</v>
      </c>
      <c r="I771">
        <f t="shared" ref="I771:I834" si="159">IF(EXACT(E771,5),B771-A771,0)</f>
        <v>27</v>
      </c>
      <c r="J771">
        <f t="shared" ref="J771:J834" si="160">IF(EXACT(E771,6),B771-A771,0)</f>
        <v>0</v>
      </c>
      <c r="K771">
        <f t="shared" ref="K771:K834" si="161">10 * E771 * (F771+G771+H771+I771+J771)</f>
        <v>1350</v>
      </c>
      <c r="L771">
        <f t="shared" ref="L771:L834" si="162">C771+D771</f>
        <v>4.3600000000000003</v>
      </c>
      <c r="M771">
        <f t="shared" ref="M771:M834" si="163">K771+L771</f>
        <v>1354.36</v>
      </c>
      <c r="N771">
        <f t="shared" ref="N771:N834" si="164">IF(EXACT(E771,2),M771,0)</f>
        <v>0</v>
      </c>
      <c r="O771">
        <f t="shared" ref="O771:O834" si="165">IF(EXACT(E771,3),M771,0)</f>
        <v>0</v>
      </c>
      <c r="P771">
        <f t="shared" ref="P771:P834" si="166">IF(EXACT(E771,4),M771,0)</f>
        <v>0</v>
      </c>
      <c r="Q771">
        <f t="shared" ref="Q771:Q834" si="167">IF(EXACT(E771,5),M771,0)</f>
        <v>1354.36</v>
      </c>
      <c r="R771">
        <f t="shared" ref="R771:R834" si="168">IF(EXACT(E771,6),M771,0)</f>
        <v>0</v>
      </c>
    </row>
    <row r="772" spans="1:18" x14ac:dyDescent="0.3">
      <c r="A772" s="1">
        <v>41950</v>
      </c>
      <c r="B772" s="1">
        <v>41953</v>
      </c>
      <c r="C772">
        <v>3.94</v>
      </c>
      <c r="D772">
        <v>0.1</v>
      </c>
      <c r="E772">
        <v>2</v>
      </c>
      <c r="F772">
        <f t="shared" si="156"/>
        <v>3</v>
      </c>
      <c r="G772">
        <f t="shared" si="157"/>
        <v>0</v>
      </c>
      <c r="H772">
        <f t="shared" si="158"/>
        <v>0</v>
      </c>
      <c r="I772">
        <f t="shared" si="159"/>
        <v>0</v>
      </c>
      <c r="J772">
        <f t="shared" si="160"/>
        <v>0</v>
      </c>
      <c r="K772">
        <f t="shared" si="161"/>
        <v>60</v>
      </c>
      <c r="L772">
        <f t="shared" si="162"/>
        <v>4.04</v>
      </c>
      <c r="M772">
        <f t="shared" si="163"/>
        <v>64.040000000000006</v>
      </c>
      <c r="N772">
        <f t="shared" si="164"/>
        <v>64.040000000000006</v>
      </c>
      <c r="O772">
        <f t="shared" si="165"/>
        <v>0</v>
      </c>
      <c r="P772">
        <f t="shared" si="166"/>
        <v>0</v>
      </c>
      <c r="Q772">
        <f t="shared" si="167"/>
        <v>0</v>
      </c>
      <c r="R772">
        <f t="shared" si="168"/>
        <v>0</v>
      </c>
    </row>
    <row r="773" spans="1:18" x14ac:dyDescent="0.3">
      <c r="A773" s="1">
        <v>41950</v>
      </c>
      <c r="B773" s="1">
        <v>41972</v>
      </c>
      <c r="C773">
        <v>3.57</v>
      </c>
      <c r="D773">
        <v>0.09</v>
      </c>
      <c r="E773">
        <v>4</v>
      </c>
      <c r="F773">
        <f t="shared" si="156"/>
        <v>0</v>
      </c>
      <c r="G773">
        <f t="shared" si="157"/>
        <v>0</v>
      </c>
      <c r="H773">
        <f t="shared" si="158"/>
        <v>22</v>
      </c>
      <c r="I773">
        <f t="shared" si="159"/>
        <v>0</v>
      </c>
      <c r="J773">
        <f t="shared" si="160"/>
        <v>0</v>
      </c>
      <c r="K773">
        <f t="shared" si="161"/>
        <v>880</v>
      </c>
      <c r="L773">
        <f t="shared" si="162"/>
        <v>3.6599999999999997</v>
      </c>
      <c r="M773">
        <f t="shared" si="163"/>
        <v>883.66</v>
      </c>
      <c r="N773">
        <f t="shared" si="164"/>
        <v>0</v>
      </c>
      <c r="O773">
        <f t="shared" si="165"/>
        <v>0</v>
      </c>
      <c r="P773">
        <f t="shared" si="166"/>
        <v>883.66</v>
      </c>
      <c r="Q773">
        <f t="shared" si="167"/>
        <v>0</v>
      </c>
      <c r="R773">
        <f t="shared" si="168"/>
        <v>0</v>
      </c>
    </row>
    <row r="774" spans="1:18" x14ac:dyDescent="0.3">
      <c r="A774" s="1">
        <v>41950</v>
      </c>
      <c r="B774" s="1">
        <v>41952</v>
      </c>
      <c r="C774">
        <v>5.67</v>
      </c>
      <c r="D774">
        <v>0.15</v>
      </c>
      <c r="E774">
        <v>6</v>
      </c>
      <c r="F774">
        <f t="shared" si="156"/>
        <v>0</v>
      </c>
      <c r="G774">
        <f t="shared" si="157"/>
        <v>0</v>
      </c>
      <c r="H774">
        <f t="shared" si="158"/>
        <v>0</v>
      </c>
      <c r="I774">
        <f t="shared" si="159"/>
        <v>0</v>
      </c>
      <c r="J774">
        <f t="shared" si="160"/>
        <v>2</v>
      </c>
      <c r="K774">
        <f t="shared" si="161"/>
        <v>120</v>
      </c>
      <c r="L774">
        <f t="shared" si="162"/>
        <v>5.82</v>
      </c>
      <c r="M774">
        <f t="shared" si="163"/>
        <v>125.82</v>
      </c>
      <c r="N774">
        <f t="shared" si="164"/>
        <v>0</v>
      </c>
      <c r="O774">
        <f t="shared" si="165"/>
        <v>0</v>
      </c>
      <c r="P774">
        <f t="shared" si="166"/>
        <v>0</v>
      </c>
      <c r="Q774">
        <f t="shared" si="167"/>
        <v>0</v>
      </c>
      <c r="R774">
        <f t="shared" si="168"/>
        <v>125.82</v>
      </c>
    </row>
    <row r="775" spans="1:18" x14ac:dyDescent="0.3">
      <c r="A775" s="1">
        <v>41950</v>
      </c>
      <c r="B775" s="1">
        <v>41967</v>
      </c>
      <c r="C775">
        <v>5.67</v>
      </c>
      <c r="D775">
        <v>0.15</v>
      </c>
      <c r="E775">
        <v>4</v>
      </c>
      <c r="F775">
        <f t="shared" si="156"/>
        <v>0</v>
      </c>
      <c r="G775">
        <f t="shared" si="157"/>
        <v>0</v>
      </c>
      <c r="H775">
        <f t="shared" si="158"/>
        <v>17</v>
      </c>
      <c r="I775">
        <f t="shared" si="159"/>
        <v>0</v>
      </c>
      <c r="J775">
        <f t="shared" si="160"/>
        <v>0</v>
      </c>
      <c r="K775">
        <f t="shared" si="161"/>
        <v>680</v>
      </c>
      <c r="L775">
        <f t="shared" si="162"/>
        <v>5.82</v>
      </c>
      <c r="M775">
        <f t="shared" si="163"/>
        <v>685.82</v>
      </c>
      <c r="N775">
        <f t="shared" si="164"/>
        <v>0</v>
      </c>
      <c r="O775">
        <f t="shared" si="165"/>
        <v>0</v>
      </c>
      <c r="P775">
        <f t="shared" si="166"/>
        <v>685.82</v>
      </c>
      <c r="Q775">
        <f t="shared" si="167"/>
        <v>0</v>
      </c>
      <c r="R775">
        <f t="shared" si="168"/>
        <v>0</v>
      </c>
    </row>
    <row r="776" spans="1:18" x14ac:dyDescent="0.3">
      <c r="A776" s="1">
        <v>41953</v>
      </c>
      <c r="B776" s="1">
        <v>41978</v>
      </c>
      <c r="C776">
        <v>16.829999999999998</v>
      </c>
      <c r="D776">
        <v>0.44</v>
      </c>
      <c r="E776">
        <v>6</v>
      </c>
      <c r="F776">
        <f t="shared" si="156"/>
        <v>0</v>
      </c>
      <c r="G776">
        <f t="shared" si="157"/>
        <v>0</v>
      </c>
      <c r="H776">
        <f t="shared" si="158"/>
        <v>0</v>
      </c>
      <c r="I776">
        <f t="shared" si="159"/>
        <v>0</v>
      </c>
      <c r="J776">
        <f t="shared" si="160"/>
        <v>25</v>
      </c>
      <c r="K776">
        <f t="shared" si="161"/>
        <v>1500</v>
      </c>
      <c r="L776">
        <f t="shared" si="162"/>
        <v>17.27</v>
      </c>
      <c r="M776">
        <f t="shared" si="163"/>
        <v>1517.27</v>
      </c>
      <c r="N776">
        <f t="shared" si="164"/>
        <v>0</v>
      </c>
      <c r="O776">
        <f t="shared" si="165"/>
        <v>0</v>
      </c>
      <c r="P776">
        <f t="shared" si="166"/>
        <v>0</v>
      </c>
      <c r="Q776">
        <f t="shared" si="167"/>
        <v>0</v>
      </c>
      <c r="R776">
        <f t="shared" si="168"/>
        <v>1517.27</v>
      </c>
    </row>
    <row r="777" spans="1:18" x14ac:dyDescent="0.3">
      <c r="A777" s="1">
        <v>41956</v>
      </c>
      <c r="B777" s="1">
        <v>41958</v>
      </c>
      <c r="C777">
        <v>5.23</v>
      </c>
      <c r="D777">
        <v>0.14000000000000001</v>
      </c>
      <c r="E777">
        <v>4</v>
      </c>
      <c r="F777">
        <f t="shared" si="156"/>
        <v>0</v>
      </c>
      <c r="G777">
        <f t="shared" si="157"/>
        <v>0</v>
      </c>
      <c r="H777">
        <f t="shared" si="158"/>
        <v>2</v>
      </c>
      <c r="I777">
        <f t="shared" si="159"/>
        <v>0</v>
      </c>
      <c r="J777">
        <f t="shared" si="160"/>
        <v>0</v>
      </c>
      <c r="K777">
        <f t="shared" si="161"/>
        <v>80</v>
      </c>
      <c r="L777">
        <f t="shared" si="162"/>
        <v>5.37</v>
      </c>
      <c r="M777">
        <f t="shared" si="163"/>
        <v>85.37</v>
      </c>
      <c r="N777">
        <f t="shared" si="164"/>
        <v>0</v>
      </c>
      <c r="O777">
        <f t="shared" si="165"/>
        <v>0</v>
      </c>
      <c r="P777">
        <f t="shared" si="166"/>
        <v>85.37</v>
      </c>
      <c r="Q777">
        <f t="shared" si="167"/>
        <v>0</v>
      </c>
      <c r="R777">
        <f t="shared" si="168"/>
        <v>0</v>
      </c>
    </row>
    <row r="778" spans="1:18" x14ac:dyDescent="0.3">
      <c r="A778" s="1">
        <v>41957</v>
      </c>
      <c r="B778" s="1">
        <v>41966</v>
      </c>
      <c r="C778">
        <v>3.73</v>
      </c>
      <c r="D778">
        <v>0.1</v>
      </c>
      <c r="E778">
        <v>3</v>
      </c>
      <c r="F778">
        <f t="shared" si="156"/>
        <v>0</v>
      </c>
      <c r="G778">
        <f t="shared" si="157"/>
        <v>9</v>
      </c>
      <c r="H778">
        <f t="shared" si="158"/>
        <v>0</v>
      </c>
      <c r="I778">
        <f t="shared" si="159"/>
        <v>0</v>
      </c>
      <c r="J778">
        <f t="shared" si="160"/>
        <v>0</v>
      </c>
      <c r="K778">
        <f t="shared" si="161"/>
        <v>270</v>
      </c>
      <c r="L778">
        <f t="shared" si="162"/>
        <v>3.83</v>
      </c>
      <c r="M778">
        <f t="shared" si="163"/>
        <v>273.83</v>
      </c>
      <c r="N778">
        <f t="shared" si="164"/>
        <v>0</v>
      </c>
      <c r="O778">
        <f t="shared" si="165"/>
        <v>273.83</v>
      </c>
      <c r="P778">
        <f t="shared" si="166"/>
        <v>0</v>
      </c>
      <c r="Q778">
        <f t="shared" si="167"/>
        <v>0</v>
      </c>
      <c r="R778">
        <f t="shared" si="168"/>
        <v>0</v>
      </c>
    </row>
    <row r="779" spans="1:18" x14ac:dyDescent="0.3">
      <c r="A779" s="1">
        <v>41958</v>
      </c>
      <c r="B779" s="1">
        <v>41985</v>
      </c>
      <c r="C779">
        <v>8.7200000000000006</v>
      </c>
      <c r="D779">
        <v>0.23</v>
      </c>
      <c r="E779">
        <v>6</v>
      </c>
      <c r="F779">
        <f t="shared" si="156"/>
        <v>0</v>
      </c>
      <c r="G779">
        <f t="shared" si="157"/>
        <v>0</v>
      </c>
      <c r="H779">
        <f t="shared" si="158"/>
        <v>0</v>
      </c>
      <c r="I779">
        <f t="shared" si="159"/>
        <v>0</v>
      </c>
      <c r="J779">
        <f t="shared" si="160"/>
        <v>27</v>
      </c>
      <c r="K779">
        <f t="shared" si="161"/>
        <v>1620</v>
      </c>
      <c r="L779">
        <f t="shared" si="162"/>
        <v>8.9500000000000011</v>
      </c>
      <c r="M779">
        <f t="shared" si="163"/>
        <v>1628.95</v>
      </c>
      <c r="N779">
        <f t="shared" si="164"/>
        <v>0</v>
      </c>
      <c r="O779">
        <f t="shared" si="165"/>
        <v>0</v>
      </c>
      <c r="P779">
        <f t="shared" si="166"/>
        <v>0</v>
      </c>
      <c r="Q779">
        <f t="shared" si="167"/>
        <v>0</v>
      </c>
      <c r="R779">
        <f t="shared" si="168"/>
        <v>1628.95</v>
      </c>
    </row>
    <row r="780" spans="1:18" x14ac:dyDescent="0.3">
      <c r="A780" s="1">
        <v>41958</v>
      </c>
      <c r="B780" s="1">
        <v>41975</v>
      </c>
      <c r="C780">
        <v>19.54</v>
      </c>
      <c r="D780">
        <v>0.51</v>
      </c>
      <c r="E780">
        <v>2</v>
      </c>
      <c r="F780">
        <f t="shared" si="156"/>
        <v>17</v>
      </c>
      <c r="G780">
        <f t="shared" si="157"/>
        <v>0</v>
      </c>
      <c r="H780">
        <f t="shared" si="158"/>
        <v>0</v>
      </c>
      <c r="I780">
        <f t="shared" si="159"/>
        <v>0</v>
      </c>
      <c r="J780">
        <f t="shared" si="160"/>
        <v>0</v>
      </c>
      <c r="K780">
        <f t="shared" si="161"/>
        <v>340</v>
      </c>
      <c r="L780">
        <f t="shared" si="162"/>
        <v>20.05</v>
      </c>
      <c r="M780">
        <f t="shared" si="163"/>
        <v>360.05</v>
      </c>
      <c r="N780">
        <f t="shared" si="164"/>
        <v>360.05</v>
      </c>
      <c r="O780">
        <f t="shared" si="165"/>
        <v>0</v>
      </c>
      <c r="P780">
        <f t="shared" si="166"/>
        <v>0</v>
      </c>
      <c r="Q780">
        <f t="shared" si="167"/>
        <v>0</v>
      </c>
      <c r="R780">
        <f t="shared" si="168"/>
        <v>0</v>
      </c>
    </row>
    <row r="781" spans="1:18" x14ac:dyDescent="0.3">
      <c r="A781" s="1">
        <v>41958</v>
      </c>
      <c r="B781" s="1">
        <v>41980</v>
      </c>
      <c r="C781">
        <v>2.29</v>
      </c>
      <c r="D781">
        <v>0.06</v>
      </c>
      <c r="E781">
        <v>4</v>
      </c>
      <c r="F781">
        <f t="shared" si="156"/>
        <v>0</v>
      </c>
      <c r="G781">
        <f t="shared" si="157"/>
        <v>0</v>
      </c>
      <c r="H781">
        <f t="shared" si="158"/>
        <v>22</v>
      </c>
      <c r="I781">
        <f t="shared" si="159"/>
        <v>0</v>
      </c>
      <c r="J781">
        <f t="shared" si="160"/>
        <v>0</v>
      </c>
      <c r="K781">
        <f t="shared" si="161"/>
        <v>880</v>
      </c>
      <c r="L781">
        <f t="shared" si="162"/>
        <v>2.35</v>
      </c>
      <c r="M781">
        <f t="shared" si="163"/>
        <v>882.35</v>
      </c>
      <c r="N781">
        <f t="shared" si="164"/>
        <v>0</v>
      </c>
      <c r="O781">
        <f t="shared" si="165"/>
        <v>0</v>
      </c>
      <c r="P781">
        <f t="shared" si="166"/>
        <v>882.35</v>
      </c>
      <c r="Q781">
        <f t="shared" si="167"/>
        <v>0</v>
      </c>
      <c r="R781">
        <f t="shared" si="168"/>
        <v>0</v>
      </c>
    </row>
    <row r="782" spans="1:18" x14ac:dyDescent="0.3">
      <c r="A782" s="1">
        <v>41958</v>
      </c>
      <c r="B782" s="1">
        <v>41986</v>
      </c>
      <c r="C782">
        <v>8.9499999999999993</v>
      </c>
      <c r="D782">
        <v>0.24</v>
      </c>
      <c r="E782">
        <v>6</v>
      </c>
      <c r="F782">
        <f t="shared" si="156"/>
        <v>0</v>
      </c>
      <c r="G782">
        <f t="shared" si="157"/>
        <v>0</v>
      </c>
      <c r="H782">
        <f t="shared" si="158"/>
        <v>0</v>
      </c>
      <c r="I782">
        <f t="shared" si="159"/>
        <v>0</v>
      </c>
      <c r="J782">
        <f t="shared" si="160"/>
        <v>28</v>
      </c>
      <c r="K782">
        <f t="shared" si="161"/>
        <v>1680</v>
      </c>
      <c r="L782">
        <f t="shared" si="162"/>
        <v>9.19</v>
      </c>
      <c r="M782">
        <f t="shared" si="163"/>
        <v>1689.19</v>
      </c>
      <c r="N782">
        <f t="shared" si="164"/>
        <v>0</v>
      </c>
      <c r="O782">
        <f t="shared" si="165"/>
        <v>0</v>
      </c>
      <c r="P782">
        <f t="shared" si="166"/>
        <v>0</v>
      </c>
      <c r="Q782">
        <f t="shared" si="167"/>
        <v>0</v>
      </c>
      <c r="R782">
        <f t="shared" si="168"/>
        <v>1689.19</v>
      </c>
    </row>
    <row r="783" spans="1:18" x14ac:dyDescent="0.3">
      <c r="A783" s="1">
        <v>41958</v>
      </c>
      <c r="B783" s="1">
        <v>41969</v>
      </c>
      <c r="C783">
        <v>5.67</v>
      </c>
      <c r="D783">
        <v>0.15</v>
      </c>
      <c r="E783">
        <v>6</v>
      </c>
      <c r="F783">
        <f t="shared" si="156"/>
        <v>0</v>
      </c>
      <c r="G783">
        <f t="shared" si="157"/>
        <v>0</v>
      </c>
      <c r="H783">
        <f t="shared" si="158"/>
        <v>0</v>
      </c>
      <c r="I783">
        <f t="shared" si="159"/>
        <v>0</v>
      </c>
      <c r="J783">
        <f t="shared" si="160"/>
        <v>11</v>
      </c>
      <c r="K783">
        <f t="shared" si="161"/>
        <v>660</v>
      </c>
      <c r="L783">
        <f t="shared" si="162"/>
        <v>5.82</v>
      </c>
      <c r="M783">
        <f t="shared" si="163"/>
        <v>665.82</v>
      </c>
      <c r="N783">
        <f t="shared" si="164"/>
        <v>0</v>
      </c>
      <c r="O783">
        <f t="shared" si="165"/>
        <v>0</v>
      </c>
      <c r="P783">
        <f t="shared" si="166"/>
        <v>0</v>
      </c>
      <c r="Q783">
        <f t="shared" si="167"/>
        <v>0</v>
      </c>
      <c r="R783">
        <f t="shared" si="168"/>
        <v>665.82</v>
      </c>
    </row>
    <row r="784" spans="1:18" x14ac:dyDescent="0.3">
      <c r="A784" s="1">
        <v>41958</v>
      </c>
      <c r="B784" s="1">
        <v>41982</v>
      </c>
      <c r="C784">
        <v>8.83</v>
      </c>
      <c r="D784">
        <v>0.23</v>
      </c>
      <c r="E784">
        <v>4</v>
      </c>
      <c r="F784">
        <f t="shared" si="156"/>
        <v>0</v>
      </c>
      <c r="G784">
        <f t="shared" si="157"/>
        <v>0</v>
      </c>
      <c r="H784">
        <f t="shared" si="158"/>
        <v>24</v>
      </c>
      <c r="I784">
        <f t="shared" si="159"/>
        <v>0</v>
      </c>
      <c r="J784">
        <f t="shared" si="160"/>
        <v>0</v>
      </c>
      <c r="K784">
        <f t="shared" si="161"/>
        <v>960</v>
      </c>
      <c r="L784">
        <f t="shared" si="162"/>
        <v>9.06</v>
      </c>
      <c r="M784">
        <f t="shared" si="163"/>
        <v>969.06</v>
      </c>
      <c r="N784">
        <f t="shared" si="164"/>
        <v>0</v>
      </c>
      <c r="O784">
        <f t="shared" si="165"/>
        <v>0</v>
      </c>
      <c r="P784">
        <f t="shared" si="166"/>
        <v>969.06</v>
      </c>
      <c r="Q784">
        <f t="shared" si="167"/>
        <v>0</v>
      </c>
      <c r="R784">
        <f t="shared" si="168"/>
        <v>0</v>
      </c>
    </row>
    <row r="785" spans="1:18" x14ac:dyDescent="0.3">
      <c r="A785" s="1">
        <v>41958</v>
      </c>
      <c r="B785" s="1">
        <v>41963</v>
      </c>
      <c r="C785">
        <v>10.79</v>
      </c>
      <c r="D785">
        <v>0.28000000000000003</v>
      </c>
      <c r="E785">
        <v>4</v>
      </c>
      <c r="F785">
        <f t="shared" si="156"/>
        <v>0</v>
      </c>
      <c r="G785">
        <f t="shared" si="157"/>
        <v>0</v>
      </c>
      <c r="H785">
        <f t="shared" si="158"/>
        <v>5</v>
      </c>
      <c r="I785">
        <f t="shared" si="159"/>
        <v>0</v>
      </c>
      <c r="J785">
        <f t="shared" si="160"/>
        <v>0</v>
      </c>
      <c r="K785">
        <f t="shared" si="161"/>
        <v>200</v>
      </c>
      <c r="L785">
        <f t="shared" si="162"/>
        <v>11.069999999999999</v>
      </c>
      <c r="M785">
        <f t="shared" si="163"/>
        <v>211.07</v>
      </c>
      <c r="N785">
        <f t="shared" si="164"/>
        <v>0</v>
      </c>
      <c r="O785">
        <f t="shared" si="165"/>
        <v>0</v>
      </c>
      <c r="P785">
        <f t="shared" si="166"/>
        <v>211.07</v>
      </c>
      <c r="Q785">
        <f t="shared" si="167"/>
        <v>0</v>
      </c>
      <c r="R785">
        <f t="shared" si="168"/>
        <v>0</v>
      </c>
    </row>
    <row r="786" spans="1:18" x14ac:dyDescent="0.3">
      <c r="A786" s="1">
        <v>41958</v>
      </c>
      <c r="B786" s="1">
        <v>41961</v>
      </c>
      <c r="C786">
        <v>5.67</v>
      </c>
      <c r="D786">
        <v>0.15</v>
      </c>
      <c r="E786">
        <v>6</v>
      </c>
      <c r="F786">
        <f t="shared" si="156"/>
        <v>0</v>
      </c>
      <c r="G786">
        <f t="shared" si="157"/>
        <v>0</v>
      </c>
      <c r="H786">
        <f t="shared" si="158"/>
        <v>0</v>
      </c>
      <c r="I786">
        <f t="shared" si="159"/>
        <v>0</v>
      </c>
      <c r="J786">
        <f t="shared" si="160"/>
        <v>3</v>
      </c>
      <c r="K786">
        <f t="shared" si="161"/>
        <v>180</v>
      </c>
      <c r="L786">
        <f t="shared" si="162"/>
        <v>5.82</v>
      </c>
      <c r="M786">
        <f t="shared" si="163"/>
        <v>185.82</v>
      </c>
      <c r="N786">
        <f t="shared" si="164"/>
        <v>0</v>
      </c>
      <c r="O786">
        <f t="shared" si="165"/>
        <v>0</v>
      </c>
      <c r="P786">
        <f t="shared" si="166"/>
        <v>0</v>
      </c>
      <c r="Q786">
        <f t="shared" si="167"/>
        <v>0</v>
      </c>
      <c r="R786">
        <f t="shared" si="168"/>
        <v>185.82</v>
      </c>
    </row>
    <row r="787" spans="1:18" x14ac:dyDescent="0.3">
      <c r="A787" s="1">
        <v>41958</v>
      </c>
      <c r="B787" s="1">
        <v>41972</v>
      </c>
      <c r="C787">
        <v>14.31</v>
      </c>
      <c r="D787">
        <v>0.38</v>
      </c>
      <c r="E787">
        <v>5</v>
      </c>
      <c r="F787">
        <f t="shared" si="156"/>
        <v>0</v>
      </c>
      <c r="G787">
        <f t="shared" si="157"/>
        <v>0</v>
      </c>
      <c r="H787">
        <f t="shared" si="158"/>
        <v>0</v>
      </c>
      <c r="I787">
        <f t="shared" si="159"/>
        <v>14</v>
      </c>
      <c r="J787">
        <f t="shared" si="160"/>
        <v>0</v>
      </c>
      <c r="K787">
        <f t="shared" si="161"/>
        <v>700</v>
      </c>
      <c r="L787">
        <f t="shared" si="162"/>
        <v>14.690000000000001</v>
      </c>
      <c r="M787">
        <f t="shared" si="163"/>
        <v>714.69</v>
      </c>
      <c r="N787">
        <f t="shared" si="164"/>
        <v>0</v>
      </c>
      <c r="O787">
        <f t="shared" si="165"/>
        <v>0</v>
      </c>
      <c r="P787">
        <f t="shared" si="166"/>
        <v>0</v>
      </c>
      <c r="Q787">
        <f t="shared" si="167"/>
        <v>714.69</v>
      </c>
      <c r="R787">
        <f t="shared" si="168"/>
        <v>0</v>
      </c>
    </row>
    <row r="788" spans="1:18" x14ac:dyDescent="0.3">
      <c r="A788" s="1">
        <v>41958</v>
      </c>
      <c r="B788" s="1">
        <v>41976</v>
      </c>
      <c r="C788">
        <v>5.67</v>
      </c>
      <c r="D788">
        <v>0.15</v>
      </c>
      <c r="E788">
        <v>6</v>
      </c>
      <c r="F788">
        <f t="shared" si="156"/>
        <v>0</v>
      </c>
      <c r="G788">
        <f t="shared" si="157"/>
        <v>0</v>
      </c>
      <c r="H788">
        <f t="shared" si="158"/>
        <v>0</v>
      </c>
      <c r="I788">
        <f t="shared" si="159"/>
        <v>0</v>
      </c>
      <c r="J788">
        <f t="shared" si="160"/>
        <v>18</v>
      </c>
      <c r="K788">
        <f t="shared" si="161"/>
        <v>1080</v>
      </c>
      <c r="L788">
        <f t="shared" si="162"/>
        <v>5.82</v>
      </c>
      <c r="M788">
        <f t="shared" si="163"/>
        <v>1085.82</v>
      </c>
      <c r="N788">
        <f t="shared" si="164"/>
        <v>0</v>
      </c>
      <c r="O788">
        <f t="shared" si="165"/>
        <v>0</v>
      </c>
      <c r="P788">
        <f t="shared" si="166"/>
        <v>0</v>
      </c>
      <c r="Q788">
        <f t="shared" si="167"/>
        <v>0</v>
      </c>
      <c r="R788">
        <f t="shared" si="168"/>
        <v>1085.82</v>
      </c>
    </row>
    <row r="789" spans="1:18" x14ac:dyDescent="0.3">
      <c r="A789" s="1">
        <v>41958</v>
      </c>
      <c r="B789" s="1">
        <v>41961</v>
      </c>
      <c r="C789">
        <v>6.75</v>
      </c>
      <c r="D789">
        <v>0.18</v>
      </c>
      <c r="E789">
        <v>6</v>
      </c>
      <c r="F789">
        <f t="shared" si="156"/>
        <v>0</v>
      </c>
      <c r="G789">
        <f t="shared" si="157"/>
        <v>0</v>
      </c>
      <c r="H789">
        <f t="shared" si="158"/>
        <v>0</v>
      </c>
      <c r="I789">
        <f t="shared" si="159"/>
        <v>0</v>
      </c>
      <c r="J789">
        <f t="shared" si="160"/>
        <v>3</v>
      </c>
      <c r="K789">
        <f t="shared" si="161"/>
        <v>180</v>
      </c>
      <c r="L789">
        <f t="shared" si="162"/>
        <v>6.93</v>
      </c>
      <c r="M789">
        <f t="shared" si="163"/>
        <v>186.93</v>
      </c>
      <c r="N789">
        <f t="shared" si="164"/>
        <v>0</v>
      </c>
      <c r="O789">
        <f t="shared" si="165"/>
        <v>0</v>
      </c>
      <c r="P789">
        <f t="shared" si="166"/>
        <v>0</v>
      </c>
      <c r="Q789">
        <f t="shared" si="167"/>
        <v>0</v>
      </c>
      <c r="R789">
        <f t="shared" si="168"/>
        <v>186.93</v>
      </c>
    </row>
    <row r="790" spans="1:18" x14ac:dyDescent="0.3">
      <c r="A790" s="1">
        <v>41958</v>
      </c>
      <c r="B790" s="1">
        <v>41964</v>
      </c>
      <c r="C790">
        <v>12.01</v>
      </c>
      <c r="D790">
        <v>0.32</v>
      </c>
      <c r="E790">
        <v>4</v>
      </c>
      <c r="F790">
        <f t="shared" si="156"/>
        <v>0</v>
      </c>
      <c r="G790">
        <f t="shared" si="157"/>
        <v>0</v>
      </c>
      <c r="H790">
        <f t="shared" si="158"/>
        <v>6</v>
      </c>
      <c r="I790">
        <f t="shared" si="159"/>
        <v>0</v>
      </c>
      <c r="J790">
        <f t="shared" si="160"/>
        <v>0</v>
      </c>
      <c r="K790">
        <f t="shared" si="161"/>
        <v>240</v>
      </c>
      <c r="L790">
        <f t="shared" si="162"/>
        <v>12.33</v>
      </c>
      <c r="M790">
        <f t="shared" si="163"/>
        <v>252.33</v>
      </c>
      <c r="N790">
        <f t="shared" si="164"/>
        <v>0</v>
      </c>
      <c r="O790">
        <f t="shared" si="165"/>
        <v>0</v>
      </c>
      <c r="P790">
        <f t="shared" si="166"/>
        <v>252.33</v>
      </c>
      <c r="Q790">
        <f t="shared" si="167"/>
        <v>0</v>
      </c>
      <c r="R790">
        <f t="shared" si="168"/>
        <v>0</v>
      </c>
    </row>
    <row r="791" spans="1:18" x14ac:dyDescent="0.3">
      <c r="A791" s="1">
        <v>41958</v>
      </c>
      <c r="B791" s="1">
        <v>41973</v>
      </c>
      <c r="C791">
        <v>5.23</v>
      </c>
      <c r="D791">
        <v>0.14000000000000001</v>
      </c>
      <c r="E791">
        <v>6</v>
      </c>
      <c r="F791">
        <f t="shared" si="156"/>
        <v>0</v>
      </c>
      <c r="G791">
        <f t="shared" si="157"/>
        <v>0</v>
      </c>
      <c r="H791">
        <f t="shared" si="158"/>
        <v>0</v>
      </c>
      <c r="I791">
        <f t="shared" si="159"/>
        <v>0</v>
      </c>
      <c r="J791">
        <f t="shared" si="160"/>
        <v>15</v>
      </c>
      <c r="K791">
        <f t="shared" si="161"/>
        <v>900</v>
      </c>
      <c r="L791">
        <f t="shared" si="162"/>
        <v>5.37</v>
      </c>
      <c r="M791">
        <f t="shared" si="163"/>
        <v>905.37</v>
      </c>
      <c r="N791">
        <f t="shared" si="164"/>
        <v>0</v>
      </c>
      <c r="O791">
        <f t="shared" si="165"/>
        <v>0</v>
      </c>
      <c r="P791">
        <f t="shared" si="166"/>
        <v>0</v>
      </c>
      <c r="Q791">
        <f t="shared" si="167"/>
        <v>0</v>
      </c>
      <c r="R791">
        <f t="shared" si="168"/>
        <v>905.37</v>
      </c>
    </row>
    <row r="792" spans="1:18" x14ac:dyDescent="0.3">
      <c r="A792" s="1">
        <v>41958</v>
      </c>
      <c r="B792" s="1">
        <v>41978</v>
      </c>
      <c r="C792">
        <v>13.81</v>
      </c>
      <c r="D792">
        <v>0.36</v>
      </c>
      <c r="E792">
        <v>4</v>
      </c>
      <c r="F792">
        <f t="shared" si="156"/>
        <v>0</v>
      </c>
      <c r="G792">
        <f t="shared" si="157"/>
        <v>0</v>
      </c>
      <c r="H792">
        <f t="shared" si="158"/>
        <v>20</v>
      </c>
      <c r="I792">
        <f t="shared" si="159"/>
        <v>0</v>
      </c>
      <c r="J792">
        <f t="shared" si="160"/>
        <v>0</v>
      </c>
      <c r="K792">
        <f t="shared" si="161"/>
        <v>800</v>
      </c>
      <c r="L792">
        <f t="shared" si="162"/>
        <v>14.17</v>
      </c>
      <c r="M792">
        <f t="shared" si="163"/>
        <v>814.17</v>
      </c>
      <c r="N792">
        <f t="shared" si="164"/>
        <v>0</v>
      </c>
      <c r="O792">
        <f t="shared" si="165"/>
        <v>0</v>
      </c>
      <c r="P792">
        <f t="shared" si="166"/>
        <v>814.17</v>
      </c>
      <c r="Q792">
        <f t="shared" si="167"/>
        <v>0</v>
      </c>
      <c r="R792">
        <f t="shared" si="168"/>
        <v>0</v>
      </c>
    </row>
    <row r="793" spans="1:18" x14ac:dyDescent="0.3">
      <c r="A793" s="1">
        <v>41958</v>
      </c>
      <c r="B793" s="1">
        <v>41970</v>
      </c>
      <c r="C793">
        <v>5.23</v>
      </c>
      <c r="D793">
        <v>0.14000000000000001</v>
      </c>
      <c r="E793">
        <v>3</v>
      </c>
      <c r="F793">
        <f t="shared" si="156"/>
        <v>0</v>
      </c>
      <c r="G793">
        <f t="shared" si="157"/>
        <v>12</v>
      </c>
      <c r="H793">
        <f t="shared" si="158"/>
        <v>0</v>
      </c>
      <c r="I793">
        <f t="shared" si="159"/>
        <v>0</v>
      </c>
      <c r="J793">
        <f t="shared" si="160"/>
        <v>0</v>
      </c>
      <c r="K793">
        <f t="shared" si="161"/>
        <v>360</v>
      </c>
      <c r="L793">
        <f t="shared" si="162"/>
        <v>5.37</v>
      </c>
      <c r="M793">
        <f t="shared" si="163"/>
        <v>365.37</v>
      </c>
      <c r="N793">
        <f t="shared" si="164"/>
        <v>0</v>
      </c>
      <c r="O793">
        <f t="shared" si="165"/>
        <v>365.37</v>
      </c>
      <c r="P793">
        <f t="shared" si="166"/>
        <v>0</v>
      </c>
      <c r="Q793">
        <f t="shared" si="167"/>
        <v>0</v>
      </c>
      <c r="R793">
        <f t="shared" si="168"/>
        <v>0</v>
      </c>
    </row>
    <row r="794" spans="1:18" x14ac:dyDescent="0.3">
      <c r="A794" s="1">
        <v>41959</v>
      </c>
      <c r="B794" s="1">
        <v>41968</v>
      </c>
      <c r="C794">
        <v>4.25</v>
      </c>
      <c r="D794">
        <v>0.11</v>
      </c>
      <c r="E794">
        <v>6</v>
      </c>
      <c r="F794">
        <f t="shared" si="156"/>
        <v>0</v>
      </c>
      <c r="G794">
        <f t="shared" si="157"/>
        <v>0</v>
      </c>
      <c r="H794">
        <f t="shared" si="158"/>
        <v>0</v>
      </c>
      <c r="I794">
        <f t="shared" si="159"/>
        <v>0</v>
      </c>
      <c r="J794">
        <f t="shared" si="160"/>
        <v>9</v>
      </c>
      <c r="K794">
        <f t="shared" si="161"/>
        <v>540</v>
      </c>
      <c r="L794">
        <f t="shared" si="162"/>
        <v>4.3600000000000003</v>
      </c>
      <c r="M794">
        <f t="shared" si="163"/>
        <v>544.36</v>
      </c>
      <c r="N794">
        <f t="shared" si="164"/>
        <v>0</v>
      </c>
      <c r="O794">
        <f t="shared" si="165"/>
        <v>0</v>
      </c>
      <c r="P794">
        <f t="shared" si="166"/>
        <v>0</v>
      </c>
      <c r="Q794">
        <f t="shared" si="167"/>
        <v>0</v>
      </c>
      <c r="R794">
        <f t="shared" si="168"/>
        <v>544.36</v>
      </c>
    </row>
    <row r="795" spans="1:18" x14ac:dyDescent="0.3">
      <c r="A795" s="1">
        <v>41959</v>
      </c>
      <c r="B795" s="1">
        <v>41984</v>
      </c>
      <c r="C795">
        <v>5.23</v>
      </c>
      <c r="D795">
        <v>0.14000000000000001</v>
      </c>
      <c r="E795">
        <v>4</v>
      </c>
      <c r="F795">
        <f t="shared" si="156"/>
        <v>0</v>
      </c>
      <c r="G795">
        <f t="shared" si="157"/>
        <v>0</v>
      </c>
      <c r="H795">
        <f t="shared" si="158"/>
        <v>25</v>
      </c>
      <c r="I795">
        <f t="shared" si="159"/>
        <v>0</v>
      </c>
      <c r="J795">
        <f t="shared" si="160"/>
        <v>0</v>
      </c>
      <c r="K795">
        <f t="shared" si="161"/>
        <v>1000</v>
      </c>
      <c r="L795">
        <f t="shared" si="162"/>
        <v>5.37</v>
      </c>
      <c r="M795">
        <f t="shared" si="163"/>
        <v>1005.37</v>
      </c>
      <c r="N795">
        <f t="shared" si="164"/>
        <v>0</v>
      </c>
      <c r="O795">
        <f t="shared" si="165"/>
        <v>0</v>
      </c>
      <c r="P795">
        <f t="shared" si="166"/>
        <v>1005.37</v>
      </c>
      <c r="Q795">
        <f t="shared" si="167"/>
        <v>0</v>
      </c>
      <c r="R795">
        <f t="shared" si="168"/>
        <v>0</v>
      </c>
    </row>
    <row r="796" spans="1:18" x14ac:dyDescent="0.3">
      <c r="A796" s="1">
        <v>41959</v>
      </c>
      <c r="B796" s="1">
        <v>41983</v>
      </c>
      <c r="C796">
        <v>6.23</v>
      </c>
      <c r="D796">
        <v>0.16</v>
      </c>
      <c r="E796">
        <v>2</v>
      </c>
      <c r="F796">
        <f t="shared" si="156"/>
        <v>24</v>
      </c>
      <c r="G796">
        <f t="shared" si="157"/>
        <v>0</v>
      </c>
      <c r="H796">
        <f t="shared" si="158"/>
        <v>0</v>
      </c>
      <c r="I796">
        <f t="shared" si="159"/>
        <v>0</v>
      </c>
      <c r="J796">
        <f t="shared" si="160"/>
        <v>0</v>
      </c>
      <c r="K796">
        <f t="shared" si="161"/>
        <v>480</v>
      </c>
      <c r="L796">
        <f t="shared" si="162"/>
        <v>6.3900000000000006</v>
      </c>
      <c r="M796">
        <f t="shared" si="163"/>
        <v>486.39</v>
      </c>
      <c r="N796">
        <f t="shared" si="164"/>
        <v>486.39</v>
      </c>
      <c r="O796">
        <f t="shared" si="165"/>
        <v>0</v>
      </c>
      <c r="P796">
        <f t="shared" si="166"/>
        <v>0</v>
      </c>
      <c r="Q796">
        <f t="shared" si="167"/>
        <v>0</v>
      </c>
      <c r="R796">
        <f t="shared" si="168"/>
        <v>0</v>
      </c>
    </row>
    <row r="797" spans="1:18" x14ac:dyDescent="0.3">
      <c r="A797" s="1">
        <v>41959</v>
      </c>
      <c r="B797" s="1">
        <v>41971</v>
      </c>
      <c r="C797">
        <v>16.55</v>
      </c>
      <c r="D797">
        <v>0.44</v>
      </c>
      <c r="E797">
        <v>5</v>
      </c>
      <c r="F797">
        <f t="shared" si="156"/>
        <v>0</v>
      </c>
      <c r="G797">
        <f t="shared" si="157"/>
        <v>0</v>
      </c>
      <c r="H797">
        <f t="shared" si="158"/>
        <v>0</v>
      </c>
      <c r="I797">
        <f t="shared" si="159"/>
        <v>12</v>
      </c>
      <c r="J797">
        <f t="shared" si="160"/>
        <v>0</v>
      </c>
      <c r="K797">
        <f t="shared" si="161"/>
        <v>600</v>
      </c>
      <c r="L797">
        <f t="shared" si="162"/>
        <v>16.990000000000002</v>
      </c>
      <c r="M797">
        <f t="shared" si="163"/>
        <v>616.99</v>
      </c>
      <c r="N797">
        <f t="shared" si="164"/>
        <v>0</v>
      </c>
      <c r="O797">
        <f t="shared" si="165"/>
        <v>0</v>
      </c>
      <c r="P797">
        <f t="shared" si="166"/>
        <v>0</v>
      </c>
      <c r="Q797">
        <f t="shared" si="167"/>
        <v>616.99</v>
      </c>
      <c r="R797">
        <f t="shared" si="168"/>
        <v>0</v>
      </c>
    </row>
    <row r="798" spans="1:18" x14ac:dyDescent="0.3">
      <c r="A798" s="1">
        <v>41959</v>
      </c>
      <c r="B798" s="1">
        <v>41966</v>
      </c>
      <c r="C798">
        <v>5.78</v>
      </c>
      <c r="D798">
        <v>0.15</v>
      </c>
      <c r="E798">
        <v>6</v>
      </c>
      <c r="F798">
        <f t="shared" si="156"/>
        <v>0</v>
      </c>
      <c r="G798">
        <f t="shared" si="157"/>
        <v>0</v>
      </c>
      <c r="H798">
        <f t="shared" si="158"/>
        <v>0</v>
      </c>
      <c r="I798">
        <f t="shared" si="159"/>
        <v>0</v>
      </c>
      <c r="J798">
        <f t="shared" si="160"/>
        <v>7</v>
      </c>
      <c r="K798">
        <f t="shared" si="161"/>
        <v>420</v>
      </c>
      <c r="L798">
        <f t="shared" si="162"/>
        <v>5.9300000000000006</v>
      </c>
      <c r="M798">
        <f t="shared" si="163"/>
        <v>425.93</v>
      </c>
      <c r="N798">
        <f t="shared" si="164"/>
        <v>0</v>
      </c>
      <c r="O798">
        <f t="shared" si="165"/>
        <v>0</v>
      </c>
      <c r="P798">
        <f t="shared" si="166"/>
        <v>0</v>
      </c>
      <c r="Q798">
        <f t="shared" si="167"/>
        <v>0</v>
      </c>
      <c r="R798">
        <f t="shared" si="168"/>
        <v>425.93</v>
      </c>
    </row>
    <row r="799" spans="1:18" x14ac:dyDescent="0.3">
      <c r="A799" s="1">
        <v>41959</v>
      </c>
      <c r="B799" s="1">
        <v>41978</v>
      </c>
      <c r="C799">
        <v>11.69</v>
      </c>
      <c r="D799">
        <v>0.31</v>
      </c>
      <c r="E799">
        <v>5</v>
      </c>
      <c r="F799">
        <f t="shared" si="156"/>
        <v>0</v>
      </c>
      <c r="G799">
        <f t="shared" si="157"/>
        <v>0</v>
      </c>
      <c r="H799">
        <f t="shared" si="158"/>
        <v>0</v>
      </c>
      <c r="I799">
        <f t="shared" si="159"/>
        <v>19</v>
      </c>
      <c r="J799">
        <f t="shared" si="160"/>
        <v>0</v>
      </c>
      <c r="K799">
        <f t="shared" si="161"/>
        <v>950</v>
      </c>
      <c r="L799">
        <f t="shared" si="162"/>
        <v>12</v>
      </c>
      <c r="M799">
        <f t="shared" si="163"/>
        <v>962</v>
      </c>
      <c r="N799">
        <f t="shared" si="164"/>
        <v>0</v>
      </c>
      <c r="O799">
        <f t="shared" si="165"/>
        <v>0</v>
      </c>
      <c r="P799">
        <f t="shared" si="166"/>
        <v>0</v>
      </c>
      <c r="Q799">
        <f t="shared" si="167"/>
        <v>962</v>
      </c>
      <c r="R799">
        <f t="shared" si="168"/>
        <v>0</v>
      </c>
    </row>
    <row r="800" spans="1:18" x14ac:dyDescent="0.3">
      <c r="A800" s="1">
        <v>41959</v>
      </c>
      <c r="B800" s="1">
        <v>41985</v>
      </c>
      <c r="C800">
        <v>11.78</v>
      </c>
      <c r="D800">
        <v>0.31</v>
      </c>
      <c r="E800">
        <v>2</v>
      </c>
      <c r="F800">
        <f t="shared" si="156"/>
        <v>26</v>
      </c>
      <c r="G800">
        <f t="shared" si="157"/>
        <v>0</v>
      </c>
      <c r="H800">
        <f t="shared" si="158"/>
        <v>0</v>
      </c>
      <c r="I800">
        <f t="shared" si="159"/>
        <v>0</v>
      </c>
      <c r="J800">
        <f t="shared" si="160"/>
        <v>0</v>
      </c>
      <c r="K800">
        <f t="shared" si="161"/>
        <v>520</v>
      </c>
      <c r="L800">
        <f t="shared" si="162"/>
        <v>12.09</v>
      </c>
      <c r="M800">
        <f t="shared" si="163"/>
        <v>532.09</v>
      </c>
      <c r="N800">
        <f t="shared" si="164"/>
        <v>532.09</v>
      </c>
      <c r="O800">
        <f t="shared" si="165"/>
        <v>0</v>
      </c>
      <c r="P800">
        <f t="shared" si="166"/>
        <v>0</v>
      </c>
      <c r="Q800">
        <f t="shared" si="167"/>
        <v>0</v>
      </c>
      <c r="R800">
        <f t="shared" si="168"/>
        <v>0</v>
      </c>
    </row>
    <row r="801" spans="1:18" x14ac:dyDescent="0.3">
      <c r="A801" s="1">
        <v>41959</v>
      </c>
      <c r="B801" s="1">
        <v>41974</v>
      </c>
      <c r="C801">
        <v>8.39</v>
      </c>
      <c r="D801">
        <v>0.22</v>
      </c>
      <c r="E801">
        <v>6</v>
      </c>
      <c r="F801">
        <f t="shared" si="156"/>
        <v>0</v>
      </c>
      <c r="G801">
        <f t="shared" si="157"/>
        <v>0</v>
      </c>
      <c r="H801">
        <f t="shared" si="158"/>
        <v>0</v>
      </c>
      <c r="I801">
        <f t="shared" si="159"/>
        <v>0</v>
      </c>
      <c r="J801">
        <f t="shared" si="160"/>
        <v>15</v>
      </c>
      <c r="K801">
        <f t="shared" si="161"/>
        <v>900</v>
      </c>
      <c r="L801">
        <f t="shared" si="162"/>
        <v>8.6100000000000012</v>
      </c>
      <c r="M801">
        <f t="shared" si="163"/>
        <v>908.61</v>
      </c>
      <c r="N801">
        <f t="shared" si="164"/>
        <v>0</v>
      </c>
      <c r="O801">
        <f t="shared" si="165"/>
        <v>0</v>
      </c>
      <c r="P801">
        <f t="shared" si="166"/>
        <v>0</v>
      </c>
      <c r="Q801">
        <f t="shared" si="167"/>
        <v>0</v>
      </c>
      <c r="R801">
        <f t="shared" si="168"/>
        <v>908.61</v>
      </c>
    </row>
    <row r="802" spans="1:18" x14ac:dyDescent="0.3">
      <c r="A802" s="1">
        <v>41959</v>
      </c>
      <c r="B802" s="1">
        <v>41976</v>
      </c>
      <c r="C802">
        <v>6.75</v>
      </c>
      <c r="D802">
        <v>0.18</v>
      </c>
      <c r="E802">
        <v>6</v>
      </c>
      <c r="F802">
        <f t="shared" si="156"/>
        <v>0</v>
      </c>
      <c r="G802">
        <f t="shared" si="157"/>
        <v>0</v>
      </c>
      <c r="H802">
        <f t="shared" si="158"/>
        <v>0</v>
      </c>
      <c r="I802">
        <f t="shared" si="159"/>
        <v>0</v>
      </c>
      <c r="J802">
        <f t="shared" si="160"/>
        <v>17</v>
      </c>
      <c r="K802">
        <f t="shared" si="161"/>
        <v>1020</v>
      </c>
      <c r="L802">
        <f t="shared" si="162"/>
        <v>6.93</v>
      </c>
      <c r="M802">
        <f t="shared" si="163"/>
        <v>1026.93</v>
      </c>
      <c r="N802">
        <f t="shared" si="164"/>
        <v>0</v>
      </c>
      <c r="O802">
        <f t="shared" si="165"/>
        <v>0</v>
      </c>
      <c r="P802">
        <f t="shared" si="166"/>
        <v>0</v>
      </c>
      <c r="Q802">
        <f t="shared" si="167"/>
        <v>0</v>
      </c>
      <c r="R802">
        <f t="shared" si="168"/>
        <v>1026.93</v>
      </c>
    </row>
    <row r="803" spans="1:18" x14ac:dyDescent="0.3">
      <c r="A803" s="1">
        <v>41960</v>
      </c>
      <c r="B803" s="1">
        <v>41964</v>
      </c>
      <c r="C803">
        <v>3.94</v>
      </c>
      <c r="D803">
        <v>0.1</v>
      </c>
      <c r="E803">
        <v>6</v>
      </c>
      <c r="F803">
        <f t="shared" si="156"/>
        <v>0</v>
      </c>
      <c r="G803">
        <f t="shared" si="157"/>
        <v>0</v>
      </c>
      <c r="H803">
        <f t="shared" si="158"/>
        <v>0</v>
      </c>
      <c r="I803">
        <f t="shared" si="159"/>
        <v>0</v>
      </c>
      <c r="J803">
        <f t="shared" si="160"/>
        <v>4</v>
      </c>
      <c r="K803">
        <f t="shared" si="161"/>
        <v>240</v>
      </c>
      <c r="L803">
        <f t="shared" si="162"/>
        <v>4.04</v>
      </c>
      <c r="M803">
        <f t="shared" si="163"/>
        <v>244.04</v>
      </c>
      <c r="N803">
        <f t="shared" si="164"/>
        <v>0</v>
      </c>
      <c r="O803">
        <f t="shared" si="165"/>
        <v>0</v>
      </c>
      <c r="P803">
        <f t="shared" si="166"/>
        <v>0</v>
      </c>
      <c r="Q803">
        <f t="shared" si="167"/>
        <v>0</v>
      </c>
      <c r="R803">
        <f t="shared" si="168"/>
        <v>244.04</v>
      </c>
    </row>
    <row r="804" spans="1:18" x14ac:dyDescent="0.3">
      <c r="A804" s="1">
        <v>41960</v>
      </c>
      <c r="B804" s="1">
        <v>41980</v>
      </c>
      <c r="C804">
        <v>3.57</v>
      </c>
      <c r="D804">
        <v>0.09</v>
      </c>
      <c r="E804">
        <v>6</v>
      </c>
      <c r="F804">
        <f t="shared" si="156"/>
        <v>0</v>
      </c>
      <c r="G804">
        <f t="shared" si="157"/>
        <v>0</v>
      </c>
      <c r="H804">
        <f t="shared" si="158"/>
        <v>0</v>
      </c>
      <c r="I804">
        <f t="shared" si="159"/>
        <v>0</v>
      </c>
      <c r="J804">
        <f t="shared" si="160"/>
        <v>20</v>
      </c>
      <c r="K804">
        <f t="shared" si="161"/>
        <v>1200</v>
      </c>
      <c r="L804">
        <f t="shared" si="162"/>
        <v>3.6599999999999997</v>
      </c>
      <c r="M804">
        <f t="shared" si="163"/>
        <v>1203.6600000000001</v>
      </c>
      <c r="N804">
        <f t="shared" si="164"/>
        <v>0</v>
      </c>
      <c r="O804">
        <f t="shared" si="165"/>
        <v>0</v>
      </c>
      <c r="P804">
        <f t="shared" si="166"/>
        <v>0</v>
      </c>
      <c r="Q804">
        <f t="shared" si="167"/>
        <v>0</v>
      </c>
      <c r="R804">
        <f t="shared" si="168"/>
        <v>1203.6600000000001</v>
      </c>
    </row>
    <row r="805" spans="1:18" x14ac:dyDescent="0.3">
      <c r="A805" s="1">
        <v>41960</v>
      </c>
      <c r="B805" s="1">
        <v>41980</v>
      </c>
      <c r="C805">
        <v>14.13</v>
      </c>
      <c r="D805">
        <v>0.37</v>
      </c>
      <c r="E805">
        <v>5</v>
      </c>
      <c r="F805">
        <f t="shared" si="156"/>
        <v>0</v>
      </c>
      <c r="G805">
        <f t="shared" si="157"/>
        <v>0</v>
      </c>
      <c r="H805">
        <f t="shared" si="158"/>
        <v>0</v>
      </c>
      <c r="I805">
        <f t="shared" si="159"/>
        <v>20</v>
      </c>
      <c r="J805">
        <f t="shared" si="160"/>
        <v>0</v>
      </c>
      <c r="K805">
        <f t="shared" si="161"/>
        <v>1000</v>
      </c>
      <c r="L805">
        <f t="shared" si="162"/>
        <v>14.5</v>
      </c>
      <c r="M805">
        <f t="shared" si="163"/>
        <v>1014.5</v>
      </c>
      <c r="N805">
        <f t="shared" si="164"/>
        <v>0</v>
      </c>
      <c r="O805">
        <f t="shared" si="165"/>
        <v>0</v>
      </c>
      <c r="P805">
        <f t="shared" si="166"/>
        <v>0</v>
      </c>
      <c r="Q805">
        <f t="shared" si="167"/>
        <v>1014.5</v>
      </c>
      <c r="R805">
        <f t="shared" si="168"/>
        <v>0</v>
      </c>
    </row>
    <row r="806" spans="1:18" x14ac:dyDescent="0.3">
      <c r="A806" s="1">
        <v>41960</v>
      </c>
      <c r="B806" s="1">
        <v>41967</v>
      </c>
      <c r="C806">
        <v>5.57</v>
      </c>
      <c r="D806">
        <v>0.15</v>
      </c>
      <c r="E806">
        <v>2</v>
      </c>
      <c r="F806">
        <f t="shared" si="156"/>
        <v>7</v>
      </c>
      <c r="G806">
        <f t="shared" si="157"/>
        <v>0</v>
      </c>
      <c r="H806">
        <f t="shared" si="158"/>
        <v>0</v>
      </c>
      <c r="I806">
        <f t="shared" si="159"/>
        <v>0</v>
      </c>
      <c r="J806">
        <f t="shared" si="160"/>
        <v>0</v>
      </c>
      <c r="K806">
        <f t="shared" si="161"/>
        <v>140</v>
      </c>
      <c r="L806">
        <f t="shared" si="162"/>
        <v>5.7200000000000006</v>
      </c>
      <c r="M806">
        <f t="shared" si="163"/>
        <v>145.72</v>
      </c>
      <c r="N806">
        <f t="shared" si="164"/>
        <v>145.72</v>
      </c>
      <c r="O806">
        <f t="shared" si="165"/>
        <v>0</v>
      </c>
      <c r="P806">
        <f t="shared" si="166"/>
        <v>0</v>
      </c>
      <c r="Q806">
        <f t="shared" si="167"/>
        <v>0</v>
      </c>
      <c r="R806">
        <f t="shared" si="168"/>
        <v>0</v>
      </c>
    </row>
    <row r="807" spans="1:18" x14ac:dyDescent="0.3">
      <c r="A807" s="1">
        <v>41960</v>
      </c>
      <c r="B807" s="1">
        <v>41979</v>
      </c>
      <c r="C807">
        <v>8.7200000000000006</v>
      </c>
      <c r="D807">
        <v>0.23</v>
      </c>
      <c r="E807">
        <v>2</v>
      </c>
      <c r="F807">
        <f t="shared" si="156"/>
        <v>19</v>
      </c>
      <c r="G807">
        <f t="shared" si="157"/>
        <v>0</v>
      </c>
      <c r="H807">
        <f t="shared" si="158"/>
        <v>0</v>
      </c>
      <c r="I807">
        <f t="shared" si="159"/>
        <v>0</v>
      </c>
      <c r="J807">
        <f t="shared" si="160"/>
        <v>0</v>
      </c>
      <c r="K807">
        <f t="shared" si="161"/>
        <v>380</v>
      </c>
      <c r="L807">
        <f t="shared" si="162"/>
        <v>8.9500000000000011</v>
      </c>
      <c r="M807">
        <f t="shared" si="163"/>
        <v>388.95</v>
      </c>
      <c r="N807">
        <f t="shared" si="164"/>
        <v>388.95</v>
      </c>
      <c r="O807">
        <f t="shared" si="165"/>
        <v>0</v>
      </c>
      <c r="P807">
        <f t="shared" si="166"/>
        <v>0</v>
      </c>
      <c r="Q807">
        <f t="shared" si="167"/>
        <v>0</v>
      </c>
      <c r="R807">
        <f t="shared" si="168"/>
        <v>0</v>
      </c>
    </row>
    <row r="808" spans="1:18" x14ac:dyDescent="0.3">
      <c r="A808" s="1">
        <v>41961</v>
      </c>
      <c r="B808" s="1">
        <v>41987</v>
      </c>
      <c r="C808">
        <v>5.67</v>
      </c>
      <c r="D808">
        <v>0.15</v>
      </c>
      <c r="E808">
        <v>3</v>
      </c>
      <c r="F808">
        <f t="shared" si="156"/>
        <v>0</v>
      </c>
      <c r="G808">
        <f t="shared" si="157"/>
        <v>26</v>
      </c>
      <c r="H808">
        <f t="shared" si="158"/>
        <v>0</v>
      </c>
      <c r="I808">
        <f t="shared" si="159"/>
        <v>0</v>
      </c>
      <c r="J808">
        <f t="shared" si="160"/>
        <v>0</v>
      </c>
      <c r="K808">
        <f t="shared" si="161"/>
        <v>780</v>
      </c>
      <c r="L808">
        <f t="shared" si="162"/>
        <v>5.82</v>
      </c>
      <c r="M808">
        <f t="shared" si="163"/>
        <v>785.82</v>
      </c>
      <c r="N808">
        <f t="shared" si="164"/>
        <v>0</v>
      </c>
      <c r="O808">
        <f t="shared" si="165"/>
        <v>785.82</v>
      </c>
      <c r="P808">
        <f t="shared" si="166"/>
        <v>0</v>
      </c>
      <c r="Q808">
        <f t="shared" si="167"/>
        <v>0</v>
      </c>
      <c r="R808">
        <f t="shared" si="168"/>
        <v>0</v>
      </c>
    </row>
    <row r="809" spans="1:18" x14ac:dyDescent="0.3">
      <c r="A809" s="1">
        <v>41961</v>
      </c>
      <c r="B809" s="1">
        <v>41972</v>
      </c>
      <c r="C809">
        <v>3.94</v>
      </c>
      <c r="D809">
        <v>0.1</v>
      </c>
      <c r="E809">
        <v>4</v>
      </c>
      <c r="F809">
        <f t="shared" si="156"/>
        <v>0</v>
      </c>
      <c r="G809">
        <f t="shared" si="157"/>
        <v>0</v>
      </c>
      <c r="H809">
        <f t="shared" si="158"/>
        <v>11</v>
      </c>
      <c r="I809">
        <f t="shared" si="159"/>
        <v>0</v>
      </c>
      <c r="J809">
        <f t="shared" si="160"/>
        <v>0</v>
      </c>
      <c r="K809">
        <f t="shared" si="161"/>
        <v>440</v>
      </c>
      <c r="L809">
        <f t="shared" si="162"/>
        <v>4.04</v>
      </c>
      <c r="M809">
        <f t="shared" si="163"/>
        <v>444.04</v>
      </c>
      <c r="N809">
        <f t="shared" si="164"/>
        <v>0</v>
      </c>
      <c r="O809">
        <f t="shared" si="165"/>
        <v>0</v>
      </c>
      <c r="P809">
        <f t="shared" si="166"/>
        <v>444.04</v>
      </c>
      <c r="Q809">
        <f t="shared" si="167"/>
        <v>0</v>
      </c>
      <c r="R809">
        <f t="shared" si="168"/>
        <v>0</v>
      </c>
    </row>
    <row r="810" spans="1:18" x14ac:dyDescent="0.3">
      <c r="A810" s="1">
        <v>41961</v>
      </c>
      <c r="B810" s="1">
        <v>41966</v>
      </c>
      <c r="C810">
        <v>5.67</v>
      </c>
      <c r="D810">
        <v>0.15</v>
      </c>
      <c r="E810">
        <v>3</v>
      </c>
      <c r="F810">
        <f t="shared" si="156"/>
        <v>0</v>
      </c>
      <c r="G810">
        <f t="shared" si="157"/>
        <v>5</v>
      </c>
      <c r="H810">
        <f t="shared" si="158"/>
        <v>0</v>
      </c>
      <c r="I810">
        <f t="shared" si="159"/>
        <v>0</v>
      </c>
      <c r="J810">
        <f t="shared" si="160"/>
        <v>0</v>
      </c>
      <c r="K810">
        <f t="shared" si="161"/>
        <v>150</v>
      </c>
      <c r="L810">
        <f t="shared" si="162"/>
        <v>5.82</v>
      </c>
      <c r="M810">
        <f t="shared" si="163"/>
        <v>155.82</v>
      </c>
      <c r="N810">
        <f t="shared" si="164"/>
        <v>0</v>
      </c>
      <c r="O810">
        <f t="shared" si="165"/>
        <v>155.82</v>
      </c>
      <c r="P810">
        <f t="shared" si="166"/>
        <v>0</v>
      </c>
      <c r="Q810">
        <f t="shared" si="167"/>
        <v>0</v>
      </c>
      <c r="R810">
        <f t="shared" si="168"/>
        <v>0</v>
      </c>
    </row>
    <row r="811" spans="1:18" x14ac:dyDescent="0.3">
      <c r="A811" s="1">
        <v>41962</v>
      </c>
      <c r="B811" s="1">
        <v>41984</v>
      </c>
      <c r="C811">
        <v>6.34</v>
      </c>
      <c r="D811">
        <v>0.17</v>
      </c>
      <c r="E811">
        <v>6</v>
      </c>
      <c r="F811">
        <f t="shared" si="156"/>
        <v>0</v>
      </c>
      <c r="G811">
        <f t="shared" si="157"/>
        <v>0</v>
      </c>
      <c r="H811">
        <f t="shared" si="158"/>
        <v>0</v>
      </c>
      <c r="I811">
        <f t="shared" si="159"/>
        <v>0</v>
      </c>
      <c r="J811">
        <f t="shared" si="160"/>
        <v>22</v>
      </c>
      <c r="K811">
        <f t="shared" si="161"/>
        <v>1320</v>
      </c>
      <c r="L811">
        <f t="shared" si="162"/>
        <v>6.51</v>
      </c>
      <c r="M811">
        <f t="shared" si="163"/>
        <v>1326.51</v>
      </c>
      <c r="N811">
        <f t="shared" si="164"/>
        <v>0</v>
      </c>
      <c r="O811">
        <f t="shared" si="165"/>
        <v>0</v>
      </c>
      <c r="P811">
        <f t="shared" si="166"/>
        <v>0</v>
      </c>
      <c r="Q811">
        <f t="shared" si="167"/>
        <v>0</v>
      </c>
      <c r="R811">
        <f t="shared" si="168"/>
        <v>1326.51</v>
      </c>
    </row>
    <row r="812" spans="1:18" x14ac:dyDescent="0.3">
      <c r="A812" s="1">
        <v>41962</v>
      </c>
      <c r="B812" s="1">
        <v>41970</v>
      </c>
      <c r="C812">
        <v>2.0099999999999998</v>
      </c>
      <c r="D812">
        <v>0.05</v>
      </c>
      <c r="E812">
        <v>4</v>
      </c>
      <c r="F812">
        <f t="shared" si="156"/>
        <v>0</v>
      </c>
      <c r="G812">
        <f t="shared" si="157"/>
        <v>0</v>
      </c>
      <c r="H812">
        <f t="shared" si="158"/>
        <v>8</v>
      </c>
      <c r="I812">
        <f t="shared" si="159"/>
        <v>0</v>
      </c>
      <c r="J812">
        <f t="shared" si="160"/>
        <v>0</v>
      </c>
      <c r="K812">
        <f t="shared" si="161"/>
        <v>320</v>
      </c>
      <c r="L812">
        <f t="shared" si="162"/>
        <v>2.0599999999999996</v>
      </c>
      <c r="M812">
        <f t="shared" si="163"/>
        <v>322.06</v>
      </c>
      <c r="N812">
        <f t="shared" si="164"/>
        <v>0</v>
      </c>
      <c r="O812">
        <f t="shared" si="165"/>
        <v>0</v>
      </c>
      <c r="P812">
        <f t="shared" si="166"/>
        <v>322.06</v>
      </c>
      <c r="Q812">
        <f t="shared" si="167"/>
        <v>0</v>
      </c>
      <c r="R812">
        <f t="shared" si="168"/>
        <v>0</v>
      </c>
    </row>
    <row r="813" spans="1:18" x14ac:dyDescent="0.3">
      <c r="A813" s="1">
        <v>41962</v>
      </c>
      <c r="B813" s="1">
        <v>41972</v>
      </c>
      <c r="C813">
        <v>5.67</v>
      </c>
      <c r="D813">
        <v>0.15</v>
      </c>
      <c r="E813">
        <v>3</v>
      </c>
      <c r="F813">
        <f t="shared" si="156"/>
        <v>0</v>
      </c>
      <c r="G813">
        <f t="shared" si="157"/>
        <v>10</v>
      </c>
      <c r="H813">
        <f t="shared" si="158"/>
        <v>0</v>
      </c>
      <c r="I813">
        <f t="shared" si="159"/>
        <v>0</v>
      </c>
      <c r="J813">
        <f t="shared" si="160"/>
        <v>0</v>
      </c>
      <c r="K813">
        <f t="shared" si="161"/>
        <v>300</v>
      </c>
      <c r="L813">
        <f t="shared" si="162"/>
        <v>5.82</v>
      </c>
      <c r="M813">
        <f t="shared" si="163"/>
        <v>305.82</v>
      </c>
      <c r="N813">
        <f t="shared" si="164"/>
        <v>0</v>
      </c>
      <c r="O813">
        <f t="shared" si="165"/>
        <v>305.82</v>
      </c>
      <c r="P813">
        <f t="shared" si="166"/>
        <v>0</v>
      </c>
      <c r="Q813">
        <f t="shared" si="167"/>
        <v>0</v>
      </c>
      <c r="R813">
        <f t="shared" si="168"/>
        <v>0</v>
      </c>
    </row>
    <row r="814" spans="1:18" x14ac:dyDescent="0.3">
      <c r="A814" s="1">
        <v>41962</v>
      </c>
      <c r="B814" s="1">
        <v>41969</v>
      </c>
      <c r="C814">
        <v>6.43</v>
      </c>
      <c r="D814">
        <v>0.17</v>
      </c>
      <c r="E814">
        <v>5</v>
      </c>
      <c r="F814">
        <f t="shared" si="156"/>
        <v>0</v>
      </c>
      <c r="G814">
        <f t="shared" si="157"/>
        <v>0</v>
      </c>
      <c r="H814">
        <f t="shared" si="158"/>
        <v>0</v>
      </c>
      <c r="I814">
        <f t="shared" si="159"/>
        <v>7</v>
      </c>
      <c r="J814">
        <f t="shared" si="160"/>
        <v>0</v>
      </c>
      <c r="K814">
        <f t="shared" si="161"/>
        <v>350</v>
      </c>
      <c r="L814">
        <f t="shared" si="162"/>
        <v>6.6</v>
      </c>
      <c r="M814">
        <f t="shared" si="163"/>
        <v>356.6</v>
      </c>
      <c r="N814">
        <f t="shared" si="164"/>
        <v>0</v>
      </c>
      <c r="O814">
        <f t="shared" si="165"/>
        <v>0</v>
      </c>
      <c r="P814">
        <f t="shared" si="166"/>
        <v>0</v>
      </c>
      <c r="Q814">
        <f t="shared" si="167"/>
        <v>356.6</v>
      </c>
      <c r="R814">
        <f t="shared" si="168"/>
        <v>0</v>
      </c>
    </row>
    <row r="815" spans="1:18" x14ac:dyDescent="0.3">
      <c r="A815" s="1">
        <v>41963</v>
      </c>
      <c r="B815" s="1">
        <v>41971</v>
      </c>
      <c r="C815">
        <v>8.39</v>
      </c>
      <c r="D815">
        <v>0.22</v>
      </c>
      <c r="E815">
        <v>6</v>
      </c>
      <c r="F815">
        <f t="shared" si="156"/>
        <v>0</v>
      </c>
      <c r="G815">
        <f t="shared" si="157"/>
        <v>0</v>
      </c>
      <c r="H815">
        <f t="shared" si="158"/>
        <v>0</v>
      </c>
      <c r="I815">
        <f t="shared" si="159"/>
        <v>0</v>
      </c>
      <c r="J815">
        <f t="shared" si="160"/>
        <v>8</v>
      </c>
      <c r="K815">
        <f t="shared" si="161"/>
        <v>480</v>
      </c>
      <c r="L815">
        <f t="shared" si="162"/>
        <v>8.6100000000000012</v>
      </c>
      <c r="M815">
        <f t="shared" si="163"/>
        <v>488.61</v>
      </c>
      <c r="N815">
        <f t="shared" si="164"/>
        <v>0</v>
      </c>
      <c r="O815">
        <f t="shared" si="165"/>
        <v>0</v>
      </c>
      <c r="P815">
        <f t="shared" si="166"/>
        <v>0</v>
      </c>
      <c r="Q815">
        <f t="shared" si="167"/>
        <v>0</v>
      </c>
      <c r="R815">
        <f t="shared" si="168"/>
        <v>488.61</v>
      </c>
    </row>
    <row r="816" spans="1:18" x14ac:dyDescent="0.3">
      <c r="A816" s="1">
        <v>41963</v>
      </c>
      <c r="B816" s="1">
        <v>41968</v>
      </c>
      <c r="C816">
        <v>5.67</v>
      </c>
      <c r="D816">
        <v>0.15</v>
      </c>
      <c r="E816">
        <v>5</v>
      </c>
      <c r="F816">
        <f t="shared" si="156"/>
        <v>0</v>
      </c>
      <c r="G816">
        <f t="shared" si="157"/>
        <v>0</v>
      </c>
      <c r="H816">
        <f t="shared" si="158"/>
        <v>0</v>
      </c>
      <c r="I816">
        <f t="shared" si="159"/>
        <v>5</v>
      </c>
      <c r="J816">
        <f t="shared" si="160"/>
        <v>0</v>
      </c>
      <c r="K816">
        <f t="shared" si="161"/>
        <v>250</v>
      </c>
      <c r="L816">
        <f t="shared" si="162"/>
        <v>5.82</v>
      </c>
      <c r="M816">
        <f t="shared" si="163"/>
        <v>255.82</v>
      </c>
      <c r="N816">
        <f t="shared" si="164"/>
        <v>0</v>
      </c>
      <c r="O816">
        <f t="shared" si="165"/>
        <v>0</v>
      </c>
      <c r="P816">
        <f t="shared" si="166"/>
        <v>0</v>
      </c>
      <c r="Q816">
        <f t="shared" si="167"/>
        <v>255.82</v>
      </c>
      <c r="R816">
        <f t="shared" si="168"/>
        <v>0</v>
      </c>
    </row>
    <row r="817" spans="1:18" x14ac:dyDescent="0.3">
      <c r="A817" s="1">
        <v>41963</v>
      </c>
      <c r="B817" s="1">
        <v>41965</v>
      </c>
      <c r="C817">
        <v>2.72</v>
      </c>
      <c r="D817">
        <v>7.0000000000000007E-2</v>
      </c>
      <c r="E817">
        <v>2</v>
      </c>
      <c r="F817">
        <f t="shared" si="156"/>
        <v>2</v>
      </c>
      <c r="G817">
        <f t="shared" si="157"/>
        <v>0</v>
      </c>
      <c r="H817">
        <f t="shared" si="158"/>
        <v>0</v>
      </c>
      <c r="I817">
        <f t="shared" si="159"/>
        <v>0</v>
      </c>
      <c r="J817">
        <f t="shared" si="160"/>
        <v>0</v>
      </c>
      <c r="K817">
        <f t="shared" si="161"/>
        <v>40</v>
      </c>
      <c r="L817">
        <f t="shared" si="162"/>
        <v>2.79</v>
      </c>
      <c r="M817">
        <f t="shared" si="163"/>
        <v>42.79</v>
      </c>
      <c r="N817">
        <f t="shared" si="164"/>
        <v>42.79</v>
      </c>
      <c r="O817">
        <f t="shared" si="165"/>
        <v>0</v>
      </c>
      <c r="P817">
        <f t="shared" si="166"/>
        <v>0</v>
      </c>
      <c r="Q817">
        <f t="shared" si="167"/>
        <v>0</v>
      </c>
      <c r="R817">
        <f t="shared" si="168"/>
        <v>0</v>
      </c>
    </row>
    <row r="818" spans="1:18" x14ac:dyDescent="0.3">
      <c r="A818" s="1">
        <v>41964</v>
      </c>
      <c r="B818" s="1">
        <v>41980</v>
      </c>
      <c r="C818">
        <v>7.31</v>
      </c>
      <c r="D818">
        <v>0.19</v>
      </c>
      <c r="E818">
        <v>4</v>
      </c>
      <c r="F818">
        <f t="shared" si="156"/>
        <v>0</v>
      </c>
      <c r="G818">
        <f t="shared" si="157"/>
        <v>0</v>
      </c>
      <c r="H818">
        <f t="shared" si="158"/>
        <v>16</v>
      </c>
      <c r="I818">
        <f t="shared" si="159"/>
        <v>0</v>
      </c>
      <c r="J818">
        <f t="shared" si="160"/>
        <v>0</v>
      </c>
      <c r="K818">
        <f t="shared" si="161"/>
        <v>640</v>
      </c>
      <c r="L818">
        <f t="shared" si="162"/>
        <v>7.5</v>
      </c>
      <c r="M818">
        <f t="shared" si="163"/>
        <v>647.5</v>
      </c>
      <c r="N818">
        <f t="shared" si="164"/>
        <v>0</v>
      </c>
      <c r="O818">
        <f t="shared" si="165"/>
        <v>0</v>
      </c>
      <c r="P818">
        <f t="shared" si="166"/>
        <v>647.5</v>
      </c>
      <c r="Q818">
        <f t="shared" si="167"/>
        <v>0</v>
      </c>
      <c r="R818">
        <f t="shared" si="168"/>
        <v>0</v>
      </c>
    </row>
    <row r="819" spans="1:18" x14ac:dyDescent="0.3">
      <c r="A819" s="1">
        <v>41964</v>
      </c>
      <c r="B819" s="1">
        <v>41990</v>
      </c>
      <c r="C819">
        <v>5.23</v>
      </c>
      <c r="D819">
        <v>0.14000000000000001</v>
      </c>
      <c r="E819">
        <v>6</v>
      </c>
      <c r="F819">
        <f t="shared" si="156"/>
        <v>0</v>
      </c>
      <c r="G819">
        <f t="shared" si="157"/>
        <v>0</v>
      </c>
      <c r="H819">
        <f t="shared" si="158"/>
        <v>0</v>
      </c>
      <c r="I819">
        <f t="shared" si="159"/>
        <v>0</v>
      </c>
      <c r="J819">
        <f t="shared" si="160"/>
        <v>26</v>
      </c>
      <c r="K819">
        <f t="shared" si="161"/>
        <v>1560</v>
      </c>
      <c r="L819">
        <f t="shared" si="162"/>
        <v>5.37</v>
      </c>
      <c r="M819">
        <f t="shared" si="163"/>
        <v>1565.37</v>
      </c>
      <c r="N819">
        <f t="shared" si="164"/>
        <v>0</v>
      </c>
      <c r="O819">
        <f t="shared" si="165"/>
        <v>0</v>
      </c>
      <c r="P819">
        <f t="shared" si="166"/>
        <v>0</v>
      </c>
      <c r="Q819">
        <f t="shared" si="167"/>
        <v>0</v>
      </c>
      <c r="R819">
        <f t="shared" si="168"/>
        <v>1565.37</v>
      </c>
    </row>
    <row r="820" spans="1:18" x14ac:dyDescent="0.3">
      <c r="A820" s="1">
        <v>41965</v>
      </c>
      <c r="B820" s="1">
        <v>41968</v>
      </c>
      <c r="C820">
        <v>8.83</v>
      </c>
      <c r="D820">
        <v>0.23</v>
      </c>
      <c r="E820">
        <v>6</v>
      </c>
      <c r="F820">
        <f t="shared" si="156"/>
        <v>0</v>
      </c>
      <c r="G820">
        <f t="shared" si="157"/>
        <v>0</v>
      </c>
      <c r="H820">
        <f t="shared" si="158"/>
        <v>0</v>
      </c>
      <c r="I820">
        <f t="shared" si="159"/>
        <v>0</v>
      </c>
      <c r="J820">
        <f t="shared" si="160"/>
        <v>3</v>
      </c>
      <c r="K820">
        <f t="shared" si="161"/>
        <v>180</v>
      </c>
      <c r="L820">
        <f t="shared" si="162"/>
        <v>9.06</v>
      </c>
      <c r="M820">
        <f t="shared" si="163"/>
        <v>189.06</v>
      </c>
      <c r="N820">
        <f t="shared" si="164"/>
        <v>0</v>
      </c>
      <c r="O820">
        <f t="shared" si="165"/>
        <v>0</v>
      </c>
      <c r="P820">
        <f t="shared" si="166"/>
        <v>0</v>
      </c>
      <c r="Q820">
        <f t="shared" si="167"/>
        <v>0</v>
      </c>
      <c r="R820">
        <f t="shared" si="168"/>
        <v>189.06</v>
      </c>
    </row>
    <row r="821" spans="1:18" x14ac:dyDescent="0.3">
      <c r="A821" s="1">
        <v>41965</v>
      </c>
      <c r="B821" s="1">
        <v>41971</v>
      </c>
      <c r="C821">
        <v>2.0099999999999998</v>
      </c>
      <c r="D821">
        <v>0.05</v>
      </c>
      <c r="E821">
        <v>5</v>
      </c>
      <c r="F821">
        <f t="shared" si="156"/>
        <v>0</v>
      </c>
      <c r="G821">
        <f t="shared" si="157"/>
        <v>0</v>
      </c>
      <c r="H821">
        <f t="shared" si="158"/>
        <v>0</v>
      </c>
      <c r="I821">
        <f t="shared" si="159"/>
        <v>6</v>
      </c>
      <c r="J821">
        <f t="shared" si="160"/>
        <v>0</v>
      </c>
      <c r="K821">
        <f t="shared" si="161"/>
        <v>300</v>
      </c>
      <c r="L821">
        <f t="shared" si="162"/>
        <v>2.0599999999999996</v>
      </c>
      <c r="M821">
        <f t="shared" si="163"/>
        <v>302.06</v>
      </c>
      <c r="N821">
        <f t="shared" si="164"/>
        <v>0</v>
      </c>
      <c r="O821">
        <f t="shared" si="165"/>
        <v>0</v>
      </c>
      <c r="P821">
        <f t="shared" si="166"/>
        <v>0</v>
      </c>
      <c r="Q821">
        <f t="shared" si="167"/>
        <v>302.06</v>
      </c>
      <c r="R821">
        <f t="shared" si="168"/>
        <v>0</v>
      </c>
    </row>
    <row r="822" spans="1:18" x14ac:dyDescent="0.3">
      <c r="A822" s="1">
        <v>41965</v>
      </c>
      <c r="B822" s="1">
        <v>41983</v>
      </c>
      <c r="C822">
        <v>8.89</v>
      </c>
      <c r="D822">
        <v>0.23</v>
      </c>
      <c r="E822">
        <v>6</v>
      </c>
      <c r="F822">
        <f t="shared" si="156"/>
        <v>0</v>
      </c>
      <c r="G822">
        <f t="shared" si="157"/>
        <v>0</v>
      </c>
      <c r="H822">
        <f t="shared" si="158"/>
        <v>0</v>
      </c>
      <c r="I822">
        <f t="shared" si="159"/>
        <v>0</v>
      </c>
      <c r="J822">
        <f t="shared" si="160"/>
        <v>18</v>
      </c>
      <c r="K822">
        <f t="shared" si="161"/>
        <v>1080</v>
      </c>
      <c r="L822">
        <f t="shared" si="162"/>
        <v>9.120000000000001</v>
      </c>
      <c r="M822">
        <f t="shared" si="163"/>
        <v>1089.1199999999999</v>
      </c>
      <c r="N822">
        <f t="shared" si="164"/>
        <v>0</v>
      </c>
      <c r="O822">
        <f t="shared" si="165"/>
        <v>0</v>
      </c>
      <c r="P822">
        <f t="shared" si="166"/>
        <v>0</v>
      </c>
      <c r="Q822">
        <f t="shared" si="167"/>
        <v>0</v>
      </c>
      <c r="R822">
        <f t="shared" si="168"/>
        <v>1089.1199999999999</v>
      </c>
    </row>
    <row r="823" spans="1:18" x14ac:dyDescent="0.3">
      <c r="A823" s="1">
        <v>41965</v>
      </c>
      <c r="B823" s="1">
        <v>41984</v>
      </c>
      <c r="C823">
        <v>6.34</v>
      </c>
      <c r="D823">
        <v>0.17</v>
      </c>
      <c r="E823">
        <v>6</v>
      </c>
      <c r="F823">
        <f t="shared" si="156"/>
        <v>0</v>
      </c>
      <c r="G823">
        <f t="shared" si="157"/>
        <v>0</v>
      </c>
      <c r="H823">
        <f t="shared" si="158"/>
        <v>0</v>
      </c>
      <c r="I823">
        <f t="shared" si="159"/>
        <v>0</v>
      </c>
      <c r="J823">
        <f t="shared" si="160"/>
        <v>19</v>
      </c>
      <c r="K823">
        <f t="shared" si="161"/>
        <v>1140</v>
      </c>
      <c r="L823">
        <f t="shared" si="162"/>
        <v>6.51</v>
      </c>
      <c r="M823">
        <f t="shared" si="163"/>
        <v>1146.51</v>
      </c>
      <c r="N823">
        <f t="shared" si="164"/>
        <v>0</v>
      </c>
      <c r="O823">
        <f t="shared" si="165"/>
        <v>0</v>
      </c>
      <c r="P823">
        <f t="shared" si="166"/>
        <v>0</v>
      </c>
      <c r="Q823">
        <f t="shared" si="167"/>
        <v>0</v>
      </c>
      <c r="R823">
        <f t="shared" si="168"/>
        <v>1146.51</v>
      </c>
    </row>
    <row r="824" spans="1:18" x14ac:dyDescent="0.3">
      <c r="A824" s="1">
        <v>41965</v>
      </c>
      <c r="B824" s="1">
        <v>41968</v>
      </c>
      <c r="C824">
        <v>14.31</v>
      </c>
      <c r="D824">
        <v>0.38</v>
      </c>
      <c r="E824">
        <v>3</v>
      </c>
      <c r="F824">
        <f t="shared" si="156"/>
        <v>0</v>
      </c>
      <c r="G824">
        <f t="shared" si="157"/>
        <v>3</v>
      </c>
      <c r="H824">
        <f t="shared" si="158"/>
        <v>0</v>
      </c>
      <c r="I824">
        <f t="shared" si="159"/>
        <v>0</v>
      </c>
      <c r="J824">
        <f t="shared" si="160"/>
        <v>0</v>
      </c>
      <c r="K824">
        <f t="shared" si="161"/>
        <v>90</v>
      </c>
      <c r="L824">
        <f t="shared" si="162"/>
        <v>14.690000000000001</v>
      </c>
      <c r="M824">
        <f t="shared" si="163"/>
        <v>104.69</v>
      </c>
      <c r="N824">
        <f t="shared" si="164"/>
        <v>0</v>
      </c>
      <c r="O824">
        <f t="shared" si="165"/>
        <v>104.69</v>
      </c>
      <c r="P824">
        <f t="shared" si="166"/>
        <v>0</v>
      </c>
      <c r="Q824">
        <f t="shared" si="167"/>
        <v>0</v>
      </c>
      <c r="R824">
        <f t="shared" si="168"/>
        <v>0</v>
      </c>
    </row>
    <row r="825" spans="1:18" x14ac:dyDescent="0.3">
      <c r="A825" s="1">
        <v>41965</v>
      </c>
      <c r="B825" s="1">
        <v>41973</v>
      </c>
      <c r="C825">
        <v>11.42</v>
      </c>
      <c r="D825">
        <v>0.3</v>
      </c>
      <c r="E825">
        <v>6</v>
      </c>
      <c r="F825">
        <f t="shared" si="156"/>
        <v>0</v>
      </c>
      <c r="G825">
        <f t="shared" si="157"/>
        <v>0</v>
      </c>
      <c r="H825">
        <f t="shared" si="158"/>
        <v>0</v>
      </c>
      <c r="I825">
        <f t="shared" si="159"/>
        <v>0</v>
      </c>
      <c r="J825">
        <f t="shared" si="160"/>
        <v>8</v>
      </c>
      <c r="K825">
        <f t="shared" si="161"/>
        <v>480</v>
      </c>
      <c r="L825">
        <f t="shared" si="162"/>
        <v>11.72</v>
      </c>
      <c r="M825">
        <f t="shared" si="163"/>
        <v>491.72</v>
      </c>
      <c r="N825">
        <f t="shared" si="164"/>
        <v>0</v>
      </c>
      <c r="O825">
        <f t="shared" si="165"/>
        <v>0</v>
      </c>
      <c r="P825">
        <f t="shared" si="166"/>
        <v>0</v>
      </c>
      <c r="Q825">
        <f t="shared" si="167"/>
        <v>0</v>
      </c>
      <c r="R825">
        <f t="shared" si="168"/>
        <v>491.72</v>
      </c>
    </row>
    <row r="826" spans="1:18" x14ac:dyDescent="0.3">
      <c r="A826" s="1">
        <v>41965</v>
      </c>
      <c r="B826" s="1">
        <v>41969</v>
      </c>
      <c r="C826">
        <v>9.4600000000000009</v>
      </c>
      <c r="D826">
        <v>0.25</v>
      </c>
      <c r="E826">
        <v>4</v>
      </c>
      <c r="F826">
        <f t="shared" si="156"/>
        <v>0</v>
      </c>
      <c r="G826">
        <f t="shared" si="157"/>
        <v>0</v>
      </c>
      <c r="H826">
        <f t="shared" si="158"/>
        <v>4</v>
      </c>
      <c r="I826">
        <f t="shared" si="159"/>
        <v>0</v>
      </c>
      <c r="J826">
        <f t="shared" si="160"/>
        <v>0</v>
      </c>
      <c r="K826">
        <f t="shared" si="161"/>
        <v>160</v>
      </c>
      <c r="L826">
        <f t="shared" si="162"/>
        <v>9.7100000000000009</v>
      </c>
      <c r="M826">
        <f t="shared" si="163"/>
        <v>169.71</v>
      </c>
      <c r="N826">
        <f t="shared" si="164"/>
        <v>0</v>
      </c>
      <c r="O826">
        <f t="shared" si="165"/>
        <v>0</v>
      </c>
      <c r="P826">
        <f t="shared" si="166"/>
        <v>169.71</v>
      </c>
      <c r="Q826">
        <f t="shared" si="167"/>
        <v>0</v>
      </c>
      <c r="R826">
        <f t="shared" si="168"/>
        <v>0</v>
      </c>
    </row>
    <row r="827" spans="1:18" x14ac:dyDescent="0.3">
      <c r="A827" s="1">
        <v>41966</v>
      </c>
      <c r="B827" s="1">
        <v>41984</v>
      </c>
      <c r="C827">
        <v>6.58</v>
      </c>
      <c r="D827">
        <v>0.17</v>
      </c>
      <c r="E827">
        <v>5</v>
      </c>
      <c r="F827">
        <f t="shared" si="156"/>
        <v>0</v>
      </c>
      <c r="G827">
        <f t="shared" si="157"/>
        <v>0</v>
      </c>
      <c r="H827">
        <f t="shared" si="158"/>
        <v>0</v>
      </c>
      <c r="I827">
        <f t="shared" si="159"/>
        <v>18</v>
      </c>
      <c r="J827">
        <f t="shared" si="160"/>
        <v>0</v>
      </c>
      <c r="K827">
        <f t="shared" si="161"/>
        <v>900</v>
      </c>
      <c r="L827">
        <f t="shared" si="162"/>
        <v>6.75</v>
      </c>
      <c r="M827">
        <f t="shared" si="163"/>
        <v>906.75</v>
      </c>
      <c r="N827">
        <f t="shared" si="164"/>
        <v>0</v>
      </c>
      <c r="O827">
        <f t="shared" si="165"/>
        <v>0</v>
      </c>
      <c r="P827">
        <f t="shared" si="166"/>
        <v>0</v>
      </c>
      <c r="Q827">
        <f t="shared" si="167"/>
        <v>906.75</v>
      </c>
      <c r="R827">
        <f t="shared" si="168"/>
        <v>0</v>
      </c>
    </row>
    <row r="828" spans="1:18" x14ac:dyDescent="0.3">
      <c r="A828" s="1">
        <v>41967</v>
      </c>
      <c r="B828" s="1">
        <v>41991</v>
      </c>
      <c r="C828">
        <v>11.42</v>
      </c>
      <c r="D828">
        <v>0.3</v>
      </c>
      <c r="E828">
        <v>4</v>
      </c>
      <c r="F828">
        <f t="shared" si="156"/>
        <v>0</v>
      </c>
      <c r="G828">
        <f t="shared" si="157"/>
        <v>0</v>
      </c>
      <c r="H828">
        <f t="shared" si="158"/>
        <v>24</v>
      </c>
      <c r="I828">
        <f t="shared" si="159"/>
        <v>0</v>
      </c>
      <c r="J828">
        <f t="shared" si="160"/>
        <v>0</v>
      </c>
      <c r="K828">
        <f t="shared" si="161"/>
        <v>960</v>
      </c>
      <c r="L828">
        <f t="shared" si="162"/>
        <v>11.72</v>
      </c>
      <c r="M828">
        <f t="shared" si="163"/>
        <v>971.72</v>
      </c>
      <c r="N828">
        <f t="shared" si="164"/>
        <v>0</v>
      </c>
      <c r="O828">
        <f t="shared" si="165"/>
        <v>0</v>
      </c>
      <c r="P828">
        <f t="shared" si="166"/>
        <v>971.72</v>
      </c>
      <c r="Q828">
        <f t="shared" si="167"/>
        <v>0</v>
      </c>
      <c r="R828">
        <f t="shared" si="168"/>
        <v>0</v>
      </c>
    </row>
    <row r="829" spans="1:18" x14ac:dyDescent="0.3">
      <c r="A829" s="1">
        <v>41967</v>
      </c>
      <c r="B829" s="1">
        <v>41988</v>
      </c>
      <c r="C829">
        <v>2.29</v>
      </c>
      <c r="D829">
        <v>0.06</v>
      </c>
      <c r="E829">
        <v>6</v>
      </c>
      <c r="F829">
        <f t="shared" si="156"/>
        <v>0</v>
      </c>
      <c r="G829">
        <f t="shared" si="157"/>
        <v>0</v>
      </c>
      <c r="H829">
        <f t="shared" si="158"/>
        <v>0</v>
      </c>
      <c r="I829">
        <f t="shared" si="159"/>
        <v>0</v>
      </c>
      <c r="J829">
        <f t="shared" si="160"/>
        <v>21</v>
      </c>
      <c r="K829">
        <f t="shared" si="161"/>
        <v>1260</v>
      </c>
      <c r="L829">
        <f t="shared" si="162"/>
        <v>2.35</v>
      </c>
      <c r="M829">
        <f t="shared" si="163"/>
        <v>1262.3499999999999</v>
      </c>
      <c r="N829">
        <f t="shared" si="164"/>
        <v>0</v>
      </c>
      <c r="O829">
        <f t="shared" si="165"/>
        <v>0</v>
      </c>
      <c r="P829">
        <f t="shared" si="166"/>
        <v>0</v>
      </c>
      <c r="Q829">
        <f t="shared" si="167"/>
        <v>0</v>
      </c>
      <c r="R829">
        <f t="shared" si="168"/>
        <v>1262.3499999999999</v>
      </c>
    </row>
    <row r="830" spans="1:18" x14ac:dyDescent="0.3">
      <c r="A830" s="1">
        <v>41968</v>
      </c>
      <c r="B830" s="1">
        <v>41993</v>
      </c>
      <c r="C830">
        <v>8.7200000000000006</v>
      </c>
      <c r="D830">
        <v>0.23</v>
      </c>
      <c r="E830">
        <v>3</v>
      </c>
      <c r="F830">
        <f t="shared" si="156"/>
        <v>0</v>
      </c>
      <c r="G830">
        <f t="shared" si="157"/>
        <v>25</v>
      </c>
      <c r="H830">
        <f t="shared" si="158"/>
        <v>0</v>
      </c>
      <c r="I830">
        <f t="shared" si="159"/>
        <v>0</v>
      </c>
      <c r="J830">
        <f t="shared" si="160"/>
        <v>0</v>
      </c>
      <c r="K830">
        <f t="shared" si="161"/>
        <v>750</v>
      </c>
      <c r="L830">
        <f t="shared" si="162"/>
        <v>8.9500000000000011</v>
      </c>
      <c r="M830">
        <f t="shared" si="163"/>
        <v>758.95</v>
      </c>
      <c r="N830">
        <f t="shared" si="164"/>
        <v>0</v>
      </c>
      <c r="O830">
        <f t="shared" si="165"/>
        <v>758.95</v>
      </c>
      <c r="P830">
        <f t="shared" si="166"/>
        <v>0</v>
      </c>
      <c r="Q830">
        <f t="shared" si="167"/>
        <v>0</v>
      </c>
      <c r="R830">
        <f t="shared" si="168"/>
        <v>0</v>
      </c>
    </row>
    <row r="831" spans="1:18" x14ac:dyDescent="0.3">
      <c r="A831" s="1">
        <v>41968</v>
      </c>
      <c r="B831" s="1">
        <v>41974</v>
      </c>
      <c r="C831">
        <v>2.29</v>
      </c>
      <c r="D831">
        <v>0.06</v>
      </c>
      <c r="E831">
        <v>3</v>
      </c>
      <c r="F831">
        <f t="shared" si="156"/>
        <v>0</v>
      </c>
      <c r="G831">
        <f t="shared" si="157"/>
        <v>6</v>
      </c>
      <c r="H831">
        <f t="shared" si="158"/>
        <v>0</v>
      </c>
      <c r="I831">
        <f t="shared" si="159"/>
        <v>0</v>
      </c>
      <c r="J831">
        <f t="shared" si="160"/>
        <v>0</v>
      </c>
      <c r="K831">
        <f t="shared" si="161"/>
        <v>180</v>
      </c>
      <c r="L831">
        <f t="shared" si="162"/>
        <v>2.35</v>
      </c>
      <c r="M831">
        <f t="shared" si="163"/>
        <v>182.35</v>
      </c>
      <c r="N831">
        <f t="shared" si="164"/>
        <v>0</v>
      </c>
      <c r="O831">
        <f t="shared" si="165"/>
        <v>182.35</v>
      </c>
      <c r="P831">
        <f t="shared" si="166"/>
        <v>0</v>
      </c>
      <c r="Q831">
        <f t="shared" si="167"/>
        <v>0</v>
      </c>
      <c r="R831">
        <f t="shared" si="168"/>
        <v>0</v>
      </c>
    </row>
    <row r="832" spans="1:18" x14ac:dyDescent="0.3">
      <c r="A832" s="1">
        <v>41968</v>
      </c>
      <c r="B832" s="1">
        <v>41975</v>
      </c>
      <c r="C832">
        <v>6.58</v>
      </c>
      <c r="D832">
        <v>0.17</v>
      </c>
      <c r="E832">
        <v>3</v>
      </c>
      <c r="F832">
        <f t="shared" si="156"/>
        <v>0</v>
      </c>
      <c r="G832">
        <f t="shared" si="157"/>
        <v>7</v>
      </c>
      <c r="H832">
        <f t="shared" si="158"/>
        <v>0</v>
      </c>
      <c r="I832">
        <f t="shared" si="159"/>
        <v>0</v>
      </c>
      <c r="J832">
        <f t="shared" si="160"/>
        <v>0</v>
      </c>
      <c r="K832">
        <f t="shared" si="161"/>
        <v>210</v>
      </c>
      <c r="L832">
        <f t="shared" si="162"/>
        <v>6.75</v>
      </c>
      <c r="M832">
        <f t="shared" si="163"/>
        <v>216.75</v>
      </c>
      <c r="N832">
        <f t="shared" si="164"/>
        <v>0</v>
      </c>
      <c r="O832">
        <f t="shared" si="165"/>
        <v>216.75</v>
      </c>
      <c r="P832">
        <f t="shared" si="166"/>
        <v>0</v>
      </c>
      <c r="Q832">
        <f t="shared" si="167"/>
        <v>0</v>
      </c>
      <c r="R832">
        <f t="shared" si="168"/>
        <v>0</v>
      </c>
    </row>
    <row r="833" spans="1:18" x14ac:dyDescent="0.3">
      <c r="A833" s="1">
        <v>41970</v>
      </c>
      <c r="B833" s="1">
        <v>41972</v>
      </c>
      <c r="C833">
        <v>7.35</v>
      </c>
      <c r="D833">
        <v>0.19</v>
      </c>
      <c r="E833">
        <v>6</v>
      </c>
      <c r="F833">
        <f t="shared" si="156"/>
        <v>0</v>
      </c>
      <c r="G833">
        <f t="shared" si="157"/>
        <v>0</v>
      </c>
      <c r="H833">
        <f t="shared" si="158"/>
        <v>0</v>
      </c>
      <c r="I833">
        <f t="shared" si="159"/>
        <v>0</v>
      </c>
      <c r="J833">
        <f t="shared" si="160"/>
        <v>2</v>
      </c>
      <c r="K833">
        <f t="shared" si="161"/>
        <v>120</v>
      </c>
      <c r="L833">
        <f t="shared" si="162"/>
        <v>7.54</v>
      </c>
      <c r="M833">
        <f t="shared" si="163"/>
        <v>127.54</v>
      </c>
      <c r="N833">
        <f t="shared" si="164"/>
        <v>0</v>
      </c>
      <c r="O833">
        <f t="shared" si="165"/>
        <v>0</v>
      </c>
      <c r="P833">
        <f t="shared" si="166"/>
        <v>0</v>
      </c>
      <c r="Q833">
        <f t="shared" si="167"/>
        <v>0</v>
      </c>
      <c r="R833">
        <f t="shared" si="168"/>
        <v>127.54</v>
      </c>
    </row>
    <row r="834" spans="1:18" x14ac:dyDescent="0.3">
      <c r="A834" s="1">
        <v>41970</v>
      </c>
      <c r="B834" s="1">
        <v>41982</v>
      </c>
      <c r="C834">
        <v>6.43</v>
      </c>
      <c r="D834">
        <v>0.17</v>
      </c>
      <c r="E834">
        <v>4</v>
      </c>
      <c r="F834">
        <f t="shared" si="156"/>
        <v>0</v>
      </c>
      <c r="G834">
        <f t="shared" si="157"/>
        <v>0</v>
      </c>
      <c r="H834">
        <f t="shared" si="158"/>
        <v>12</v>
      </c>
      <c r="I834">
        <f t="shared" si="159"/>
        <v>0</v>
      </c>
      <c r="J834">
        <f t="shared" si="160"/>
        <v>0</v>
      </c>
      <c r="K834">
        <f t="shared" si="161"/>
        <v>480</v>
      </c>
      <c r="L834">
        <f t="shared" si="162"/>
        <v>6.6</v>
      </c>
      <c r="M834">
        <f t="shared" si="163"/>
        <v>486.6</v>
      </c>
      <c r="N834">
        <f t="shared" si="164"/>
        <v>0</v>
      </c>
      <c r="O834">
        <f t="shared" si="165"/>
        <v>0</v>
      </c>
      <c r="P834">
        <f t="shared" si="166"/>
        <v>486.6</v>
      </c>
      <c r="Q834">
        <f t="shared" si="167"/>
        <v>0</v>
      </c>
      <c r="R834">
        <f t="shared" si="168"/>
        <v>0</v>
      </c>
    </row>
    <row r="835" spans="1:18" x14ac:dyDescent="0.3">
      <c r="A835" s="1">
        <v>41970</v>
      </c>
      <c r="B835" s="1">
        <v>41987</v>
      </c>
      <c r="C835">
        <v>8.65</v>
      </c>
      <c r="D835">
        <v>0.23</v>
      </c>
      <c r="E835">
        <v>3</v>
      </c>
      <c r="F835">
        <f t="shared" ref="F835:F898" si="169">IF(EXACT(E835,2),B835-A835,0)</f>
        <v>0</v>
      </c>
      <c r="G835">
        <f t="shared" ref="G835:G898" si="170">IF(EXACT(E835,3),B835-A835,0)</f>
        <v>17</v>
      </c>
      <c r="H835">
        <f t="shared" ref="H835:H898" si="171">IF(EXACT(E835,4),B835-A835,0)</f>
        <v>0</v>
      </c>
      <c r="I835">
        <f t="shared" ref="I835:I898" si="172">IF(EXACT(E835,5),B835-A835,0)</f>
        <v>0</v>
      </c>
      <c r="J835">
        <f t="shared" ref="J835:J898" si="173">IF(EXACT(E835,6),B835-A835,0)</f>
        <v>0</v>
      </c>
      <c r="K835">
        <f t="shared" ref="K835:K898" si="174">10 * E835 * (F835+G835+H835+I835+J835)</f>
        <v>510</v>
      </c>
      <c r="L835">
        <f t="shared" ref="L835:L898" si="175">C835+D835</f>
        <v>8.8800000000000008</v>
      </c>
      <c r="M835">
        <f t="shared" ref="M835:M898" si="176">K835+L835</f>
        <v>518.88</v>
      </c>
      <c r="N835">
        <f t="shared" ref="N835:N898" si="177">IF(EXACT(E835,2),M835,0)</f>
        <v>0</v>
      </c>
      <c r="O835">
        <f t="shared" ref="O835:O898" si="178">IF(EXACT(E835,3),M835,0)</f>
        <v>518.88</v>
      </c>
      <c r="P835">
        <f t="shared" ref="P835:P898" si="179">IF(EXACT(E835,4),M835,0)</f>
        <v>0</v>
      </c>
      <c r="Q835">
        <f t="shared" ref="Q835:Q898" si="180">IF(EXACT(E835,5),M835,0)</f>
        <v>0</v>
      </c>
      <c r="R835">
        <f t="shared" ref="R835:R898" si="181">IF(EXACT(E835,6),M835,0)</f>
        <v>0</v>
      </c>
    </row>
    <row r="836" spans="1:18" x14ac:dyDescent="0.3">
      <c r="A836" s="1">
        <v>41970</v>
      </c>
      <c r="B836" s="1">
        <v>41994</v>
      </c>
      <c r="C836">
        <v>13.82</v>
      </c>
      <c r="D836">
        <v>0.36</v>
      </c>
      <c r="E836">
        <v>3</v>
      </c>
      <c r="F836">
        <f t="shared" si="169"/>
        <v>0</v>
      </c>
      <c r="G836">
        <f t="shared" si="170"/>
        <v>24</v>
      </c>
      <c r="H836">
        <f t="shared" si="171"/>
        <v>0</v>
      </c>
      <c r="I836">
        <f t="shared" si="172"/>
        <v>0</v>
      </c>
      <c r="J836">
        <f t="shared" si="173"/>
        <v>0</v>
      </c>
      <c r="K836">
        <f t="shared" si="174"/>
        <v>720</v>
      </c>
      <c r="L836">
        <f t="shared" si="175"/>
        <v>14.18</v>
      </c>
      <c r="M836">
        <f t="shared" si="176"/>
        <v>734.18</v>
      </c>
      <c r="N836">
        <f t="shared" si="177"/>
        <v>0</v>
      </c>
      <c r="O836">
        <f t="shared" si="178"/>
        <v>734.18</v>
      </c>
      <c r="P836">
        <f t="shared" si="179"/>
        <v>0</v>
      </c>
      <c r="Q836">
        <f t="shared" si="180"/>
        <v>0</v>
      </c>
      <c r="R836">
        <f t="shared" si="181"/>
        <v>0</v>
      </c>
    </row>
    <row r="837" spans="1:18" x14ac:dyDescent="0.3">
      <c r="A837" s="1">
        <v>41970</v>
      </c>
      <c r="B837" s="1">
        <v>41992</v>
      </c>
      <c r="C837">
        <v>5.67</v>
      </c>
      <c r="D837">
        <v>0.15</v>
      </c>
      <c r="E837">
        <v>4</v>
      </c>
      <c r="F837">
        <f t="shared" si="169"/>
        <v>0</v>
      </c>
      <c r="G837">
        <f t="shared" si="170"/>
        <v>0</v>
      </c>
      <c r="H837">
        <f t="shared" si="171"/>
        <v>22</v>
      </c>
      <c r="I837">
        <f t="shared" si="172"/>
        <v>0</v>
      </c>
      <c r="J837">
        <f t="shared" si="173"/>
        <v>0</v>
      </c>
      <c r="K837">
        <f t="shared" si="174"/>
        <v>880</v>
      </c>
      <c r="L837">
        <f t="shared" si="175"/>
        <v>5.82</v>
      </c>
      <c r="M837">
        <f t="shared" si="176"/>
        <v>885.82</v>
      </c>
      <c r="N837">
        <f t="shared" si="177"/>
        <v>0</v>
      </c>
      <c r="O837">
        <f t="shared" si="178"/>
        <v>0</v>
      </c>
      <c r="P837">
        <f t="shared" si="179"/>
        <v>885.82</v>
      </c>
      <c r="Q837">
        <f t="shared" si="180"/>
        <v>0</v>
      </c>
      <c r="R837">
        <f t="shared" si="181"/>
        <v>0</v>
      </c>
    </row>
    <row r="838" spans="1:18" x14ac:dyDescent="0.3">
      <c r="A838" s="1">
        <v>41970</v>
      </c>
      <c r="B838" s="1">
        <v>41986</v>
      </c>
      <c r="C838">
        <v>6.75</v>
      </c>
      <c r="D838">
        <v>0.18</v>
      </c>
      <c r="E838">
        <v>2</v>
      </c>
      <c r="F838">
        <f t="shared" si="169"/>
        <v>16</v>
      </c>
      <c r="G838">
        <f t="shared" si="170"/>
        <v>0</v>
      </c>
      <c r="H838">
        <f t="shared" si="171"/>
        <v>0</v>
      </c>
      <c r="I838">
        <f t="shared" si="172"/>
        <v>0</v>
      </c>
      <c r="J838">
        <f t="shared" si="173"/>
        <v>0</v>
      </c>
      <c r="K838">
        <f t="shared" si="174"/>
        <v>320</v>
      </c>
      <c r="L838">
        <f t="shared" si="175"/>
        <v>6.93</v>
      </c>
      <c r="M838">
        <f t="shared" si="176"/>
        <v>326.93</v>
      </c>
      <c r="N838">
        <f t="shared" si="177"/>
        <v>326.93</v>
      </c>
      <c r="O838">
        <f t="shared" si="178"/>
        <v>0</v>
      </c>
      <c r="P838">
        <f t="shared" si="179"/>
        <v>0</v>
      </c>
      <c r="Q838">
        <f t="shared" si="180"/>
        <v>0</v>
      </c>
      <c r="R838">
        <f t="shared" si="181"/>
        <v>0</v>
      </c>
    </row>
    <row r="839" spans="1:18" x14ac:dyDescent="0.3">
      <c r="A839" s="1">
        <v>41970</v>
      </c>
      <c r="B839" s="1">
        <v>41992</v>
      </c>
      <c r="C839">
        <v>5.67</v>
      </c>
      <c r="D839">
        <v>0.15</v>
      </c>
      <c r="E839">
        <v>5</v>
      </c>
      <c r="F839">
        <f t="shared" si="169"/>
        <v>0</v>
      </c>
      <c r="G839">
        <f t="shared" si="170"/>
        <v>0</v>
      </c>
      <c r="H839">
        <f t="shared" si="171"/>
        <v>0</v>
      </c>
      <c r="I839">
        <f t="shared" si="172"/>
        <v>22</v>
      </c>
      <c r="J839">
        <f t="shared" si="173"/>
        <v>0</v>
      </c>
      <c r="K839">
        <f t="shared" si="174"/>
        <v>1100</v>
      </c>
      <c r="L839">
        <f t="shared" si="175"/>
        <v>5.82</v>
      </c>
      <c r="M839">
        <f t="shared" si="176"/>
        <v>1105.82</v>
      </c>
      <c r="N839">
        <f t="shared" si="177"/>
        <v>0</v>
      </c>
      <c r="O839">
        <f t="shared" si="178"/>
        <v>0</v>
      </c>
      <c r="P839">
        <f t="shared" si="179"/>
        <v>0</v>
      </c>
      <c r="Q839">
        <f t="shared" si="180"/>
        <v>1105.82</v>
      </c>
      <c r="R839">
        <f t="shared" si="181"/>
        <v>0</v>
      </c>
    </row>
    <row r="840" spans="1:18" x14ac:dyDescent="0.3">
      <c r="A840" s="1">
        <v>41970</v>
      </c>
      <c r="B840" s="1">
        <v>41987</v>
      </c>
      <c r="C840">
        <v>14.31</v>
      </c>
      <c r="D840">
        <v>0.38</v>
      </c>
      <c r="E840">
        <v>3</v>
      </c>
      <c r="F840">
        <f t="shared" si="169"/>
        <v>0</v>
      </c>
      <c r="G840">
        <f t="shared" si="170"/>
        <v>17</v>
      </c>
      <c r="H840">
        <f t="shared" si="171"/>
        <v>0</v>
      </c>
      <c r="I840">
        <f t="shared" si="172"/>
        <v>0</v>
      </c>
      <c r="J840">
        <f t="shared" si="173"/>
        <v>0</v>
      </c>
      <c r="K840">
        <f t="shared" si="174"/>
        <v>510</v>
      </c>
      <c r="L840">
        <f t="shared" si="175"/>
        <v>14.690000000000001</v>
      </c>
      <c r="M840">
        <f t="shared" si="176"/>
        <v>524.69000000000005</v>
      </c>
      <c r="N840">
        <f t="shared" si="177"/>
        <v>0</v>
      </c>
      <c r="O840">
        <f t="shared" si="178"/>
        <v>524.69000000000005</v>
      </c>
      <c r="P840">
        <f t="shared" si="179"/>
        <v>0</v>
      </c>
      <c r="Q840">
        <f t="shared" si="180"/>
        <v>0</v>
      </c>
      <c r="R840">
        <f t="shared" si="181"/>
        <v>0</v>
      </c>
    </row>
    <row r="841" spans="1:18" x14ac:dyDescent="0.3">
      <c r="A841" s="1">
        <v>41970</v>
      </c>
      <c r="B841" s="1">
        <v>41979</v>
      </c>
      <c r="C841">
        <v>16.55</v>
      </c>
      <c r="D841">
        <v>0.44</v>
      </c>
      <c r="E841">
        <v>4</v>
      </c>
      <c r="F841">
        <f t="shared" si="169"/>
        <v>0</v>
      </c>
      <c r="G841">
        <f t="shared" si="170"/>
        <v>0</v>
      </c>
      <c r="H841">
        <f t="shared" si="171"/>
        <v>9</v>
      </c>
      <c r="I841">
        <f t="shared" si="172"/>
        <v>0</v>
      </c>
      <c r="J841">
        <f t="shared" si="173"/>
        <v>0</v>
      </c>
      <c r="K841">
        <f t="shared" si="174"/>
        <v>360</v>
      </c>
      <c r="L841">
        <f t="shared" si="175"/>
        <v>16.990000000000002</v>
      </c>
      <c r="M841">
        <f t="shared" si="176"/>
        <v>376.99</v>
      </c>
      <c r="N841">
        <f t="shared" si="177"/>
        <v>0</v>
      </c>
      <c r="O841">
        <f t="shared" si="178"/>
        <v>0</v>
      </c>
      <c r="P841">
        <f t="shared" si="179"/>
        <v>376.99</v>
      </c>
      <c r="Q841">
        <f t="shared" si="180"/>
        <v>0</v>
      </c>
      <c r="R841">
        <f t="shared" si="181"/>
        <v>0</v>
      </c>
    </row>
    <row r="842" spans="1:18" x14ac:dyDescent="0.3">
      <c r="A842" s="1">
        <v>41970</v>
      </c>
      <c r="B842" s="1">
        <v>41974</v>
      </c>
      <c r="C842">
        <v>11.44</v>
      </c>
      <c r="D842">
        <v>0.3</v>
      </c>
      <c r="E842">
        <v>4</v>
      </c>
      <c r="F842">
        <f t="shared" si="169"/>
        <v>0</v>
      </c>
      <c r="G842">
        <f t="shared" si="170"/>
        <v>0</v>
      </c>
      <c r="H842">
        <f t="shared" si="171"/>
        <v>4</v>
      </c>
      <c r="I842">
        <f t="shared" si="172"/>
        <v>0</v>
      </c>
      <c r="J842">
        <f t="shared" si="173"/>
        <v>0</v>
      </c>
      <c r="K842">
        <f t="shared" si="174"/>
        <v>160</v>
      </c>
      <c r="L842">
        <f t="shared" si="175"/>
        <v>11.74</v>
      </c>
      <c r="M842">
        <f t="shared" si="176"/>
        <v>171.74</v>
      </c>
      <c r="N842">
        <f t="shared" si="177"/>
        <v>0</v>
      </c>
      <c r="O842">
        <f t="shared" si="178"/>
        <v>0</v>
      </c>
      <c r="P842">
        <f t="shared" si="179"/>
        <v>171.74</v>
      </c>
      <c r="Q842">
        <f t="shared" si="180"/>
        <v>0</v>
      </c>
      <c r="R842">
        <f t="shared" si="181"/>
        <v>0</v>
      </c>
    </row>
    <row r="843" spans="1:18" x14ac:dyDescent="0.3">
      <c r="A843" s="1">
        <v>41970</v>
      </c>
      <c r="B843" s="1">
        <v>41992</v>
      </c>
      <c r="C843">
        <v>4.66</v>
      </c>
      <c r="D843">
        <v>0.12</v>
      </c>
      <c r="E843">
        <v>4</v>
      </c>
      <c r="F843">
        <f t="shared" si="169"/>
        <v>0</v>
      </c>
      <c r="G843">
        <f t="shared" si="170"/>
        <v>0</v>
      </c>
      <c r="H843">
        <f t="shared" si="171"/>
        <v>22</v>
      </c>
      <c r="I843">
        <f t="shared" si="172"/>
        <v>0</v>
      </c>
      <c r="J843">
        <f t="shared" si="173"/>
        <v>0</v>
      </c>
      <c r="K843">
        <f t="shared" si="174"/>
        <v>880</v>
      </c>
      <c r="L843">
        <f t="shared" si="175"/>
        <v>4.78</v>
      </c>
      <c r="M843">
        <f t="shared" si="176"/>
        <v>884.78</v>
      </c>
      <c r="N843">
        <f t="shared" si="177"/>
        <v>0</v>
      </c>
      <c r="O843">
        <f t="shared" si="178"/>
        <v>0</v>
      </c>
      <c r="P843">
        <f t="shared" si="179"/>
        <v>884.78</v>
      </c>
      <c r="Q843">
        <f t="shared" si="180"/>
        <v>0</v>
      </c>
      <c r="R843">
        <f t="shared" si="181"/>
        <v>0</v>
      </c>
    </row>
    <row r="844" spans="1:18" x14ac:dyDescent="0.3">
      <c r="A844" s="1">
        <v>41970</v>
      </c>
      <c r="B844" s="1">
        <v>41995</v>
      </c>
      <c r="C844">
        <v>3.73</v>
      </c>
      <c r="D844">
        <v>0.1</v>
      </c>
      <c r="E844">
        <v>6</v>
      </c>
      <c r="F844">
        <f t="shared" si="169"/>
        <v>0</v>
      </c>
      <c r="G844">
        <f t="shared" si="170"/>
        <v>0</v>
      </c>
      <c r="H844">
        <f t="shared" si="171"/>
        <v>0</v>
      </c>
      <c r="I844">
        <f t="shared" si="172"/>
        <v>0</v>
      </c>
      <c r="J844">
        <f t="shared" si="173"/>
        <v>25</v>
      </c>
      <c r="K844">
        <f t="shared" si="174"/>
        <v>1500</v>
      </c>
      <c r="L844">
        <f t="shared" si="175"/>
        <v>3.83</v>
      </c>
      <c r="M844">
        <f t="shared" si="176"/>
        <v>1503.83</v>
      </c>
      <c r="N844">
        <f t="shared" si="177"/>
        <v>0</v>
      </c>
      <c r="O844">
        <f t="shared" si="178"/>
        <v>0</v>
      </c>
      <c r="P844">
        <f t="shared" si="179"/>
        <v>0</v>
      </c>
      <c r="Q844">
        <f t="shared" si="180"/>
        <v>0</v>
      </c>
      <c r="R844">
        <f t="shared" si="181"/>
        <v>1503.83</v>
      </c>
    </row>
    <row r="845" spans="1:18" x14ac:dyDescent="0.3">
      <c r="A845" s="1">
        <v>41970</v>
      </c>
      <c r="B845" s="1">
        <v>41982</v>
      </c>
      <c r="C845">
        <v>6.75</v>
      </c>
      <c r="D845">
        <v>0.18</v>
      </c>
      <c r="E845">
        <v>3</v>
      </c>
      <c r="F845">
        <f t="shared" si="169"/>
        <v>0</v>
      </c>
      <c r="G845">
        <f t="shared" si="170"/>
        <v>12</v>
      </c>
      <c r="H845">
        <f t="shared" si="171"/>
        <v>0</v>
      </c>
      <c r="I845">
        <f t="shared" si="172"/>
        <v>0</v>
      </c>
      <c r="J845">
        <f t="shared" si="173"/>
        <v>0</v>
      </c>
      <c r="K845">
        <f t="shared" si="174"/>
        <v>360</v>
      </c>
      <c r="L845">
        <f t="shared" si="175"/>
        <v>6.93</v>
      </c>
      <c r="M845">
        <f t="shared" si="176"/>
        <v>366.93</v>
      </c>
      <c r="N845">
        <f t="shared" si="177"/>
        <v>0</v>
      </c>
      <c r="O845">
        <f t="shared" si="178"/>
        <v>366.93</v>
      </c>
      <c r="P845">
        <f t="shared" si="179"/>
        <v>0</v>
      </c>
      <c r="Q845">
        <f t="shared" si="180"/>
        <v>0</v>
      </c>
      <c r="R845">
        <f t="shared" si="181"/>
        <v>0</v>
      </c>
    </row>
    <row r="846" spans="1:18" x14ac:dyDescent="0.3">
      <c r="A846" s="1">
        <v>41970</v>
      </c>
      <c r="B846" s="1">
        <v>41981</v>
      </c>
      <c r="C846">
        <v>2.72</v>
      </c>
      <c r="D846">
        <v>7.0000000000000007E-2</v>
      </c>
      <c r="E846">
        <v>6</v>
      </c>
      <c r="F846">
        <f t="shared" si="169"/>
        <v>0</v>
      </c>
      <c r="G846">
        <f t="shared" si="170"/>
        <v>0</v>
      </c>
      <c r="H846">
        <f t="shared" si="171"/>
        <v>0</v>
      </c>
      <c r="I846">
        <f t="shared" si="172"/>
        <v>0</v>
      </c>
      <c r="J846">
        <f t="shared" si="173"/>
        <v>11</v>
      </c>
      <c r="K846">
        <f t="shared" si="174"/>
        <v>660</v>
      </c>
      <c r="L846">
        <f t="shared" si="175"/>
        <v>2.79</v>
      </c>
      <c r="M846">
        <f t="shared" si="176"/>
        <v>662.79</v>
      </c>
      <c r="N846">
        <f t="shared" si="177"/>
        <v>0</v>
      </c>
      <c r="O846">
        <f t="shared" si="178"/>
        <v>0</v>
      </c>
      <c r="P846">
        <f t="shared" si="179"/>
        <v>0</v>
      </c>
      <c r="Q846">
        <f t="shared" si="180"/>
        <v>0</v>
      </c>
      <c r="R846">
        <f t="shared" si="181"/>
        <v>662.79</v>
      </c>
    </row>
    <row r="847" spans="1:18" x14ac:dyDescent="0.3">
      <c r="A847" s="1">
        <v>41970</v>
      </c>
      <c r="B847" s="1">
        <v>41990</v>
      </c>
      <c r="C847">
        <v>7.71</v>
      </c>
      <c r="D847">
        <v>0.2</v>
      </c>
      <c r="E847">
        <v>6</v>
      </c>
      <c r="F847">
        <f t="shared" si="169"/>
        <v>0</v>
      </c>
      <c r="G847">
        <f t="shared" si="170"/>
        <v>0</v>
      </c>
      <c r="H847">
        <f t="shared" si="171"/>
        <v>0</v>
      </c>
      <c r="I847">
        <f t="shared" si="172"/>
        <v>0</v>
      </c>
      <c r="J847">
        <f t="shared" si="173"/>
        <v>20</v>
      </c>
      <c r="K847">
        <f t="shared" si="174"/>
        <v>1200</v>
      </c>
      <c r="L847">
        <f t="shared" si="175"/>
        <v>7.91</v>
      </c>
      <c r="M847">
        <f t="shared" si="176"/>
        <v>1207.9100000000001</v>
      </c>
      <c r="N847">
        <f t="shared" si="177"/>
        <v>0</v>
      </c>
      <c r="O847">
        <f t="shared" si="178"/>
        <v>0</v>
      </c>
      <c r="P847">
        <f t="shared" si="179"/>
        <v>0</v>
      </c>
      <c r="Q847">
        <f t="shared" si="180"/>
        <v>0</v>
      </c>
      <c r="R847">
        <f t="shared" si="181"/>
        <v>1207.9100000000001</v>
      </c>
    </row>
    <row r="848" spans="1:18" x14ac:dyDescent="0.3">
      <c r="A848" s="1">
        <v>41970</v>
      </c>
      <c r="B848" s="1">
        <v>41972</v>
      </c>
      <c r="C848">
        <v>6.58</v>
      </c>
      <c r="D848">
        <v>0.17</v>
      </c>
      <c r="E848">
        <v>6</v>
      </c>
      <c r="F848">
        <f t="shared" si="169"/>
        <v>0</v>
      </c>
      <c r="G848">
        <f t="shared" si="170"/>
        <v>0</v>
      </c>
      <c r="H848">
        <f t="shared" si="171"/>
        <v>0</v>
      </c>
      <c r="I848">
        <f t="shared" si="172"/>
        <v>0</v>
      </c>
      <c r="J848">
        <f t="shared" si="173"/>
        <v>2</v>
      </c>
      <c r="K848">
        <f t="shared" si="174"/>
        <v>120</v>
      </c>
      <c r="L848">
        <f t="shared" si="175"/>
        <v>6.75</v>
      </c>
      <c r="M848">
        <f t="shared" si="176"/>
        <v>126.75</v>
      </c>
      <c r="N848">
        <f t="shared" si="177"/>
        <v>0</v>
      </c>
      <c r="O848">
        <f t="shared" si="178"/>
        <v>0</v>
      </c>
      <c r="P848">
        <f t="shared" si="179"/>
        <v>0</v>
      </c>
      <c r="Q848">
        <f t="shared" si="180"/>
        <v>0</v>
      </c>
      <c r="R848">
        <f t="shared" si="181"/>
        <v>126.75</v>
      </c>
    </row>
    <row r="849" spans="1:18" x14ac:dyDescent="0.3">
      <c r="A849" s="1">
        <v>41970</v>
      </c>
      <c r="B849" s="1">
        <v>41986</v>
      </c>
      <c r="C849">
        <v>8.89</v>
      </c>
      <c r="D849">
        <v>0.23</v>
      </c>
      <c r="E849">
        <v>2</v>
      </c>
      <c r="F849">
        <f t="shared" si="169"/>
        <v>16</v>
      </c>
      <c r="G849">
        <f t="shared" si="170"/>
        <v>0</v>
      </c>
      <c r="H849">
        <f t="shared" si="171"/>
        <v>0</v>
      </c>
      <c r="I849">
        <f t="shared" si="172"/>
        <v>0</v>
      </c>
      <c r="J849">
        <f t="shared" si="173"/>
        <v>0</v>
      </c>
      <c r="K849">
        <f t="shared" si="174"/>
        <v>320</v>
      </c>
      <c r="L849">
        <f t="shared" si="175"/>
        <v>9.120000000000001</v>
      </c>
      <c r="M849">
        <f t="shared" si="176"/>
        <v>329.12</v>
      </c>
      <c r="N849">
        <f t="shared" si="177"/>
        <v>329.12</v>
      </c>
      <c r="O849">
        <f t="shared" si="178"/>
        <v>0</v>
      </c>
      <c r="P849">
        <f t="shared" si="179"/>
        <v>0</v>
      </c>
      <c r="Q849">
        <f t="shared" si="180"/>
        <v>0</v>
      </c>
      <c r="R849">
        <f t="shared" si="181"/>
        <v>0</v>
      </c>
    </row>
    <row r="850" spans="1:18" x14ac:dyDescent="0.3">
      <c r="A850" s="1">
        <v>41970</v>
      </c>
      <c r="B850" s="1">
        <v>41986</v>
      </c>
      <c r="C850">
        <v>5.47</v>
      </c>
      <c r="D850">
        <v>0.14000000000000001</v>
      </c>
      <c r="E850">
        <v>4</v>
      </c>
      <c r="F850">
        <f t="shared" si="169"/>
        <v>0</v>
      </c>
      <c r="G850">
        <f t="shared" si="170"/>
        <v>0</v>
      </c>
      <c r="H850">
        <f t="shared" si="171"/>
        <v>16</v>
      </c>
      <c r="I850">
        <f t="shared" si="172"/>
        <v>0</v>
      </c>
      <c r="J850">
        <f t="shared" si="173"/>
        <v>0</v>
      </c>
      <c r="K850">
        <f t="shared" si="174"/>
        <v>640</v>
      </c>
      <c r="L850">
        <f t="shared" si="175"/>
        <v>5.6099999999999994</v>
      </c>
      <c r="M850">
        <f t="shared" si="176"/>
        <v>645.61</v>
      </c>
      <c r="N850">
        <f t="shared" si="177"/>
        <v>0</v>
      </c>
      <c r="O850">
        <f t="shared" si="178"/>
        <v>0</v>
      </c>
      <c r="P850">
        <f t="shared" si="179"/>
        <v>645.61</v>
      </c>
      <c r="Q850">
        <f t="shared" si="180"/>
        <v>0</v>
      </c>
      <c r="R850">
        <f t="shared" si="181"/>
        <v>0</v>
      </c>
    </row>
    <row r="851" spans="1:18" x14ac:dyDescent="0.3">
      <c r="A851" s="1">
        <v>41971</v>
      </c>
      <c r="B851" s="1">
        <v>41987</v>
      </c>
      <c r="C851">
        <v>12.01</v>
      </c>
      <c r="D851">
        <v>0.32</v>
      </c>
      <c r="E851">
        <v>2</v>
      </c>
      <c r="F851">
        <f t="shared" si="169"/>
        <v>16</v>
      </c>
      <c r="G851">
        <f t="shared" si="170"/>
        <v>0</v>
      </c>
      <c r="H851">
        <f t="shared" si="171"/>
        <v>0</v>
      </c>
      <c r="I851">
        <f t="shared" si="172"/>
        <v>0</v>
      </c>
      <c r="J851">
        <f t="shared" si="173"/>
        <v>0</v>
      </c>
      <c r="K851">
        <f t="shared" si="174"/>
        <v>320</v>
      </c>
      <c r="L851">
        <f t="shared" si="175"/>
        <v>12.33</v>
      </c>
      <c r="M851">
        <f t="shared" si="176"/>
        <v>332.33</v>
      </c>
      <c r="N851">
        <f t="shared" si="177"/>
        <v>332.33</v>
      </c>
      <c r="O851">
        <f t="shared" si="178"/>
        <v>0</v>
      </c>
      <c r="P851">
        <f t="shared" si="179"/>
        <v>0</v>
      </c>
      <c r="Q851">
        <f t="shared" si="180"/>
        <v>0</v>
      </c>
      <c r="R851">
        <f t="shared" si="181"/>
        <v>0</v>
      </c>
    </row>
    <row r="852" spans="1:18" x14ac:dyDescent="0.3">
      <c r="A852" s="1">
        <v>41971</v>
      </c>
      <c r="B852" s="1">
        <v>41976</v>
      </c>
      <c r="C852">
        <v>11.44</v>
      </c>
      <c r="D852">
        <v>0.3</v>
      </c>
      <c r="E852">
        <v>3</v>
      </c>
      <c r="F852">
        <f t="shared" si="169"/>
        <v>0</v>
      </c>
      <c r="G852">
        <f t="shared" si="170"/>
        <v>5</v>
      </c>
      <c r="H852">
        <f t="shared" si="171"/>
        <v>0</v>
      </c>
      <c r="I852">
        <f t="shared" si="172"/>
        <v>0</v>
      </c>
      <c r="J852">
        <f t="shared" si="173"/>
        <v>0</v>
      </c>
      <c r="K852">
        <f t="shared" si="174"/>
        <v>150</v>
      </c>
      <c r="L852">
        <f t="shared" si="175"/>
        <v>11.74</v>
      </c>
      <c r="M852">
        <f t="shared" si="176"/>
        <v>161.74</v>
      </c>
      <c r="N852">
        <f t="shared" si="177"/>
        <v>0</v>
      </c>
      <c r="O852">
        <f t="shared" si="178"/>
        <v>161.74</v>
      </c>
      <c r="P852">
        <f t="shared" si="179"/>
        <v>0</v>
      </c>
      <c r="Q852">
        <f t="shared" si="180"/>
        <v>0</v>
      </c>
      <c r="R852">
        <f t="shared" si="181"/>
        <v>0</v>
      </c>
    </row>
    <row r="853" spans="1:18" x14ac:dyDescent="0.3">
      <c r="A853" s="1">
        <v>41971</v>
      </c>
      <c r="B853" s="1">
        <v>41986</v>
      </c>
      <c r="C853">
        <v>14.13</v>
      </c>
      <c r="D853">
        <v>0.37</v>
      </c>
      <c r="E853">
        <v>3</v>
      </c>
      <c r="F853">
        <f t="shared" si="169"/>
        <v>0</v>
      </c>
      <c r="G853">
        <f t="shared" si="170"/>
        <v>15</v>
      </c>
      <c r="H853">
        <f t="shared" si="171"/>
        <v>0</v>
      </c>
      <c r="I853">
        <f t="shared" si="172"/>
        <v>0</v>
      </c>
      <c r="J853">
        <f t="shared" si="173"/>
        <v>0</v>
      </c>
      <c r="K853">
        <f t="shared" si="174"/>
        <v>450</v>
      </c>
      <c r="L853">
        <f t="shared" si="175"/>
        <v>14.5</v>
      </c>
      <c r="M853">
        <f t="shared" si="176"/>
        <v>464.5</v>
      </c>
      <c r="N853">
        <f t="shared" si="177"/>
        <v>0</v>
      </c>
      <c r="O853">
        <f t="shared" si="178"/>
        <v>464.5</v>
      </c>
      <c r="P853">
        <f t="shared" si="179"/>
        <v>0</v>
      </c>
      <c r="Q853">
        <f t="shared" si="180"/>
        <v>0</v>
      </c>
      <c r="R853">
        <f t="shared" si="181"/>
        <v>0</v>
      </c>
    </row>
    <row r="854" spans="1:18" x14ac:dyDescent="0.3">
      <c r="A854" s="1">
        <v>41971</v>
      </c>
      <c r="B854" s="1">
        <v>41983</v>
      </c>
      <c r="C854">
        <v>8.9499999999999993</v>
      </c>
      <c r="D854">
        <v>0.24</v>
      </c>
      <c r="E854">
        <v>6</v>
      </c>
      <c r="F854">
        <f t="shared" si="169"/>
        <v>0</v>
      </c>
      <c r="G854">
        <f t="shared" si="170"/>
        <v>0</v>
      </c>
      <c r="H854">
        <f t="shared" si="171"/>
        <v>0</v>
      </c>
      <c r="I854">
        <f t="shared" si="172"/>
        <v>0</v>
      </c>
      <c r="J854">
        <f t="shared" si="173"/>
        <v>12</v>
      </c>
      <c r="K854">
        <f t="shared" si="174"/>
        <v>720</v>
      </c>
      <c r="L854">
        <f t="shared" si="175"/>
        <v>9.19</v>
      </c>
      <c r="M854">
        <f t="shared" si="176"/>
        <v>729.19</v>
      </c>
      <c r="N854">
        <f t="shared" si="177"/>
        <v>0</v>
      </c>
      <c r="O854">
        <f t="shared" si="178"/>
        <v>0</v>
      </c>
      <c r="P854">
        <f t="shared" si="179"/>
        <v>0</v>
      </c>
      <c r="Q854">
        <f t="shared" si="180"/>
        <v>0</v>
      </c>
      <c r="R854">
        <f t="shared" si="181"/>
        <v>729.19</v>
      </c>
    </row>
    <row r="855" spans="1:18" x14ac:dyDescent="0.3">
      <c r="A855" s="1">
        <v>41971</v>
      </c>
      <c r="B855" s="1">
        <v>41973</v>
      </c>
      <c r="C855">
        <v>8.89</v>
      </c>
      <c r="D855">
        <v>0.23</v>
      </c>
      <c r="E855">
        <v>2</v>
      </c>
      <c r="F855">
        <f t="shared" si="169"/>
        <v>2</v>
      </c>
      <c r="G855">
        <f t="shared" si="170"/>
        <v>0</v>
      </c>
      <c r="H855">
        <f t="shared" si="171"/>
        <v>0</v>
      </c>
      <c r="I855">
        <f t="shared" si="172"/>
        <v>0</v>
      </c>
      <c r="J855">
        <f t="shared" si="173"/>
        <v>0</v>
      </c>
      <c r="K855">
        <f t="shared" si="174"/>
        <v>40</v>
      </c>
      <c r="L855">
        <f t="shared" si="175"/>
        <v>9.120000000000001</v>
      </c>
      <c r="M855">
        <f t="shared" si="176"/>
        <v>49.120000000000005</v>
      </c>
      <c r="N855">
        <f t="shared" si="177"/>
        <v>49.120000000000005</v>
      </c>
      <c r="O855">
        <f t="shared" si="178"/>
        <v>0</v>
      </c>
      <c r="P855">
        <f t="shared" si="179"/>
        <v>0</v>
      </c>
      <c r="Q855">
        <f t="shared" si="180"/>
        <v>0</v>
      </c>
      <c r="R855">
        <f t="shared" si="181"/>
        <v>0</v>
      </c>
    </row>
    <row r="856" spans="1:18" x14ac:dyDescent="0.3">
      <c r="A856" s="1">
        <v>41971</v>
      </c>
      <c r="B856" s="1">
        <v>41975</v>
      </c>
      <c r="C856">
        <v>6.43</v>
      </c>
      <c r="D856">
        <v>0.17</v>
      </c>
      <c r="E856">
        <v>5</v>
      </c>
      <c r="F856">
        <f t="shared" si="169"/>
        <v>0</v>
      </c>
      <c r="G856">
        <f t="shared" si="170"/>
        <v>0</v>
      </c>
      <c r="H856">
        <f t="shared" si="171"/>
        <v>0</v>
      </c>
      <c r="I856">
        <f t="shared" si="172"/>
        <v>4</v>
      </c>
      <c r="J856">
        <f t="shared" si="173"/>
        <v>0</v>
      </c>
      <c r="K856">
        <f t="shared" si="174"/>
        <v>200</v>
      </c>
      <c r="L856">
        <f t="shared" si="175"/>
        <v>6.6</v>
      </c>
      <c r="M856">
        <f t="shared" si="176"/>
        <v>206.6</v>
      </c>
      <c r="N856">
        <f t="shared" si="177"/>
        <v>0</v>
      </c>
      <c r="O856">
        <f t="shared" si="178"/>
        <v>0</v>
      </c>
      <c r="P856">
        <f t="shared" si="179"/>
        <v>0</v>
      </c>
      <c r="Q856">
        <f t="shared" si="180"/>
        <v>206.6</v>
      </c>
      <c r="R856">
        <f t="shared" si="181"/>
        <v>0</v>
      </c>
    </row>
    <row r="857" spans="1:18" x14ac:dyDescent="0.3">
      <c r="A857" s="1">
        <v>41971</v>
      </c>
      <c r="B857" s="1">
        <v>41974</v>
      </c>
      <c r="C857">
        <v>3.94</v>
      </c>
      <c r="D857">
        <v>0.1</v>
      </c>
      <c r="E857">
        <v>3</v>
      </c>
      <c r="F857">
        <f t="shared" si="169"/>
        <v>0</v>
      </c>
      <c r="G857">
        <f t="shared" si="170"/>
        <v>3</v>
      </c>
      <c r="H857">
        <f t="shared" si="171"/>
        <v>0</v>
      </c>
      <c r="I857">
        <f t="shared" si="172"/>
        <v>0</v>
      </c>
      <c r="J857">
        <f t="shared" si="173"/>
        <v>0</v>
      </c>
      <c r="K857">
        <f t="shared" si="174"/>
        <v>90</v>
      </c>
      <c r="L857">
        <f t="shared" si="175"/>
        <v>4.04</v>
      </c>
      <c r="M857">
        <f t="shared" si="176"/>
        <v>94.04</v>
      </c>
      <c r="N857">
        <f t="shared" si="177"/>
        <v>0</v>
      </c>
      <c r="O857">
        <f t="shared" si="178"/>
        <v>94.04</v>
      </c>
      <c r="P857">
        <f t="shared" si="179"/>
        <v>0</v>
      </c>
      <c r="Q857">
        <f t="shared" si="180"/>
        <v>0</v>
      </c>
      <c r="R857">
        <f t="shared" si="181"/>
        <v>0</v>
      </c>
    </row>
    <row r="858" spans="1:18" x14ac:dyDescent="0.3">
      <c r="A858" s="1">
        <v>41971</v>
      </c>
      <c r="B858" s="1">
        <v>41973</v>
      </c>
      <c r="C858">
        <v>6.23</v>
      </c>
      <c r="D858">
        <v>0.16</v>
      </c>
      <c r="E858">
        <v>3</v>
      </c>
      <c r="F858">
        <f t="shared" si="169"/>
        <v>0</v>
      </c>
      <c r="G858">
        <f t="shared" si="170"/>
        <v>2</v>
      </c>
      <c r="H858">
        <f t="shared" si="171"/>
        <v>0</v>
      </c>
      <c r="I858">
        <f t="shared" si="172"/>
        <v>0</v>
      </c>
      <c r="J858">
        <f t="shared" si="173"/>
        <v>0</v>
      </c>
      <c r="K858">
        <f t="shared" si="174"/>
        <v>60</v>
      </c>
      <c r="L858">
        <f t="shared" si="175"/>
        <v>6.3900000000000006</v>
      </c>
      <c r="M858">
        <f t="shared" si="176"/>
        <v>66.39</v>
      </c>
      <c r="N858">
        <f t="shared" si="177"/>
        <v>0</v>
      </c>
      <c r="O858">
        <f t="shared" si="178"/>
        <v>66.39</v>
      </c>
      <c r="P858">
        <f t="shared" si="179"/>
        <v>0</v>
      </c>
      <c r="Q858">
        <f t="shared" si="180"/>
        <v>0</v>
      </c>
      <c r="R858">
        <f t="shared" si="181"/>
        <v>0</v>
      </c>
    </row>
    <row r="859" spans="1:18" x14ac:dyDescent="0.3">
      <c r="A859" s="1">
        <v>41971</v>
      </c>
      <c r="B859" s="1">
        <v>41999</v>
      </c>
      <c r="C859">
        <v>13.82</v>
      </c>
      <c r="D859">
        <v>0.36</v>
      </c>
      <c r="E859">
        <v>3</v>
      </c>
      <c r="F859">
        <f t="shared" si="169"/>
        <v>0</v>
      </c>
      <c r="G859">
        <f t="shared" si="170"/>
        <v>28</v>
      </c>
      <c r="H859">
        <f t="shared" si="171"/>
        <v>0</v>
      </c>
      <c r="I859">
        <f t="shared" si="172"/>
        <v>0</v>
      </c>
      <c r="J859">
        <f t="shared" si="173"/>
        <v>0</v>
      </c>
      <c r="K859">
        <f t="shared" si="174"/>
        <v>840</v>
      </c>
      <c r="L859">
        <f t="shared" si="175"/>
        <v>14.18</v>
      </c>
      <c r="M859">
        <f t="shared" si="176"/>
        <v>854.18</v>
      </c>
      <c r="N859">
        <f t="shared" si="177"/>
        <v>0</v>
      </c>
      <c r="O859">
        <f t="shared" si="178"/>
        <v>854.18</v>
      </c>
      <c r="P859">
        <f t="shared" si="179"/>
        <v>0</v>
      </c>
      <c r="Q859">
        <f t="shared" si="180"/>
        <v>0</v>
      </c>
      <c r="R859">
        <f t="shared" si="181"/>
        <v>0</v>
      </c>
    </row>
    <row r="860" spans="1:18" x14ac:dyDescent="0.3">
      <c r="A860" s="1">
        <v>41971</v>
      </c>
      <c r="B860" s="1">
        <v>41987</v>
      </c>
      <c r="C860">
        <v>4.66</v>
      </c>
      <c r="D860">
        <v>0.12</v>
      </c>
      <c r="E860">
        <v>4</v>
      </c>
      <c r="F860">
        <f t="shared" si="169"/>
        <v>0</v>
      </c>
      <c r="G860">
        <f t="shared" si="170"/>
        <v>0</v>
      </c>
      <c r="H860">
        <f t="shared" si="171"/>
        <v>16</v>
      </c>
      <c r="I860">
        <f t="shared" si="172"/>
        <v>0</v>
      </c>
      <c r="J860">
        <f t="shared" si="173"/>
        <v>0</v>
      </c>
      <c r="K860">
        <f t="shared" si="174"/>
        <v>640</v>
      </c>
      <c r="L860">
        <f t="shared" si="175"/>
        <v>4.78</v>
      </c>
      <c r="M860">
        <f t="shared" si="176"/>
        <v>644.78</v>
      </c>
      <c r="N860">
        <f t="shared" si="177"/>
        <v>0</v>
      </c>
      <c r="O860">
        <f t="shared" si="178"/>
        <v>0</v>
      </c>
      <c r="P860">
        <f t="shared" si="179"/>
        <v>644.78</v>
      </c>
      <c r="Q860">
        <f t="shared" si="180"/>
        <v>0</v>
      </c>
      <c r="R860">
        <f t="shared" si="181"/>
        <v>0</v>
      </c>
    </row>
    <row r="861" spans="1:18" x14ac:dyDescent="0.3">
      <c r="A861" s="1">
        <v>41971</v>
      </c>
      <c r="B861" s="1">
        <v>41998</v>
      </c>
      <c r="C861">
        <v>6.58</v>
      </c>
      <c r="D861">
        <v>0.17</v>
      </c>
      <c r="E861">
        <v>6</v>
      </c>
      <c r="F861">
        <f t="shared" si="169"/>
        <v>0</v>
      </c>
      <c r="G861">
        <f t="shared" si="170"/>
        <v>0</v>
      </c>
      <c r="H861">
        <f t="shared" si="171"/>
        <v>0</v>
      </c>
      <c r="I861">
        <f t="shared" si="172"/>
        <v>0</v>
      </c>
      <c r="J861">
        <f t="shared" si="173"/>
        <v>27</v>
      </c>
      <c r="K861">
        <f t="shared" si="174"/>
        <v>1620</v>
      </c>
      <c r="L861">
        <f t="shared" si="175"/>
        <v>6.75</v>
      </c>
      <c r="M861">
        <f t="shared" si="176"/>
        <v>1626.75</v>
      </c>
      <c r="N861">
        <f t="shared" si="177"/>
        <v>0</v>
      </c>
      <c r="O861">
        <f t="shared" si="178"/>
        <v>0</v>
      </c>
      <c r="P861">
        <f t="shared" si="179"/>
        <v>0</v>
      </c>
      <c r="Q861">
        <f t="shared" si="180"/>
        <v>0</v>
      </c>
      <c r="R861">
        <f t="shared" si="181"/>
        <v>1626.75</v>
      </c>
    </row>
    <row r="862" spans="1:18" x14ac:dyDescent="0.3">
      <c r="A862" s="1">
        <v>41971</v>
      </c>
      <c r="B862" s="1">
        <v>41987</v>
      </c>
      <c r="C862">
        <v>5.23</v>
      </c>
      <c r="D862">
        <v>0.14000000000000001</v>
      </c>
      <c r="E862">
        <v>2</v>
      </c>
      <c r="F862">
        <f t="shared" si="169"/>
        <v>16</v>
      </c>
      <c r="G862">
        <f t="shared" si="170"/>
        <v>0</v>
      </c>
      <c r="H862">
        <f t="shared" si="171"/>
        <v>0</v>
      </c>
      <c r="I862">
        <f t="shared" si="172"/>
        <v>0</v>
      </c>
      <c r="J862">
        <f t="shared" si="173"/>
        <v>0</v>
      </c>
      <c r="K862">
        <f t="shared" si="174"/>
        <v>320</v>
      </c>
      <c r="L862">
        <f t="shared" si="175"/>
        <v>5.37</v>
      </c>
      <c r="M862">
        <f t="shared" si="176"/>
        <v>325.37</v>
      </c>
      <c r="N862">
        <f t="shared" si="177"/>
        <v>325.37</v>
      </c>
      <c r="O862">
        <f t="shared" si="178"/>
        <v>0</v>
      </c>
      <c r="P862">
        <f t="shared" si="179"/>
        <v>0</v>
      </c>
      <c r="Q862">
        <f t="shared" si="180"/>
        <v>0</v>
      </c>
      <c r="R862">
        <f t="shared" si="181"/>
        <v>0</v>
      </c>
    </row>
    <row r="863" spans="1:18" x14ac:dyDescent="0.3">
      <c r="A863" s="1">
        <v>41971</v>
      </c>
      <c r="B863" s="1">
        <v>41999</v>
      </c>
      <c r="C863">
        <v>14</v>
      </c>
      <c r="D863">
        <v>0.37</v>
      </c>
      <c r="E863">
        <v>6</v>
      </c>
      <c r="F863">
        <f t="shared" si="169"/>
        <v>0</v>
      </c>
      <c r="G863">
        <f t="shared" si="170"/>
        <v>0</v>
      </c>
      <c r="H863">
        <f t="shared" si="171"/>
        <v>0</v>
      </c>
      <c r="I863">
        <f t="shared" si="172"/>
        <v>0</v>
      </c>
      <c r="J863">
        <f t="shared" si="173"/>
        <v>28</v>
      </c>
      <c r="K863">
        <f t="shared" si="174"/>
        <v>1680</v>
      </c>
      <c r="L863">
        <f t="shared" si="175"/>
        <v>14.37</v>
      </c>
      <c r="M863">
        <f t="shared" si="176"/>
        <v>1694.37</v>
      </c>
      <c r="N863">
        <f t="shared" si="177"/>
        <v>0</v>
      </c>
      <c r="O863">
        <f t="shared" si="178"/>
        <v>0</v>
      </c>
      <c r="P863">
        <f t="shared" si="179"/>
        <v>0</v>
      </c>
      <c r="Q863">
        <f t="shared" si="180"/>
        <v>0</v>
      </c>
      <c r="R863">
        <f t="shared" si="181"/>
        <v>1694.37</v>
      </c>
    </row>
    <row r="864" spans="1:18" x14ac:dyDescent="0.3">
      <c r="A864" s="1">
        <v>41971</v>
      </c>
      <c r="B864" s="1">
        <v>41993</v>
      </c>
      <c r="C864">
        <v>8.65</v>
      </c>
      <c r="D864">
        <v>0.23</v>
      </c>
      <c r="E864">
        <v>2</v>
      </c>
      <c r="F864">
        <f t="shared" si="169"/>
        <v>22</v>
      </c>
      <c r="G864">
        <f t="shared" si="170"/>
        <v>0</v>
      </c>
      <c r="H864">
        <f t="shared" si="171"/>
        <v>0</v>
      </c>
      <c r="I864">
        <f t="shared" si="172"/>
        <v>0</v>
      </c>
      <c r="J864">
        <f t="shared" si="173"/>
        <v>0</v>
      </c>
      <c r="K864">
        <f t="shared" si="174"/>
        <v>440</v>
      </c>
      <c r="L864">
        <f t="shared" si="175"/>
        <v>8.8800000000000008</v>
      </c>
      <c r="M864">
        <f t="shared" si="176"/>
        <v>448.88</v>
      </c>
      <c r="N864">
        <f t="shared" si="177"/>
        <v>448.88</v>
      </c>
      <c r="O864">
        <f t="shared" si="178"/>
        <v>0</v>
      </c>
      <c r="P864">
        <f t="shared" si="179"/>
        <v>0</v>
      </c>
      <c r="Q864">
        <f t="shared" si="180"/>
        <v>0</v>
      </c>
      <c r="R864">
        <f t="shared" si="181"/>
        <v>0</v>
      </c>
    </row>
    <row r="865" spans="1:18" x14ac:dyDescent="0.3">
      <c r="A865" s="1">
        <v>41971</v>
      </c>
      <c r="B865" s="1">
        <v>41988</v>
      </c>
      <c r="C865">
        <v>19.54</v>
      </c>
      <c r="D865">
        <v>0.51</v>
      </c>
      <c r="E865">
        <v>6</v>
      </c>
      <c r="F865">
        <f t="shared" si="169"/>
        <v>0</v>
      </c>
      <c r="G865">
        <f t="shared" si="170"/>
        <v>0</v>
      </c>
      <c r="H865">
        <f t="shared" si="171"/>
        <v>0</v>
      </c>
      <c r="I865">
        <f t="shared" si="172"/>
        <v>0</v>
      </c>
      <c r="J865">
        <f t="shared" si="173"/>
        <v>17</v>
      </c>
      <c r="K865">
        <f t="shared" si="174"/>
        <v>1020</v>
      </c>
      <c r="L865">
        <f t="shared" si="175"/>
        <v>20.05</v>
      </c>
      <c r="M865">
        <f t="shared" si="176"/>
        <v>1040.05</v>
      </c>
      <c r="N865">
        <f t="shared" si="177"/>
        <v>0</v>
      </c>
      <c r="O865">
        <f t="shared" si="178"/>
        <v>0</v>
      </c>
      <c r="P865">
        <f t="shared" si="179"/>
        <v>0</v>
      </c>
      <c r="Q865">
        <f t="shared" si="180"/>
        <v>0</v>
      </c>
      <c r="R865">
        <f t="shared" si="181"/>
        <v>1040.05</v>
      </c>
    </row>
    <row r="866" spans="1:18" x14ac:dyDescent="0.3">
      <c r="A866" s="1">
        <v>41971</v>
      </c>
      <c r="B866" s="1">
        <v>41994</v>
      </c>
      <c r="C866">
        <v>8.83</v>
      </c>
      <c r="D866">
        <v>0.23</v>
      </c>
      <c r="E866">
        <v>2</v>
      </c>
      <c r="F866">
        <f t="shared" si="169"/>
        <v>23</v>
      </c>
      <c r="G866">
        <f t="shared" si="170"/>
        <v>0</v>
      </c>
      <c r="H866">
        <f t="shared" si="171"/>
        <v>0</v>
      </c>
      <c r="I866">
        <f t="shared" si="172"/>
        <v>0</v>
      </c>
      <c r="J866">
        <f t="shared" si="173"/>
        <v>0</v>
      </c>
      <c r="K866">
        <f t="shared" si="174"/>
        <v>460</v>
      </c>
      <c r="L866">
        <f t="shared" si="175"/>
        <v>9.06</v>
      </c>
      <c r="M866">
        <f t="shared" si="176"/>
        <v>469.06</v>
      </c>
      <c r="N866">
        <f t="shared" si="177"/>
        <v>469.06</v>
      </c>
      <c r="O866">
        <f t="shared" si="178"/>
        <v>0</v>
      </c>
      <c r="P866">
        <f t="shared" si="179"/>
        <v>0</v>
      </c>
      <c r="Q866">
        <f t="shared" si="180"/>
        <v>0</v>
      </c>
      <c r="R866">
        <f t="shared" si="181"/>
        <v>0</v>
      </c>
    </row>
    <row r="867" spans="1:18" x14ac:dyDescent="0.3">
      <c r="A867" s="1">
        <v>41971</v>
      </c>
      <c r="B867" s="1">
        <v>41994</v>
      </c>
      <c r="C867">
        <v>5.64</v>
      </c>
      <c r="D867">
        <v>0.15</v>
      </c>
      <c r="E867">
        <v>3</v>
      </c>
      <c r="F867">
        <f t="shared" si="169"/>
        <v>0</v>
      </c>
      <c r="G867">
        <f t="shared" si="170"/>
        <v>23</v>
      </c>
      <c r="H867">
        <f t="shared" si="171"/>
        <v>0</v>
      </c>
      <c r="I867">
        <f t="shared" si="172"/>
        <v>0</v>
      </c>
      <c r="J867">
        <f t="shared" si="173"/>
        <v>0</v>
      </c>
      <c r="K867">
        <f t="shared" si="174"/>
        <v>690</v>
      </c>
      <c r="L867">
        <f t="shared" si="175"/>
        <v>5.79</v>
      </c>
      <c r="M867">
        <f t="shared" si="176"/>
        <v>695.79</v>
      </c>
      <c r="N867">
        <f t="shared" si="177"/>
        <v>0</v>
      </c>
      <c r="O867">
        <f t="shared" si="178"/>
        <v>695.79</v>
      </c>
      <c r="P867">
        <f t="shared" si="179"/>
        <v>0</v>
      </c>
      <c r="Q867">
        <f t="shared" si="180"/>
        <v>0</v>
      </c>
      <c r="R867">
        <f t="shared" si="181"/>
        <v>0</v>
      </c>
    </row>
    <row r="868" spans="1:18" x14ac:dyDescent="0.3">
      <c r="A868" s="1">
        <v>41971</v>
      </c>
      <c r="B868" s="1">
        <v>41995</v>
      </c>
      <c r="C868">
        <v>8.89</v>
      </c>
      <c r="D868">
        <v>0.23</v>
      </c>
      <c r="E868">
        <v>4</v>
      </c>
      <c r="F868">
        <f t="shared" si="169"/>
        <v>0</v>
      </c>
      <c r="G868">
        <f t="shared" si="170"/>
        <v>0</v>
      </c>
      <c r="H868">
        <f t="shared" si="171"/>
        <v>24</v>
      </c>
      <c r="I868">
        <f t="shared" si="172"/>
        <v>0</v>
      </c>
      <c r="J868">
        <f t="shared" si="173"/>
        <v>0</v>
      </c>
      <c r="K868">
        <f t="shared" si="174"/>
        <v>960</v>
      </c>
      <c r="L868">
        <f t="shared" si="175"/>
        <v>9.120000000000001</v>
      </c>
      <c r="M868">
        <f t="shared" si="176"/>
        <v>969.12</v>
      </c>
      <c r="N868">
        <f t="shared" si="177"/>
        <v>0</v>
      </c>
      <c r="O868">
        <f t="shared" si="178"/>
        <v>0</v>
      </c>
      <c r="P868">
        <f t="shared" si="179"/>
        <v>969.12</v>
      </c>
      <c r="Q868">
        <f t="shared" si="180"/>
        <v>0</v>
      </c>
      <c r="R868">
        <f t="shared" si="181"/>
        <v>0</v>
      </c>
    </row>
    <row r="869" spans="1:18" x14ac:dyDescent="0.3">
      <c r="A869" s="1">
        <v>41971</v>
      </c>
      <c r="B869" s="1">
        <v>41981</v>
      </c>
      <c r="C869">
        <v>16.829999999999998</v>
      </c>
      <c r="D869">
        <v>0.44</v>
      </c>
      <c r="E869">
        <v>2</v>
      </c>
      <c r="F869">
        <f t="shared" si="169"/>
        <v>10</v>
      </c>
      <c r="G869">
        <f t="shared" si="170"/>
        <v>0</v>
      </c>
      <c r="H869">
        <f t="shared" si="171"/>
        <v>0</v>
      </c>
      <c r="I869">
        <f t="shared" si="172"/>
        <v>0</v>
      </c>
      <c r="J869">
        <f t="shared" si="173"/>
        <v>0</v>
      </c>
      <c r="K869">
        <f t="shared" si="174"/>
        <v>200</v>
      </c>
      <c r="L869">
        <f t="shared" si="175"/>
        <v>17.27</v>
      </c>
      <c r="M869">
        <f t="shared" si="176"/>
        <v>217.27</v>
      </c>
      <c r="N869">
        <f t="shared" si="177"/>
        <v>217.27</v>
      </c>
      <c r="O869">
        <f t="shared" si="178"/>
        <v>0</v>
      </c>
      <c r="P869">
        <f t="shared" si="179"/>
        <v>0</v>
      </c>
      <c r="Q869">
        <f t="shared" si="180"/>
        <v>0</v>
      </c>
      <c r="R869">
        <f t="shared" si="181"/>
        <v>0</v>
      </c>
    </row>
    <row r="870" spans="1:18" x14ac:dyDescent="0.3">
      <c r="A870" s="1">
        <v>41971</v>
      </c>
      <c r="B870" s="1">
        <v>41982</v>
      </c>
      <c r="C870">
        <v>11.42</v>
      </c>
      <c r="D870">
        <v>0.3</v>
      </c>
      <c r="E870">
        <v>2</v>
      </c>
      <c r="F870">
        <f t="shared" si="169"/>
        <v>11</v>
      </c>
      <c r="G870">
        <f t="shared" si="170"/>
        <v>0</v>
      </c>
      <c r="H870">
        <f t="shared" si="171"/>
        <v>0</v>
      </c>
      <c r="I870">
        <f t="shared" si="172"/>
        <v>0</v>
      </c>
      <c r="J870">
        <f t="shared" si="173"/>
        <v>0</v>
      </c>
      <c r="K870">
        <f t="shared" si="174"/>
        <v>220</v>
      </c>
      <c r="L870">
        <f t="shared" si="175"/>
        <v>11.72</v>
      </c>
      <c r="M870">
        <f t="shared" si="176"/>
        <v>231.72</v>
      </c>
      <c r="N870">
        <f t="shared" si="177"/>
        <v>231.72</v>
      </c>
      <c r="O870">
        <f t="shared" si="178"/>
        <v>0</v>
      </c>
      <c r="P870">
        <f t="shared" si="179"/>
        <v>0</v>
      </c>
      <c r="Q870">
        <f t="shared" si="180"/>
        <v>0</v>
      </c>
      <c r="R870">
        <f t="shared" si="181"/>
        <v>0</v>
      </c>
    </row>
    <row r="871" spans="1:18" x14ac:dyDescent="0.3">
      <c r="A871" s="1">
        <v>41972</v>
      </c>
      <c r="B871" s="1">
        <v>41979</v>
      </c>
      <c r="C871">
        <v>5.64</v>
      </c>
      <c r="D871">
        <v>0.15</v>
      </c>
      <c r="E871">
        <v>3</v>
      </c>
      <c r="F871">
        <f t="shared" si="169"/>
        <v>0</v>
      </c>
      <c r="G871">
        <f t="shared" si="170"/>
        <v>7</v>
      </c>
      <c r="H871">
        <f t="shared" si="171"/>
        <v>0</v>
      </c>
      <c r="I871">
        <f t="shared" si="172"/>
        <v>0</v>
      </c>
      <c r="J871">
        <f t="shared" si="173"/>
        <v>0</v>
      </c>
      <c r="K871">
        <f t="shared" si="174"/>
        <v>210</v>
      </c>
      <c r="L871">
        <f t="shared" si="175"/>
        <v>5.79</v>
      </c>
      <c r="M871">
        <f t="shared" si="176"/>
        <v>215.79</v>
      </c>
      <c r="N871">
        <f t="shared" si="177"/>
        <v>0</v>
      </c>
      <c r="O871">
        <f t="shared" si="178"/>
        <v>215.79</v>
      </c>
      <c r="P871">
        <f t="shared" si="179"/>
        <v>0</v>
      </c>
      <c r="Q871">
        <f t="shared" si="180"/>
        <v>0</v>
      </c>
      <c r="R871">
        <f t="shared" si="181"/>
        <v>0</v>
      </c>
    </row>
    <row r="872" spans="1:18" x14ac:dyDescent="0.3">
      <c r="A872" s="1">
        <v>41974</v>
      </c>
      <c r="B872" s="1">
        <v>41985</v>
      </c>
      <c r="C872">
        <v>8.7200000000000006</v>
      </c>
      <c r="D872">
        <v>0.23</v>
      </c>
      <c r="E872">
        <v>6</v>
      </c>
      <c r="F872">
        <f t="shared" si="169"/>
        <v>0</v>
      </c>
      <c r="G872">
        <f t="shared" si="170"/>
        <v>0</v>
      </c>
      <c r="H872">
        <f t="shared" si="171"/>
        <v>0</v>
      </c>
      <c r="I872">
        <f t="shared" si="172"/>
        <v>0</v>
      </c>
      <c r="J872">
        <f t="shared" si="173"/>
        <v>11</v>
      </c>
      <c r="K872">
        <f t="shared" si="174"/>
        <v>660</v>
      </c>
      <c r="L872">
        <f t="shared" si="175"/>
        <v>8.9500000000000011</v>
      </c>
      <c r="M872">
        <f t="shared" si="176"/>
        <v>668.95</v>
      </c>
      <c r="N872">
        <f t="shared" si="177"/>
        <v>0</v>
      </c>
      <c r="O872">
        <f t="shared" si="178"/>
        <v>0</v>
      </c>
      <c r="P872">
        <f t="shared" si="179"/>
        <v>0</v>
      </c>
      <c r="Q872">
        <f t="shared" si="180"/>
        <v>0</v>
      </c>
      <c r="R872">
        <f t="shared" si="181"/>
        <v>668.95</v>
      </c>
    </row>
    <row r="873" spans="1:18" x14ac:dyDescent="0.3">
      <c r="A873" s="1">
        <v>41974</v>
      </c>
      <c r="B873" s="1">
        <v>41994</v>
      </c>
      <c r="C873">
        <v>5.67</v>
      </c>
      <c r="D873">
        <v>0.15</v>
      </c>
      <c r="E873">
        <v>5</v>
      </c>
      <c r="F873">
        <f t="shared" si="169"/>
        <v>0</v>
      </c>
      <c r="G873">
        <f t="shared" si="170"/>
        <v>0</v>
      </c>
      <c r="H873">
        <f t="shared" si="171"/>
        <v>0</v>
      </c>
      <c r="I873">
        <f t="shared" si="172"/>
        <v>20</v>
      </c>
      <c r="J873">
        <f t="shared" si="173"/>
        <v>0</v>
      </c>
      <c r="K873">
        <f t="shared" si="174"/>
        <v>1000</v>
      </c>
      <c r="L873">
        <f t="shared" si="175"/>
        <v>5.82</v>
      </c>
      <c r="M873">
        <f t="shared" si="176"/>
        <v>1005.82</v>
      </c>
      <c r="N873">
        <f t="shared" si="177"/>
        <v>0</v>
      </c>
      <c r="O873">
        <f t="shared" si="178"/>
        <v>0</v>
      </c>
      <c r="P873">
        <f t="shared" si="179"/>
        <v>0</v>
      </c>
      <c r="Q873">
        <f t="shared" si="180"/>
        <v>1005.82</v>
      </c>
      <c r="R873">
        <f t="shared" si="181"/>
        <v>0</v>
      </c>
    </row>
    <row r="874" spans="1:18" x14ac:dyDescent="0.3">
      <c r="A874" s="1">
        <v>41974</v>
      </c>
      <c r="B874" s="1">
        <v>41995</v>
      </c>
      <c r="C874">
        <v>3.88</v>
      </c>
      <c r="D874">
        <v>0.1</v>
      </c>
      <c r="E874">
        <v>5</v>
      </c>
      <c r="F874">
        <f t="shared" si="169"/>
        <v>0</v>
      </c>
      <c r="G874">
        <f t="shared" si="170"/>
        <v>0</v>
      </c>
      <c r="H874">
        <f t="shared" si="171"/>
        <v>0</v>
      </c>
      <c r="I874">
        <f t="shared" si="172"/>
        <v>21</v>
      </c>
      <c r="J874">
        <f t="shared" si="173"/>
        <v>0</v>
      </c>
      <c r="K874">
        <f t="shared" si="174"/>
        <v>1050</v>
      </c>
      <c r="L874">
        <f t="shared" si="175"/>
        <v>3.98</v>
      </c>
      <c r="M874">
        <f t="shared" si="176"/>
        <v>1053.98</v>
      </c>
      <c r="N874">
        <f t="shared" si="177"/>
        <v>0</v>
      </c>
      <c r="O874">
        <f t="shared" si="178"/>
        <v>0</v>
      </c>
      <c r="P874">
        <f t="shared" si="179"/>
        <v>0</v>
      </c>
      <c r="Q874">
        <f t="shared" si="180"/>
        <v>1053.98</v>
      </c>
      <c r="R874">
        <f t="shared" si="181"/>
        <v>0</v>
      </c>
    </row>
    <row r="875" spans="1:18" x14ac:dyDescent="0.3">
      <c r="A875" s="1">
        <v>41974</v>
      </c>
      <c r="B875" s="1">
        <v>41989</v>
      </c>
      <c r="C875">
        <v>6.58</v>
      </c>
      <c r="D875">
        <v>0.17</v>
      </c>
      <c r="E875">
        <v>5</v>
      </c>
      <c r="F875">
        <f t="shared" si="169"/>
        <v>0</v>
      </c>
      <c r="G875">
        <f t="shared" si="170"/>
        <v>0</v>
      </c>
      <c r="H875">
        <f t="shared" si="171"/>
        <v>0</v>
      </c>
      <c r="I875">
        <f t="shared" si="172"/>
        <v>15</v>
      </c>
      <c r="J875">
        <f t="shared" si="173"/>
        <v>0</v>
      </c>
      <c r="K875">
        <f t="shared" si="174"/>
        <v>750</v>
      </c>
      <c r="L875">
        <f t="shared" si="175"/>
        <v>6.75</v>
      </c>
      <c r="M875">
        <f t="shared" si="176"/>
        <v>756.75</v>
      </c>
      <c r="N875">
        <f t="shared" si="177"/>
        <v>0</v>
      </c>
      <c r="O875">
        <f t="shared" si="178"/>
        <v>0</v>
      </c>
      <c r="P875">
        <f t="shared" si="179"/>
        <v>0</v>
      </c>
      <c r="Q875">
        <f t="shared" si="180"/>
        <v>756.75</v>
      </c>
      <c r="R875">
        <f t="shared" si="181"/>
        <v>0</v>
      </c>
    </row>
    <row r="876" spans="1:18" x14ac:dyDescent="0.3">
      <c r="A876" s="1">
        <v>41974</v>
      </c>
      <c r="B876" s="1">
        <v>41994</v>
      </c>
      <c r="C876">
        <v>5.67</v>
      </c>
      <c r="D876">
        <v>0.15</v>
      </c>
      <c r="E876">
        <v>2</v>
      </c>
      <c r="F876">
        <f t="shared" si="169"/>
        <v>20</v>
      </c>
      <c r="G876">
        <f t="shared" si="170"/>
        <v>0</v>
      </c>
      <c r="H876">
        <f t="shared" si="171"/>
        <v>0</v>
      </c>
      <c r="I876">
        <f t="shared" si="172"/>
        <v>0</v>
      </c>
      <c r="J876">
        <f t="shared" si="173"/>
        <v>0</v>
      </c>
      <c r="K876">
        <f t="shared" si="174"/>
        <v>400</v>
      </c>
      <c r="L876">
        <f t="shared" si="175"/>
        <v>5.82</v>
      </c>
      <c r="M876">
        <f t="shared" si="176"/>
        <v>405.82</v>
      </c>
      <c r="N876">
        <f t="shared" si="177"/>
        <v>405.82</v>
      </c>
      <c r="O876">
        <f t="shared" si="178"/>
        <v>0</v>
      </c>
      <c r="P876">
        <f t="shared" si="179"/>
        <v>0</v>
      </c>
      <c r="Q876">
        <f t="shared" si="180"/>
        <v>0</v>
      </c>
      <c r="R876">
        <f t="shared" si="181"/>
        <v>0</v>
      </c>
    </row>
    <row r="877" spans="1:18" x14ac:dyDescent="0.3">
      <c r="A877" s="1">
        <v>41974</v>
      </c>
      <c r="B877" s="1">
        <v>41994</v>
      </c>
      <c r="C877">
        <v>6.34</v>
      </c>
      <c r="D877">
        <v>0.17</v>
      </c>
      <c r="E877">
        <v>6</v>
      </c>
      <c r="F877">
        <f t="shared" si="169"/>
        <v>0</v>
      </c>
      <c r="G877">
        <f t="shared" si="170"/>
        <v>0</v>
      </c>
      <c r="H877">
        <f t="shared" si="171"/>
        <v>0</v>
      </c>
      <c r="I877">
        <f t="shared" si="172"/>
        <v>0</v>
      </c>
      <c r="J877">
        <f t="shared" si="173"/>
        <v>20</v>
      </c>
      <c r="K877">
        <f t="shared" si="174"/>
        <v>1200</v>
      </c>
      <c r="L877">
        <f t="shared" si="175"/>
        <v>6.51</v>
      </c>
      <c r="M877">
        <f t="shared" si="176"/>
        <v>1206.51</v>
      </c>
      <c r="N877">
        <f t="shared" si="177"/>
        <v>0</v>
      </c>
      <c r="O877">
        <f t="shared" si="178"/>
        <v>0</v>
      </c>
      <c r="P877">
        <f t="shared" si="179"/>
        <v>0</v>
      </c>
      <c r="Q877">
        <f t="shared" si="180"/>
        <v>0</v>
      </c>
      <c r="R877">
        <f t="shared" si="181"/>
        <v>1206.51</v>
      </c>
    </row>
    <row r="878" spans="1:18" x14ac:dyDescent="0.3">
      <c r="A878" s="1">
        <v>41974</v>
      </c>
      <c r="B878" s="1">
        <v>41985</v>
      </c>
      <c r="C878">
        <v>6.58</v>
      </c>
      <c r="D878">
        <v>0.17</v>
      </c>
      <c r="E878">
        <v>6</v>
      </c>
      <c r="F878">
        <f t="shared" si="169"/>
        <v>0</v>
      </c>
      <c r="G878">
        <f t="shared" si="170"/>
        <v>0</v>
      </c>
      <c r="H878">
        <f t="shared" si="171"/>
        <v>0</v>
      </c>
      <c r="I878">
        <f t="shared" si="172"/>
        <v>0</v>
      </c>
      <c r="J878">
        <f t="shared" si="173"/>
        <v>11</v>
      </c>
      <c r="K878">
        <f t="shared" si="174"/>
        <v>660</v>
      </c>
      <c r="L878">
        <f t="shared" si="175"/>
        <v>6.75</v>
      </c>
      <c r="M878">
        <f t="shared" si="176"/>
        <v>666.75</v>
      </c>
      <c r="N878">
        <f t="shared" si="177"/>
        <v>0</v>
      </c>
      <c r="O878">
        <f t="shared" si="178"/>
        <v>0</v>
      </c>
      <c r="P878">
        <f t="shared" si="179"/>
        <v>0</v>
      </c>
      <c r="Q878">
        <f t="shared" si="180"/>
        <v>0</v>
      </c>
      <c r="R878">
        <f t="shared" si="181"/>
        <v>666.75</v>
      </c>
    </row>
    <row r="879" spans="1:18" x14ac:dyDescent="0.3">
      <c r="A879" s="1">
        <v>41975</v>
      </c>
      <c r="B879" s="1">
        <v>41977</v>
      </c>
      <c r="C879">
        <v>5.67</v>
      </c>
      <c r="D879">
        <v>0.15</v>
      </c>
      <c r="E879">
        <v>3</v>
      </c>
      <c r="F879">
        <f t="shared" si="169"/>
        <v>0</v>
      </c>
      <c r="G879">
        <f t="shared" si="170"/>
        <v>2</v>
      </c>
      <c r="H879">
        <f t="shared" si="171"/>
        <v>0</v>
      </c>
      <c r="I879">
        <f t="shared" si="172"/>
        <v>0</v>
      </c>
      <c r="J879">
        <f t="shared" si="173"/>
        <v>0</v>
      </c>
      <c r="K879">
        <f t="shared" si="174"/>
        <v>60</v>
      </c>
      <c r="L879">
        <f t="shared" si="175"/>
        <v>5.82</v>
      </c>
      <c r="M879">
        <f t="shared" si="176"/>
        <v>65.819999999999993</v>
      </c>
      <c r="N879">
        <f t="shared" si="177"/>
        <v>0</v>
      </c>
      <c r="O879">
        <f t="shared" si="178"/>
        <v>65.819999999999993</v>
      </c>
      <c r="P879">
        <f t="shared" si="179"/>
        <v>0</v>
      </c>
      <c r="Q879">
        <f t="shared" si="180"/>
        <v>0</v>
      </c>
      <c r="R879">
        <f t="shared" si="181"/>
        <v>0</v>
      </c>
    </row>
    <row r="880" spans="1:18" x14ac:dyDescent="0.3">
      <c r="A880" s="1">
        <v>41975</v>
      </c>
      <c r="B880" s="1">
        <v>41981</v>
      </c>
      <c r="C880">
        <v>4.25</v>
      </c>
      <c r="D880">
        <v>0.11</v>
      </c>
      <c r="E880">
        <v>3</v>
      </c>
      <c r="F880">
        <f t="shared" si="169"/>
        <v>0</v>
      </c>
      <c r="G880">
        <f t="shared" si="170"/>
        <v>6</v>
      </c>
      <c r="H880">
        <f t="shared" si="171"/>
        <v>0</v>
      </c>
      <c r="I880">
        <f t="shared" si="172"/>
        <v>0</v>
      </c>
      <c r="J880">
        <f t="shared" si="173"/>
        <v>0</v>
      </c>
      <c r="K880">
        <f t="shared" si="174"/>
        <v>180</v>
      </c>
      <c r="L880">
        <f t="shared" si="175"/>
        <v>4.3600000000000003</v>
      </c>
      <c r="M880">
        <f t="shared" si="176"/>
        <v>184.36</v>
      </c>
      <c r="N880">
        <f t="shared" si="177"/>
        <v>0</v>
      </c>
      <c r="O880">
        <f t="shared" si="178"/>
        <v>184.36</v>
      </c>
      <c r="P880">
        <f t="shared" si="179"/>
        <v>0</v>
      </c>
      <c r="Q880">
        <f t="shared" si="180"/>
        <v>0</v>
      </c>
      <c r="R880">
        <f t="shared" si="181"/>
        <v>0</v>
      </c>
    </row>
    <row r="881" spans="1:18" x14ac:dyDescent="0.3">
      <c r="A881" s="1">
        <v>41975</v>
      </c>
      <c r="B881" s="1">
        <v>41992</v>
      </c>
      <c r="C881">
        <v>8.84</v>
      </c>
      <c r="D881">
        <v>0.23</v>
      </c>
      <c r="E881">
        <v>3</v>
      </c>
      <c r="F881">
        <f t="shared" si="169"/>
        <v>0</v>
      </c>
      <c r="G881">
        <f t="shared" si="170"/>
        <v>17</v>
      </c>
      <c r="H881">
        <f t="shared" si="171"/>
        <v>0</v>
      </c>
      <c r="I881">
        <f t="shared" si="172"/>
        <v>0</v>
      </c>
      <c r="J881">
        <f t="shared" si="173"/>
        <v>0</v>
      </c>
      <c r="K881">
        <f t="shared" si="174"/>
        <v>510</v>
      </c>
      <c r="L881">
        <f t="shared" si="175"/>
        <v>9.07</v>
      </c>
      <c r="M881">
        <f t="shared" si="176"/>
        <v>519.07000000000005</v>
      </c>
      <c r="N881">
        <f t="shared" si="177"/>
        <v>0</v>
      </c>
      <c r="O881">
        <f t="shared" si="178"/>
        <v>519.07000000000005</v>
      </c>
      <c r="P881">
        <f t="shared" si="179"/>
        <v>0</v>
      </c>
      <c r="Q881">
        <f t="shared" si="180"/>
        <v>0</v>
      </c>
      <c r="R881">
        <f t="shared" si="181"/>
        <v>0</v>
      </c>
    </row>
    <row r="882" spans="1:18" x14ac:dyDescent="0.3">
      <c r="A882" s="1">
        <v>41975</v>
      </c>
      <c r="B882" s="1">
        <v>41990</v>
      </c>
      <c r="C882">
        <v>3.57</v>
      </c>
      <c r="D882">
        <v>0.09</v>
      </c>
      <c r="E882">
        <v>5</v>
      </c>
      <c r="F882">
        <f t="shared" si="169"/>
        <v>0</v>
      </c>
      <c r="G882">
        <f t="shared" si="170"/>
        <v>0</v>
      </c>
      <c r="H882">
        <f t="shared" si="171"/>
        <v>0</v>
      </c>
      <c r="I882">
        <f t="shared" si="172"/>
        <v>15</v>
      </c>
      <c r="J882">
        <f t="shared" si="173"/>
        <v>0</v>
      </c>
      <c r="K882">
        <f t="shared" si="174"/>
        <v>750</v>
      </c>
      <c r="L882">
        <f t="shared" si="175"/>
        <v>3.6599999999999997</v>
      </c>
      <c r="M882">
        <f t="shared" si="176"/>
        <v>753.66</v>
      </c>
      <c r="N882">
        <f t="shared" si="177"/>
        <v>0</v>
      </c>
      <c r="O882">
        <f t="shared" si="178"/>
        <v>0</v>
      </c>
      <c r="P882">
        <f t="shared" si="179"/>
        <v>0</v>
      </c>
      <c r="Q882">
        <f t="shared" si="180"/>
        <v>753.66</v>
      </c>
      <c r="R882">
        <f t="shared" si="181"/>
        <v>0</v>
      </c>
    </row>
    <row r="883" spans="1:18" x14ac:dyDescent="0.3">
      <c r="A883" s="1">
        <v>41975</v>
      </c>
      <c r="B883" s="1">
        <v>41990</v>
      </c>
      <c r="C883">
        <v>2.0099999999999998</v>
      </c>
      <c r="D883">
        <v>0.05</v>
      </c>
      <c r="E883">
        <v>2</v>
      </c>
      <c r="F883">
        <f t="shared" si="169"/>
        <v>15</v>
      </c>
      <c r="G883">
        <f t="shared" si="170"/>
        <v>0</v>
      </c>
      <c r="H883">
        <f t="shared" si="171"/>
        <v>0</v>
      </c>
      <c r="I883">
        <f t="shared" si="172"/>
        <v>0</v>
      </c>
      <c r="J883">
        <f t="shared" si="173"/>
        <v>0</v>
      </c>
      <c r="K883">
        <f t="shared" si="174"/>
        <v>300</v>
      </c>
      <c r="L883">
        <f t="shared" si="175"/>
        <v>2.0599999999999996</v>
      </c>
      <c r="M883">
        <f t="shared" si="176"/>
        <v>302.06</v>
      </c>
      <c r="N883">
        <f t="shared" si="177"/>
        <v>302.06</v>
      </c>
      <c r="O883">
        <f t="shared" si="178"/>
        <v>0</v>
      </c>
      <c r="P883">
        <f t="shared" si="179"/>
        <v>0</v>
      </c>
      <c r="Q883">
        <f t="shared" si="180"/>
        <v>0</v>
      </c>
      <c r="R883">
        <f t="shared" si="181"/>
        <v>0</v>
      </c>
    </row>
    <row r="884" spans="1:18" x14ac:dyDescent="0.3">
      <c r="A884" s="1">
        <v>41975</v>
      </c>
      <c r="B884" s="1">
        <v>41992</v>
      </c>
      <c r="C884">
        <v>3.73</v>
      </c>
      <c r="D884">
        <v>0.1</v>
      </c>
      <c r="E884">
        <v>3</v>
      </c>
      <c r="F884">
        <f t="shared" si="169"/>
        <v>0</v>
      </c>
      <c r="G884">
        <f t="shared" si="170"/>
        <v>17</v>
      </c>
      <c r="H884">
        <f t="shared" si="171"/>
        <v>0</v>
      </c>
      <c r="I884">
        <f t="shared" si="172"/>
        <v>0</v>
      </c>
      <c r="J884">
        <f t="shared" si="173"/>
        <v>0</v>
      </c>
      <c r="K884">
        <f t="shared" si="174"/>
        <v>510</v>
      </c>
      <c r="L884">
        <f t="shared" si="175"/>
        <v>3.83</v>
      </c>
      <c r="M884">
        <f t="shared" si="176"/>
        <v>513.83000000000004</v>
      </c>
      <c r="N884">
        <f t="shared" si="177"/>
        <v>0</v>
      </c>
      <c r="O884">
        <f t="shared" si="178"/>
        <v>513.83000000000004</v>
      </c>
      <c r="P884">
        <f t="shared" si="179"/>
        <v>0</v>
      </c>
      <c r="Q884">
        <f t="shared" si="180"/>
        <v>0</v>
      </c>
      <c r="R884">
        <f t="shared" si="181"/>
        <v>0</v>
      </c>
    </row>
    <row r="885" spans="1:18" x14ac:dyDescent="0.3">
      <c r="A885" s="1">
        <v>41976</v>
      </c>
      <c r="B885" s="1">
        <v>41978</v>
      </c>
      <c r="C885">
        <v>3.57</v>
      </c>
      <c r="D885">
        <v>0.09</v>
      </c>
      <c r="E885">
        <v>5</v>
      </c>
      <c r="F885">
        <f t="shared" si="169"/>
        <v>0</v>
      </c>
      <c r="G885">
        <f t="shared" si="170"/>
        <v>0</v>
      </c>
      <c r="H885">
        <f t="shared" si="171"/>
        <v>0</v>
      </c>
      <c r="I885">
        <f t="shared" si="172"/>
        <v>2</v>
      </c>
      <c r="J885">
        <f t="shared" si="173"/>
        <v>0</v>
      </c>
      <c r="K885">
        <f t="shared" si="174"/>
        <v>100</v>
      </c>
      <c r="L885">
        <f t="shared" si="175"/>
        <v>3.6599999999999997</v>
      </c>
      <c r="M885">
        <f t="shared" si="176"/>
        <v>103.66</v>
      </c>
      <c r="N885">
        <f t="shared" si="177"/>
        <v>0</v>
      </c>
      <c r="O885">
        <f t="shared" si="178"/>
        <v>0</v>
      </c>
      <c r="P885">
        <f t="shared" si="179"/>
        <v>0</v>
      </c>
      <c r="Q885">
        <f t="shared" si="180"/>
        <v>103.66</v>
      </c>
      <c r="R885">
        <f t="shared" si="181"/>
        <v>0</v>
      </c>
    </row>
    <row r="886" spans="1:18" x14ac:dyDescent="0.3">
      <c r="A886" s="1">
        <v>41977</v>
      </c>
      <c r="B886" s="1">
        <v>41993</v>
      </c>
      <c r="C886">
        <v>6.58</v>
      </c>
      <c r="D886">
        <v>0.17</v>
      </c>
      <c r="E886">
        <v>4</v>
      </c>
      <c r="F886">
        <f t="shared" si="169"/>
        <v>0</v>
      </c>
      <c r="G886">
        <f t="shared" si="170"/>
        <v>0</v>
      </c>
      <c r="H886">
        <f t="shared" si="171"/>
        <v>16</v>
      </c>
      <c r="I886">
        <f t="shared" si="172"/>
        <v>0</v>
      </c>
      <c r="J886">
        <f t="shared" si="173"/>
        <v>0</v>
      </c>
      <c r="K886">
        <f t="shared" si="174"/>
        <v>640</v>
      </c>
      <c r="L886">
        <f t="shared" si="175"/>
        <v>6.75</v>
      </c>
      <c r="M886">
        <f t="shared" si="176"/>
        <v>646.75</v>
      </c>
      <c r="N886">
        <f t="shared" si="177"/>
        <v>0</v>
      </c>
      <c r="O886">
        <f t="shared" si="178"/>
        <v>0</v>
      </c>
      <c r="P886">
        <f t="shared" si="179"/>
        <v>646.75</v>
      </c>
      <c r="Q886">
        <f t="shared" si="180"/>
        <v>0</v>
      </c>
      <c r="R886">
        <f t="shared" si="181"/>
        <v>0</v>
      </c>
    </row>
    <row r="887" spans="1:18" x14ac:dyDescent="0.3">
      <c r="A887" s="1">
        <v>41977</v>
      </c>
      <c r="B887" s="1">
        <v>42005</v>
      </c>
      <c r="C887">
        <v>5.64</v>
      </c>
      <c r="D887">
        <v>0.15</v>
      </c>
      <c r="E887">
        <v>6</v>
      </c>
      <c r="F887">
        <f t="shared" si="169"/>
        <v>0</v>
      </c>
      <c r="G887">
        <f t="shared" si="170"/>
        <v>0</v>
      </c>
      <c r="H887">
        <f t="shared" si="171"/>
        <v>0</v>
      </c>
      <c r="I887">
        <f t="shared" si="172"/>
        <v>0</v>
      </c>
      <c r="J887">
        <f t="shared" si="173"/>
        <v>28</v>
      </c>
      <c r="K887">
        <f t="shared" si="174"/>
        <v>1680</v>
      </c>
      <c r="L887">
        <f t="shared" si="175"/>
        <v>5.79</v>
      </c>
      <c r="M887">
        <f t="shared" si="176"/>
        <v>1685.79</v>
      </c>
      <c r="N887">
        <f t="shared" si="177"/>
        <v>0</v>
      </c>
      <c r="O887">
        <f t="shared" si="178"/>
        <v>0</v>
      </c>
      <c r="P887">
        <f t="shared" si="179"/>
        <v>0</v>
      </c>
      <c r="Q887">
        <f t="shared" si="180"/>
        <v>0</v>
      </c>
      <c r="R887">
        <f t="shared" si="181"/>
        <v>1685.79</v>
      </c>
    </row>
    <row r="888" spans="1:18" x14ac:dyDescent="0.3">
      <c r="A888" s="1">
        <v>41977</v>
      </c>
      <c r="B888" s="1">
        <v>41989</v>
      </c>
      <c r="C888">
        <v>3.88</v>
      </c>
      <c r="D888">
        <v>0.1</v>
      </c>
      <c r="E888">
        <v>2</v>
      </c>
      <c r="F888">
        <f t="shared" si="169"/>
        <v>12</v>
      </c>
      <c r="G888">
        <f t="shared" si="170"/>
        <v>0</v>
      </c>
      <c r="H888">
        <f t="shared" si="171"/>
        <v>0</v>
      </c>
      <c r="I888">
        <f t="shared" si="172"/>
        <v>0</v>
      </c>
      <c r="J888">
        <f t="shared" si="173"/>
        <v>0</v>
      </c>
      <c r="K888">
        <f t="shared" si="174"/>
        <v>240</v>
      </c>
      <c r="L888">
        <f t="shared" si="175"/>
        <v>3.98</v>
      </c>
      <c r="M888">
        <f t="shared" si="176"/>
        <v>243.98</v>
      </c>
      <c r="N888">
        <f t="shared" si="177"/>
        <v>243.98</v>
      </c>
      <c r="O888">
        <f t="shared" si="178"/>
        <v>0</v>
      </c>
      <c r="P888">
        <f t="shared" si="179"/>
        <v>0</v>
      </c>
      <c r="Q888">
        <f t="shared" si="180"/>
        <v>0</v>
      </c>
      <c r="R888">
        <f t="shared" si="181"/>
        <v>0</v>
      </c>
    </row>
    <row r="889" spans="1:18" x14ac:dyDescent="0.3">
      <c r="A889" s="1">
        <v>41977</v>
      </c>
      <c r="B889" s="1">
        <v>42000</v>
      </c>
      <c r="C889">
        <v>3.79</v>
      </c>
      <c r="D889">
        <v>0.1</v>
      </c>
      <c r="E889">
        <v>6</v>
      </c>
      <c r="F889">
        <f t="shared" si="169"/>
        <v>0</v>
      </c>
      <c r="G889">
        <f t="shared" si="170"/>
        <v>0</v>
      </c>
      <c r="H889">
        <f t="shared" si="171"/>
        <v>0</v>
      </c>
      <c r="I889">
        <f t="shared" si="172"/>
        <v>0</v>
      </c>
      <c r="J889">
        <f t="shared" si="173"/>
        <v>23</v>
      </c>
      <c r="K889">
        <f t="shared" si="174"/>
        <v>1380</v>
      </c>
      <c r="L889">
        <f t="shared" si="175"/>
        <v>3.89</v>
      </c>
      <c r="M889">
        <f t="shared" si="176"/>
        <v>1383.89</v>
      </c>
      <c r="N889">
        <f t="shared" si="177"/>
        <v>0</v>
      </c>
      <c r="O889">
        <f t="shared" si="178"/>
        <v>0</v>
      </c>
      <c r="P889">
        <f t="shared" si="179"/>
        <v>0</v>
      </c>
      <c r="Q889">
        <f t="shared" si="180"/>
        <v>0</v>
      </c>
      <c r="R889">
        <f t="shared" si="181"/>
        <v>1383.89</v>
      </c>
    </row>
    <row r="890" spans="1:18" x14ac:dyDescent="0.3">
      <c r="A890" s="1">
        <v>41977</v>
      </c>
      <c r="B890" s="1">
        <v>41984</v>
      </c>
      <c r="C890">
        <v>11.37</v>
      </c>
      <c r="D890">
        <v>0.3</v>
      </c>
      <c r="E890">
        <v>2</v>
      </c>
      <c r="F890">
        <f t="shared" si="169"/>
        <v>7</v>
      </c>
      <c r="G890">
        <f t="shared" si="170"/>
        <v>0</v>
      </c>
      <c r="H890">
        <f t="shared" si="171"/>
        <v>0</v>
      </c>
      <c r="I890">
        <f t="shared" si="172"/>
        <v>0</v>
      </c>
      <c r="J890">
        <f t="shared" si="173"/>
        <v>0</v>
      </c>
      <c r="K890">
        <f t="shared" si="174"/>
        <v>140</v>
      </c>
      <c r="L890">
        <f t="shared" si="175"/>
        <v>11.67</v>
      </c>
      <c r="M890">
        <f t="shared" si="176"/>
        <v>151.66999999999999</v>
      </c>
      <c r="N890">
        <f t="shared" si="177"/>
        <v>151.66999999999999</v>
      </c>
      <c r="O890">
        <f t="shared" si="178"/>
        <v>0</v>
      </c>
      <c r="P890">
        <f t="shared" si="179"/>
        <v>0</v>
      </c>
      <c r="Q890">
        <f t="shared" si="180"/>
        <v>0</v>
      </c>
      <c r="R890">
        <f t="shared" si="181"/>
        <v>0</v>
      </c>
    </row>
    <row r="891" spans="1:18" x14ac:dyDescent="0.3">
      <c r="A891" s="1">
        <v>41977</v>
      </c>
      <c r="B891" s="1">
        <v>41994</v>
      </c>
      <c r="C891">
        <v>16.55</v>
      </c>
      <c r="D891">
        <v>0.44</v>
      </c>
      <c r="E891">
        <v>6</v>
      </c>
      <c r="F891">
        <f t="shared" si="169"/>
        <v>0</v>
      </c>
      <c r="G891">
        <f t="shared" si="170"/>
        <v>0</v>
      </c>
      <c r="H891">
        <f t="shared" si="171"/>
        <v>0</v>
      </c>
      <c r="I891">
        <f t="shared" si="172"/>
        <v>0</v>
      </c>
      <c r="J891">
        <f t="shared" si="173"/>
        <v>17</v>
      </c>
      <c r="K891">
        <f t="shared" si="174"/>
        <v>1020</v>
      </c>
      <c r="L891">
        <f t="shared" si="175"/>
        <v>16.990000000000002</v>
      </c>
      <c r="M891">
        <f t="shared" si="176"/>
        <v>1036.99</v>
      </c>
      <c r="N891">
        <f t="shared" si="177"/>
        <v>0</v>
      </c>
      <c r="O891">
        <f t="shared" si="178"/>
        <v>0</v>
      </c>
      <c r="P891">
        <f t="shared" si="179"/>
        <v>0</v>
      </c>
      <c r="Q891">
        <f t="shared" si="180"/>
        <v>0</v>
      </c>
      <c r="R891">
        <f t="shared" si="181"/>
        <v>1036.99</v>
      </c>
    </row>
    <row r="892" spans="1:18" x14ac:dyDescent="0.3">
      <c r="A892" s="1">
        <v>41977</v>
      </c>
      <c r="B892" s="1">
        <v>42001</v>
      </c>
      <c r="C892">
        <v>6.88</v>
      </c>
      <c r="D892">
        <v>0.18</v>
      </c>
      <c r="E892">
        <v>4</v>
      </c>
      <c r="F892">
        <f t="shared" si="169"/>
        <v>0</v>
      </c>
      <c r="G892">
        <f t="shared" si="170"/>
        <v>0</v>
      </c>
      <c r="H892">
        <f t="shared" si="171"/>
        <v>24</v>
      </c>
      <c r="I892">
        <f t="shared" si="172"/>
        <v>0</v>
      </c>
      <c r="J892">
        <f t="shared" si="173"/>
        <v>0</v>
      </c>
      <c r="K892">
        <f t="shared" si="174"/>
        <v>960</v>
      </c>
      <c r="L892">
        <f t="shared" si="175"/>
        <v>7.06</v>
      </c>
      <c r="M892">
        <f t="shared" si="176"/>
        <v>967.06</v>
      </c>
      <c r="N892">
        <f t="shared" si="177"/>
        <v>0</v>
      </c>
      <c r="O892">
        <f t="shared" si="178"/>
        <v>0</v>
      </c>
      <c r="P892">
        <f t="shared" si="179"/>
        <v>967.06</v>
      </c>
      <c r="Q892">
        <f t="shared" si="180"/>
        <v>0</v>
      </c>
      <c r="R892">
        <f t="shared" si="181"/>
        <v>0</v>
      </c>
    </row>
    <row r="893" spans="1:18" x14ac:dyDescent="0.3">
      <c r="A893" s="1">
        <v>41982</v>
      </c>
      <c r="B893" s="1">
        <v>42001</v>
      </c>
      <c r="C893">
        <v>5.64</v>
      </c>
      <c r="D893">
        <v>0.15</v>
      </c>
      <c r="E893">
        <v>4</v>
      </c>
      <c r="F893">
        <f t="shared" si="169"/>
        <v>0</v>
      </c>
      <c r="G893">
        <f t="shared" si="170"/>
        <v>0</v>
      </c>
      <c r="H893">
        <f t="shared" si="171"/>
        <v>19</v>
      </c>
      <c r="I893">
        <f t="shared" si="172"/>
        <v>0</v>
      </c>
      <c r="J893">
        <f t="shared" si="173"/>
        <v>0</v>
      </c>
      <c r="K893">
        <f t="shared" si="174"/>
        <v>760</v>
      </c>
      <c r="L893">
        <f t="shared" si="175"/>
        <v>5.79</v>
      </c>
      <c r="M893">
        <f t="shared" si="176"/>
        <v>765.79</v>
      </c>
      <c r="N893">
        <f t="shared" si="177"/>
        <v>0</v>
      </c>
      <c r="O893">
        <f t="shared" si="178"/>
        <v>0</v>
      </c>
      <c r="P893">
        <f t="shared" si="179"/>
        <v>765.79</v>
      </c>
      <c r="Q893">
        <f t="shared" si="180"/>
        <v>0</v>
      </c>
      <c r="R893">
        <f t="shared" si="181"/>
        <v>0</v>
      </c>
    </row>
    <row r="894" spans="1:18" x14ac:dyDescent="0.3">
      <c r="A894" s="1">
        <v>41982</v>
      </c>
      <c r="B894" s="1">
        <v>42004</v>
      </c>
      <c r="C894">
        <v>3.57</v>
      </c>
      <c r="D894">
        <v>0.09</v>
      </c>
      <c r="E894">
        <v>4</v>
      </c>
      <c r="F894">
        <f t="shared" si="169"/>
        <v>0</v>
      </c>
      <c r="G894">
        <f t="shared" si="170"/>
        <v>0</v>
      </c>
      <c r="H894">
        <f t="shared" si="171"/>
        <v>22</v>
      </c>
      <c r="I894">
        <f t="shared" si="172"/>
        <v>0</v>
      </c>
      <c r="J894">
        <f t="shared" si="173"/>
        <v>0</v>
      </c>
      <c r="K894">
        <f t="shared" si="174"/>
        <v>880</v>
      </c>
      <c r="L894">
        <f t="shared" si="175"/>
        <v>3.6599999999999997</v>
      </c>
      <c r="M894">
        <f t="shared" si="176"/>
        <v>883.66</v>
      </c>
      <c r="N894">
        <f t="shared" si="177"/>
        <v>0</v>
      </c>
      <c r="O894">
        <f t="shared" si="178"/>
        <v>0</v>
      </c>
      <c r="P894">
        <f t="shared" si="179"/>
        <v>883.66</v>
      </c>
      <c r="Q894">
        <f t="shared" si="180"/>
        <v>0</v>
      </c>
      <c r="R894">
        <f t="shared" si="181"/>
        <v>0</v>
      </c>
    </row>
    <row r="895" spans="1:18" x14ac:dyDescent="0.3">
      <c r="A895" s="1">
        <v>41982</v>
      </c>
      <c r="B895" s="1">
        <v>42007</v>
      </c>
      <c r="C895">
        <v>9.4600000000000009</v>
      </c>
      <c r="D895">
        <v>0.25</v>
      </c>
      <c r="E895">
        <v>6</v>
      </c>
      <c r="F895">
        <f t="shared" si="169"/>
        <v>0</v>
      </c>
      <c r="G895">
        <f t="shared" si="170"/>
        <v>0</v>
      </c>
      <c r="H895">
        <f t="shared" si="171"/>
        <v>0</v>
      </c>
      <c r="I895">
        <f t="shared" si="172"/>
        <v>0</v>
      </c>
      <c r="J895">
        <f t="shared" si="173"/>
        <v>25</v>
      </c>
      <c r="K895">
        <f t="shared" si="174"/>
        <v>1500</v>
      </c>
      <c r="L895">
        <f t="shared" si="175"/>
        <v>9.7100000000000009</v>
      </c>
      <c r="M895">
        <f t="shared" si="176"/>
        <v>1509.71</v>
      </c>
      <c r="N895">
        <f t="shared" si="177"/>
        <v>0</v>
      </c>
      <c r="O895">
        <f t="shared" si="178"/>
        <v>0</v>
      </c>
      <c r="P895">
        <f t="shared" si="179"/>
        <v>0</v>
      </c>
      <c r="Q895">
        <f t="shared" si="180"/>
        <v>0</v>
      </c>
      <c r="R895">
        <f t="shared" si="181"/>
        <v>1509.71</v>
      </c>
    </row>
    <row r="896" spans="1:18" x14ac:dyDescent="0.3">
      <c r="A896" s="1">
        <v>41982</v>
      </c>
      <c r="B896" s="1">
        <v>41992</v>
      </c>
      <c r="C896">
        <v>4.25</v>
      </c>
      <c r="D896">
        <v>0.11</v>
      </c>
      <c r="E896">
        <v>5</v>
      </c>
      <c r="F896">
        <f t="shared" si="169"/>
        <v>0</v>
      </c>
      <c r="G896">
        <f t="shared" si="170"/>
        <v>0</v>
      </c>
      <c r="H896">
        <f t="shared" si="171"/>
        <v>0</v>
      </c>
      <c r="I896">
        <f t="shared" si="172"/>
        <v>10</v>
      </c>
      <c r="J896">
        <f t="shared" si="173"/>
        <v>0</v>
      </c>
      <c r="K896">
        <f t="shared" si="174"/>
        <v>500</v>
      </c>
      <c r="L896">
        <f t="shared" si="175"/>
        <v>4.3600000000000003</v>
      </c>
      <c r="M896">
        <f t="shared" si="176"/>
        <v>504.36</v>
      </c>
      <c r="N896">
        <f t="shared" si="177"/>
        <v>0</v>
      </c>
      <c r="O896">
        <f t="shared" si="178"/>
        <v>0</v>
      </c>
      <c r="P896">
        <f t="shared" si="179"/>
        <v>0</v>
      </c>
      <c r="Q896">
        <f t="shared" si="180"/>
        <v>504.36</v>
      </c>
      <c r="R896">
        <f t="shared" si="181"/>
        <v>0</v>
      </c>
    </row>
    <row r="897" spans="1:18" x14ac:dyDescent="0.3">
      <c r="A897" s="1">
        <v>41982</v>
      </c>
      <c r="B897" s="1">
        <v>41988</v>
      </c>
      <c r="C897">
        <v>5.67</v>
      </c>
      <c r="D897">
        <v>0.15</v>
      </c>
      <c r="E897">
        <v>5</v>
      </c>
      <c r="F897">
        <f t="shared" si="169"/>
        <v>0</v>
      </c>
      <c r="G897">
        <f t="shared" si="170"/>
        <v>0</v>
      </c>
      <c r="H897">
        <f t="shared" si="171"/>
        <v>0</v>
      </c>
      <c r="I897">
        <f t="shared" si="172"/>
        <v>6</v>
      </c>
      <c r="J897">
        <f t="shared" si="173"/>
        <v>0</v>
      </c>
      <c r="K897">
        <f t="shared" si="174"/>
        <v>300</v>
      </c>
      <c r="L897">
        <f t="shared" si="175"/>
        <v>5.82</v>
      </c>
      <c r="M897">
        <f t="shared" si="176"/>
        <v>305.82</v>
      </c>
      <c r="N897">
        <f t="shared" si="177"/>
        <v>0</v>
      </c>
      <c r="O897">
        <f t="shared" si="178"/>
        <v>0</v>
      </c>
      <c r="P897">
        <f t="shared" si="179"/>
        <v>0</v>
      </c>
      <c r="Q897">
        <f t="shared" si="180"/>
        <v>305.82</v>
      </c>
      <c r="R897">
        <f t="shared" si="181"/>
        <v>0</v>
      </c>
    </row>
    <row r="898" spans="1:18" x14ac:dyDescent="0.3">
      <c r="A898" s="1">
        <v>41982</v>
      </c>
      <c r="B898" s="1">
        <v>41999</v>
      </c>
      <c r="C898">
        <v>6.34</v>
      </c>
      <c r="D898">
        <v>0.17</v>
      </c>
      <c r="E898">
        <v>2</v>
      </c>
      <c r="F898">
        <f t="shared" si="169"/>
        <v>17</v>
      </c>
      <c r="G898">
        <f t="shared" si="170"/>
        <v>0</v>
      </c>
      <c r="H898">
        <f t="shared" si="171"/>
        <v>0</v>
      </c>
      <c r="I898">
        <f t="shared" si="172"/>
        <v>0</v>
      </c>
      <c r="J898">
        <f t="shared" si="173"/>
        <v>0</v>
      </c>
      <c r="K898">
        <f t="shared" si="174"/>
        <v>340</v>
      </c>
      <c r="L898">
        <f t="shared" si="175"/>
        <v>6.51</v>
      </c>
      <c r="M898">
        <f t="shared" si="176"/>
        <v>346.51</v>
      </c>
      <c r="N898">
        <f t="shared" si="177"/>
        <v>346.51</v>
      </c>
      <c r="O898">
        <f t="shared" si="178"/>
        <v>0</v>
      </c>
      <c r="P898">
        <f t="shared" si="179"/>
        <v>0</v>
      </c>
      <c r="Q898">
        <f t="shared" si="180"/>
        <v>0</v>
      </c>
      <c r="R898">
        <f t="shared" si="181"/>
        <v>0</v>
      </c>
    </row>
    <row r="899" spans="1:18" x14ac:dyDescent="0.3">
      <c r="A899" s="1">
        <v>41982</v>
      </c>
      <c r="B899" s="1">
        <v>41991</v>
      </c>
      <c r="C899">
        <v>14.13</v>
      </c>
      <c r="D899">
        <v>0.37</v>
      </c>
      <c r="E899">
        <v>6</v>
      </c>
      <c r="F899">
        <f t="shared" ref="F899:F962" si="182">IF(EXACT(E899,2),B899-A899,0)</f>
        <v>0</v>
      </c>
      <c r="G899">
        <f t="shared" ref="G899:G962" si="183">IF(EXACT(E899,3),B899-A899,0)</f>
        <v>0</v>
      </c>
      <c r="H899">
        <f t="shared" ref="H899:H962" si="184">IF(EXACT(E899,4),B899-A899,0)</f>
        <v>0</v>
      </c>
      <c r="I899">
        <f t="shared" ref="I899:I962" si="185">IF(EXACT(E899,5),B899-A899,0)</f>
        <v>0</v>
      </c>
      <c r="J899">
        <f t="shared" ref="J899:J962" si="186">IF(EXACT(E899,6),B899-A899,0)</f>
        <v>9</v>
      </c>
      <c r="K899">
        <f t="shared" ref="K899:K962" si="187">10 * E899 * (F899+G899+H899+I899+J899)</f>
        <v>540</v>
      </c>
      <c r="L899">
        <f t="shared" ref="L899:L962" si="188">C899+D899</f>
        <v>14.5</v>
      </c>
      <c r="M899">
        <f t="shared" ref="M899:M962" si="189">K899+L899</f>
        <v>554.5</v>
      </c>
      <c r="N899">
        <f t="shared" ref="N899:N962" si="190">IF(EXACT(E899,2),M899,0)</f>
        <v>0</v>
      </c>
      <c r="O899">
        <f t="shared" ref="O899:O962" si="191">IF(EXACT(E899,3),M899,0)</f>
        <v>0</v>
      </c>
      <c r="P899">
        <f t="shared" ref="P899:P962" si="192">IF(EXACT(E899,4),M899,0)</f>
        <v>0</v>
      </c>
      <c r="Q899">
        <f t="shared" ref="Q899:Q962" si="193">IF(EXACT(E899,5),M899,0)</f>
        <v>0</v>
      </c>
      <c r="R899">
        <f t="shared" ref="R899:R962" si="194">IF(EXACT(E899,6),M899,0)</f>
        <v>554.5</v>
      </c>
    </row>
    <row r="900" spans="1:18" x14ac:dyDescent="0.3">
      <c r="A900" s="1">
        <v>41982</v>
      </c>
      <c r="B900" s="1">
        <v>42007</v>
      </c>
      <c r="C900">
        <v>8.83</v>
      </c>
      <c r="D900">
        <v>0.23</v>
      </c>
      <c r="E900">
        <v>5</v>
      </c>
      <c r="F900">
        <f t="shared" si="182"/>
        <v>0</v>
      </c>
      <c r="G900">
        <f t="shared" si="183"/>
        <v>0</v>
      </c>
      <c r="H900">
        <f t="shared" si="184"/>
        <v>0</v>
      </c>
      <c r="I900">
        <f t="shared" si="185"/>
        <v>25</v>
      </c>
      <c r="J900">
        <f t="shared" si="186"/>
        <v>0</v>
      </c>
      <c r="K900">
        <f t="shared" si="187"/>
        <v>1250</v>
      </c>
      <c r="L900">
        <f t="shared" si="188"/>
        <v>9.06</v>
      </c>
      <c r="M900">
        <f t="shared" si="189"/>
        <v>1259.06</v>
      </c>
      <c r="N900">
        <f t="shared" si="190"/>
        <v>0</v>
      </c>
      <c r="O900">
        <f t="shared" si="191"/>
        <v>0</v>
      </c>
      <c r="P900">
        <f t="shared" si="192"/>
        <v>0</v>
      </c>
      <c r="Q900">
        <f t="shared" si="193"/>
        <v>1259.06</v>
      </c>
      <c r="R900">
        <f t="shared" si="194"/>
        <v>0</v>
      </c>
    </row>
    <row r="901" spans="1:18" x14ac:dyDescent="0.3">
      <c r="A901" s="1">
        <v>41982</v>
      </c>
      <c r="B901" s="1">
        <v>42003</v>
      </c>
      <c r="C901">
        <v>7.31</v>
      </c>
      <c r="D901">
        <v>0.19</v>
      </c>
      <c r="E901">
        <v>2</v>
      </c>
      <c r="F901">
        <f t="shared" si="182"/>
        <v>21</v>
      </c>
      <c r="G901">
        <f t="shared" si="183"/>
        <v>0</v>
      </c>
      <c r="H901">
        <f t="shared" si="184"/>
        <v>0</v>
      </c>
      <c r="I901">
        <f t="shared" si="185"/>
        <v>0</v>
      </c>
      <c r="J901">
        <f t="shared" si="186"/>
        <v>0</v>
      </c>
      <c r="K901">
        <f t="shared" si="187"/>
        <v>420</v>
      </c>
      <c r="L901">
        <f t="shared" si="188"/>
        <v>7.5</v>
      </c>
      <c r="M901">
        <f t="shared" si="189"/>
        <v>427.5</v>
      </c>
      <c r="N901">
        <f t="shared" si="190"/>
        <v>427.5</v>
      </c>
      <c r="O901">
        <f t="shared" si="191"/>
        <v>0</v>
      </c>
      <c r="P901">
        <f t="shared" si="192"/>
        <v>0</v>
      </c>
      <c r="Q901">
        <f t="shared" si="193"/>
        <v>0</v>
      </c>
      <c r="R901">
        <f t="shared" si="194"/>
        <v>0</v>
      </c>
    </row>
    <row r="902" spans="1:18" x14ac:dyDescent="0.3">
      <c r="A902" s="1">
        <v>41982</v>
      </c>
      <c r="B902" s="1">
        <v>41997</v>
      </c>
      <c r="C902">
        <v>9.74</v>
      </c>
      <c r="D902">
        <v>0.26</v>
      </c>
      <c r="E902">
        <v>6</v>
      </c>
      <c r="F902">
        <f t="shared" si="182"/>
        <v>0</v>
      </c>
      <c r="G902">
        <f t="shared" si="183"/>
        <v>0</v>
      </c>
      <c r="H902">
        <f t="shared" si="184"/>
        <v>0</v>
      </c>
      <c r="I902">
        <f t="shared" si="185"/>
        <v>0</v>
      </c>
      <c r="J902">
        <f t="shared" si="186"/>
        <v>15</v>
      </c>
      <c r="K902">
        <f t="shared" si="187"/>
        <v>900</v>
      </c>
      <c r="L902">
        <f t="shared" si="188"/>
        <v>10</v>
      </c>
      <c r="M902">
        <f t="shared" si="189"/>
        <v>910</v>
      </c>
      <c r="N902">
        <f t="shared" si="190"/>
        <v>0</v>
      </c>
      <c r="O902">
        <f t="shared" si="191"/>
        <v>0</v>
      </c>
      <c r="P902">
        <f t="shared" si="192"/>
        <v>0</v>
      </c>
      <c r="Q902">
        <f t="shared" si="193"/>
        <v>0</v>
      </c>
      <c r="R902">
        <f t="shared" si="194"/>
        <v>910</v>
      </c>
    </row>
    <row r="903" spans="1:18" x14ac:dyDescent="0.3">
      <c r="A903" s="1">
        <v>41982</v>
      </c>
      <c r="B903" s="1">
        <v>42006</v>
      </c>
      <c r="C903">
        <v>11.42</v>
      </c>
      <c r="D903">
        <v>0.3</v>
      </c>
      <c r="E903">
        <v>4</v>
      </c>
      <c r="F903">
        <f t="shared" si="182"/>
        <v>0</v>
      </c>
      <c r="G903">
        <f t="shared" si="183"/>
        <v>0</v>
      </c>
      <c r="H903">
        <f t="shared" si="184"/>
        <v>24</v>
      </c>
      <c r="I903">
        <f t="shared" si="185"/>
        <v>0</v>
      </c>
      <c r="J903">
        <f t="shared" si="186"/>
        <v>0</v>
      </c>
      <c r="K903">
        <f t="shared" si="187"/>
        <v>960</v>
      </c>
      <c r="L903">
        <f t="shared" si="188"/>
        <v>11.72</v>
      </c>
      <c r="M903">
        <f t="shared" si="189"/>
        <v>971.72</v>
      </c>
      <c r="N903">
        <f t="shared" si="190"/>
        <v>0</v>
      </c>
      <c r="O903">
        <f t="shared" si="191"/>
        <v>0</v>
      </c>
      <c r="P903">
        <f t="shared" si="192"/>
        <v>971.72</v>
      </c>
      <c r="Q903">
        <f t="shared" si="193"/>
        <v>0</v>
      </c>
      <c r="R903">
        <f t="shared" si="194"/>
        <v>0</v>
      </c>
    </row>
    <row r="904" spans="1:18" x14ac:dyDescent="0.3">
      <c r="A904" s="1">
        <v>41982</v>
      </c>
      <c r="B904" s="1">
        <v>41995</v>
      </c>
      <c r="C904">
        <v>11.44</v>
      </c>
      <c r="D904">
        <v>0.3</v>
      </c>
      <c r="E904">
        <v>4</v>
      </c>
      <c r="F904">
        <f t="shared" si="182"/>
        <v>0</v>
      </c>
      <c r="G904">
        <f t="shared" si="183"/>
        <v>0</v>
      </c>
      <c r="H904">
        <f t="shared" si="184"/>
        <v>13</v>
      </c>
      <c r="I904">
        <f t="shared" si="185"/>
        <v>0</v>
      </c>
      <c r="J904">
        <f t="shared" si="186"/>
        <v>0</v>
      </c>
      <c r="K904">
        <f t="shared" si="187"/>
        <v>520</v>
      </c>
      <c r="L904">
        <f t="shared" si="188"/>
        <v>11.74</v>
      </c>
      <c r="M904">
        <f t="shared" si="189"/>
        <v>531.74</v>
      </c>
      <c r="N904">
        <f t="shared" si="190"/>
        <v>0</v>
      </c>
      <c r="O904">
        <f t="shared" si="191"/>
        <v>0</v>
      </c>
      <c r="P904">
        <f t="shared" si="192"/>
        <v>531.74</v>
      </c>
      <c r="Q904">
        <f t="shared" si="193"/>
        <v>0</v>
      </c>
      <c r="R904">
        <f t="shared" si="194"/>
        <v>0</v>
      </c>
    </row>
    <row r="905" spans="1:18" x14ac:dyDescent="0.3">
      <c r="A905" s="1">
        <v>41982</v>
      </c>
      <c r="B905" s="1">
        <v>41988</v>
      </c>
      <c r="C905">
        <v>7.35</v>
      </c>
      <c r="D905">
        <v>0.19</v>
      </c>
      <c r="E905">
        <v>3</v>
      </c>
      <c r="F905">
        <f t="shared" si="182"/>
        <v>0</v>
      </c>
      <c r="G905">
        <f t="shared" si="183"/>
        <v>6</v>
      </c>
      <c r="H905">
        <f t="shared" si="184"/>
        <v>0</v>
      </c>
      <c r="I905">
        <f t="shared" si="185"/>
        <v>0</v>
      </c>
      <c r="J905">
        <f t="shared" si="186"/>
        <v>0</v>
      </c>
      <c r="K905">
        <f t="shared" si="187"/>
        <v>180</v>
      </c>
      <c r="L905">
        <f t="shared" si="188"/>
        <v>7.54</v>
      </c>
      <c r="M905">
        <f t="shared" si="189"/>
        <v>187.54</v>
      </c>
      <c r="N905">
        <f t="shared" si="190"/>
        <v>0</v>
      </c>
      <c r="O905">
        <f t="shared" si="191"/>
        <v>187.54</v>
      </c>
      <c r="P905">
        <f t="shared" si="192"/>
        <v>0</v>
      </c>
      <c r="Q905">
        <f t="shared" si="193"/>
        <v>0</v>
      </c>
      <c r="R905">
        <f t="shared" si="194"/>
        <v>0</v>
      </c>
    </row>
    <row r="906" spans="1:18" x14ac:dyDescent="0.3">
      <c r="A906" s="1">
        <v>41982</v>
      </c>
      <c r="B906" s="1">
        <v>41993</v>
      </c>
      <c r="C906">
        <v>7.3</v>
      </c>
      <c r="D906">
        <v>0.19</v>
      </c>
      <c r="E906">
        <v>2</v>
      </c>
      <c r="F906">
        <f t="shared" si="182"/>
        <v>11</v>
      </c>
      <c r="G906">
        <f t="shared" si="183"/>
        <v>0</v>
      </c>
      <c r="H906">
        <f t="shared" si="184"/>
        <v>0</v>
      </c>
      <c r="I906">
        <f t="shared" si="185"/>
        <v>0</v>
      </c>
      <c r="J906">
        <f t="shared" si="186"/>
        <v>0</v>
      </c>
      <c r="K906">
        <f t="shared" si="187"/>
        <v>220</v>
      </c>
      <c r="L906">
        <f t="shared" si="188"/>
        <v>7.49</v>
      </c>
      <c r="M906">
        <f t="shared" si="189"/>
        <v>227.49</v>
      </c>
      <c r="N906">
        <f t="shared" si="190"/>
        <v>227.49</v>
      </c>
      <c r="O906">
        <f t="shared" si="191"/>
        <v>0</v>
      </c>
      <c r="P906">
        <f t="shared" si="192"/>
        <v>0</v>
      </c>
      <c r="Q906">
        <f t="shared" si="193"/>
        <v>0</v>
      </c>
      <c r="R906">
        <f t="shared" si="194"/>
        <v>0</v>
      </c>
    </row>
    <row r="907" spans="1:18" x14ac:dyDescent="0.3">
      <c r="A907" s="1">
        <v>41982</v>
      </c>
      <c r="B907" s="1">
        <v>41989</v>
      </c>
      <c r="C907">
        <v>8.65</v>
      </c>
      <c r="D907">
        <v>0.23</v>
      </c>
      <c r="E907">
        <v>4</v>
      </c>
      <c r="F907">
        <f t="shared" si="182"/>
        <v>0</v>
      </c>
      <c r="G907">
        <f t="shared" si="183"/>
        <v>0</v>
      </c>
      <c r="H907">
        <f t="shared" si="184"/>
        <v>7</v>
      </c>
      <c r="I907">
        <f t="shared" si="185"/>
        <v>0</v>
      </c>
      <c r="J907">
        <f t="shared" si="186"/>
        <v>0</v>
      </c>
      <c r="K907">
        <f t="shared" si="187"/>
        <v>280</v>
      </c>
      <c r="L907">
        <f t="shared" si="188"/>
        <v>8.8800000000000008</v>
      </c>
      <c r="M907">
        <f t="shared" si="189"/>
        <v>288.88</v>
      </c>
      <c r="N907">
        <f t="shared" si="190"/>
        <v>0</v>
      </c>
      <c r="O907">
        <f t="shared" si="191"/>
        <v>0</v>
      </c>
      <c r="P907">
        <f t="shared" si="192"/>
        <v>288.88</v>
      </c>
      <c r="Q907">
        <f t="shared" si="193"/>
        <v>0</v>
      </c>
      <c r="R907">
        <f t="shared" si="194"/>
        <v>0</v>
      </c>
    </row>
    <row r="908" spans="1:18" x14ac:dyDescent="0.3">
      <c r="A908" s="1">
        <v>41982</v>
      </c>
      <c r="B908" s="1">
        <v>41991</v>
      </c>
      <c r="C908">
        <v>8.39</v>
      </c>
      <c r="D908">
        <v>0.22</v>
      </c>
      <c r="E908">
        <v>2</v>
      </c>
      <c r="F908">
        <f t="shared" si="182"/>
        <v>9</v>
      </c>
      <c r="G908">
        <f t="shared" si="183"/>
        <v>0</v>
      </c>
      <c r="H908">
        <f t="shared" si="184"/>
        <v>0</v>
      </c>
      <c r="I908">
        <f t="shared" si="185"/>
        <v>0</v>
      </c>
      <c r="J908">
        <f t="shared" si="186"/>
        <v>0</v>
      </c>
      <c r="K908">
        <f t="shared" si="187"/>
        <v>180</v>
      </c>
      <c r="L908">
        <f t="shared" si="188"/>
        <v>8.6100000000000012</v>
      </c>
      <c r="M908">
        <f t="shared" si="189"/>
        <v>188.61</v>
      </c>
      <c r="N908">
        <f t="shared" si="190"/>
        <v>188.61</v>
      </c>
      <c r="O908">
        <f t="shared" si="191"/>
        <v>0</v>
      </c>
      <c r="P908">
        <f t="shared" si="192"/>
        <v>0</v>
      </c>
      <c r="Q908">
        <f t="shared" si="193"/>
        <v>0</v>
      </c>
      <c r="R908">
        <f t="shared" si="194"/>
        <v>0</v>
      </c>
    </row>
    <row r="909" spans="1:18" x14ac:dyDescent="0.3">
      <c r="A909" s="1">
        <v>41982</v>
      </c>
      <c r="B909" s="1">
        <v>41993</v>
      </c>
      <c r="C909">
        <v>11.42</v>
      </c>
      <c r="D909">
        <v>0.3</v>
      </c>
      <c r="E909">
        <v>3</v>
      </c>
      <c r="F909">
        <f t="shared" si="182"/>
        <v>0</v>
      </c>
      <c r="G909">
        <f t="shared" si="183"/>
        <v>11</v>
      </c>
      <c r="H909">
        <f t="shared" si="184"/>
        <v>0</v>
      </c>
      <c r="I909">
        <f t="shared" si="185"/>
        <v>0</v>
      </c>
      <c r="J909">
        <f t="shared" si="186"/>
        <v>0</v>
      </c>
      <c r="K909">
        <f t="shared" si="187"/>
        <v>330</v>
      </c>
      <c r="L909">
        <f t="shared" si="188"/>
        <v>11.72</v>
      </c>
      <c r="M909">
        <f t="shared" si="189"/>
        <v>341.72</v>
      </c>
      <c r="N909">
        <f t="shared" si="190"/>
        <v>0</v>
      </c>
      <c r="O909">
        <f t="shared" si="191"/>
        <v>341.72</v>
      </c>
      <c r="P909">
        <f t="shared" si="192"/>
        <v>0</v>
      </c>
      <c r="Q909">
        <f t="shared" si="193"/>
        <v>0</v>
      </c>
      <c r="R909">
        <f t="shared" si="194"/>
        <v>0</v>
      </c>
    </row>
    <row r="910" spans="1:18" x14ac:dyDescent="0.3">
      <c r="A910" s="1">
        <v>41982</v>
      </c>
      <c r="B910" s="1">
        <v>41994</v>
      </c>
      <c r="C910">
        <v>9.74</v>
      </c>
      <c r="D910">
        <v>0.26</v>
      </c>
      <c r="E910">
        <v>2</v>
      </c>
      <c r="F910">
        <f t="shared" si="182"/>
        <v>12</v>
      </c>
      <c r="G910">
        <f t="shared" si="183"/>
        <v>0</v>
      </c>
      <c r="H910">
        <f t="shared" si="184"/>
        <v>0</v>
      </c>
      <c r="I910">
        <f t="shared" si="185"/>
        <v>0</v>
      </c>
      <c r="J910">
        <f t="shared" si="186"/>
        <v>0</v>
      </c>
      <c r="K910">
        <f t="shared" si="187"/>
        <v>240</v>
      </c>
      <c r="L910">
        <f t="shared" si="188"/>
        <v>10</v>
      </c>
      <c r="M910">
        <f t="shared" si="189"/>
        <v>250</v>
      </c>
      <c r="N910">
        <f t="shared" si="190"/>
        <v>250</v>
      </c>
      <c r="O910">
        <f t="shared" si="191"/>
        <v>0</v>
      </c>
      <c r="P910">
        <f t="shared" si="192"/>
        <v>0</v>
      </c>
      <c r="Q910">
        <f t="shared" si="193"/>
        <v>0</v>
      </c>
      <c r="R910">
        <f t="shared" si="194"/>
        <v>0</v>
      </c>
    </row>
    <row r="911" spans="1:18" x14ac:dyDescent="0.3">
      <c r="A911" s="1">
        <v>41982</v>
      </c>
      <c r="B911" s="1">
        <v>42002</v>
      </c>
      <c r="C911">
        <v>13.07</v>
      </c>
      <c r="D911">
        <v>0.34</v>
      </c>
      <c r="E911">
        <v>2</v>
      </c>
      <c r="F911">
        <f t="shared" si="182"/>
        <v>20</v>
      </c>
      <c r="G911">
        <f t="shared" si="183"/>
        <v>0</v>
      </c>
      <c r="H911">
        <f t="shared" si="184"/>
        <v>0</v>
      </c>
      <c r="I911">
        <f t="shared" si="185"/>
        <v>0</v>
      </c>
      <c r="J911">
        <f t="shared" si="186"/>
        <v>0</v>
      </c>
      <c r="K911">
        <f t="shared" si="187"/>
        <v>400</v>
      </c>
      <c r="L911">
        <f t="shared" si="188"/>
        <v>13.41</v>
      </c>
      <c r="M911">
        <f t="shared" si="189"/>
        <v>413.41</v>
      </c>
      <c r="N911">
        <f t="shared" si="190"/>
        <v>413.41</v>
      </c>
      <c r="O911">
        <f t="shared" si="191"/>
        <v>0</v>
      </c>
      <c r="P911">
        <f t="shared" si="192"/>
        <v>0</v>
      </c>
      <c r="Q911">
        <f t="shared" si="193"/>
        <v>0</v>
      </c>
      <c r="R911">
        <f t="shared" si="194"/>
        <v>0</v>
      </c>
    </row>
    <row r="912" spans="1:18" x14ac:dyDescent="0.3">
      <c r="A912" s="1">
        <v>41982</v>
      </c>
      <c r="B912" s="1">
        <v>42006</v>
      </c>
      <c r="C912">
        <v>6.75</v>
      </c>
      <c r="D912">
        <v>0.18</v>
      </c>
      <c r="E912">
        <v>4</v>
      </c>
      <c r="F912">
        <f t="shared" si="182"/>
        <v>0</v>
      </c>
      <c r="G912">
        <f t="shared" si="183"/>
        <v>0</v>
      </c>
      <c r="H912">
        <f t="shared" si="184"/>
        <v>24</v>
      </c>
      <c r="I912">
        <f t="shared" si="185"/>
        <v>0</v>
      </c>
      <c r="J912">
        <f t="shared" si="186"/>
        <v>0</v>
      </c>
      <c r="K912">
        <f t="shared" si="187"/>
        <v>960</v>
      </c>
      <c r="L912">
        <f t="shared" si="188"/>
        <v>6.93</v>
      </c>
      <c r="M912">
        <f t="shared" si="189"/>
        <v>966.93</v>
      </c>
      <c r="N912">
        <f t="shared" si="190"/>
        <v>0</v>
      </c>
      <c r="O912">
        <f t="shared" si="191"/>
        <v>0</v>
      </c>
      <c r="P912">
        <f t="shared" si="192"/>
        <v>966.93</v>
      </c>
      <c r="Q912">
        <f t="shared" si="193"/>
        <v>0</v>
      </c>
      <c r="R912">
        <f t="shared" si="194"/>
        <v>0</v>
      </c>
    </row>
    <row r="913" spans="1:18" x14ac:dyDescent="0.3">
      <c r="A913" s="1">
        <v>41982</v>
      </c>
      <c r="B913" s="1">
        <v>42010</v>
      </c>
      <c r="C913">
        <v>6.75</v>
      </c>
      <c r="D913">
        <v>0.18</v>
      </c>
      <c r="E913">
        <v>2</v>
      </c>
      <c r="F913">
        <f t="shared" si="182"/>
        <v>28</v>
      </c>
      <c r="G913">
        <f t="shared" si="183"/>
        <v>0</v>
      </c>
      <c r="H913">
        <f t="shared" si="184"/>
        <v>0</v>
      </c>
      <c r="I913">
        <f t="shared" si="185"/>
        <v>0</v>
      </c>
      <c r="J913">
        <f t="shared" si="186"/>
        <v>0</v>
      </c>
      <c r="K913">
        <f t="shared" si="187"/>
        <v>560</v>
      </c>
      <c r="L913">
        <f t="shared" si="188"/>
        <v>6.93</v>
      </c>
      <c r="M913">
        <f t="shared" si="189"/>
        <v>566.92999999999995</v>
      </c>
      <c r="N913">
        <f t="shared" si="190"/>
        <v>566.92999999999995</v>
      </c>
      <c r="O913">
        <f t="shared" si="191"/>
        <v>0</v>
      </c>
      <c r="P913">
        <f t="shared" si="192"/>
        <v>0</v>
      </c>
      <c r="Q913">
        <f t="shared" si="193"/>
        <v>0</v>
      </c>
      <c r="R913">
        <f t="shared" si="194"/>
        <v>0</v>
      </c>
    </row>
    <row r="914" spans="1:18" x14ac:dyDescent="0.3">
      <c r="A914" s="1">
        <v>41983</v>
      </c>
      <c r="B914" s="1">
        <v>41990</v>
      </c>
      <c r="C914">
        <v>9.06</v>
      </c>
      <c r="D914">
        <v>0.24</v>
      </c>
      <c r="E914">
        <v>4</v>
      </c>
      <c r="F914">
        <f t="shared" si="182"/>
        <v>0</v>
      </c>
      <c r="G914">
        <f t="shared" si="183"/>
        <v>0</v>
      </c>
      <c r="H914">
        <f t="shared" si="184"/>
        <v>7</v>
      </c>
      <c r="I914">
        <f t="shared" si="185"/>
        <v>0</v>
      </c>
      <c r="J914">
        <f t="shared" si="186"/>
        <v>0</v>
      </c>
      <c r="K914">
        <f t="shared" si="187"/>
        <v>280</v>
      </c>
      <c r="L914">
        <f t="shared" si="188"/>
        <v>9.3000000000000007</v>
      </c>
      <c r="M914">
        <f t="shared" si="189"/>
        <v>289.3</v>
      </c>
      <c r="N914">
        <f t="shared" si="190"/>
        <v>0</v>
      </c>
      <c r="O914">
        <f t="shared" si="191"/>
        <v>0</v>
      </c>
      <c r="P914">
        <f t="shared" si="192"/>
        <v>289.3</v>
      </c>
      <c r="Q914">
        <f t="shared" si="193"/>
        <v>0</v>
      </c>
      <c r="R914">
        <f t="shared" si="194"/>
        <v>0</v>
      </c>
    </row>
    <row r="915" spans="1:18" x14ac:dyDescent="0.3">
      <c r="A915" s="1">
        <v>41983</v>
      </c>
      <c r="B915" s="1">
        <v>42004</v>
      </c>
      <c r="C915">
        <v>4.25</v>
      </c>
      <c r="D915">
        <v>0.11</v>
      </c>
      <c r="E915">
        <v>5</v>
      </c>
      <c r="F915">
        <f t="shared" si="182"/>
        <v>0</v>
      </c>
      <c r="G915">
        <f t="shared" si="183"/>
        <v>0</v>
      </c>
      <c r="H915">
        <f t="shared" si="184"/>
        <v>0</v>
      </c>
      <c r="I915">
        <f t="shared" si="185"/>
        <v>21</v>
      </c>
      <c r="J915">
        <f t="shared" si="186"/>
        <v>0</v>
      </c>
      <c r="K915">
        <f t="shared" si="187"/>
        <v>1050</v>
      </c>
      <c r="L915">
        <f t="shared" si="188"/>
        <v>4.3600000000000003</v>
      </c>
      <c r="M915">
        <f t="shared" si="189"/>
        <v>1054.3599999999999</v>
      </c>
      <c r="N915">
        <f t="shared" si="190"/>
        <v>0</v>
      </c>
      <c r="O915">
        <f t="shared" si="191"/>
        <v>0</v>
      </c>
      <c r="P915">
        <f t="shared" si="192"/>
        <v>0</v>
      </c>
      <c r="Q915">
        <f t="shared" si="193"/>
        <v>1054.3599999999999</v>
      </c>
      <c r="R915">
        <f t="shared" si="194"/>
        <v>0</v>
      </c>
    </row>
    <row r="916" spans="1:18" x14ac:dyDescent="0.3">
      <c r="A916" s="1">
        <v>41983</v>
      </c>
      <c r="B916" s="1">
        <v>41993</v>
      </c>
      <c r="C916">
        <v>7.06</v>
      </c>
      <c r="D916">
        <v>0.19</v>
      </c>
      <c r="E916">
        <v>2</v>
      </c>
      <c r="F916">
        <f t="shared" si="182"/>
        <v>10</v>
      </c>
      <c r="G916">
        <f t="shared" si="183"/>
        <v>0</v>
      </c>
      <c r="H916">
        <f t="shared" si="184"/>
        <v>0</v>
      </c>
      <c r="I916">
        <f t="shared" si="185"/>
        <v>0</v>
      </c>
      <c r="J916">
        <f t="shared" si="186"/>
        <v>0</v>
      </c>
      <c r="K916">
        <f t="shared" si="187"/>
        <v>200</v>
      </c>
      <c r="L916">
        <f t="shared" si="188"/>
        <v>7.25</v>
      </c>
      <c r="M916">
        <f t="shared" si="189"/>
        <v>207.25</v>
      </c>
      <c r="N916">
        <f t="shared" si="190"/>
        <v>207.25</v>
      </c>
      <c r="O916">
        <f t="shared" si="191"/>
        <v>0</v>
      </c>
      <c r="P916">
        <f t="shared" si="192"/>
        <v>0</v>
      </c>
      <c r="Q916">
        <f t="shared" si="193"/>
        <v>0</v>
      </c>
      <c r="R916">
        <f t="shared" si="194"/>
        <v>0</v>
      </c>
    </row>
    <row r="917" spans="1:18" x14ac:dyDescent="0.3">
      <c r="A917" s="1">
        <v>41983</v>
      </c>
      <c r="B917" s="1">
        <v>41992</v>
      </c>
      <c r="C917">
        <v>14.31</v>
      </c>
      <c r="D917">
        <v>0.38</v>
      </c>
      <c r="E917">
        <v>4</v>
      </c>
      <c r="F917">
        <f t="shared" si="182"/>
        <v>0</v>
      </c>
      <c r="G917">
        <f t="shared" si="183"/>
        <v>0</v>
      </c>
      <c r="H917">
        <f t="shared" si="184"/>
        <v>9</v>
      </c>
      <c r="I917">
        <f t="shared" si="185"/>
        <v>0</v>
      </c>
      <c r="J917">
        <f t="shared" si="186"/>
        <v>0</v>
      </c>
      <c r="K917">
        <f t="shared" si="187"/>
        <v>360</v>
      </c>
      <c r="L917">
        <f t="shared" si="188"/>
        <v>14.690000000000001</v>
      </c>
      <c r="M917">
        <f t="shared" si="189"/>
        <v>374.69</v>
      </c>
      <c r="N917">
        <f t="shared" si="190"/>
        <v>0</v>
      </c>
      <c r="O917">
        <f t="shared" si="191"/>
        <v>0</v>
      </c>
      <c r="P917">
        <f t="shared" si="192"/>
        <v>374.69</v>
      </c>
      <c r="Q917">
        <f t="shared" si="193"/>
        <v>0</v>
      </c>
      <c r="R917">
        <f t="shared" si="194"/>
        <v>0</v>
      </c>
    </row>
    <row r="918" spans="1:18" x14ac:dyDescent="0.3">
      <c r="A918" s="1">
        <v>41983</v>
      </c>
      <c r="B918" s="1">
        <v>42011</v>
      </c>
      <c r="C918">
        <v>5.64</v>
      </c>
      <c r="D918">
        <v>0.15</v>
      </c>
      <c r="E918">
        <v>5</v>
      </c>
      <c r="F918">
        <f t="shared" si="182"/>
        <v>0</v>
      </c>
      <c r="G918">
        <f t="shared" si="183"/>
        <v>0</v>
      </c>
      <c r="H918">
        <f t="shared" si="184"/>
        <v>0</v>
      </c>
      <c r="I918">
        <f t="shared" si="185"/>
        <v>28</v>
      </c>
      <c r="J918">
        <f t="shared" si="186"/>
        <v>0</v>
      </c>
      <c r="K918">
        <f t="shared" si="187"/>
        <v>1400</v>
      </c>
      <c r="L918">
        <f t="shared" si="188"/>
        <v>5.79</v>
      </c>
      <c r="M918">
        <f t="shared" si="189"/>
        <v>1405.79</v>
      </c>
      <c r="N918">
        <f t="shared" si="190"/>
        <v>0</v>
      </c>
      <c r="O918">
        <f t="shared" si="191"/>
        <v>0</v>
      </c>
      <c r="P918">
        <f t="shared" si="192"/>
        <v>0</v>
      </c>
      <c r="Q918">
        <f t="shared" si="193"/>
        <v>1405.79</v>
      </c>
      <c r="R918">
        <f t="shared" si="194"/>
        <v>0</v>
      </c>
    </row>
    <row r="919" spans="1:18" x14ac:dyDescent="0.3">
      <c r="A919" s="1">
        <v>41983</v>
      </c>
      <c r="B919" s="1">
        <v>41996</v>
      </c>
      <c r="C919">
        <v>5.67</v>
      </c>
      <c r="D919">
        <v>0.15</v>
      </c>
      <c r="E919">
        <v>3</v>
      </c>
      <c r="F919">
        <f t="shared" si="182"/>
        <v>0</v>
      </c>
      <c r="G919">
        <f t="shared" si="183"/>
        <v>13</v>
      </c>
      <c r="H919">
        <f t="shared" si="184"/>
        <v>0</v>
      </c>
      <c r="I919">
        <f t="shared" si="185"/>
        <v>0</v>
      </c>
      <c r="J919">
        <f t="shared" si="186"/>
        <v>0</v>
      </c>
      <c r="K919">
        <f t="shared" si="187"/>
        <v>390</v>
      </c>
      <c r="L919">
        <f t="shared" si="188"/>
        <v>5.82</v>
      </c>
      <c r="M919">
        <f t="shared" si="189"/>
        <v>395.82</v>
      </c>
      <c r="N919">
        <f t="shared" si="190"/>
        <v>0</v>
      </c>
      <c r="O919">
        <f t="shared" si="191"/>
        <v>395.82</v>
      </c>
      <c r="P919">
        <f t="shared" si="192"/>
        <v>0</v>
      </c>
      <c r="Q919">
        <f t="shared" si="193"/>
        <v>0</v>
      </c>
      <c r="R919">
        <f t="shared" si="194"/>
        <v>0</v>
      </c>
    </row>
    <row r="920" spans="1:18" x14ac:dyDescent="0.3">
      <c r="A920" s="1">
        <v>41983</v>
      </c>
      <c r="B920" s="1">
        <v>41990</v>
      </c>
      <c r="C920">
        <v>11.69</v>
      </c>
      <c r="D920">
        <v>0.31</v>
      </c>
      <c r="E920">
        <v>2</v>
      </c>
      <c r="F920">
        <f t="shared" si="182"/>
        <v>7</v>
      </c>
      <c r="G920">
        <f t="shared" si="183"/>
        <v>0</v>
      </c>
      <c r="H920">
        <f t="shared" si="184"/>
        <v>0</v>
      </c>
      <c r="I920">
        <f t="shared" si="185"/>
        <v>0</v>
      </c>
      <c r="J920">
        <f t="shared" si="186"/>
        <v>0</v>
      </c>
      <c r="K920">
        <f t="shared" si="187"/>
        <v>140</v>
      </c>
      <c r="L920">
        <f t="shared" si="188"/>
        <v>12</v>
      </c>
      <c r="M920">
        <f t="shared" si="189"/>
        <v>152</v>
      </c>
      <c r="N920">
        <f t="shared" si="190"/>
        <v>152</v>
      </c>
      <c r="O920">
        <f t="shared" si="191"/>
        <v>0</v>
      </c>
      <c r="P920">
        <f t="shared" si="192"/>
        <v>0</v>
      </c>
      <c r="Q920">
        <f t="shared" si="193"/>
        <v>0</v>
      </c>
      <c r="R920">
        <f t="shared" si="194"/>
        <v>0</v>
      </c>
    </row>
    <row r="921" spans="1:18" x14ac:dyDescent="0.3">
      <c r="A921" s="1">
        <v>41983</v>
      </c>
      <c r="B921" s="1">
        <v>42002</v>
      </c>
      <c r="C921">
        <v>13.02</v>
      </c>
      <c r="D921">
        <v>0.34</v>
      </c>
      <c r="E921">
        <v>3</v>
      </c>
      <c r="F921">
        <f t="shared" si="182"/>
        <v>0</v>
      </c>
      <c r="G921">
        <f t="shared" si="183"/>
        <v>19</v>
      </c>
      <c r="H921">
        <f t="shared" si="184"/>
        <v>0</v>
      </c>
      <c r="I921">
        <f t="shared" si="185"/>
        <v>0</v>
      </c>
      <c r="J921">
        <f t="shared" si="186"/>
        <v>0</v>
      </c>
      <c r="K921">
        <f t="shared" si="187"/>
        <v>570</v>
      </c>
      <c r="L921">
        <f t="shared" si="188"/>
        <v>13.36</v>
      </c>
      <c r="M921">
        <f t="shared" si="189"/>
        <v>583.36</v>
      </c>
      <c r="N921">
        <f t="shared" si="190"/>
        <v>0</v>
      </c>
      <c r="O921">
        <f t="shared" si="191"/>
        <v>583.36</v>
      </c>
      <c r="P921">
        <f t="shared" si="192"/>
        <v>0</v>
      </c>
      <c r="Q921">
        <f t="shared" si="193"/>
        <v>0</v>
      </c>
      <c r="R921">
        <f t="shared" si="194"/>
        <v>0</v>
      </c>
    </row>
    <row r="922" spans="1:18" x14ac:dyDescent="0.3">
      <c r="A922" s="1">
        <v>41983</v>
      </c>
      <c r="B922" s="1">
        <v>41986</v>
      </c>
      <c r="C922">
        <v>4.25</v>
      </c>
      <c r="D922">
        <v>0.11</v>
      </c>
      <c r="E922">
        <v>3</v>
      </c>
      <c r="F922">
        <f t="shared" si="182"/>
        <v>0</v>
      </c>
      <c r="G922">
        <f t="shared" si="183"/>
        <v>3</v>
      </c>
      <c r="H922">
        <f t="shared" si="184"/>
        <v>0</v>
      </c>
      <c r="I922">
        <f t="shared" si="185"/>
        <v>0</v>
      </c>
      <c r="J922">
        <f t="shared" si="186"/>
        <v>0</v>
      </c>
      <c r="K922">
        <f t="shared" si="187"/>
        <v>90</v>
      </c>
      <c r="L922">
        <f t="shared" si="188"/>
        <v>4.3600000000000003</v>
      </c>
      <c r="M922">
        <f t="shared" si="189"/>
        <v>94.36</v>
      </c>
      <c r="N922">
        <f t="shared" si="190"/>
        <v>0</v>
      </c>
      <c r="O922">
        <f t="shared" si="191"/>
        <v>94.36</v>
      </c>
      <c r="P922">
        <f t="shared" si="192"/>
        <v>0</v>
      </c>
      <c r="Q922">
        <f t="shared" si="193"/>
        <v>0</v>
      </c>
      <c r="R922">
        <f t="shared" si="194"/>
        <v>0</v>
      </c>
    </row>
    <row r="923" spans="1:18" x14ac:dyDescent="0.3">
      <c r="A923" s="1">
        <v>41983</v>
      </c>
      <c r="B923" s="1">
        <v>41995</v>
      </c>
      <c r="C923">
        <v>12.23</v>
      </c>
      <c r="D923">
        <v>0.32</v>
      </c>
      <c r="E923">
        <v>3</v>
      </c>
      <c r="F923">
        <f t="shared" si="182"/>
        <v>0</v>
      </c>
      <c r="G923">
        <f t="shared" si="183"/>
        <v>12</v>
      </c>
      <c r="H923">
        <f t="shared" si="184"/>
        <v>0</v>
      </c>
      <c r="I923">
        <f t="shared" si="185"/>
        <v>0</v>
      </c>
      <c r="J923">
        <f t="shared" si="186"/>
        <v>0</v>
      </c>
      <c r="K923">
        <f t="shared" si="187"/>
        <v>360</v>
      </c>
      <c r="L923">
        <f t="shared" si="188"/>
        <v>12.55</v>
      </c>
      <c r="M923">
        <f t="shared" si="189"/>
        <v>372.55</v>
      </c>
      <c r="N923">
        <f t="shared" si="190"/>
        <v>0</v>
      </c>
      <c r="O923">
        <f t="shared" si="191"/>
        <v>372.55</v>
      </c>
      <c r="P923">
        <f t="shared" si="192"/>
        <v>0</v>
      </c>
      <c r="Q923">
        <f t="shared" si="193"/>
        <v>0</v>
      </c>
      <c r="R923">
        <f t="shared" si="194"/>
        <v>0</v>
      </c>
    </row>
    <row r="924" spans="1:18" x14ac:dyDescent="0.3">
      <c r="A924" s="1">
        <v>41983</v>
      </c>
      <c r="B924" s="1">
        <v>42009</v>
      </c>
      <c r="C924">
        <v>14.13</v>
      </c>
      <c r="D924">
        <v>0.37</v>
      </c>
      <c r="E924">
        <v>5</v>
      </c>
      <c r="F924">
        <f t="shared" si="182"/>
        <v>0</v>
      </c>
      <c r="G924">
        <f t="shared" si="183"/>
        <v>0</v>
      </c>
      <c r="H924">
        <f t="shared" si="184"/>
        <v>0</v>
      </c>
      <c r="I924">
        <f t="shared" si="185"/>
        <v>26</v>
      </c>
      <c r="J924">
        <f t="shared" si="186"/>
        <v>0</v>
      </c>
      <c r="K924">
        <f t="shared" si="187"/>
        <v>1300</v>
      </c>
      <c r="L924">
        <f t="shared" si="188"/>
        <v>14.5</v>
      </c>
      <c r="M924">
        <f t="shared" si="189"/>
        <v>1314.5</v>
      </c>
      <c r="N924">
        <f t="shared" si="190"/>
        <v>0</v>
      </c>
      <c r="O924">
        <f t="shared" si="191"/>
        <v>0</v>
      </c>
      <c r="P924">
        <f t="shared" si="192"/>
        <v>0</v>
      </c>
      <c r="Q924">
        <f t="shared" si="193"/>
        <v>1314.5</v>
      </c>
      <c r="R924">
        <f t="shared" si="194"/>
        <v>0</v>
      </c>
    </row>
    <row r="925" spans="1:18" x14ac:dyDescent="0.3">
      <c r="A925" s="1">
        <v>41983</v>
      </c>
      <c r="B925" s="1">
        <v>42008</v>
      </c>
      <c r="C925">
        <v>6.23</v>
      </c>
      <c r="D925">
        <v>0.16</v>
      </c>
      <c r="E925">
        <v>3</v>
      </c>
      <c r="F925">
        <f t="shared" si="182"/>
        <v>0</v>
      </c>
      <c r="G925">
        <f t="shared" si="183"/>
        <v>25</v>
      </c>
      <c r="H925">
        <f t="shared" si="184"/>
        <v>0</v>
      </c>
      <c r="I925">
        <f t="shared" si="185"/>
        <v>0</v>
      </c>
      <c r="J925">
        <f t="shared" si="186"/>
        <v>0</v>
      </c>
      <c r="K925">
        <f t="shared" si="187"/>
        <v>750</v>
      </c>
      <c r="L925">
        <f t="shared" si="188"/>
        <v>6.3900000000000006</v>
      </c>
      <c r="M925">
        <f t="shared" si="189"/>
        <v>756.39</v>
      </c>
      <c r="N925">
        <f t="shared" si="190"/>
        <v>0</v>
      </c>
      <c r="O925">
        <f t="shared" si="191"/>
        <v>756.39</v>
      </c>
      <c r="P925">
        <f t="shared" si="192"/>
        <v>0</v>
      </c>
      <c r="Q925">
        <f t="shared" si="193"/>
        <v>0</v>
      </c>
      <c r="R925">
        <f t="shared" si="194"/>
        <v>0</v>
      </c>
    </row>
    <row r="926" spans="1:18" x14ac:dyDescent="0.3">
      <c r="A926" s="1">
        <v>41983</v>
      </c>
      <c r="B926" s="1">
        <v>42006</v>
      </c>
      <c r="C926">
        <v>8.5399999999999991</v>
      </c>
      <c r="D926">
        <v>0.22</v>
      </c>
      <c r="E926">
        <v>2</v>
      </c>
      <c r="F926">
        <f t="shared" si="182"/>
        <v>23</v>
      </c>
      <c r="G926">
        <f t="shared" si="183"/>
        <v>0</v>
      </c>
      <c r="H926">
        <f t="shared" si="184"/>
        <v>0</v>
      </c>
      <c r="I926">
        <f t="shared" si="185"/>
        <v>0</v>
      </c>
      <c r="J926">
        <f t="shared" si="186"/>
        <v>0</v>
      </c>
      <c r="K926">
        <f t="shared" si="187"/>
        <v>460</v>
      </c>
      <c r="L926">
        <f t="shared" si="188"/>
        <v>8.76</v>
      </c>
      <c r="M926">
        <f t="shared" si="189"/>
        <v>468.76</v>
      </c>
      <c r="N926">
        <f t="shared" si="190"/>
        <v>468.76</v>
      </c>
      <c r="O926">
        <f t="shared" si="191"/>
        <v>0</v>
      </c>
      <c r="P926">
        <f t="shared" si="192"/>
        <v>0</v>
      </c>
      <c r="Q926">
        <f t="shared" si="193"/>
        <v>0</v>
      </c>
      <c r="R926">
        <f t="shared" si="194"/>
        <v>0</v>
      </c>
    </row>
    <row r="927" spans="1:18" x14ac:dyDescent="0.3">
      <c r="A927" s="1">
        <v>41983</v>
      </c>
      <c r="B927" s="1">
        <v>42001</v>
      </c>
      <c r="C927">
        <v>7.55</v>
      </c>
      <c r="D927">
        <v>0.2</v>
      </c>
      <c r="E927">
        <v>2</v>
      </c>
      <c r="F927">
        <f t="shared" si="182"/>
        <v>18</v>
      </c>
      <c r="G927">
        <f t="shared" si="183"/>
        <v>0</v>
      </c>
      <c r="H927">
        <f t="shared" si="184"/>
        <v>0</v>
      </c>
      <c r="I927">
        <f t="shared" si="185"/>
        <v>0</v>
      </c>
      <c r="J927">
        <f t="shared" si="186"/>
        <v>0</v>
      </c>
      <c r="K927">
        <f t="shared" si="187"/>
        <v>360</v>
      </c>
      <c r="L927">
        <f t="shared" si="188"/>
        <v>7.75</v>
      </c>
      <c r="M927">
        <f t="shared" si="189"/>
        <v>367.75</v>
      </c>
      <c r="N927">
        <f t="shared" si="190"/>
        <v>367.75</v>
      </c>
      <c r="O927">
        <f t="shared" si="191"/>
        <v>0</v>
      </c>
      <c r="P927">
        <f t="shared" si="192"/>
        <v>0</v>
      </c>
      <c r="Q927">
        <f t="shared" si="193"/>
        <v>0</v>
      </c>
      <c r="R927">
        <f t="shared" si="194"/>
        <v>0</v>
      </c>
    </row>
    <row r="928" spans="1:18" x14ac:dyDescent="0.3">
      <c r="A928" s="1">
        <v>41983</v>
      </c>
      <c r="B928" s="1">
        <v>41989</v>
      </c>
      <c r="C928">
        <v>14</v>
      </c>
      <c r="D928">
        <v>0.37</v>
      </c>
      <c r="E928">
        <v>4</v>
      </c>
      <c r="F928">
        <f t="shared" si="182"/>
        <v>0</v>
      </c>
      <c r="G928">
        <f t="shared" si="183"/>
        <v>0</v>
      </c>
      <c r="H928">
        <f t="shared" si="184"/>
        <v>6</v>
      </c>
      <c r="I928">
        <f t="shared" si="185"/>
        <v>0</v>
      </c>
      <c r="J928">
        <f t="shared" si="186"/>
        <v>0</v>
      </c>
      <c r="K928">
        <f t="shared" si="187"/>
        <v>240</v>
      </c>
      <c r="L928">
        <f t="shared" si="188"/>
        <v>14.37</v>
      </c>
      <c r="M928">
        <f t="shared" si="189"/>
        <v>254.37</v>
      </c>
      <c r="N928">
        <f t="shared" si="190"/>
        <v>0</v>
      </c>
      <c r="O928">
        <f t="shared" si="191"/>
        <v>0</v>
      </c>
      <c r="P928">
        <f t="shared" si="192"/>
        <v>254.37</v>
      </c>
      <c r="Q928">
        <f t="shared" si="193"/>
        <v>0</v>
      </c>
      <c r="R928">
        <f t="shared" si="194"/>
        <v>0</v>
      </c>
    </row>
    <row r="929" spans="1:18" x14ac:dyDescent="0.3">
      <c r="A929" s="1">
        <v>41983</v>
      </c>
      <c r="B929" s="1">
        <v>41986</v>
      </c>
      <c r="C929">
        <v>13.02</v>
      </c>
      <c r="D929">
        <v>0.34</v>
      </c>
      <c r="E929">
        <v>2</v>
      </c>
      <c r="F929">
        <f t="shared" si="182"/>
        <v>3</v>
      </c>
      <c r="G929">
        <f t="shared" si="183"/>
        <v>0</v>
      </c>
      <c r="H929">
        <f t="shared" si="184"/>
        <v>0</v>
      </c>
      <c r="I929">
        <f t="shared" si="185"/>
        <v>0</v>
      </c>
      <c r="J929">
        <f t="shared" si="186"/>
        <v>0</v>
      </c>
      <c r="K929">
        <f t="shared" si="187"/>
        <v>60</v>
      </c>
      <c r="L929">
        <f t="shared" si="188"/>
        <v>13.36</v>
      </c>
      <c r="M929">
        <f t="shared" si="189"/>
        <v>73.36</v>
      </c>
      <c r="N929">
        <f t="shared" si="190"/>
        <v>73.36</v>
      </c>
      <c r="O929">
        <f t="shared" si="191"/>
        <v>0</v>
      </c>
      <c r="P929">
        <f t="shared" si="192"/>
        <v>0</v>
      </c>
      <c r="Q929">
        <f t="shared" si="193"/>
        <v>0</v>
      </c>
      <c r="R929">
        <f t="shared" si="194"/>
        <v>0</v>
      </c>
    </row>
    <row r="930" spans="1:18" x14ac:dyDescent="0.3">
      <c r="A930" s="1">
        <v>41983</v>
      </c>
      <c r="B930" s="1">
        <v>42009</v>
      </c>
      <c r="C930">
        <v>8.39</v>
      </c>
      <c r="D930">
        <v>0.22</v>
      </c>
      <c r="E930">
        <v>6</v>
      </c>
      <c r="F930">
        <f t="shared" si="182"/>
        <v>0</v>
      </c>
      <c r="G930">
        <f t="shared" si="183"/>
        <v>0</v>
      </c>
      <c r="H930">
        <f t="shared" si="184"/>
        <v>0</v>
      </c>
      <c r="I930">
        <f t="shared" si="185"/>
        <v>0</v>
      </c>
      <c r="J930">
        <f t="shared" si="186"/>
        <v>26</v>
      </c>
      <c r="K930">
        <f t="shared" si="187"/>
        <v>1560</v>
      </c>
      <c r="L930">
        <f t="shared" si="188"/>
        <v>8.6100000000000012</v>
      </c>
      <c r="M930">
        <f t="shared" si="189"/>
        <v>1568.61</v>
      </c>
      <c r="N930">
        <f t="shared" si="190"/>
        <v>0</v>
      </c>
      <c r="O930">
        <f t="shared" si="191"/>
        <v>0</v>
      </c>
      <c r="P930">
        <f t="shared" si="192"/>
        <v>0</v>
      </c>
      <c r="Q930">
        <f t="shared" si="193"/>
        <v>0</v>
      </c>
      <c r="R930">
        <f t="shared" si="194"/>
        <v>1568.61</v>
      </c>
    </row>
    <row r="931" spans="1:18" x14ac:dyDescent="0.3">
      <c r="A931" s="1">
        <v>41983</v>
      </c>
      <c r="B931" s="1">
        <v>41990</v>
      </c>
      <c r="C931">
        <v>5.23</v>
      </c>
      <c r="D931">
        <v>0.14000000000000001</v>
      </c>
      <c r="E931">
        <v>4</v>
      </c>
      <c r="F931">
        <f t="shared" si="182"/>
        <v>0</v>
      </c>
      <c r="G931">
        <f t="shared" si="183"/>
        <v>0</v>
      </c>
      <c r="H931">
        <f t="shared" si="184"/>
        <v>7</v>
      </c>
      <c r="I931">
        <f t="shared" si="185"/>
        <v>0</v>
      </c>
      <c r="J931">
        <f t="shared" si="186"/>
        <v>0</v>
      </c>
      <c r="K931">
        <f t="shared" si="187"/>
        <v>280</v>
      </c>
      <c r="L931">
        <f t="shared" si="188"/>
        <v>5.37</v>
      </c>
      <c r="M931">
        <f t="shared" si="189"/>
        <v>285.37</v>
      </c>
      <c r="N931">
        <f t="shared" si="190"/>
        <v>0</v>
      </c>
      <c r="O931">
        <f t="shared" si="191"/>
        <v>0</v>
      </c>
      <c r="P931">
        <f t="shared" si="192"/>
        <v>285.37</v>
      </c>
      <c r="Q931">
        <f t="shared" si="193"/>
        <v>0</v>
      </c>
      <c r="R931">
        <f t="shared" si="194"/>
        <v>0</v>
      </c>
    </row>
    <row r="932" spans="1:18" x14ac:dyDescent="0.3">
      <c r="A932" s="1">
        <v>41983</v>
      </c>
      <c r="B932" s="1">
        <v>41988</v>
      </c>
      <c r="C932">
        <v>2.0099999999999998</v>
      </c>
      <c r="D932">
        <v>0.05</v>
      </c>
      <c r="E932">
        <v>2</v>
      </c>
      <c r="F932">
        <f t="shared" si="182"/>
        <v>5</v>
      </c>
      <c r="G932">
        <f t="shared" si="183"/>
        <v>0</v>
      </c>
      <c r="H932">
        <f t="shared" si="184"/>
        <v>0</v>
      </c>
      <c r="I932">
        <f t="shared" si="185"/>
        <v>0</v>
      </c>
      <c r="J932">
        <f t="shared" si="186"/>
        <v>0</v>
      </c>
      <c r="K932">
        <f t="shared" si="187"/>
        <v>100</v>
      </c>
      <c r="L932">
        <f t="shared" si="188"/>
        <v>2.0599999999999996</v>
      </c>
      <c r="M932">
        <f t="shared" si="189"/>
        <v>102.06</v>
      </c>
      <c r="N932">
        <f t="shared" si="190"/>
        <v>102.06</v>
      </c>
      <c r="O932">
        <f t="shared" si="191"/>
        <v>0</v>
      </c>
      <c r="P932">
        <f t="shared" si="192"/>
        <v>0</v>
      </c>
      <c r="Q932">
        <f t="shared" si="193"/>
        <v>0</v>
      </c>
      <c r="R932">
        <f t="shared" si="194"/>
        <v>0</v>
      </c>
    </row>
    <row r="933" spans="1:18" x14ac:dyDescent="0.3">
      <c r="A933" s="1">
        <v>41983</v>
      </c>
      <c r="B933" s="1">
        <v>42008</v>
      </c>
      <c r="C933">
        <v>7.06</v>
      </c>
      <c r="D933">
        <v>0.19</v>
      </c>
      <c r="E933">
        <v>5</v>
      </c>
      <c r="F933">
        <f t="shared" si="182"/>
        <v>0</v>
      </c>
      <c r="G933">
        <f t="shared" si="183"/>
        <v>0</v>
      </c>
      <c r="H933">
        <f t="shared" si="184"/>
        <v>0</v>
      </c>
      <c r="I933">
        <f t="shared" si="185"/>
        <v>25</v>
      </c>
      <c r="J933">
        <f t="shared" si="186"/>
        <v>0</v>
      </c>
      <c r="K933">
        <f t="shared" si="187"/>
        <v>1250</v>
      </c>
      <c r="L933">
        <f t="shared" si="188"/>
        <v>7.25</v>
      </c>
      <c r="M933">
        <f t="shared" si="189"/>
        <v>1257.25</v>
      </c>
      <c r="N933">
        <f t="shared" si="190"/>
        <v>0</v>
      </c>
      <c r="O933">
        <f t="shared" si="191"/>
        <v>0</v>
      </c>
      <c r="P933">
        <f t="shared" si="192"/>
        <v>0</v>
      </c>
      <c r="Q933">
        <f t="shared" si="193"/>
        <v>1257.25</v>
      </c>
      <c r="R933">
        <f t="shared" si="194"/>
        <v>0</v>
      </c>
    </row>
    <row r="934" spans="1:18" x14ac:dyDescent="0.3">
      <c r="A934" s="1">
        <v>41983</v>
      </c>
      <c r="B934" s="1">
        <v>42004</v>
      </c>
      <c r="C934">
        <v>19.54</v>
      </c>
      <c r="D934">
        <v>0.51</v>
      </c>
      <c r="E934">
        <v>3</v>
      </c>
      <c r="F934">
        <f t="shared" si="182"/>
        <v>0</v>
      </c>
      <c r="G934">
        <f t="shared" si="183"/>
        <v>21</v>
      </c>
      <c r="H934">
        <f t="shared" si="184"/>
        <v>0</v>
      </c>
      <c r="I934">
        <f t="shared" si="185"/>
        <v>0</v>
      </c>
      <c r="J934">
        <f t="shared" si="186"/>
        <v>0</v>
      </c>
      <c r="K934">
        <f t="shared" si="187"/>
        <v>630</v>
      </c>
      <c r="L934">
        <f t="shared" si="188"/>
        <v>20.05</v>
      </c>
      <c r="M934">
        <f t="shared" si="189"/>
        <v>650.04999999999995</v>
      </c>
      <c r="N934">
        <f t="shared" si="190"/>
        <v>0</v>
      </c>
      <c r="O934">
        <f t="shared" si="191"/>
        <v>650.04999999999995</v>
      </c>
      <c r="P934">
        <f t="shared" si="192"/>
        <v>0</v>
      </c>
      <c r="Q934">
        <f t="shared" si="193"/>
        <v>0</v>
      </c>
      <c r="R934">
        <f t="shared" si="194"/>
        <v>0</v>
      </c>
    </row>
    <row r="935" spans="1:18" x14ac:dyDescent="0.3">
      <c r="A935" s="1">
        <v>41983</v>
      </c>
      <c r="B935" s="1">
        <v>41993</v>
      </c>
      <c r="C935">
        <v>5.23</v>
      </c>
      <c r="D935">
        <v>0.14000000000000001</v>
      </c>
      <c r="E935">
        <v>4</v>
      </c>
      <c r="F935">
        <f t="shared" si="182"/>
        <v>0</v>
      </c>
      <c r="G935">
        <f t="shared" si="183"/>
        <v>0</v>
      </c>
      <c r="H935">
        <f t="shared" si="184"/>
        <v>10</v>
      </c>
      <c r="I935">
        <f t="shared" si="185"/>
        <v>0</v>
      </c>
      <c r="J935">
        <f t="shared" si="186"/>
        <v>0</v>
      </c>
      <c r="K935">
        <f t="shared" si="187"/>
        <v>400</v>
      </c>
      <c r="L935">
        <f t="shared" si="188"/>
        <v>5.37</v>
      </c>
      <c r="M935">
        <f t="shared" si="189"/>
        <v>405.37</v>
      </c>
      <c r="N935">
        <f t="shared" si="190"/>
        <v>0</v>
      </c>
      <c r="O935">
        <f t="shared" si="191"/>
        <v>0</v>
      </c>
      <c r="P935">
        <f t="shared" si="192"/>
        <v>405.37</v>
      </c>
      <c r="Q935">
        <f t="shared" si="193"/>
        <v>0</v>
      </c>
      <c r="R935">
        <f t="shared" si="194"/>
        <v>0</v>
      </c>
    </row>
    <row r="936" spans="1:18" x14ac:dyDescent="0.3">
      <c r="A936" s="1">
        <v>41984</v>
      </c>
      <c r="B936" s="1">
        <v>42002</v>
      </c>
      <c r="C936">
        <v>9.06</v>
      </c>
      <c r="D936">
        <v>0.24</v>
      </c>
      <c r="E936">
        <v>4</v>
      </c>
      <c r="F936">
        <f t="shared" si="182"/>
        <v>0</v>
      </c>
      <c r="G936">
        <f t="shared" si="183"/>
        <v>0</v>
      </c>
      <c r="H936">
        <f t="shared" si="184"/>
        <v>18</v>
      </c>
      <c r="I936">
        <f t="shared" si="185"/>
        <v>0</v>
      </c>
      <c r="J936">
        <f t="shared" si="186"/>
        <v>0</v>
      </c>
      <c r="K936">
        <f t="shared" si="187"/>
        <v>720</v>
      </c>
      <c r="L936">
        <f t="shared" si="188"/>
        <v>9.3000000000000007</v>
      </c>
      <c r="M936">
        <f t="shared" si="189"/>
        <v>729.3</v>
      </c>
      <c r="N936">
        <f t="shared" si="190"/>
        <v>0</v>
      </c>
      <c r="O936">
        <f t="shared" si="191"/>
        <v>0</v>
      </c>
      <c r="P936">
        <f t="shared" si="192"/>
        <v>729.3</v>
      </c>
      <c r="Q936">
        <f t="shared" si="193"/>
        <v>0</v>
      </c>
      <c r="R936">
        <f t="shared" si="194"/>
        <v>0</v>
      </c>
    </row>
    <row r="937" spans="1:18" x14ac:dyDescent="0.3">
      <c r="A937" s="1">
        <v>41984</v>
      </c>
      <c r="B937" s="1">
        <v>41988</v>
      </c>
      <c r="C937">
        <v>3.73</v>
      </c>
      <c r="D937">
        <v>0.1</v>
      </c>
      <c r="E937">
        <v>6</v>
      </c>
      <c r="F937">
        <f t="shared" si="182"/>
        <v>0</v>
      </c>
      <c r="G937">
        <f t="shared" si="183"/>
        <v>0</v>
      </c>
      <c r="H937">
        <f t="shared" si="184"/>
        <v>0</v>
      </c>
      <c r="I937">
        <f t="shared" si="185"/>
        <v>0</v>
      </c>
      <c r="J937">
        <f t="shared" si="186"/>
        <v>4</v>
      </c>
      <c r="K937">
        <f t="shared" si="187"/>
        <v>240</v>
      </c>
      <c r="L937">
        <f t="shared" si="188"/>
        <v>3.83</v>
      </c>
      <c r="M937">
        <f t="shared" si="189"/>
        <v>243.83</v>
      </c>
      <c r="N937">
        <f t="shared" si="190"/>
        <v>0</v>
      </c>
      <c r="O937">
        <f t="shared" si="191"/>
        <v>0</v>
      </c>
      <c r="P937">
        <f t="shared" si="192"/>
        <v>0</v>
      </c>
      <c r="Q937">
        <f t="shared" si="193"/>
        <v>0</v>
      </c>
      <c r="R937">
        <f t="shared" si="194"/>
        <v>243.83</v>
      </c>
    </row>
    <row r="938" spans="1:18" x14ac:dyDescent="0.3">
      <c r="A938" s="1">
        <v>41985</v>
      </c>
      <c r="B938" s="1">
        <v>42012</v>
      </c>
      <c r="C938">
        <v>5.67</v>
      </c>
      <c r="D938">
        <v>0.15</v>
      </c>
      <c r="E938">
        <v>2</v>
      </c>
      <c r="F938">
        <f t="shared" si="182"/>
        <v>27</v>
      </c>
      <c r="G938">
        <f t="shared" si="183"/>
        <v>0</v>
      </c>
      <c r="H938">
        <f t="shared" si="184"/>
        <v>0</v>
      </c>
      <c r="I938">
        <f t="shared" si="185"/>
        <v>0</v>
      </c>
      <c r="J938">
        <f t="shared" si="186"/>
        <v>0</v>
      </c>
      <c r="K938">
        <f t="shared" si="187"/>
        <v>540</v>
      </c>
      <c r="L938">
        <f t="shared" si="188"/>
        <v>5.82</v>
      </c>
      <c r="M938">
        <f t="shared" si="189"/>
        <v>545.82000000000005</v>
      </c>
      <c r="N938">
        <f t="shared" si="190"/>
        <v>545.82000000000005</v>
      </c>
      <c r="O938">
        <f t="shared" si="191"/>
        <v>0</v>
      </c>
      <c r="P938">
        <f t="shared" si="192"/>
        <v>0</v>
      </c>
      <c r="Q938">
        <f t="shared" si="193"/>
        <v>0</v>
      </c>
      <c r="R938">
        <f t="shared" si="194"/>
        <v>0</v>
      </c>
    </row>
    <row r="939" spans="1:18" x14ac:dyDescent="0.3">
      <c r="A939" s="1">
        <v>41985</v>
      </c>
      <c r="B939" s="1">
        <v>41989</v>
      </c>
      <c r="C939">
        <v>5.67</v>
      </c>
      <c r="D939">
        <v>0.15</v>
      </c>
      <c r="E939">
        <v>4</v>
      </c>
      <c r="F939">
        <f t="shared" si="182"/>
        <v>0</v>
      </c>
      <c r="G939">
        <f t="shared" si="183"/>
        <v>0</v>
      </c>
      <c r="H939">
        <f t="shared" si="184"/>
        <v>4</v>
      </c>
      <c r="I939">
        <f t="shared" si="185"/>
        <v>0</v>
      </c>
      <c r="J939">
        <f t="shared" si="186"/>
        <v>0</v>
      </c>
      <c r="K939">
        <f t="shared" si="187"/>
        <v>160</v>
      </c>
      <c r="L939">
        <f t="shared" si="188"/>
        <v>5.82</v>
      </c>
      <c r="M939">
        <f t="shared" si="189"/>
        <v>165.82</v>
      </c>
      <c r="N939">
        <f t="shared" si="190"/>
        <v>0</v>
      </c>
      <c r="O939">
        <f t="shared" si="191"/>
        <v>0</v>
      </c>
      <c r="P939">
        <f t="shared" si="192"/>
        <v>165.82</v>
      </c>
      <c r="Q939">
        <f t="shared" si="193"/>
        <v>0</v>
      </c>
      <c r="R939">
        <f t="shared" si="194"/>
        <v>0</v>
      </c>
    </row>
    <row r="940" spans="1:18" x14ac:dyDescent="0.3">
      <c r="A940" s="1">
        <v>41985</v>
      </c>
      <c r="B940" s="1">
        <v>41995</v>
      </c>
      <c r="C940">
        <v>3.57</v>
      </c>
      <c r="D940">
        <v>0.09</v>
      </c>
      <c r="E940">
        <v>2</v>
      </c>
      <c r="F940">
        <f t="shared" si="182"/>
        <v>10</v>
      </c>
      <c r="G940">
        <f t="shared" si="183"/>
        <v>0</v>
      </c>
      <c r="H940">
        <f t="shared" si="184"/>
        <v>0</v>
      </c>
      <c r="I940">
        <f t="shared" si="185"/>
        <v>0</v>
      </c>
      <c r="J940">
        <f t="shared" si="186"/>
        <v>0</v>
      </c>
      <c r="K940">
        <f t="shared" si="187"/>
        <v>200</v>
      </c>
      <c r="L940">
        <f t="shared" si="188"/>
        <v>3.6599999999999997</v>
      </c>
      <c r="M940">
        <f t="shared" si="189"/>
        <v>203.66</v>
      </c>
      <c r="N940">
        <f t="shared" si="190"/>
        <v>203.66</v>
      </c>
      <c r="O940">
        <f t="shared" si="191"/>
        <v>0</v>
      </c>
      <c r="P940">
        <f t="shared" si="192"/>
        <v>0</v>
      </c>
      <c r="Q940">
        <f t="shared" si="193"/>
        <v>0</v>
      </c>
      <c r="R940">
        <f t="shared" si="194"/>
        <v>0</v>
      </c>
    </row>
    <row r="941" spans="1:18" x14ac:dyDescent="0.3">
      <c r="A941" s="1">
        <v>41985</v>
      </c>
      <c r="B941" s="1">
        <v>41995</v>
      </c>
      <c r="C941">
        <v>3.57</v>
      </c>
      <c r="D941">
        <v>0.09</v>
      </c>
      <c r="E941">
        <v>3</v>
      </c>
      <c r="F941">
        <f t="shared" si="182"/>
        <v>0</v>
      </c>
      <c r="G941">
        <f t="shared" si="183"/>
        <v>10</v>
      </c>
      <c r="H941">
        <f t="shared" si="184"/>
        <v>0</v>
      </c>
      <c r="I941">
        <f t="shared" si="185"/>
        <v>0</v>
      </c>
      <c r="J941">
        <f t="shared" si="186"/>
        <v>0</v>
      </c>
      <c r="K941">
        <f t="shared" si="187"/>
        <v>300</v>
      </c>
      <c r="L941">
        <f t="shared" si="188"/>
        <v>3.6599999999999997</v>
      </c>
      <c r="M941">
        <f t="shared" si="189"/>
        <v>303.66000000000003</v>
      </c>
      <c r="N941">
        <f t="shared" si="190"/>
        <v>0</v>
      </c>
      <c r="O941">
        <f t="shared" si="191"/>
        <v>303.66000000000003</v>
      </c>
      <c r="P941">
        <f t="shared" si="192"/>
        <v>0</v>
      </c>
      <c r="Q941">
        <f t="shared" si="193"/>
        <v>0</v>
      </c>
      <c r="R941">
        <f t="shared" si="194"/>
        <v>0</v>
      </c>
    </row>
    <row r="942" spans="1:18" x14ac:dyDescent="0.3">
      <c r="A942" s="1">
        <v>41985</v>
      </c>
      <c r="B942" s="1">
        <v>42013</v>
      </c>
      <c r="C942">
        <v>2.29</v>
      </c>
      <c r="D942">
        <v>0.06</v>
      </c>
      <c r="E942">
        <v>2</v>
      </c>
      <c r="F942">
        <f t="shared" si="182"/>
        <v>28</v>
      </c>
      <c r="G942">
        <f t="shared" si="183"/>
        <v>0</v>
      </c>
      <c r="H942">
        <f t="shared" si="184"/>
        <v>0</v>
      </c>
      <c r="I942">
        <f t="shared" si="185"/>
        <v>0</v>
      </c>
      <c r="J942">
        <f t="shared" si="186"/>
        <v>0</v>
      </c>
      <c r="K942">
        <f t="shared" si="187"/>
        <v>560</v>
      </c>
      <c r="L942">
        <f t="shared" si="188"/>
        <v>2.35</v>
      </c>
      <c r="M942">
        <f t="shared" si="189"/>
        <v>562.35</v>
      </c>
      <c r="N942">
        <f t="shared" si="190"/>
        <v>562.35</v>
      </c>
      <c r="O942">
        <f t="shared" si="191"/>
        <v>0</v>
      </c>
      <c r="P942">
        <f t="shared" si="192"/>
        <v>0</v>
      </c>
      <c r="Q942">
        <f t="shared" si="193"/>
        <v>0</v>
      </c>
      <c r="R942">
        <f t="shared" si="194"/>
        <v>0</v>
      </c>
    </row>
    <row r="943" spans="1:18" x14ac:dyDescent="0.3">
      <c r="A943" s="1">
        <v>41985</v>
      </c>
      <c r="B943" s="1">
        <v>42003</v>
      </c>
      <c r="C943">
        <v>7.35</v>
      </c>
      <c r="D943">
        <v>0.19</v>
      </c>
      <c r="E943">
        <v>5</v>
      </c>
      <c r="F943">
        <f t="shared" si="182"/>
        <v>0</v>
      </c>
      <c r="G943">
        <f t="shared" si="183"/>
        <v>0</v>
      </c>
      <c r="H943">
        <f t="shared" si="184"/>
        <v>0</v>
      </c>
      <c r="I943">
        <f t="shared" si="185"/>
        <v>18</v>
      </c>
      <c r="J943">
        <f t="shared" si="186"/>
        <v>0</v>
      </c>
      <c r="K943">
        <f t="shared" si="187"/>
        <v>900</v>
      </c>
      <c r="L943">
        <f t="shared" si="188"/>
        <v>7.54</v>
      </c>
      <c r="M943">
        <f t="shared" si="189"/>
        <v>907.54</v>
      </c>
      <c r="N943">
        <f t="shared" si="190"/>
        <v>0</v>
      </c>
      <c r="O943">
        <f t="shared" si="191"/>
        <v>0</v>
      </c>
      <c r="P943">
        <f t="shared" si="192"/>
        <v>0</v>
      </c>
      <c r="Q943">
        <f t="shared" si="193"/>
        <v>907.54</v>
      </c>
      <c r="R943">
        <f t="shared" si="194"/>
        <v>0</v>
      </c>
    </row>
    <row r="944" spans="1:18" x14ac:dyDescent="0.3">
      <c r="A944" s="1">
        <v>41985</v>
      </c>
      <c r="B944" s="1">
        <v>42011</v>
      </c>
      <c r="C944">
        <v>3.94</v>
      </c>
      <c r="D944">
        <v>0.1</v>
      </c>
      <c r="E944">
        <v>4</v>
      </c>
      <c r="F944">
        <f t="shared" si="182"/>
        <v>0</v>
      </c>
      <c r="G944">
        <f t="shared" si="183"/>
        <v>0</v>
      </c>
      <c r="H944">
        <f t="shared" si="184"/>
        <v>26</v>
      </c>
      <c r="I944">
        <f t="shared" si="185"/>
        <v>0</v>
      </c>
      <c r="J944">
        <f t="shared" si="186"/>
        <v>0</v>
      </c>
      <c r="K944">
        <f t="shared" si="187"/>
        <v>1040</v>
      </c>
      <c r="L944">
        <f t="shared" si="188"/>
        <v>4.04</v>
      </c>
      <c r="M944">
        <f t="shared" si="189"/>
        <v>1044.04</v>
      </c>
      <c r="N944">
        <f t="shared" si="190"/>
        <v>0</v>
      </c>
      <c r="O944">
        <f t="shared" si="191"/>
        <v>0</v>
      </c>
      <c r="P944">
        <f t="shared" si="192"/>
        <v>1044.04</v>
      </c>
      <c r="Q944">
        <f t="shared" si="193"/>
        <v>0</v>
      </c>
      <c r="R944">
        <f t="shared" si="194"/>
        <v>0</v>
      </c>
    </row>
    <row r="945" spans="1:18" x14ac:dyDescent="0.3">
      <c r="A945" s="1">
        <v>41985</v>
      </c>
      <c r="B945" s="1">
        <v>41995</v>
      </c>
      <c r="C945">
        <v>3.94</v>
      </c>
      <c r="D945">
        <v>0.1</v>
      </c>
      <c r="E945">
        <v>2</v>
      </c>
      <c r="F945">
        <f t="shared" si="182"/>
        <v>10</v>
      </c>
      <c r="G945">
        <f t="shared" si="183"/>
        <v>0</v>
      </c>
      <c r="H945">
        <f t="shared" si="184"/>
        <v>0</v>
      </c>
      <c r="I945">
        <f t="shared" si="185"/>
        <v>0</v>
      </c>
      <c r="J945">
        <f t="shared" si="186"/>
        <v>0</v>
      </c>
      <c r="K945">
        <f t="shared" si="187"/>
        <v>200</v>
      </c>
      <c r="L945">
        <f t="shared" si="188"/>
        <v>4.04</v>
      </c>
      <c r="M945">
        <f t="shared" si="189"/>
        <v>204.04</v>
      </c>
      <c r="N945">
        <f t="shared" si="190"/>
        <v>204.04</v>
      </c>
      <c r="O945">
        <f t="shared" si="191"/>
        <v>0</v>
      </c>
      <c r="P945">
        <f t="shared" si="192"/>
        <v>0</v>
      </c>
      <c r="Q945">
        <f t="shared" si="193"/>
        <v>0</v>
      </c>
      <c r="R945">
        <f t="shared" si="194"/>
        <v>0</v>
      </c>
    </row>
    <row r="946" spans="1:18" x14ac:dyDescent="0.3">
      <c r="A946" s="1">
        <v>41985</v>
      </c>
      <c r="B946" s="1">
        <v>42006</v>
      </c>
      <c r="C946">
        <v>13.07</v>
      </c>
      <c r="D946">
        <v>0.34</v>
      </c>
      <c r="E946">
        <v>3</v>
      </c>
      <c r="F946">
        <f t="shared" si="182"/>
        <v>0</v>
      </c>
      <c r="G946">
        <f t="shared" si="183"/>
        <v>21</v>
      </c>
      <c r="H946">
        <f t="shared" si="184"/>
        <v>0</v>
      </c>
      <c r="I946">
        <f t="shared" si="185"/>
        <v>0</v>
      </c>
      <c r="J946">
        <f t="shared" si="186"/>
        <v>0</v>
      </c>
      <c r="K946">
        <f t="shared" si="187"/>
        <v>630</v>
      </c>
      <c r="L946">
        <f t="shared" si="188"/>
        <v>13.41</v>
      </c>
      <c r="M946">
        <f t="shared" si="189"/>
        <v>643.41</v>
      </c>
      <c r="N946">
        <f t="shared" si="190"/>
        <v>0</v>
      </c>
      <c r="O946">
        <f t="shared" si="191"/>
        <v>643.41</v>
      </c>
      <c r="P946">
        <f t="shared" si="192"/>
        <v>0</v>
      </c>
      <c r="Q946">
        <f t="shared" si="193"/>
        <v>0</v>
      </c>
      <c r="R946">
        <f t="shared" si="194"/>
        <v>0</v>
      </c>
    </row>
    <row r="947" spans="1:18" x14ac:dyDescent="0.3">
      <c r="A947" s="1">
        <v>41986</v>
      </c>
      <c r="B947" s="1">
        <v>41990</v>
      </c>
      <c r="C947">
        <v>6.43</v>
      </c>
      <c r="D947">
        <v>0.17</v>
      </c>
      <c r="E947">
        <v>5</v>
      </c>
      <c r="F947">
        <f t="shared" si="182"/>
        <v>0</v>
      </c>
      <c r="G947">
        <f t="shared" si="183"/>
        <v>0</v>
      </c>
      <c r="H947">
        <f t="shared" si="184"/>
        <v>0</v>
      </c>
      <c r="I947">
        <f t="shared" si="185"/>
        <v>4</v>
      </c>
      <c r="J947">
        <f t="shared" si="186"/>
        <v>0</v>
      </c>
      <c r="K947">
        <f t="shared" si="187"/>
        <v>200</v>
      </c>
      <c r="L947">
        <f t="shared" si="188"/>
        <v>6.6</v>
      </c>
      <c r="M947">
        <f t="shared" si="189"/>
        <v>206.6</v>
      </c>
      <c r="N947">
        <f t="shared" si="190"/>
        <v>0</v>
      </c>
      <c r="O947">
        <f t="shared" si="191"/>
        <v>0</v>
      </c>
      <c r="P947">
        <f t="shared" si="192"/>
        <v>0</v>
      </c>
      <c r="Q947">
        <f t="shared" si="193"/>
        <v>206.6</v>
      </c>
      <c r="R947">
        <f t="shared" si="194"/>
        <v>0</v>
      </c>
    </row>
    <row r="948" spans="1:18" x14ac:dyDescent="0.3">
      <c r="A948" s="1">
        <v>41986</v>
      </c>
      <c r="B948" s="1">
        <v>42005</v>
      </c>
      <c r="C948">
        <v>6.43</v>
      </c>
      <c r="D948">
        <v>0.17</v>
      </c>
      <c r="E948">
        <v>3</v>
      </c>
      <c r="F948">
        <f t="shared" si="182"/>
        <v>0</v>
      </c>
      <c r="G948">
        <f t="shared" si="183"/>
        <v>19</v>
      </c>
      <c r="H948">
        <f t="shared" si="184"/>
        <v>0</v>
      </c>
      <c r="I948">
        <f t="shared" si="185"/>
        <v>0</v>
      </c>
      <c r="J948">
        <f t="shared" si="186"/>
        <v>0</v>
      </c>
      <c r="K948">
        <f t="shared" si="187"/>
        <v>570</v>
      </c>
      <c r="L948">
        <f t="shared" si="188"/>
        <v>6.6</v>
      </c>
      <c r="M948">
        <f t="shared" si="189"/>
        <v>576.6</v>
      </c>
      <c r="N948">
        <f t="shared" si="190"/>
        <v>0</v>
      </c>
      <c r="O948">
        <f t="shared" si="191"/>
        <v>576.6</v>
      </c>
      <c r="P948">
        <f t="shared" si="192"/>
        <v>0</v>
      </c>
      <c r="Q948">
        <f t="shared" si="193"/>
        <v>0</v>
      </c>
      <c r="R948">
        <f t="shared" si="194"/>
        <v>0</v>
      </c>
    </row>
    <row r="949" spans="1:18" x14ac:dyDescent="0.3">
      <c r="A949" s="1">
        <v>41987</v>
      </c>
      <c r="B949" s="1">
        <v>42012</v>
      </c>
      <c r="C949">
        <v>2.72</v>
      </c>
      <c r="D949">
        <v>7.0000000000000007E-2</v>
      </c>
      <c r="E949">
        <v>4</v>
      </c>
      <c r="F949">
        <f t="shared" si="182"/>
        <v>0</v>
      </c>
      <c r="G949">
        <f t="shared" si="183"/>
        <v>0</v>
      </c>
      <c r="H949">
        <f t="shared" si="184"/>
        <v>25</v>
      </c>
      <c r="I949">
        <f t="shared" si="185"/>
        <v>0</v>
      </c>
      <c r="J949">
        <f t="shared" si="186"/>
        <v>0</v>
      </c>
      <c r="K949">
        <f t="shared" si="187"/>
        <v>1000</v>
      </c>
      <c r="L949">
        <f t="shared" si="188"/>
        <v>2.79</v>
      </c>
      <c r="M949">
        <f t="shared" si="189"/>
        <v>1002.79</v>
      </c>
      <c r="N949">
        <f t="shared" si="190"/>
        <v>0</v>
      </c>
      <c r="O949">
        <f t="shared" si="191"/>
        <v>0</v>
      </c>
      <c r="P949">
        <f t="shared" si="192"/>
        <v>1002.79</v>
      </c>
      <c r="Q949">
        <f t="shared" si="193"/>
        <v>0</v>
      </c>
      <c r="R949">
        <f t="shared" si="194"/>
        <v>0</v>
      </c>
    </row>
    <row r="950" spans="1:18" x14ac:dyDescent="0.3">
      <c r="A950" s="1">
        <v>41987</v>
      </c>
      <c r="B950" s="1">
        <v>42007</v>
      </c>
      <c r="C950">
        <v>6.43</v>
      </c>
      <c r="D950">
        <v>0.17</v>
      </c>
      <c r="E950">
        <v>6</v>
      </c>
      <c r="F950">
        <f t="shared" si="182"/>
        <v>0</v>
      </c>
      <c r="G950">
        <f t="shared" si="183"/>
        <v>0</v>
      </c>
      <c r="H950">
        <f t="shared" si="184"/>
        <v>0</v>
      </c>
      <c r="I950">
        <f t="shared" si="185"/>
        <v>0</v>
      </c>
      <c r="J950">
        <f t="shared" si="186"/>
        <v>20</v>
      </c>
      <c r="K950">
        <f t="shared" si="187"/>
        <v>1200</v>
      </c>
      <c r="L950">
        <f t="shared" si="188"/>
        <v>6.6</v>
      </c>
      <c r="M950">
        <f t="shared" si="189"/>
        <v>1206.5999999999999</v>
      </c>
      <c r="N950">
        <f t="shared" si="190"/>
        <v>0</v>
      </c>
      <c r="O950">
        <f t="shared" si="191"/>
        <v>0</v>
      </c>
      <c r="P950">
        <f t="shared" si="192"/>
        <v>0</v>
      </c>
      <c r="Q950">
        <f t="shared" si="193"/>
        <v>0</v>
      </c>
      <c r="R950">
        <f t="shared" si="194"/>
        <v>1206.5999999999999</v>
      </c>
    </row>
    <row r="951" spans="1:18" x14ac:dyDescent="0.3">
      <c r="A951" s="1">
        <v>41988</v>
      </c>
      <c r="B951" s="1">
        <v>42014</v>
      </c>
      <c r="C951">
        <v>2.0099999999999998</v>
      </c>
      <c r="D951">
        <v>0.05</v>
      </c>
      <c r="E951">
        <v>3</v>
      </c>
      <c r="F951">
        <f t="shared" si="182"/>
        <v>0</v>
      </c>
      <c r="G951">
        <f t="shared" si="183"/>
        <v>26</v>
      </c>
      <c r="H951">
        <f t="shared" si="184"/>
        <v>0</v>
      </c>
      <c r="I951">
        <f t="shared" si="185"/>
        <v>0</v>
      </c>
      <c r="J951">
        <f t="shared" si="186"/>
        <v>0</v>
      </c>
      <c r="K951">
        <f t="shared" si="187"/>
        <v>780</v>
      </c>
      <c r="L951">
        <f t="shared" si="188"/>
        <v>2.0599999999999996</v>
      </c>
      <c r="M951">
        <f t="shared" si="189"/>
        <v>782.06</v>
      </c>
      <c r="N951">
        <f t="shared" si="190"/>
        <v>0</v>
      </c>
      <c r="O951">
        <f t="shared" si="191"/>
        <v>782.06</v>
      </c>
      <c r="P951">
        <f t="shared" si="192"/>
        <v>0</v>
      </c>
      <c r="Q951">
        <f t="shared" si="193"/>
        <v>0</v>
      </c>
      <c r="R951">
        <f t="shared" si="194"/>
        <v>0</v>
      </c>
    </row>
    <row r="952" spans="1:18" x14ac:dyDescent="0.3">
      <c r="A952" s="1">
        <v>41988</v>
      </c>
      <c r="B952" s="1">
        <v>42005</v>
      </c>
      <c r="C952">
        <v>2.72</v>
      </c>
      <c r="D952">
        <v>7.0000000000000007E-2</v>
      </c>
      <c r="E952">
        <v>2</v>
      </c>
      <c r="F952">
        <f t="shared" si="182"/>
        <v>17</v>
      </c>
      <c r="G952">
        <f t="shared" si="183"/>
        <v>0</v>
      </c>
      <c r="H952">
        <f t="shared" si="184"/>
        <v>0</v>
      </c>
      <c r="I952">
        <f t="shared" si="185"/>
        <v>0</v>
      </c>
      <c r="J952">
        <f t="shared" si="186"/>
        <v>0</v>
      </c>
      <c r="K952">
        <f t="shared" si="187"/>
        <v>340</v>
      </c>
      <c r="L952">
        <f t="shared" si="188"/>
        <v>2.79</v>
      </c>
      <c r="M952">
        <f t="shared" si="189"/>
        <v>342.79</v>
      </c>
      <c r="N952">
        <f t="shared" si="190"/>
        <v>342.79</v>
      </c>
      <c r="O952">
        <f t="shared" si="191"/>
        <v>0</v>
      </c>
      <c r="P952">
        <f t="shared" si="192"/>
        <v>0</v>
      </c>
      <c r="Q952">
        <f t="shared" si="193"/>
        <v>0</v>
      </c>
      <c r="R952">
        <f t="shared" si="194"/>
        <v>0</v>
      </c>
    </row>
    <row r="953" spans="1:18" x14ac:dyDescent="0.3">
      <c r="A953" s="1">
        <v>41988</v>
      </c>
      <c r="B953" s="1">
        <v>41996</v>
      </c>
      <c r="C953">
        <v>2.0099999999999998</v>
      </c>
      <c r="D953">
        <v>0.05</v>
      </c>
      <c r="E953">
        <v>5</v>
      </c>
      <c r="F953">
        <f t="shared" si="182"/>
        <v>0</v>
      </c>
      <c r="G953">
        <f t="shared" si="183"/>
        <v>0</v>
      </c>
      <c r="H953">
        <f t="shared" si="184"/>
        <v>0</v>
      </c>
      <c r="I953">
        <f t="shared" si="185"/>
        <v>8</v>
      </c>
      <c r="J953">
        <f t="shared" si="186"/>
        <v>0</v>
      </c>
      <c r="K953">
        <f t="shared" si="187"/>
        <v>400</v>
      </c>
      <c r="L953">
        <f t="shared" si="188"/>
        <v>2.0599999999999996</v>
      </c>
      <c r="M953">
        <f t="shared" si="189"/>
        <v>402.06</v>
      </c>
      <c r="N953">
        <f t="shared" si="190"/>
        <v>0</v>
      </c>
      <c r="O953">
        <f t="shared" si="191"/>
        <v>0</v>
      </c>
      <c r="P953">
        <f t="shared" si="192"/>
        <v>0</v>
      </c>
      <c r="Q953">
        <f t="shared" si="193"/>
        <v>402.06</v>
      </c>
      <c r="R953">
        <f t="shared" si="194"/>
        <v>0</v>
      </c>
    </row>
    <row r="954" spans="1:18" x14ac:dyDescent="0.3">
      <c r="A954" s="1">
        <v>41989</v>
      </c>
      <c r="B954" s="1">
        <v>41991</v>
      </c>
      <c r="C954">
        <v>11.42</v>
      </c>
      <c r="D954">
        <v>0.3</v>
      </c>
      <c r="E954">
        <v>5</v>
      </c>
      <c r="F954">
        <f t="shared" si="182"/>
        <v>0</v>
      </c>
      <c r="G954">
        <f t="shared" si="183"/>
        <v>0</v>
      </c>
      <c r="H954">
        <f t="shared" si="184"/>
        <v>0</v>
      </c>
      <c r="I954">
        <f t="shared" si="185"/>
        <v>2</v>
      </c>
      <c r="J954">
        <f t="shared" si="186"/>
        <v>0</v>
      </c>
      <c r="K954">
        <f t="shared" si="187"/>
        <v>100</v>
      </c>
      <c r="L954">
        <f t="shared" si="188"/>
        <v>11.72</v>
      </c>
      <c r="M954">
        <f t="shared" si="189"/>
        <v>111.72</v>
      </c>
      <c r="N954">
        <f t="shared" si="190"/>
        <v>0</v>
      </c>
      <c r="O954">
        <f t="shared" si="191"/>
        <v>0</v>
      </c>
      <c r="P954">
        <f t="shared" si="192"/>
        <v>0</v>
      </c>
      <c r="Q954">
        <f t="shared" si="193"/>
        <v>111.72</v>
      </c>
      <c r="R954">
        <f t="shared" si="194"/>
        <v>0</v>
      </c>
    </row>
    <row r="955" spans="1:18" x14ac:dyDescent="0.3">
      <c r="A955" s="1">
        <v>41989</v>
      </c>
      <c r="B955" s="1">
        <v>42003</v>
      </c>
      <c r="C955">
        <v>10.93</v>
      </c>
      <c r="D955">
        <v>0.28999999999999998</v>
      </c>
      <c r="E955">
        <v>3</v>
      </c>
      <c r="F955">
        <f t="shared" si="182"/>
        <v>0</v>
      </c>
      <c r="G955">
        <f t="shared" si="183"/>
        <v>14</v>
      </c>
      <c r="H955">
        <f t="shared" si="184"/>
        <v>0</v>
      </c>
      <c r="I955">
        <f t="shared" si="185"/>
        <v>0</v>
      </c>
      <c r="J955">
        <f t="shared" si="186"/>
        <v>0</v>
      </c>
      <c r="K955">
        <f t="shared" si="187"/>
        <v>420</v>
      </c>
      <c r="L955">
        <f t="shared" si="188"/>
        <v>11.219999999999999</v>
      </c>
      <c r="M955">
        <f t="shared" si="189"/>
        <v>431.22</v>
      </c>
      <c r="N955">
        <f t="shared" si="190"/>
        <v>0</v>
      </c>
      <c r="O955">
        <f t="shared" si="191"/>
        <v>431.22</v>
      </c>
      <c r="P955">
        <f t="shared" si="192"/>
        <v>0</v>
      </c>
      <c r="Q955">
        <f t="shared" si="193"/>
        <v>0</v>
      </c>
      <c r="R955">
        <f t="shared" si="194"/>
        <v>0</v>
      </c>
    </row>
    <row r="956" spans="1:18" x14ac:dyDescent="0.3">
      <c r="A956" s="1">
        <v>41989</v>
      </c>
      <c r="B956" s="1">
        <v>41997</v>
      </c>
      <c r="C956">
        <v>9.06</v>
      </c>
      <c r="D956">
        <v>0.24</v>
      </c>
      <c r="E956">
        <v>2</v>
      </c>
      <c r="F956">
        <f t="shared" si="182"/>
        <v>8</v>
      </c>
      <c r="G956">
        <f t="shared" si="183"/>
        <v>0</v>
      </c>
      <c r="H956">
        <f t="shared" si="184"/>
        <v>0</v>
      </c>
      <c r="I956">
        <f t="shared" si="185"/>
        <v>0</v>
      </c>
      <c r="J956">
        <f t="shared" si="186"/>
        <v>0</v>
      </c>
      <c r="K956">
        <f t="shared" si="187"/>
        <v>160</v>
      </c>
      <c r="L956">
        <f t="shared" si="188"/>
        <v>9.3000000000000007</v>
      </c>
      <c r="M956">
        <f t="shared" si="189"/>
        <v>169.3</v>
      </c>
      <c r="N956">
        <f t="shared" si="190"/>
        <v>169.3</v>
      </c>
      <c r="O956">
        <f t="shared" si="191"/>
        <v>0</v>
      </c>
      <c r="P956">
        <f t="shared" si="192"/>
        <v>0</v>
      </c>
      <c r="Q956">
        <f t="shared" si="193"/>
        <v>0</v>
      </c>
      <c r="R956">
        <f t="shared" si="194"/>
        <v>0</v>
      </c>
    </row>
    <row r="957" spans="1:18" x14ac:dyDescent="0.3">
      <c r="A957" s="1">
        <v>41989</v>
      </c>
      <c r="B957" s="1">
        <v>41998</v>
      </c>
      <c r="C957">
        <v>5.67</v>
      </c>
      <c r="D957">
        <v>0.15</v>
      </c>
      <c r="E957">
        <v>3</v>
      </c>
      <c r="F957">
        <f t="shared" si="182"/>
        <v>0</v>
      </c>
      <c r="G957">
        <f t="shared" si="183"/>
        <v>9</v>
      </c>
      <c r="H957">
        <f t="shared" si="184"/>
        <v>0</v>
      </c>
      <c r="I957">
        <f t="shared" si="185"/>
        <v>0</v>
      </c>
      <c r="J957">
        <f t="shared" si="186"/>
        <v>0</v>
      </c>
      <c r="K957">
        <f t="shared" si="187"/>
        <v>270</v>
      </c>
      <c r="L957">
        <f t="shared" si="188"/>
        <v>5.82</v>
      </c>
      <c r="M957">
        <f t="shared" si="189"/>
        <v>275.82</v>
      </c>
      <c r="N957">
        <f t="shared" si="190"/>
        <v>0</v>
      </c>
      <c r="O957">
        <f t="shared" si="191"/>
        <v>275.82</v>
      </c>
      <c r="P957">
        <f t="shared" si="192"/>
        <v>0</v>
      </c>
      <c r="Q957">
        <f t="shared" si="193"/>
        <v>0</v>
      </c>
      <c r="R957">
        <f t="shared" si="194"/>
        <v>0</v>
      </c>
    </row>
    <row r="958" spans="1:18" x14ac:dyDescent="0.3">
      <c r="A958" s="1">
        <v>41989</v>
      </c>
      <c r="B958" s="1">
        <v>42015</v>
      </c>
      <c r="C958">
        <v>3.57</v>
      </c>
      <c r="D958">
        <v>0.09</v>
      </c>
      <c r="E958">
        <v>4</v>
      </c>
      <c r="F958">
        <f t="shared" si="182"/>
        <v>0</v>
      </c>
      <c r="G958">
        <f t="shared" si="183"/>
        <v>0</v>
      </c>
      <c r="H958">
        <f t="shared" si="184"/>
        <v>26</v>
      </c>
      <c r="I958">
        <f t="shared" si="185"/>
        <v>0</v>
      </c>
      <c r="J958">
        <f t="shared" si="186"/>
        <v>0</v>
      </c>
      <c r="K958">
        <f t="shared" si="187"/>
        <v>1040</v>
      </c>
      <c r="L958">
        <f t="shared" si="188"/>
        <v>3.6599999999999997</v>
      </c>
      <c r="M958">
        <f t="shared" si="189"/>
        <v>1043.6600000000001</v>
      </c>
      <c r="N958">
        <f t="shared" si="190"/>
        <v>0</v>
      </c>
      <c r="O958">
        <f t="shared" si="191"/>
        <v>0</v>
      </c>
      <c r="P958">
        <f t="shared" si="192"/>
        <v>1043.6600000000001</v>
      </c>
      <c r="Q958">
        <f t="shared" si="193"/>
        <v>0</v>
      </c>
      <c r="R958">
        <f t="shared" si="194"/>
        <v>0</v>
      </c>
    </row>
    <row r="959" spans="1:18" x14ac:dyDescent="0.3">
      <c r="A959" s="1">
        <v>41989</v>
      </c>
      <c r="B959" s="1">
        <v>42011</v>
      </c>
      <c r="C959">
        <v>3.79</v>
      </c>
      <c r="D959">
        <v>0.1</v>
      </c>
      <c r="E959">
        <v>5</v>
      </c>
      <c r="F959">
        <f t="shared" si="182"/>
        <v>0</v>
      </c>
      <c r="G959">
        <f t="shared" si="183"/>
        <v>0</v>
      </c>
      <c r="H959">
        <f t="shared" si="184"/>
        <v>0</v>
      </c>
      <c r="I959">
        <f t="shared" si="185"/>
        <v>22</v>
      </c>
      <c r="J959">
        <f t="shared" si="186"/>
        <v>0</v>
      </c>
      <c r="K959">
        <f t="shared" si="187"/>
        <v>1100</v>
      </c>
      <c r="L959">
        <f t="shared" si="188"/>
        <v>3.89</v>
      </c>
      <c r="M959">
        <f t="shared" si="189"/>
        <v>1103.8900000000001</v>
      </c>
      <c r="N959">
        <f t="shared" si="190"/>
        <v>0</v>
      </c>
      <c r="O959">
        <f t="shared" si="191"/>
        <v>0</v>
      </c>
      <c r="P959">
        <f t="shared" si="192"/>
        <v>0</v>
      </c>
      <c r="Q959">
        <f t="shared" si="193"/>
        <v>1103.8900000000001</v>
      </c>
      <c r="R959">
        <f t="shared" si="194"/>
        <v>0</v>
      </c>
    </row>
    <row r="960" spans="1:18" x14ac:dyDescent="0.3">
      <c r="A960" s="1">
        <v>41990</v>
      </c>
      <c r="B960" s="1">
        <v>41996</v>
      </c>
      <c r="C960">
        <v>4.66</v>
      </c>
      <c r="D960">
        <v>0.12</v>
      </c>
      <c r="E960">
        <v>3</v>
      </c>
      <c r="F960">
        <f t="shared" si="182"/>
        <v>0</v>
      </c>
      <c r="G960">
        <f t="shared" si="183"/>
        <v>6</v>
      </c>
      <c r="H960">
        <f t="shared" si="184"/>
        <v>0</v>
      </c>
      <c r="I960">
        <f t="shared" si="185"/>
        <v>0</v>
      </c>
      <c r="J960">
        <f t="shared" si="186"/>
        <v>0</v>
      </c>
      <c r="K960">
        <f t="shared" si="187"/>
        <v>180</v>
      </c>
      <c r="L960">
        <f t="shared" si="188"/>
        <v>4.78</v>
      </c>
      <c r="M960">
        <f t="shared" si="189"/>
        <v>184.78</v>
      </c>
      <c r="N960">
        <f t="shared" si="190"/>
        <v>0</v>
      </c>
      <c r="O960">
        <f t="shared" si="191"/>
        <v>184.78</v>
      </c>
      <c r="P960">
        <f t="shared" si="192"/>
        <v>0</v>
      </c>
      <c r="Q960">
        <f t="shared" si="193"/>
        <v>0</v>
      </c>
      <c r="R960">
        <f t="shared" si="194"/>
        <v>0</v>
      </c>
    </row>
    <row r="961" spans="1:18" x14ac:dyDescent="0.3">
      <c r="A961" s="1">
        <v>41990</v>
      </c>
      <c r="B961" s="1">
        <v>42004</v>
      </c>
      <c r="C961">
        <v>6.43</v>
      </c>
      <c r="D961">
        <v>0.17</v>
      </c>
      <c r="E961">
        <v>6</v>
      </c>
      <c r="F961">
        <f t="shared" si="182"/>
        <v>0</v>
      </c>
      <c r="G961">
        <f t="shared" si="183"/>
        <v>0</v>
      </c>
      <c r="H961">
        <f t="shared" si="184"/>
        <v>0</v>
      </c>
      <c r="I961">
        <f t="shared" si="185"/>
        <v>0</v>
      </c>
      <c r="J961">
        <f t="shared" si="186"/>
        <v>14</v>
      </c>
      <c r="K961">
        <f t="shared" si="187"/>
        <v>840</v>
      </c>
      <c r="L961">
        <f t="shared" si="188"/>
        <v>6.6</v>
      </c>
      <c r="M961">
        <f t="shared" si="189"/>
        <v>846.6</v>
      </c>
      <c r="N961">
        <f t="shared" si="190"/>
        <v>0</v>
      </c>
      <c r="O961">
        <f t="shared" si="191"/>
        <v>0</v>
      </c>
      <c r="P961">
        <f t="shared" si="192"/>
        <v>0</v>
      </c>
      <c r="Q961">
        <f t="shared" si="193"/>
        <v>0</v>
      </c>
      <c r="R961">
        <f t="shared" si="194"/>
        <v>846.6</v>
      </c>
    </row>
    <row r="962" spans="1:18" x14ac:dyDescent="0.3">
      <c r="A962" s="1">
        <v>41990</v>
      </c>
      <c r="B962" s="1">
        <v>41998</v>
      </c>
      <c r="C962">
        <v>6.58</v>
      </c>
      <c r="D962">
        <v>0.17</v>
      </c>
      <c r="E962">
        <v>4</v>
      </c>
      <c r="F962">
        <f t="shared" si="182"/>
        <v>0</v>
      </c>
      <c r="G962">
        <f t="shared" si="183"/>
        <v>0</v>
      </c>
      <c r="H962">
        <f t="shared" si="184"/>
        <v>8</v>
      </c>
      <c r="I962">
        <f t="shared" si="185"/>
        <v>0</v>
      </c>
      <c r="J962">
        <f t="shared" si="186"/>
        <v>0</v>
      </c>
      <c r="K962">
        <f t="shared" si="187"/>
        <v>320</v>
      </c>
      <c r="L962">
        <f t="shared" si="188"/>
        <v>6.75</v>
      </c>
      <c r="M962">
        <f t="shared" si="189"/>
        <v>326.75</v>
      </c>
      <c r="N962">
        <f t="shared" si="190"/>
        <v>0</v>
      </c>
      <c r="O962">
        <f t="shared" si="191"/>
        <v>0</v>
      </c>
      <c r="P962">
        <f t="shared" si="192"/>
        <v>326.75</v>
      </c>
      <c r="Q962">
        <f t="shared" si="193"/>
        <v>0</v>
      </c>
      <c r="R962">
        <f t="shared" si="194"/>
        <v>0</v>
      </c>
    </row>
    <row r="963" spans="1:18" x14ac:dyDescent="0.3">
      <c r="A963" s="1">
        <v>41991</v>
      </c>
      <c r="B963" s="1">
        <v>41998</v>
      </c>
      <c r="C963">
        <v>4.66</v>
      </c>
      <c r="D963">
        <v>0.12</v>
      </c>
      <c r="E963">
        <v>6</v>
      </c>
      <c r="F963">
        <f t="shared" ref="F963:F1001" si="195">IF(EXACT(E963,2),B963-A963,0)</f>
        <v>0</v>
      </c>
      <c r="G963">
        <f t="shared" ref="G963:G1001" si="196">IF(EXACT(E963,3),B963-A963,0)</f>
        <v>0</v>
      </c>
      <c r="H963">
        <f t="shared" ref="H963:H1001" si="197">IF(EXACT(E963,4),B963-A963,0)</f>
        <v>0</v>
      </c>
      <c r="I963">
        <f t="shared" ref="I963:I1001" si="198">IF(EXACT(E963,5),B963-A963,0)</f>
        <v>0</v>
      </c>
      <c r="J963">
        <f t="shared" ref="J963:J1001" si="199">IF(EXACT(E963,6),B963-A963,0)</f>
        <v>7</v>
      </c>
      <c r="K963">
        <f t="shared" ref="K963:K1001" si="200">10 * E963 * (F963+G963+H963+I963+J963)</f>
        <v>420</v>
      </c>
      <c r="L963">
        <f t="shared" ref="L963:L1001" si="201">C963+D963</f>
        <v>4.78</v>
      </c>
      <c r="M963">
        <f t="shared" ref="M963:M1001" si="202">K963+L963</f>
        <v>424.78</v>
      </c>
      <c r="N963">
        <f t="shared" ref="N963:N1001" si="203">IF(EXACT(E963,2),M963,0)</f>
        <v>0</v>
      </c>
      <c r="O963">
        <f t="shared" ref="O963:O1001" si="204">IF(EXACT(E963,3),M963,0)</f>
        <v>0</v>
      </c>
      <c r="P963">
        <f t="shared" ref="P963:P1001" si="205">IF(EXACT(E963,4),M963,0)</f>
        <v>0</v>
      </c>
      <c r="Q963">
        <f t="shared" ref="Q963:Q1001" si="206">IF(EXACT(E963,5),M963,0)</f>
        <v>0</v>
      </c>
      <c r="R963">
        <f t="shared" ref="R963:R1001" si="207">IF(EXACT(E963,6),M963,0)</f>
        <v>424.78</v>
      </c>
    </row>
    <row r="964" spans="1:18" x14ac:dyDescent="0.3">
      <c r="A964" s="1">
        <v>41991</v>
      </c>
      <c r="B964" s="1">
        <v>42003</v>
      </c>
      <c r="C964">
        <v>4.66</v>
      </c>
      <c r="D964">
        <v>0.12</v>
      </c>
      <c r="E964">
        <v>5</v>
      </c>
      <c r="F964">
        <f t="shared" si="195"/>
        <v>0</v>
      </c>
      <c r="G964">
        <f t="shared" si="196"/>
        <v>0</v>
      </c>
      <c r="H964">
        <f t="shared" si="197"/>
        <v>0</v>
      </c>
      <c r="I964">
        <f t="shared" si="198"/>
        <v>12</v>
      </c>
      <c r="J964">
        <f t="shared" si="199"/>
        <v>0</v>
      </c>
      <c r="K964">
        <f t="shared" si="200"/>
        <v>600</v>
      </c>
      <c r="L964">
        <f t="shared" si="201"/>
        <v>4.78</v>
      </c>
      <c r="M964">
        <f t="shared" si="202"/>
        <v>604.78</v>
      </c>
      <c r="N964">
        <f t="shared" si="203"/>
        <v>0</v>
      </c>
      <c r="O964">
        <f t="shared" si="204"/>
        <v>0</v>
      </c>
      <c r="P964">
        <f t="shared" si="205"/>
        <v>0</v>
      </c>
      <c r="Q964">
        <f t="shared" si="206"/>
        <v>604.78</v>
      </c>
      <c r="R964">
        <f t="shared" si="207"/>
        <v>0</v>
      </c>
    </row>
    <row r="965" spans="1:18" x14ac:dyDescent="0.3">
      <c r="A965" s="1">
        <v>41991</v>
      </c>
      <c r="B965" s="1">
        <v>41999</v>
      </c>
      <c r="C965">
        <v>3.73</v>
      </c>
      <c r="D965">
        <v>0.1</v>
      </c>
      <c r="E965">
        <v>5</v>
      </c>
      <c r="F965">
        <f t="shared" si="195"/>
        <v>0</v>
      </c>
      <c r="G965">
        <f t="shared" si="196"/>
        <v>0</v>
      </c>
      <c r="H965">
        <f t="shared" si="197"/>
        <v>0</v>
      </c>
      <c r="I965">
        <f t="shared" si="198"/>
        <v>8</v>
      </c>
      <c r="J965">
        <f t="shared" si="199"/>
        <v>0</v>
      </c>
      <c r="K965">
        <f t="shared" si="200"/>
        <v>400</v>
      </c>
      <c r="L965">
        <f t="shared" si="201"/>
        <v>3.83</v>
      </c>
      <c r="M965">
        <f t="shared" si="202"/>
        <v>403.83</v>
      </c>
      <c r="N965">
        <f t="shared" si="203"/>
        <v>0</v>
      </c>
      <c r="O965">
        <f t="shared" si="204"/>
        <v>0</v>
      </c>
      <c r="P965">
        <f t="shared" si="205"/>
        <v>0</v>
      </c>
      <c r="Q965">
        <f t="shared" si="206"/>
        <v>403.83</v>
      </c>
      <c r="R965">
        <f t="shared" si="207"/>
        <v>0</v>
      </c>
    </row>
    <row r="966" spans="1:18" x14ac:dyDescent="0.3">
      <c r="A966" s="1">
        <v>41991</v>
      </c>
      <c r="B966" s="1">
        <v>41995</v>
      </c>
      <c r="C966">
        <v>4.25</v>
      </c>
      <c r="D966">
        <v>0.11</v>
      </c>
      <c r="E966">
        <v>4</v>
      </c>
      <c r="F966">
        <f t="shared" si="195"/>
        <v>0</v>
      </c>
      <c r="G966">
        <f t="shared" si="196"/>
        <v>0</v>
      </c>
      <c r="H966">
        <f t="shared" si="197"/>
        <v>4</v>
      </c>
      <c r="I966">
        <f t="shared" si="198"/>
        <v>0</v>
      </c>
      <c r="J966">
        <f t="shared" si="199"/>
        <v>0</v>
      </c>
      <c r="K966">
        <f t="shared" si="200"/>
        <v>160</v>
      </c>
      <c r="L966">
        <f t="shared" si="201"/>
        <v>4.3600000000000003</v>
      </c>
      <c r="M966">
        <f t="shared" si="202"/>
        <v>164.36</v>
      </c>
      <c r="N966">
        <f t="shared" si="203"/>
        <v>0</v>
      </c>
      <c r="O966">
        <f t="shared" si="204"/>
        <v>0</v>
      </c>
      <c r="P966">
        <f t="shared" si="205"/>
        <v>164.36</v>
      </c>
      <c r="Q966">
        <f t="shared" si="206"/>
        <v>0</v>
      </c>
      <c r="R966">
        <f t="shared" si="207"/>
        <v>0</v>
      </c>
    </row>
    <row r="967" spans="1:18" x14ac:dyDescent="0.3">
      <c r="A967" s="1">
        <v>41991</v>
      </c>
      <c r="B967" s="1">
        <v>42014</v>
      </c>
      <c r="C967">
        <v>6.34</v>
      </c>
      <c r="D967">
        <v>0.17</v>
      </c>
      <c r="E967">
        <v>5</v>
      </c>
      <c r="F967">
        <f t="shared" si="195"/>
        <v>0</v>
      </c>
      <c r="G967">
        <f t="shared" si="196"/>
        <v>0</v>
      </c>
      <c r="H967">
        <f t="shared" si="197"/>
        <v>0</v>
      </c>
      <c r="I967">
        <f t="shared" si="198"/>
        <v>23</v>
      </c>
      <c r="J967">
        <f t="shared" si="199"/>
        <v>0</v>
      </c>
      <c r="K967">
        <f t="shared" si="200"/>
        <v>1150</v>
      </c>
      <c r="L967">
        <f t="shared" si="201"/>
        <v>6.51</v>
      </c>
      <c r="M967">
        <f t="shared" si="202"/>
        <v>1156.51</v>
      </c>
      <c r="N967">
        <f t="shared" si="203"/>
        <v>0</v>
      </c>
      <c r="O967">
        <f t="shared" si="204"/>
        <v>0</v>
      </c>
      <c r="P967">
        <f t="shared" si="205"/>
        <v>0</v>
      </c>
      <c r="Q967">
        <f t="shared" si="206"/>
        <v>1156.51</v>
      </c>
      <c r="R967">
        <f t="shared" si="207"/>
        <v>0</v>
      </c>
    </row>
    <row r="968" spans="1:18" x14ac:dyDescent="0.3">
      <c r="A968" s="1">
        <v>41992</v>
      </c>
      <c r="B968" s="1">
        <v>42016</v>
      </c>
      <c r="C968">
        <v>2.0099999999999998</v>
      </c>
      <c r="D968">
        <v>0.05</v>
      </c>
      <c r="E968">
        <v>6</v>
      </c>
      <c r="F968">
        <f t="shared" si="195"/>
        <v>0</v>
      </c>
      <c r="G968">
        <f t="shared" si="196"/>
        <v>0</v>
      </c>
      <c r="H968">
        <f t="shared" si="197"/>
        <v>0</v>
      </c>
      <c r="I968">
        <f t="shared" si="198"/>
        <v>0</v>
      </c>
      <c r="J968">
        <f t="shared" si="199"/>
        <v>24</v>
      </c>
      <c r="K968">
        <f t="shared" si="200"/>
        <v>1440</v>
      </c>
      <c r="L968">
        <f t="shared" si="201"/>
        <v>2.0599999999999996</v>
      </c>
      <c r="M968">
        <f t="shared" si="202"/>
        <v>1442.06</v>
      </c>
      <c r="N968">
        <f t="shared" si="203"/>
        <v>0</v>
      </c>
      <c r="O968">
        <f t="shared" si="204"/>
        <v>0</v>
      </c>
      <c r="P968">
        <f t="shared" si="205"/>
        <v>0</v>
      </c>
      <c r="Q968">
        <f t="shared" si="206"/>
        <v>0</v>
      </c>
      <c r="R968">
        <f t="shared" si="207"/>
        <v>1442.06</v>
      </c>
    </row>
    <row r="969" spans="1:18" x14ac:dyDescent="0.3">
      <c r="A969" s="1">
        <v>41992</v>
      </c>
      <c r="B969" s="1">
        <v>42007</v>
      </c>
      <c r="C969">
        <v>6.34</v>
      </c>
      <c r="D969">
        <v>0.17</v>
      </c>
      <c r="E969">
        <v>6</v>
      </c>
      <c r="F969">
        <f t="shared" si="195"/>
        <v>0</v>
      </c>
      <c r="G969">
        <f t="shared" si="196"/>
        <v>0</v>
      </c>
      <c r="H969">
        <f t="shared" si="197"/>
        <v>0</v>
      </c>
      <c r="I969">
        <f t="shared" si="198"/>
        <v>0</v>
      </c>
      <c r="J969">
        <f t="shared" si="199"/>
        <v>15</v>
      </c>
      <c r="K969">
        <f t="shared" si="200"/>
        <v>900</v>
      </c>
      <c r="L969">
        <f t="shared" si="201"/>
        <v>6.51</v>
      </c>
      <c r="M969">
        <f t="shared" si="202"/>
        <v>906.51</v>
      </c>
      <c r="N969">
        <f t="shared" si="203"/>
        <v>0</v>
      </c>
      <c r="O969">
        <f t="shared" si="204"/>
        <v>0</v>
      </c>
      <c r="P969">
        <f t="shared" si="205"/>
        <v>0</v>
      </c>
      <c r="Q969">
        <f t="shared" si="206"/>
        <v>0</v>
      </c>
      <c r="R969">
        <f t="shared" si="207"/>
        <v>906.51</v>
      </c>
    </row>
    <row r="970" spans="1:18" x14ac:dyDescent="0.3">
      <c r="A970" s="1">
        <v>41993</v>
      </c>
      <c r="B970" s="1">
        <v>42014</v>
      </c>
      <c r="C970">
        <v>3.94</v>
      </c>
      <c r="D970">
        <v>0.1</v>
      </c>
      <c r="E970">
        <v>4</v>
      </c>
      <c r="F970">
        <f t="shared" si="195"/>
        <v>0</v>
      </c>
      <c r="G970">
        <f t="shared" si="196"/>
        <v>0</v>
      </c>
      <c r="H970">
        <f t="shared" si="197"/>
        <v>21</v>
      </c>
      <c r="I970">
        <f t="shared" si="198"/>
        <v>0</v>
      </c>
      <c r="J970">
        <f t="shared" si="199"/>
        <v>0</v>
      </c>
      <c r="K970">
        <f t="shared" si="200"/>
        <v>840</v>
      </c>
      <c r="L970">
        <f t="shared" si="201"/>
        <v>4.04</v>
      </c>
      <c r="M970">
        <f t="shared" si="202"/>
        <v>844.04</v>
      </c>
      <c r="N970">
        <f t="shared" si="203"/>
        <v>0</v>
      </c>
      <c r="O970">
        <f t="shared" si="204"/>
        <v>0</v>
      </c>
      <c r="P970">
        <f t="shared" si="205"/>
        <v>844.04</v>
      </c>
      <c r="Q970">
        <f t="shared" si="206"/>
        <v>0</v>
      </c>
      <c r="R970">
        <f t="shared" si="207"/>
        <v>0</v>
      </c>
    </row>
    <row r="971" spans="1:18" x14ac:dyDescent="0.3">
      <c r="A971" s="1">
        <v>41993</v>
      </c>
      <c r="B971" s="1">
        <v>42021</v>
      </c>
      <c r="C971">
        <v>8.7200000000000006</v>
      </c>
      <c r="D971">
        <v>0.23</v>
      </c>
      <c r="E971">
        <v>4</v>
      </c>
      <c r="F971">
        <f t="shared" si="195"/>
        <v>0</v>
      </c>
      <c r="G971">
        <f t="shared" si="196"/>
        <v>0</v>
      </c>
      <c r="H971">
        <f t="shared" si="197"/>
        <v>28</v>
      </c>
      <c r="I971">
        <f t="shared" si="198"/>
        <v>0</v>
      </c>
      <c r="J971">
        <f t="shared" si="199"/>
        <v>0</v>
      </c>
      <c r="K971">
        <f t="shared" si="200"/>
        <v>1120</v>
      </c>
      <c r="L971">
        <f t="shared" si="201"/>
        <v>8.9500000000000011</v>
      </c>
      <c r="M971">
        <f t="shared" si="202"/>
        <v>1128.95</v>
      </c>
      <c r="N971">
        <f t="shared" si="203"/>
        <v>0</v>
      </c>
      <c r="O971">
        <f t="shared" si="204"/>
        <v>0</v>
      </c>
      <c r="P971">
        <f t="shared" si="205"/>
        <v>1128.95</v>
      </c>
      <c r="Q971">
        <f t="shared" si="206"/>
        <v>0</v>
      </c>
      <c r="R971">
        <f t="shared" si="207"/>
        <v>0</v>
      </c>
    </row>
    <row r="972" spans="1:18" x14ac:dyDescent="0.3">
      <c r="A972" s="1">
        <v>41994</v>
      </c>
      <c r="B972" s="1">
        <v>42012</v>
      </c>
      <c r="C972">
        <v>5.67</v>
      </c>
      <c r="D972">
        <v>0.15</v>
      </c>
      <c r="E972">
        <v>6</v>
      </c>
      <c r="F972">
        <f t="shared" si="195"/>
        <v>0</v>
      </c>
      <c r="G972">
        <f t="shared" si="196"/>
        <v>0</v>
      </c>
      <c r="H972">
        <f t="shared" si="197"/>
        <v>0</v>
      </c>
      <c r="I972">
        <f t="shared" si="198"/>
        <v>0</v>
      </c>
      <c r="J972">
        <f t="shared" si="199"/>
        <v>18</v>
      </c>
      <c r="K972">
        <f t="shared" si="200"/>
        <v>1080</v>
      </c>
      <c r="L972">
        <f t="shared" si="201"/>
        <v>5.82</v>
      </c>
      <c r="M972">
        <f t="shared" si="202"/>
        <v>1085.82</v>
      </c>
      <c r="N972">
        <f t="shared" si="203"/>
        <v>0</v>
      </c>
      <c r="O972">
        <f t="shared" si="204"/>
        <v>0</v>
      </c>
      <c r="P972">
        <f t="shared" si="205"/>
        <v>0</v>
      </c>
      <c r="Q972">
        <f t="shared" si="206"/>
        <v>0</v>
      </c>
      <c r="R972">
        <f t="shared" si="207"/>
        <v>1085.82</v>
      </c>
    </row>
    <row r="973" spans="1:18" x14ac:dyDescent="0.3">
      <c r="A973" s="1">
        <v>41994</v>
      </c>
      <c r="B973" s="1">
        <v>42021</v>
      </c>
      <c r="C973">
        <v>6.58</v>
      </c>
      <c r="D973">
        <v>0.17</v>
      </c>
      <c r="E973">
        <v>5</v>
      </c>
      <c r="F973">
        <f t="shared" si="195"/>
        <v>0</v>
      </c>
      <c r="G973">
        <f t="shared" si="196"/>
        <v>0</v>
      </c>
      <c r="H973">
        <f t="shared" si="197"/>
        <v>0</v>
      </c>
      <c r="I973">
        <f t="shared" si="198"/>
        <v>27</v>
      </c>
      <c r="J973">
        <f t="shared" si="199"/>
        <v>0</v>
      </c>
      <c r="K973">
        <f t="shared" si="200"/>
        <v>1350</v>
      </c>
      <c r="L973">
        <f t="shared" si="201"/>
        <v>6.75</v>
      </c>
      <c r="M973">
        <f t="shared" si="202"/>
        <v>1356.75</v>
      </c>
      <c r="N973">
        <f t="shared" si="203"/>
        <v>0</v>
      </c>
      <c r="O973">
        <f t="shared" si="204"/>
        <v>0</v>
      </c>
      <c r="P973">
        <f t="shared" si="205"/>
        <v>0</v>
      </c>
      <c r="Q973">
        <f t="shared" si="206"/>
        <v>1356.75</v>
      </c>
      <c r="R973">
        <f t="shared" si="207"/>
        <v>0</v>
      </c>
    </row>
    <row r="974" spans="1:18" x14ac:dyDescent="0.3">
      <c r="A974" s="1">
        <v>41994</v>
      </c>
      <c r="B974" s="1">
        <v>42022</v>
      </c>
      <c r="C974">
        <v>8.7200000000000006</v>
      </c>
      <c r="D974">
        <v>0.23</v>
      </c>
      <c r="E974">
        <v>6</v>
      </c>
      <c r="F974">
        <f t="shared" si="195"/>
        <v>0</v>
      </c>
      <c r="G974">
        <f t="shared" si="196"/>
        <v>0</v>
      </c>
      <c r="H974">
        <f t="shared" si="197"/>
        <v>0</v>
      </c>
      <c r="I974">
        <f t="shared" si="198"/>
        <v>0</v>
      </c>
      <c r="J974">
        <f t="shared" si="199"/>
        <v>28</v>
      </c>
      <c r="K974">
        <f t="shared" si="200"/>
        <v>1680</v>
      </c>
      <c r="L974">
        <f t="shared" si="201"/>
        <v>8.9500000000000011</v>
      </c>
      <c r="M974">
        <f t="shared" si="202"/>
        <v>1688.95</v>
      </c>
      <c r="N974">
        <f t="shared" si="203"/>
        <v>0</v>
      </c>
      <c r="O974">
        <f t="shared" si="204"/>
        <v>0</v>
      </c>
      <c r="P974">
        <f t="shared" si="205"/>
        <v>0</v>
      </c>
      <c r="Q974">
        <f t="shared" si="206"/>
        <v>0</v>
      </c>
      <c r="R974">
        <f t="shared" si="207"/>
        <v>1688.95</v>
      </c>
    </row>
    <row r="975" spans="1:18" x14ac:dyDescent="0.3">
      <c r="A975" s="1">
        <v>41994</v>
      </c>
      <c r="B975" s="1">
        <v>42000</v>
      </c>
      <c r="C975">
        <v>6.43</v>
      </c>
      <c r="D975">
        <v>0.17</v>
      </c>
      <c r="E975">
        <v>2</v>
      </c>
      <c r="F975">
        <f t="shared" si="195"/>
        <v>6</v>
      </c>
      <c r="G975">
        <f t="shared" si="196"/>
        <v>0</v>
      </c>
      <c r="H975">
        <f t="shared" si="197"/>
        <v>0</v>
      </c>
      <c r="I975">
        <f t="shared" si="198"/>
        <v>0</v>
      </c>
      <c r="J975">
        <f t="shared" si="199"/>
        <v>0</v>
      </c>
      <c r="K975">
        <f t="shared" si="200"/>
        <v>120</v>
      </c>
      <c r="L975">
        <f t="shared" si="201"/>
        <v>6.6</v>
      </c>
      <c r="M975">
        <f t="shared" si="202"/>
        <v>126.6</v>
      </c>
      <c r="N975">
        <f t="shared" si="203"/>
        <v>126.6</v>
      </c>
      <c r="O975">
        <f t="shared" si="204"/>
        <v>0</v>
      </c>
      <c r="P975">
        <f t="shared" si="205"/>
        <v>0</v>
      </c>
      <c r="Q975">
        <f t="shared" si="206"/>
        <v>0</v>
      </c>
      <c r="R975">
        <f t="shared" si="207"/>
        <v>0</v>
      </c>
    </row>
    <row r="976" spans="1:18" x14ac:dyDescent="0.3">
      <c r="A976" s="1">
        <v>41994</v>
      </c>
      <c r="B976" s="1">
        <v>42001</v>
      </c>
      <c r="C976">
        <v>3.73</v>
      </c>
      <c r="D976">
        <v>0.1</v>
      </c>
      <c r="E976">
        <v>2</v>
      </c>
      <c r="F976">
        <f t="shared" si="195"/>
        <v>7</v>
      </c>
      <c r="G976">
        <f t="shared" si="196"/>
        <v>0</v>
      </c>
      <c r="H976">
        <f t="shared" si="197"/>
        <v>0</v>
      </c>
      <c r="I976">
        <f t="shared" si="198"/>
        <v>0</v>
      </c>
      <c r="J976">
        <f t="shared" si="199"/>
        <v>0</v>
      </c>
      <c r="K976">
        <f t="shared" si="200"/>
        <v>140</v>
      </c>
      <c r="L976">
        <f t="shared" si="201"/>
        <v>3.83</v>
      </c>
      <c r="M976">
        <f t="shared" si="202"/>
        <v>143.83000000000001</v>
      </c>
      <c r="N976">
        <f t="shared" si="203"/>
        <v>143.83000000000001</v>
      </c>
      <c r="O976">
        <f t="shared" si="204"/>
        <v>0</v>
      </c>
      <c r="P976">
        <f t="shared" si="205"/>
        <v>0</v>
      </c>
      <c r="Q976">
        <f t="shared" si="206"/>
        <v>0</v>
      </c>
      <c r="R976">
        <f t="shared" si="207"/>
        <v>0</v>
      </c>
    </row>
    <row r="977" spans="1:18" x14ac:dyDescent="0.3">
      <c r="A977" s="1">
        <v>41994</v>
      </c>
      <c r="B977" s="1">
        <v>42015</v>
      </c>
      <c r="C977">
        <v>7.71</v>
      </c>
      <c r="D977">
        <v>0.2</v>
      </c>
      <c r="E977">
        <v>6</v>
      </c>
      <c r="F977">
        <f t="shared" si="195"/>
        <v>0</v>
      </c>
      <c r="G977">
        <f t="shared" si="196"/>
        <v>0</v>
      </c>
      <c r="H977">
        <f t="shared" si="197"/>
        <v>0</v>
      </c>
      <c r="I977">
        <f t="shared" si="198"/>
        <v>0</v>
      </c>
      <c r="J977">
        <f t="shared" si="199"/>
        <v>21</v>
      </c>
      <c r="K977">
        <f t="shared" si="200"/>
        <v>1260</v>
      </c>
      <c r="L977">
        <f t="shared" si="201"/>
        <v>7.91</v>
      </c>
      <c r="M977">
        <f t="shared" si="202"/>
        <v>1267.9100000000001</v>
      </c>
      <c r="N977">
        <f t="shared" si="203"/>
        <v>0</v>
      </c>
      <c r="O977">
        <f t="shared" si="204"/>
        <v>0</v>
      </c>
      <c r="P977">
        <f t="shared" si="205"/>
        <v>0</v>
      </c>
      <c r="Q977">
        <f t="shared" si="206"/>
        <v>0</v>
      </c>
      <c r="R977">
        <f t="shared" si="207"/>
        <v>1267.9100000000001</v>
      </c>
    </row>
    <row r="978" spans="1:18" x14ac:dyDescent="0.3">
      <c r="A978" s="1">
        <v>41994</v>
      </c>
      <c r="B978" s="1">
        <v>42007</v>
      </c>
      <c r="C978">
        <v>7.31</v>
      </c>
      <c r="D978">
        <v>0.19</v>
      </c>
      <c r="E978">
        <v>5</v>
      </c>
      <c r="F978">
        <f t="shared" si="195"/>
        <v>0</v>
      </c>
      <c r="G978">
        <f t="shared" si="196"/>
        <v>0</v>
      </c>
      <c r="H978">
        <f t="shared" si="197"/>
        <v>0</v>
      </c>
      <c r="I978">
        <f t="shared" si="198"/>
        <v>13</v>
      </c>
      <c r="J978">
        <f t="shared" si="199"/>
        <v>0</v>
      </c>
      <c r="K978">
        <f t="shared" si="200"/>
        <v>650</v>
      </c>
      <c r="L978">
        <f t="shared" si="201"/>
        <v>7.5</v>
      </c>
      <c r="M978">
        <f t="shared" si="202"/>
        <v>657.5</v>
      </c>
      <c r="N978">
        <f t="shared" si="203"/>
        <v>0</v>
      </c>
      <c r="O978">
        <f t="shared" si="204"/>
        <v>0</v>
      </c>
      <c r="P978">
        <f t="shared" si="205"/>
        <v>0</v>
      </c>
      <c r="Q978">
        <f t="shared" si="206"/>
        <v>657.5</v>
      </c>
      <c r="R978">
        <f t="shared" si="207"/>
        <v>0</v>
      </c>
    </row>
    <row r="979" spans="1:18" x14ac:dyDescent="0.3">
      <c r="A979" s="1">
        <v>41994</v>
      </c>
      <c r="B979" s="1">
        <v>42016</v>
      </c>
      <c r="C979">
        <v>4.25</v>
      </c>
      <c r="D979">
        <v>0.11</v>
      </c>
      <c r="E979">
        <v>4</v>
      </c>
      <c r="F979">
        <f t="shared" si="195"/>
        <v>0</v>
      </c>
      <c r="G979">
        <f t="shared" si="196"/>
        <v>0</v>
      </c>
      <c r="H979">
        <f t="shared" si="197"/>
        <v>22</v>
      </c>
      <c r="I979">
        <f t="shared" si="198"/>
        <v>0</v>
      </c>
      <c r="J979">
        <f t="shared" si="199"/>
        <v>0</v>
      </c>
      <c r="K979">
        <f t="shared" si="200"/>
        <v>880</v>
      </c>
      <c r="L979">
        <f t="shared" si="201"/>
        <v>4.3600000000000003</v>
      </c>
      <c r="M979">
        <f t="shared" si="202"/>
        <v>884.36</v>
      </c>
      <c r="N979">
        <f t="shared" si="203"/>
        <v>0</v>
      </c>
      <c r="O979">
        <f t="shared" si="204"/>
        <v>0</v>
      </c>
      <c r="P979">
        <f t="shared" si="205"/>
        <v>884.36</v>
      </c>
      <c r="Q979">
        <f t="shared" si="206"/>
        <v>0</v>
      </c>
      <c r="R979">
        <f t="shared" si="207"/>
        <v>0</v>
      </c>
    </row>
    <row r="980" spans="1:18" x14ac:dyDescent="0.3">
      <c r="A980" s="1">
        <v>41995</v>
      </c>
      <c r="B980" s="1">
        <v>42018</v>
      </c>
      <c r="C980">
        <v>6.43</v>
      </c>
      <c r="D980">
        <v>0.17</v>
      </c>
      <c r="E980">
        <v>2</v>
      </c>
      <c r="F980">
        <f t="shared" si="195"/>
        <v>23</v>
      </c>
      <c r="G980">
        <f t="shared" si="196"/>
        <v>0</v>
      </c>
      <c r="H980">
        <f t="shared" si="197"/>
        <v>0</v>
      </c>
      <c r="I980">
        <f t="shared" si="198"/>
        <v>0</v>
      </c>
      <c r="J980">
        <f t="shared" si="199"/>
        <v>0</v>
      </c>
      <c r="K980">
        <f t="shared" si="200"/>
        <v>460</v>
      </c>
      <c r="L980">
        <f t="shared" si="201"/>
        <v>6.6</v>
      </c>
      <c r="M980">
        <f t="shared" si="202"/>
        <v>466.6</v>
      </c>
      <c r="N980">
        <f t="shared" si="203"/>
        <v>466.6</v>
      </c>
      <c r="O980">
        <f t="shared" si="204"/>
        <v>0</v>
      </c>
      <c r="P980">
        <f t="shared" si="205"/>
        <v>0</v>
      </c>
      <c r="Q980">
        <f t="shared" si="206"/>
        <v>0</v>
      </c>
      <c r="R980">
        <f t="shared" si="207"/>
        <v>0</v>
      </c>
    </row>
    <row r="981" spans="1:18" x14ac:dyDescent="0.3">
      <c r="A981" s="1">
        <v>41995</v>
      </c>
      <c r="B981" s="1">
        <v>42017</v>
      </c>
      <c r="C981">
        <v>4.66</v>
      </c>
      <c r="D981">
        <v>0.12</v>
      </c>
      <c r="E981">
        <v>5</v>
      </c>
      <c r="F981">
        <f t="shared" si="195"/>
        <v>0</v>
      </c>
      <c r="G981">
        <f t="shared" si="196"/>
        <v>0</v>
      </c>
      <c r="H981">
        <f t="shared" si="197"/>
        <v>0</v>
      </c>
      <c r="I981">
        <f t="shared" si="198"/>
        <v>22</v>
      </c>
      <c r="J981">
        <f t="shared" si="199"/>
        <v>0</v>
      </c>
      <c r="K981">
        <f t="shared" si="200"/>
        <v>1100</v>
      </c>
      <c r="L981">
        <f t="shared" si="201"/>
        <v>4.78</v>
      </c>
      <c r="M981">
        <f t="shared" si="202"/>
        <v>1104.78</v>
      </c>
      <c r="N981">
        <f t="shared" si="203"/>
        <v>0</v>
      </c>
      <c r="O981">
        <f t="shared" si="204"/>
        <v>0</v>
      </c>
      <c r="P981">
        <f t="shared" si="205"/>
        <v>0</v>
      </c>
      <c r="Q981">
        <f t="shared" si="206"/>
        <v>1104.78</v>
      </c>
      <c r="R981">
        <f t="shared" si="207"/>
        <v>0</v>
      </c>
    </row>
    <row r="982" spans="1:18" x14ac:dyDescent="0.3">
      <c r="A982" s="1">
        <v>41995</v>
      </c>
      <c r="B982" s="1">
        <v>42006</v>
      </c>
      <c r="C982">
        <v>6.23</v>
      </c>
      <c r="D982">
        <v>0.16</v>
      </c>
      <c r="E982">
        <v>5</v>
      </c>
      <c r="F982">
        <f t="shared" si="195"/>
        <v>0</v>
      </c>
      <c r="G982">
        <f t="shared" si="196"/>
        <v>0</v>
      </c>
      <c r="H982">
        <f t="shared" si="197"/>
        <v>0</v>
      </c>
      <c r="I982">
        <f t="shared" si="198"/>
        <v>11</v>
      </c>
      <c r="J982">
        <f t="shared" si="199"/>
        <v>0</v>
      </c>
      <c r="K982">
        <f t="shared" si="200"/>
        <v>550</v>
      </c>
      <c r="L982">
        <f t="shared" si="201"/>
        <v>6.3900000000000006</v>
      </c>
      <c r="M982">
        <f t="shared" si="202"/>
        <v>556.39</v>
      </c>
      <c r="N982">
        <f t="shared" si="203"/>
        <v>0</v>
      </c>
      <c r="O982">
        <f t="shared" si="204"/>
        <v>0</v>
      </c>
      <c r="P982">
        <f t="shared" si="205"/>
        <v>0</v>
      </c>
      <c r="Q982">
        <f t="shared" si="206"/>
        <v>556.39</v>
      </c>
      <c r="R982">
        <f t="shared" si="207"/>
        <v>0</v>
      </c>
    </row>
    <row r="983" spans="1:18" x14ac:dyDescent="0.3">
      <c r="A983" s="1">
        <v>41995</v>
      </c>
      <c r="B983" s="1">
        <v>42018</v>
      </c>
      <c r="C983">
        <v>3.73</v>
      </c>
      <c r="D983">
        <v>0.1</v>
      </c>
      <c r="E983">
        <v>3</v>
      </c>
      <c r="F983">
        <f t="shared" si="195"/>
        <v>0</v>
      </c>
      <c r="G983">
        <f t="shared" si="196"/>
        <v>23</v>
      </c>
      <c r="H983">
        <f t="shared" si="197"/>
        <v>0</v>
      </c>
      <c r="I983">
        <f t="shared" si="198"/>
        <v>0</v>
      </c>
      <c r="J983">
        <f t="shared" si="199"/>
        <v>0</v>
      </c>
      <c r="K983">
        <f t="shared" si="200"/>
        <v>690</v>
      </c>
      <c r="L983">
        <f t="shared" si="201"/>
        <v>3.83</v>
      </c>
      <c r="M983">
        <f t="shared" si="202"/>
        <v>693.83</v>
      </c>
      <c r="N983">
        <f t="shared" si="203"/>
        <v>0</v>
      </c>
      <c r="O983">
        <f t="shared" si="204"/>
        <v>693.83</v>
      </c>
      <c r="P983">
        <f t="shared" si="205"/>
        <v>0</v>
      </c>
      <c r="Q983">
        <f t="shared" si="206"/>
        <v>0</v>
      </c>
      <c r="R983">
        <f t="shared" si="207"/>
        <v>0</v>
      </c>
    </row>
    <row r="984" spans="1:18" x14ac:dyDescent="0.3">
      <c r="A984" s="1">
        <v>41995</v>
      </c>
      <c r="B984" s="1">
        <v>42006</v>
      </c>
      <c r="C984">
        <v>3.79</v>
      </c>
      <c r="D984">
        <v>0.1</v>
      </c>
      <c r="E984">
        <v>2</v>
      </c>
      <c r="F984">
        <f t="shared" si="195"/>
        <v>11</v>
      </c>
      <c r="G984">
        <f t="shared" si="196"/>
        <v>0</v>
      </c>
      <c r="H984">
        <f t="shared" si="197"/>
        <v>0</v>
      </c>
      <c r="I984">
        <f t="shared" si="198"/>
        <v>0</v>
      </c>
      <c r="J984">
        <f t="shared" si="199"/>
        <v>0</v>
      </c>
      <c r="K984">
        <f t="shared" si="200"/>
        <v>220</v>
      </c>
      <c r="L984">
        <f t="shared" si="201"/>
        <v>3.89</v>
      </c>
      <c r="M984">
        <f t="shared" si="202"/>
        <v>223.89</v>
      </c>
      <c r="N984">
        <f t="shared" si="203"/>
        <v>223.89</v>
      </c>
      <c r="O984">
        <f t="shared" si="204"/>
        <v>0</v>
      </c>
      <c r="P984">
        <f t="shared" si="205"/>
        <v>0</v>
      </c>
      <c r="Q984">
        <f t="shared" si="206"/>
        <v>0</v>
      </c>
      <c r="R984">
        <f t="shared" si="207"/>
        <v>0</v>
      </c>
    </row>
    <row r="985" spans="1:18" x14ac:dyDescent="0.3">
      <c r="A985" s="1">
        <v>41995</v>
      </c>
      <c r="B985" s="1">
        <v>42000</v>
      </c>
      <c r="C985">
        <v>2.0099999999999998</v>
      </c>
      <c r="D985">
        <v>0.05</v>
      </c>
      <c r="E985">
        <v>6</v>
      </c>
      <c r="F985">
        <f t="shared" si="195"/>
        <v>0</v>
      </c>
      <c r="G985">
        <f t="shared" si="196"/>
        <v>0</v>
      </c>
      <c r="H985">
        <f t="shared" si="197"/>
        <v>0</v>
      </c>
      <c r="I985">
        <f t="shared" si="198"/>
        <v>0</v>
      </c>
      <c r="J985">
        <f t="shared" si="199"/>
        <v>5</v>
      </c>
      <c r="K985">
        <f t="shared" si="200"/>
        <v>300</v>
      </c>
      <c r="L985">
        <f t="shared" si="201"/>
        <v>2.0599999999999996</v>
      </c>
      <c r="M985">
        <f t="shared" si="202"/>
        <v>302.06</v>
      </c>
      <c r="N985">
        <f t="shared" si="203"/>
        <v>0</v>
      </c>
      <c r="O985">
        <f t="shared" si="204"/>
        <v>0</v>
      </c>
      <c r="P985">
        <f t="shared" si="205"/>
        <v>0</v>
      </c>
      <c r="Q985">
        <f t="shared" si="206"/>
        <v>0</v>
      </c>
      <c r="R985">
        <f t="shared" si="207"/>
        <v>302.06</v>
      </c>
    </row>
    <row r="986" spans="1:18" x14ac:dyDescent="0.3">
      <c r="A986" s="1">
        <v>41995</v>
      </c>
      <c r="B986" s="1">
        <v>42003</v>
      </c>
      <c r="C986">
        <v>6.43</v>
      </c>
      <c r="D986">
        <v>0.17</v>
      </c>
      <c r="E986">
        <v>3</v>
      </c>
      <c r="F986">
        <f t="shared" si="195"/>
        <v>0</v>
      </c>
      <c r="G986">
        <f t="shared" si="196"/>
        <v>8</v>
      </c>
      <c r="H986">
        <f t="shared" si="197"/>
        <v>0</v>
      </c>
      <c r="I986">
        <f t="shared" si="198"/>
        <v>0</v>
      </c>
      <c r="J986">
        <f t="shared" si="199"/>
        <v>0</v>
      </c>
      <c r="K986">
        <f t="shared" si="200"/>
        <v>240</v>
      </c>
      <c r="L986">
        <f t="shared" si="201"/>
        <v>6.6</v>
      </c>
      <c r="M986">
        <f t="shared" si="202"/>
        <v>246.6</v>
      </c>
      <c r="N986">
        <f t="shared" si="203"/>
        <v>0</v>
      </c>
      <c r="O986">
        <f t="shared" si="204"/>
        <v>246.6</v>
      </c>
      <c r="P986">
        <f t="shared" si="205"/>
        <v>0</v>
      </c>
      <c r="Q986">
        <f t="shared" si="206"/>
        <v>0</v>
      </c>
      <c r="R986">
        <f t="shared" si="207"/>
        <v>0</v>
      </c>
    </row>
    <row r="987" spans="1:18" x14ac:dyDescent="0.3">
      <c r="A987" s="1">
        <v>41995</v>
      </c>
      <c r="B987" s="1">
        <v>42022</v>
      </c>
      <c r="C987">
        <v>2.72</v>
      </c>
      <c r="D987">
        <v>7.0000000000000007E-2</v>
      </c>
      <c r="E987">
        <v>3</v>
      </c>
      <c r="F987">
        <f t="shared" si="195"/>
        <v>0</v>
      </c>
      <c r="G987">
        <f t="shared" si="196"/>
        <v>27</v>
      </c>
      <c r="H987">
        <f t="shared" si="197"/>
        <v>0</v>
      </c>
      <c r="I987">
        <f t="shared" si="198"/>
        <v>0</v>
      </c>
      <c r="J987">
        <f t="shared" si="199"/>
        <v>0</v>
      </c>
      <c r="K987">
        <f t="shared" si="200"/>
        <v>810</v>
      </c>
      <c r="L987">
        <f t="shared" si="201"/>
        <v>2.79</v>
      </c>
      <c r="M987">
        <f t="shared" si="202"/>
        <v>812.79</v>
      </c>
      <c r="N987">
        <f t="shared" si="203"/>
        <v>0</v>
      </c>
      <c r="O987">
        <f t="shared" si="204"/>
        <v>812.79</v>
      </c>
      <c r="P987">
        <f t="shared" si="205"/>
        <v>0</v>
      </c>
      <c r="Q987">
        <f t="shared" si="206"/>
        <v>0</v>
      </c>
      <c r="R987">
        <f t="shared" si="207"/>
        <v>0</v>
      </c>
    </row>
    <row r="988" spans="1:18" x14ac:dyDescent="0.3">
      <c r="A988" s="1">
        <v>41995</v>
      </c>
      <c r="B988" s="1">
        <v>42005</v>
      </c>
      <c r="C988">
        <v>9.06</v>
      </c>
      <c r="D988">
        <v>0.24</v>
      </c>
      <c r="E988">
        <v>3</v>
      </c>
      <c r="F988">
        <f t="shared" si="195"/>
        <v>0</v>
      </c>
      <c r="G988">
        <f t="shared" si="196"/>
        <v>10</v>
      </c>
      <c r="H988">
        <f t="shared" si="197"/>
        <v>0</v>
      </c>
      <c r="I988">
        <f t="shared" si="198"/>
        <v>0</v>
      </c>
      <c r="J988">
        <f t="shared" si="199"/>
        <v>0</v>
      </c>
      <c r="K988">
        <f t="shared" si="200"/>
        <v>300</v>
      </c>
      <c r="L988">
        <f t="shared" si="201"/>
        <v>9.3000000000000007</v>
      </c>
      <c r="M988">
        <f t="shared" si="202"/>
        <v>309.3</v>
      </c>
      <c r="N988">
        <f t="shared" si="203"/>
        <v>0</v>
      </c>
      <c r="O988">
        <f t="shared" si="204"/>
        <v>309.3</v>
      </c>
      <c r="P988">
        <f t="shared" si="205"/>
        <v>0</v>
      </c>
      <c r="Q988">
        <f t="shared" si="206"/>
        <v>0</v>
      </c>
      <c r="R988">
        <f t="shared" si="207"/>
        <v>0</v>
      </c>
    </row>
    <row r="989" spans="1:18" x14ac:dyDescent="0.3">
      <c r="A989" s="1">
        <v>41995</v>
      </c>
      <c r="B989" s="1">
        <v>42007</v>
      </c>
      <c r="C989">
        <v>5.67</v>
      </c>
      <c r="D989">
        <v>0.15</v>
      </c>
      <c r="E989">
        <v>3</v>
      </c>
      <c r="F989">
        <f t="shared" si="195"/>
        <v>0</v>
      </c>
      <c r="G989">
        <f t="shared" si="196"/>
        <v>12</v>
      </c>
      <c r="H989">
        <f t="shared" si="197"/>
        <v>0</v>
      </c>
      <c r="I989">
        <f t="shared" si="198"/>
        <v>0</v>
      </c>
      <c r="J989">
        <f t="shared" si="199"/>
        <v>0</v>
      </c>
      <c r="K989">
        <f t="shared" si="200"/>
        <v>360</v>
      </c>
      <c r="L989">
        <f t="shared" si="201"/>
        <v>5.82</v>
      </c>
      <c r="M989">
        <f t="shared" si="202"/>
        <v>365.82</v>
      </c>
      <c r="N989">
        <f t="shared" si="203"/>
        <v>0</v>
      </c>
      <c r="O989">
        <f t="shared" si="204"/>
        <v>365.82</v>
      </c>
      <c r="P989">
        <f t="shared" si="205"/>
        <v>0</v>
      </c>
      <c r="Q989">
        <f t="shared" si="206"/>
        <v>0</v>
      </c>
      <c r="R989">
        <f t="shared" si="207"/>
        <v>0</v>
      </c>
    </row>
    <row r="990" spans="1:18" x14ac:dyDescent="0.3">
      <c r="A990" s="1">
        <v>41995</v>
      </c>
      <c r="B990" s="1">
        <v>42009</v>
      </c>
      <c r="C990">
        <v>4.25</v>
      </c>
      <c r="D990">
        <v>0.11</v>
      </c>
      <c r="E990">
        <v>6</v>
      </c>
      <c r="F990">
        <f t="shared" si="195"/>
        <v>0</v>
      </c>
      <c r="G990">
        <f t="shared" si="196"/>
        <v>0</v>
      </c>
      <c r="H990">
        <f t="shared" si="197"/>
        <v>0</v>
      </c>
      <c r="I990">
        <f t="shared" si="198"/>
        <v>0</v>
      </c>
      <c r="J990">
        <f t="shared" si="199"/>
        <v>14</v>
      </c>
      <c r="K990">
        <f t="shared" si="200"/>
        <v>840</v>
      </c>
      <c r="L990">
        <f t="shared" si="201"/>
        <v>4.3600000000000003</v>
      </c>
      <c r="M990">
        <f t="shared" si="202"/>
        <v>844.36</v>
      </c>
      <c r="N990">
        <f t="shared" si="203"/>
        <v>0</v>
      </c>
      <c r="O990">
        <f t="shared" si="204"/>
        <v>0</v>
      </c>
      <c r="P990">
        <f t="shared" si="205"/>
        <v>0</v>
      </c>
      <c r="Q990">
        <f t="shared" si="206"/>
        <v>0</v>
      </c>
      <c r="R990">
        <f t="shared" si="207"/>
        <v>844.36</v>
      </c>
    </row>
    <row r="991" spans="1:18" x14ac:dyDescent="0.3">
      <c r="A991" s="1">
        <v>41995</v>
      </c>
      <c r="B991" s="1">
        <v>42009</v>
      </c>
      <c r="C991">
        <v>3.57</v>
      </c>
      <c r="D991">
        <v>0.09</v>
      </c>
      <c r="E991">
        <v>2</v>
      </c>
      <c r="F991">
        <f t="shared" si="195"/>
        <v>14</v>
      </c>
      <c r="G991">
        <f t="shared" si="196"/>
        <v>0</v>
      </c>
      <c r="H991">
        <f t="shared" si="197"/>
        <v>0</v>
      </c>
      <c r="I991">
        <f t="shared" si="198"/>
        <v>0</v>
      </c>
      <c r="J991">
        <f t="shared" si="199"/>
        <v>0</v>
      </c>
      <c r="K991">
        <f t="shared" si="200"/>
        <v>280</v>
      </c>
      <c r="L991">
        <f t="shared" si="201"/>
        <v>3.6599999999999997</v>
      </c>
      <c r="M991">
        <f t="shared" si="202"/>
        <v>283.66000000000003</v>
      </c>
      <c r="N991">
        <f t="shared" si="203"/>
        <v>283.66000000000003</v>
      </c>
      <c r="O991">
        <f t="shared" si="204"/>
        <v>0</v>
      </c>
      <c r="P991">
        <f t="shared" si="205"/>
        <v>0</v>
      </c>
      <c r="Q991">
        <f t="shared" si="206"/>
        <v>0</v>
      </c>
      <c r="R991">
        <f t="shared" si="207"/>
        <v>0</v>
      </c>
    </row>
    <row r="992" spans="1:18" x14ac:dyDescent="0.3">
      <c r="A992" s="1">
        <v>41995</v>
      </c>
      <c r="B992" s="1">
        <v>42008</v>
      </c>
      <c r="C992">
        <v>8.39</v>
      </c>
      <c r="D992">
        <v>0.22</v>
      </c>
      <c r="E992">
        <v>5</v>
      </c>
      <c r="F992">
        <f t="shared" si="195"/>
        <v>0</v>
      </c>
      <c r="G992">
        <f t="shared" si="196"/>
        <v>0</v>
      </c>
      <c r="H992">
        <f t="shared" si="197"/>
        <v>0</v>
      </c>
      <c r="I992">
        <f t="shared" si="198"/>
        <v>13</v>
      </c>
      <c r="J992">
        <f t="shared" si="199"/>
        <v>0</v>
      </c>
      <c r="K992">
        <f t="shared" si="200"/>
        <v>650</v>
      </c>
      <c r="L992">
        <f t="shared" si="201"/>
        <v>8.6100000000000012</v>
      </c>
      <c r="M992">
        <f t="shared" si="202"/>
        <v>658.61</v>
      </c>
      <c r="N992">
        <f t="shared" si="203"/>
        <v>0</v>
      </c>
      <c r="O992">
        <f t="shared" si="204"/>
        <v>0</v>
      </c>
      <c r="P992">
        <f t="shared" si="205"/>
        <v>0</v>
      </c>
      <c r="Q992">
        <f t="shared" si="206"/>
        <v>658.61</v>
      </c>
      <c r="R992">
        <f t="shared" si="207"/>
        <v>0</v>
      </c>
    </row>
    <row r="993" spans="1:18" x14ac:dyDescent="0.3">
      <c r="A993" s="1">
        <v>41995</v>
      </c>
      <c r="B993" s="1">
        <v>42021</v>
      </c>
      <c r="C993">
        <v>2.29</v>
      </c>
      <c r="D993">
        <v>0.06</v>
      </c>
      <c r="E993">
        <v>5</v>
      </c>
      <c r="F993">
        <f t="shared" si="195"/>
        <v>0</v>
      </c>
      <c r="G993">
        <f t="shared" si="196"/>
        <v>0</v>
      </c>
      <c r="H993">
        <f t="shared" si="197"/>
        <v>0</v>
      </c>
      <c r="I993">
        <f t="shared" si="198"/>
        <v>26</v>
      </c>
      <c r="J993">
        <f t="shared" si="199"/>
        <v>0</v>
      </c>
      <c r="K993">
        <f t="shared" si="200"/>
        <v>1300</v>
      </c>
      <c r="L993">
        <f t="shared" si="201"/>
        <v>2.35</v>
      </c>
      <c r="M993">
        <f t="shared" si="202"/>
        <v>1302.3499999999999</v>
      </c>
      <c r="N993">
        <f t="shared" si="203"/>
        <v>0</v>
      </c>
      <c r="O993">
        <f t="shared" si="204"/>
        <v>0</v>
      </c>
      <c r="P993">
        <f t="shared" si="205"/>
        <v>0</v>
      </c>
      <c r="Q993">
        <f t="shared" si="206"/>
        <v>1302.3499999999999</v>
      </c>
      <c r="R993">
        <f t="shared" si="207"/>
        <v>0</v>
      </c>
    </row>
    <row r="994" spans="1:18" x14ac:dyDescent="0.3">
      <c r="A994" s="1">
        <v>42001</v>
      </c>
      <c r="B994" s="1">
        <v>42010</v>
      </c>
      <c r="C994">
        <v>3.79</v>
      </c>
      <c r="D994">
        <v>0.1</v>
      </c>
      <c r="E994">
        <v>4</v>
      </c>
      <c r="F994">
        <f t="shared" si="195"/>
        <v>0</v>
      </c>
      <c r="G994">
        <f t="shared" si="196"/>
        <v>0</v>
      </c>
      <c r="H994">
        <f t="shared" si="197"/>
        <v>9</v>
      </c>
      <c r="I994">
        <f t="shared" si="198"/>
        <v>0</v>
      </c>
      <c r="J994">
        <f t="shared" si="199"/>
        <v>0</v>
      </c>
      <c r="K994">
        <f t="shared" si="200"/>
        <v>360</v>
      </c>
      <c r="L994">
        <f t="shared" si="201"/>
        <v>3.89</v>
      </c>
      <c r="M994">
        <f t="shared" si="202"/>
        <v>363.89</v>
      </c>
      <c r="N994">
        <f t="shared" si="203"/>
        <v>0</v>
      </c>
      <c r="O994">
        <f t="shared" si="204"/>
        <v>0</v>
      </c>
      <c r="P994">
        <f t="shared" si="205"/>
        <v>363.89</v>
      </c>
      <c r="Q994">
        <f t="shared" si="206"/>
        <v>0</v>
      </c>
      <c r="R994">
        <f t="shared" si="207"/>
        <v>0</v>
      </c>
    </row>
    <row r="995" spans="1:18" x14ac:dyDescent="0.3">
      <c r="A995" s="1">
        <v>42001</v>
      </c>
      <c r="B995" s="1">
        <v>42006</v>
      </c>
      <c r="C995">
        <v>7.55</v>
      </c>
      <c r="D995">
        <v>0.2</v>
      </c>
      <c r="E995">
        <v>3</v>
      </c>
      <c r="F995">
        <f t="shared" si="195"/>
        <v>0</v>
      </c>
      <c r="G995">
        <f t="shared" si="196"/>
        <v>5</v>
      </c>
      <c r="H995">
        <f t="shared" si="197"/>
        <v>0</v>
      </c>
      <c r="I995">
        <f t="shared" si="198"/>
        <v>0</v>
      </c>
      <c r="J995">
        <f t="shared" si="199"/>
        <v>0</v>
      </c>
      <c r="K995">
        <f t="shared" si="200"/>
        <v>150</v>
      </c>
      <c r="L995">
        <f t="shared" si="201"/>
        <v>7.75</v>
      </c>
      <c r="M995">
        <f t="shared" si="202"/>
        <v>157.75</v>
      </c>
      <c r="N995">
        <f t="shared" si="203"/>
        <v>0</v>
      </c>
      <c r="O995">
        <f t="shared" si="204"/>
        <v>157.75</v>
      </c>
      <c r="P995">
        <f t="shared" si="205"/>
        <v>0</v>
      </c>
      <c r="Q995">
        <f t="shared" si="206"/>
        <v>0</v>
      </c>
      <c r="R995">
        <f t="shared" si="207"/>
        <v>0</v>
      </c>
    </row>
    <row r="996" spans="1:18" x14ac:dyDescent="0.3">
      <c r="A996" s="1">
        <v>42002</v>
      </c>
      <c r="B996" s="1">
        <v>42028</v>
      </c>
      <c r="C996">
        <v>7.71</v>
      </c>
      <c r="D996">
        <v>0.2</v>
      </c>
      <c r="E996">
        <v>6</v>
      </c>
      <c r="F996">
        <f t="shared" si="195"/>
        <v>0</v>
      </c>
      <c r="G996">
        <f t="shared" si="196"/>
        <v>0</v>
      </c>
      <c r="H996">
        <f t="shared" si="197"/>
        <v>0</v>
      </c>
      <c r="I996">
        <f t="shared" si="198"/>
        <v>0</v>
      </c>
      <c r="J996">
        <f t="shared" si="199"/>
        <v>26</v>
      </c>
      <c r="K996">
        <f t="shared" si="200"/>
        <v>1560</v>
      </c>
      <c r="L996">
        <f t="shared" si="201"/>
        <v>7.91</v>
      </c>
      <c r="M996">
        <f t="shared" si="202"/>
        <v>1567.91</v>
      </c>
      <c r="N996">
        <f t="shared" si="203"/>
        <v>0</v>
      </c>
      <c r="O996">
        <f t="shared" si="204"/>
        <v>0</v>
      </c>
      <c r="P996">
        <f t="shared" si="205"/>
        <v>0</v>
      </c>
      <c r="Q996">
        <f t="shared" si="206"/>
        <v>0</v>
      </c>
      <c r="R996">
        <f t="shared" si="207"/>
        <v>1567.91</v>
      </c>
    </row>
    <row r="997" spans="1:18" x14ac:dyDescent="0.3">
      <c r="A997" s="1">
        <v>42002</v>
      </c>
      <c r="B997" s="1">
        <v>42004</v>
      </c>
      <c r="C997">
        <v>6.34</v>
      </c>
      <c r="D997">
        <v>0.17</v>
      </c>
      <c r="E997">
        <v>4</v>
      </c>
      <c r="F997">
        <f t="shared" si="195"/>
        <v>0</v>
      </c>
      <c r="G997">
        <f t="shared" si="196"/>
        <v>0</v>
      </c>
      <c r="H997">
        <f t="shared" si="197"/>
        <v>2</v>
      </c>
      <c r="I997">
        <f t="shared" si="198"/>
        <v>0</v>
      </c>
      <c r="J997">
        <f t="shared" si="199"/>
        <v>0</v>
      </c>
      <c r="K997">
        <f t="shared" si="200"/>
        <v>80</v>
      </c>
      <c r="L997">
        <f t="shared" si="201"/>
        <v>6.51</v>
      </c>
      <c r="M997">
        <f t="shared" si="202"/>
        <v>86.51</v>
      </c>
      <c r="N997">
        <f t="shared" si="203"/>
        <v>0</v>
      </c>
      <c r="O997">
        <f t="shared" si="204"/>
        <v>0</v>
      </c>
      <c r="P997">
        <f t="shared" si="205"/>
        <v>86.51</v>
      </c>
      <c r="Q997">
        <f t="shared" si="206"/>
        <v>0</v>
      </c>
      <c r="R997">
        <f t="shared" si="207"/>
        <v>0</v>
      </c>
    </row>
    <row r="998" spans="1:18" x14ac:dyDescent="0.3">
      <c r="A998" s="1">
        <v>42002</v>
      </c>
      <c r="B998" s="1">
        <v>42012</v>
      </c>
      <c r="C998">
        <v>6.58</v>
      </c>
      <c r="D998">
        <v>0.17</v>
      </c>
      <c r="E998">
        <v>2</v>
      </c>
      <c r="F998">
        <f t="shared" si="195"/>
        <v>10</v>
      </c>
      <c r="G998">
        <f t="shared" si="196"/>
        <v>0</v>
      </c>
      <c r="H998">
        <f t="shared" si="197"/>
        <v>0</v>
      </c>
      <c r="I998">
        <f t="shared" si="198"/>
        <v>0</v>
      </c>
      <c r="J998">
        <f t="shared" si="199"/>
        <v>0</v>
      </c>
      <c r="K998">
        <f t="shared" si="200"/>
        <v>200</v>
      </c>
      <c r="L998">
        <f t="shared" si="201"/>
        <v>6.75</v>
      </c>
      <c r="M998">
        <f t="shared" si="202"/>
        <v>206.75</v>
      </c>
      <c r="N998">
        <f t="shared" si="203"/>
        <v>206.75</v>
      </c>
      <c r="O998">
        <f t="shared" si="204"/>
        <v>0</v>
      </c>
      <c r="P998">
        <f t="shared" si="205"/>
        <v>0</v>
      </c>
      <c r="Q998">
        <f t="shared" si="206"/>
        <v>0</v>
      </c>
      <c r="R998">
        <f t="shared" si="207"/>
        <v>0</v>
      </c>
    </row>
    <row r="999" spans="1:18" x14ac:dyDescent="0.3">
      <c r="A999" s="1">
        <v>42002</v>
      </c>
      <c r="B999" s="1">
        <v>42028</v>
      </c>
      <c r="C999">
        <v>6.34</v>
      </c>
      <c r="D999">
        <v>0.17</v>
      </c>
      <c r="E999">
        <v>6</v>
      </c>
      <c r="F999">
        <f t="shared" si="195"/>
        <v>0</v>
      </c>
      <c r="G999">
        <f t="shared" si="196"/>
        <v>0</v>
      </c>
      <c r="H999">
        <f t="shared" si="197"/>
        <v>0</v>
      </c>
      <c r="I999">
        <f t="shared" si="198"/>
        <v>0</v>
      </c>
      <c r="J999">
        <f t="shared" si="199"/>
        <v>26</v>
      </c>
      <c r="K999">
        <f t="shared" si="200"/>
        <v>1560</v>
      </c>
      <c r="L999">
        <f t="shared" si="201"/>
        <v>6.51</v>
      </c>
      <c r="M999">
        <f t="shared" si="202"/>
        <v>1566.51</v>
      </c>
      <c r="N999">
        <f t="shared" si="203"/>
        <v>0</v>
      </c>
      <c r="O999">
        <f t="shared" si="204"/>
        <v>0</v>
      </c>
      <c r="P999">
        <f t="shared" si="205"/>
        <v>0</v>
      </c>
      <c r="Q999">
        <f t="shared" si="206"/>
        <v>0</v>
      </c>
      <c r="R999">
        <f t="shared" si="207"/>
        <v>1566.51</v>
      </c>
    </row>
    <row r="1000" spans="1:18" x14ac:dyDescent="0.3">
      <c r="A1000" s="1">
        <v>42002</v>
      </c>
      <c r="B1000" s="1">
        <v>42019</v>
      </c>
      <c r="C1000">
        <v>5.67</v>
      </c>
      <c r="D1000">
        <v>0.15</v>
      </c>
      <c r="E1000">
        <v>4</v>
      </c>
      <c r="F1000">
        <f t="shared" si="195"/>
        <v>0</v>
      </c>
      <c r="G1000">
        <f t="shared" si="196"/>
        <v>0</v>
      </c>
      <c r="H1000">
        <f t="shared" si="197"/>
        <v>17</v>
      </c>
      <c r="I1000">
        <f t="shared" si="198"/>
        <v>0</v>
      </c>
      <c r="J1000">
        <f t="shared" si="199"/>
        <v>0</v>
      </c>
      <c r="K1000">
        <f t="shared" si="200"/>
        <v>680</v>
      </c>
      <c r="L1000">
        <f t="shared" si="201"/>
        <v>5.82</v>
      </c>
      <c r="M1000">
        <f t="shared" si="202"/>
        <v>685.82</v>
      </c>
      <c r="N1000">
        <f t="shared" si="203"/>
        <v>0</v>
      </c>
      <c r="O1000">
        <f t="shared" si="204"/>
        <v>0</v>
      </c>
      <c r="P1000">
        <f t="shared" si="205"/>
        <v>685.82</v>
      </c>
      <c r="Q1000">
        <f t="shared" si="206"/>
        <v>0</v>
      </c>
      <c r="R1000">
        <f t="shared" si="207"/>
        <v>0</v>
      </c>
    </row>
    <row r="1001" spans="1:18" x14ac:dyDescent="0.3">
      <c r="A1001" s="1">
        <v>42002</v>
      </c>
      <c r="B1001" s="1">
        <v>42009</v>
      </c>
      <c r="C1001">
        <v>4.25</v>
      </c>
      <c r="D1001">
        <v>0.11</v>
      </c>
      <c r="E1001">
        <v>4</v>
      </c>
      <c r="F1001">
        <f t="shared" si="195"/>
        <v>0</v>
      </c>
      <c r="G1001">
        <f t="shared" si="196"/>
        <v>0</v>
      </c>
      <c r="H1001">
        <f t="shared" si="197"/>
        <v>7</v>
      </c>
      <c r="I1001">
        <f t="shared" si="198"/>
        <v>0</v>
      </c>
      <c r="J1001">
        <f t="shared" si="199"/>
        <v>0</v>
      </c>
      <c r="K1001">
        <f t="shared" si="200"/>
        <v>280</v>
      </c>
      <c r="L1001">
        <f t="shared" si="201"/>
        <v>4.3600000000000003</v>
      </c>
      <c r="M1001">
        <f t="shared" si="202"/>
        <v>284.36</v>
      </c>
      <c r="N1001">
        <f t="shared" si="203"/>
        <v>0</v>
      </c>
      <c r="O1001">
        <f t="shared" si="204"/>
        <v>0</v>
      </c>
      <c r="P1001">
        <f t="shared" si="205"/>
        <v>284.36</v>
      </c>
      <c r="Q1001">
        <f t="shared" si="206"/>
        <v>0</v>
      </c>
      <c r="R1001">
        <f t="shared" si="207"/>
        <v>0</v>
      </c>
    </row>
  </sheetData>
  <sortState ref="T2:U6">
    <sortCondition descending="1" ref="U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1"/>
  <sheetViews>
    <sheetView tabSelected="1" topLeftCell="R10" workbookViewId="0">
      <selection activeCell="AB32" sqref="AB32"/>
    </sheetView>
  </sheetViews>
  <sheetFormatPr defaultRowHeight="14.4" x14ac:dyDescent="0.3"/>
  <cols>
    <col min="1" max="1" width="13.33203125" bestFit="1" customWidth="1"/>
    <col min="2" max="2" width="12.21875" bestFit="1" customWidth="1"/>
    <col min="3" max="3" width="7" bestFit="1" customWidth="1"/>
    <col min="4" max="4" width="5.5546875" bestFit="1" customWidth="1"/>
    <col min="5" max="5" width="3.5546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  <c r="G1" t="s">
        <v>18</v>
      </c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</row>
    <row r="2" spans="1:22" x14ac:dyDescent="0.3">
      <c r="A2" s="1">
        <v>41641</v>
      </c>
      <c r="B2" s="1">
        <v>41650</v>
      </c>
      <c r="C2">
        <v>39.35</v>
      </c>
      <c r="D2">
        <v>1.04</v>
      </c>
      <c r="E2">
        <v>5</v>
      </c>
      <c r="F2">
        <f>C2+D2</f>
        <v>40.39</v>
      </c>
      <c r="G2">
        <f>MONTH(A2)</f>
        <v>1</v>
      </c>
      <c r="H2">
        <f>IF(EXACT(G2,1),F2,0)</f>
        <v>40.39</v>
      </c>
      <c r="I2">
        <f>IF(EXACT(G2,2),F2,0)</f>
        <v>0</v>
      </c>
      <c r="J2">
        <f>IF(EXACT(G2,3),F2,0)</f>
        <v>0</v>
      </c>
      <c r="K2">
        <f>IF(EXACT(G2,4),F2,0)</f>
        <v>0</v>
      </c>
      <c r="L2">
        <f>IF(EXACT(G2,5),F2,0)</f>
        <v>0</v>
      </c>
      <c r="M2">
        <f>IF(EXACT(G2,6),F2,0)</f>
        <v>0</v>
      </c>
      <c r="N2">
        <f>IF(EXACT(G2,7),F2,0)</f>
        <v>0</v>
      </c>
      <c r="O2">
        <f>IF(EXACT(G2,8),F2,0)</f>
        <v>0</v>
      </c>
      <c r="P2">
        <f>IF(EXACT(G2,9),F2,0)</f>
        <v>0</v>
      </c>
      <c r="Q2">
        <f>IF(EXACT(G2,10),F2,0)</f>
        <v>0</v>
      </c>
      <c r="R2">
        <f>IF(EXACT(G2,11),F2,0)</f>
        <v>0</v>
      </c>
      <c r="S2">
        <f>IF(EXACT(G2,12),F2,0)</f>
        <v>0</v>
      </c>
      <c r="U2">
        <v>1</v>
      </c>
      <c r="V2">
        <f>SUM(H:H)</f>
        <v>1079.3200000000002</v>
      </c>
    </row>
    <row r="3" spans="1:22" x14ac:dyDescent="0.3">
      <c r="A3" s="1">
        <v>41641</v>
      </c>
      <c r="B3" s="1">
        <v>41662</v>
      </c>
      <c r="C3">
        <v>3.79</v>
      </c>
      <c r="D3">
        <v>0.1</v>
      </c>
      <c r="E3">
        <v>6</v>
      </c>
      <c r="F3">
        <f t="shared" ref="F3:F66" si="0">C3+D3</f>
        <v>3.89</v>
      </c>
      <c r="G3">
        <f t="shared" ref="G3:G66" si="1">MONTH(A3)</f>
        <v>1</v>
      </c>
      <c r="H3">
        <f t="shared" ref="H3:H66" si="2">IF(EXACT(G3,1),F3,0)</f>
        <v>3.89</v>
      </c>
      <c r="I3">
        <f t="shared" ref="I3:I66" si="3">IF(EXACT(G3,2),F3,0)</f>
        <v>0</v>
      </c>
      <c r="J3">
        <f t="shared" ref="J3:J66" si="4">IF(EXACT(G3,3),F3,0)</f>
        <v>0</v>
      </c>
      <c r="K3">
        <f t="shared" ref="K3:K66" si="5">IF(EXACT(G3,4),F3,0)</f>
        <v>0</v>
      </c>
      <c r="L3">
        <f t="shared" ref="L3:L66" si="6">IF(EXACT(G3,5),F3,0)</f>
        <v>0</v>
      </c>
      <c r="M3">
        <f t="shared" ref="M3:M66" si="7">IF(EXACT(G3,6),F3,0)</f>
        <v>0</v>
      </c>
      <c r="N3">
        <f t="shared" ref="N3:N66" si="8">IF(EXACT(G3,7),F3,0)</f>
        <v>0</v>
      </c>
      <c r="O3">
        <f t="shared" ref="O3:O66" si="9">IF(EXACT(G3,8),F3,0)</f>
        <v>0</v>
      </c>
      <c r="P3">
        <f t="shared" ref="P3:P66" si="10">IF(EXACT(G3,9),F3,0)</f>
        <v>0</v>
      </c>
      <c r="Q3">
        <f t="shared" ref="Q3:Q66" si="11">IF(EXACT(G3,10),F3,0)</f>
        <v>0</v>
      </c>
      <c r="R3">
        <f t="shared" ref="R3:R66" si="12">IF(EXACT(G3,11),F3,0)</f>
        <v>0</v>
      </c>
      <c r="S3">
        <f t="shared" ref="S3:S66" si="13">IF(EXACT(G3,12),F3,0)</f>
        <v>0</v>
      </c>
      <c r="U3">
        <v>2</v>
      </c>
      <c r="V3">
        <f>SUM(I:I)</f>
        <v>613.15000000000009</v>
      </c>
    </row>
    <row r="4" spans="1:22" x14ac:dyDescent="0.3">
      <c r="A4" s="1">
        <v>41641</v>
      </c>
      <c r="B4" s="1">
        <v>41653</v>
      </c>
      <c r="C4">
        <v>3.88</v>
      </c>
      <c r="D4">
        <v>0.1</v>
      </c>
      <c r="E4">
        <v>6</v>
      </c>
      <c r="F4">
        <f t="shared" si="0"/>
        <v>3.98</v>
      </c>
      <c r="G4">
        <f t="shared" si="1"/>
        <v>1</v>
      </c>
      <c r="H4">
        <f t="shared" si="2"/>
        <v>3.98</v>
      </c>
      <c r="I4">
        <f t="shared" si="3"/>
        <v>0</v>
      </c>
      <c r="J4">
        <f t="shared" si="4"/>
        <v>0</v>
      </c>
      <c r="K4">
        <f t="shared" si="5"/>
        <v>0</v>
      </c>
      <c r="L4">
        <f t="shared" si="6"/>
        <v>0</v>
      </c>
      <c r="M4">
        <f t="shared" si="7"/>
        <v>0</v>
      </c>
      <c r="N4">
        <f t="shared" si="8"/>
        <v>0</v>
      </c>
      <c r="O4">
        <f t="shared" si="9"/>
        <v>0</v>
      </c>
      <c r="P4">
        <f t="shared" si="10"/>
        <v>0</v>
      </c>
      <c r="Q4">
        <f t="shared" si="11"/>
        <v>0</v>
      </c>
      <c r="R4">
        <f t="shared" si="12"/>
        <v>0</v>
      </c>
      <c r="S4">
        <f t="shared" si="13"/>
        <v>0</v>
      </c>
      <c r="U4">
        <v>3</v>
      </c>
      <c r="V4">
        <f>SUM(J:J)</f>
        <v>568.22000000000014</v>
      </c>
    </row>
    <row r="5" spans="1:22" x14ac:dyDescent="0.3">
      <c r="A5" s="1">
        <v>41641</v>
      </c>
      <c r="B5" s="1">
        <v>41661</v>
      </c>
      <c r="C5">
        <v>6.43</v>
      </c>
      <c r="D5">
        <v>0.17</v>
      </c>
      <c r="E5">
        <v>5</v>
      </c>
      <c r="F5">
        <f t="shared" si="0"/>
        <v>6.6</v>
      </c>
      <c r="G5">
        <f t="shared" si="1"/>
        <v>1</v>
      </c>
      <c r="H5">
        <f t="shared" si="2"/>
        <v>6.6</v>
      </c>
      <c r="I5">
        <f t="shared" si="3"/>
        <v>0</v>
      </c>
      <c r="J5">
        <f t="shared" si="4"/>
        <v>0</v>
      </c>
      <c r="K5">
        <f t="shared" si="5"/>
        <v>0</v>
      </c>
      <c r="L5">
        <f t="shared" si="6"/>
        <v>0</v>
      </c>
      <c r="M5">
        <f t="shared" si="7"/>
        <v>0</v>
      </c>
      <c r="N5">
        <f t="shared" si="8"/>
        <v>0</v>
      </c>
      <c r="O5">
        <f t="shared" si="9"/>
        <v>0</v>
      </c>
      <c r="P5">
        <f t="shared" si="10"/>
        <v>0</v>
      </c>
      <c r="Q5">
        <f t="shared" si="11"/>
        <v>0</v>
      </c>
      <c r="R5">
        <f t="shared" si="12"/>
        <v>0</v>
      </c>
      <c r="S5">
        <f t="shared" si="13"/>
        <v>0</v>
      </c>
      <c r="U5">
        <v>4</v>
      </c>
      <c r="V5">
        <f>SUM(K:K)</f>
        <v>326.96000000000004</v>
      </c>
    </row>
    <row r="6" spans="1:22" x14ac:dyDescent="0.3">
      <c r="A6" s="1">
        <v>41641</v>
      </c>
      <c r="B6" s="1">
        <v>41666</v>
      </c>
      <c r="C6">
        <v>8.39</v>
      </c>
      <c r="D6">
        <v>0.22</v>
      </c>
      <c r="E6">
        <v>2</v>
      </c>
      <c r="F6">
        <f t="shared" si="0"/>
        <v>8.6100000000000012</v>
      </c>
      <c r="G6">
        <f t="shared" si="1"/>
        <v>1</v>
      </c>
      <c r="H6">
        <f t="shared" si="2"/>
        <v>8.6100000000000012</v>
      </c>
      <c r="I6">
        <f t="shared" si="3"/>
        <v>0</v>
      </c>
      <c r="J6">
        <f t="shared" si="4"/>
        <v>0</v>
      </c>
      <c r="K6">
        <f t="shared" si="5"/>
        <v>0</v>
      </c>
      <c r="L6">
        <f t="shared" si="6"/>
        <v>0</v>
      </c>
      <c r="M6">
        <f t="shared" si="7"/>
        <v>0</v>
      </c>
      <c r="N6">
        <f t="shared" si="8"/>
        <v>0</v>
      </c>
      <c r="O6">
        <f t="shared" si="9"/>
        <v>0</v>
      </c>
      <c r="P6">
        <f t="shared" si="10"/>
        <v>0</v>
      </c>
      <c r="Q6">
        <f t="shared" si="11"/>
        <v>0</v>
      </c>
      <c r="R6">
        <f t="shared" si="12"/>
        <v>0</v>
      </c>
      <c r="S6">
        <f t="shared" si="13"/>
        <v>0</v>
      </c>
      <c r="U6">
        <v>5</v>
      </c>
      <c r="V6">
        <f>SUM(L:L)</f>
        <v>304.65999999999997</v>
      </c>
    </row>
    <row r="7" spans="1:22" x14ac:dyDescent="0.3">
      <c r="A7" s="1">
        <v>41641</v>
      </c>
      <c r="B7" s="1">
        <v>41669</v>
      </c>
      <c r="C7">
        <v>11.42</v>
      </c>
      <c r="D7">
        <v>0.3</v>
      </c>
      <c r="E7">
        <v>2</v>
      </c>
      <c r="F7">
        <f t="shared" si="0"/>
        <v>11.72</v>
      </c>
      <c r="G7">
        <f t="shared" si="1"/>
        <v>1</v>
      </c>
      <c r="H7">
        <f t="shared" si="2"/>
        <v>11.72</v>
      </c>
      <c r="I7">
        <f t="shared" si="3"/>
        <v>0</v>
      </c>
      <c r="J7">
        <f t="shared" si="4"/>
        <v>0</v>
      </c>
      <c r="K7">
        <f t="shared" si="5"/>
        <v>0</v>
      </c>
      <c r="L7">
        <f t="shared" si="6"/>
        <v>0</v>
      </c>
      <c r="M7">
        <f t="shared" si="7"/>
        <v>0</v>
      </c>
      <c r="N7">
        <f t="shared" si="8"/>
        <v>0</v>
      </c>
      <c r="O7">
        <f t="shared" si="9"/>
        <v>0</v>
      </c>
      <c r="P7">
        <f t="shared" si="10"/>
        <v>0</v>
      </c>
      <c r="Q7">
        <f t="shared" si="11"/>
        <v>0</v>
      </c>
      <c r="R7">
        <f t="shared" si="12"/>
        <v>0</v>
      </c>
      <c r="S7">
        <f t="shared" si="13"/>
        <v>0</v>
      </c>
      <c r="U7">
        <v>6</v>
      </c>
      <c r="V7">
        <f>SUM(M:M)</f>
        <v>574.59</v>
      </c>
    </row>
    <row r="8" spans="1:22" x14ac:dyDescent="0.3">
      <c r="A8" s="1">
        <v>41642</v>
      </c>
      <c r="B8" s="1">
        <v>41670</v>
      </c>
      <c r="C8">
        <v>5.64</v>
      </c>
      <c r="D8">
        <v>0.15</v>
      </c>
      <c r="E8">
        <v>5</v>
      </c>
      <c r="F8">
        <f t="shared" si="0"/>
        <v>5.79</v>
      </c>
      <c r="G8">
        <f t="shared" si="1"/>
        <v>1</v>
      </c>
      <c r="H8">
        <f t="shared" si="2"/>
        <v>5.79</v>
      </c>
      <c r="I8">
        <f t="shared" si="3"/>
        <v>0</v>
      </c>
      <c r="J8">
        <f t="shared" si="4"/>
        <v>0</v>
      </c>
      <c r="K8">
        <f t="shared" si="5"/>
        <v>0</v>
      </c>
      <c r="L8">
        <f t="shared" si="6"/>
        <v>0</v>
      </c>
      <c r="M8">
        <f t="shared" si="7"/>
        <v>0</v>
      </c>
      <c r="N8">
        <f t="shared" si="8"/>
        <v>0</v>
      </c>
      <c r="O8">
        <f t="shared" si="9"/>
        <v>0</v>
      </c>
      <c r="P8">
        <f t="shared" si="10"/>
        <v>0</v>
      </c>
      <c r="Q8">
        <f t="shared" si="11"/>
        <v>0</v>
      </c>
      <c r="R8">
        <f t="shared" si="12"/>
        <v>0</v>
      </c>
      <c r="S8">
        <f t="shared" si="13"/>
        <v>0</v>
      </c>
      <c r="U8">
        <v>7</v>
      </c>
      <c r="V8">
        <f>SUM(N:N)</f>
        <v>635.59999999999968</v>
      </c>
    </row>
    <row r="9" spans="1:22" x14ac:dyDescent="0.3">
      <c r="A9" s="1">
        <v>41642</v>
      </c>
      <c r="B9" s="1">
        <v>41645</v>
      </c>
      <c r="C9">
        <v>10.59</v>
      </c>
      <c r="D9">
        <v>0.28000000000000003</v>
      </c>
      <c r="E9">
        <v>5</v>
      </c>
      <c r="F9">
        <f t="shared" si="0"/>
        <v>10.87</v>
      </c>
      <c r="G9">
        <f t="shared" si="1"/>
        <v>1</v>
      </c>
      <c r="H9">
        <f t="shared" si="2"/>
        <v>10.87</v>
      </c>
      <c r="I9">
        <f t="shared" si="3"/>
        <v>0</v>
      </c>
      <c r="J9">
        <f t="shared" si="4"/>
        <v>0</v>
      </c>
      <c r="K9">
        <f t="shared" si="5"/>
        <v>0</v>
      </c>
      <c r="L9">
        <f t="shared" si="6"/>
        <v>0</v>
      </c>
      <c r="M9">
        <f t="shared" si="7"/>
        <v>0</v>
      </c>
      <c r="N9">
        <f t="shared" si="8"/>
        <v>0</v>
      </c>
      <c r="O9">
        <f t="shared" si="9"/>
        <v>0</v>
      </c>
      <c r="P9">
        <f t="shared" si="10"/>
        <v>0</v>
      </c>
      <c r="Q9">
        <f t="shared" si="11"/>
        <v>0</v>
      </c>
      <c r="R9">
        <f t="shared" si="12"/>
        <v>0</v>
      </c>
      <c r="S9">
        <f t="shared" si="13"/>
        <v>0</v>
      </c>
      <c r="U9">
        <v>8</v>
      </c>
      <c r="V9">
        <f>SUM(O:O)</f>
        <v>539.33000000000015</v>
      </c>
    </row>
    <row r="10" spans="1:22" x14ac:dyDescent="0.3">
      <c r="A10" s="1">
        <v>41642</v>
      </c>
      <c r="B10" s="1">
        <v>41669</v>
      </c>
      <c r="C10">
        <v>4.25</v>
      </c>
      <c r="D10">
        <v>0.11</v>
      </c>
      <c r="E10">
        <v>2</v>
      </c>
      <c r="F10">
        <f t="shared" si="0"/>
        <v>4.3600000000000003</v>
      </c>
      <c r="G10">
        <f t="shared" si="1"/>
        <v>1</v>
      </c>
      <c r="H10">
        <f t="shared" si="2"/>
        <v>4.3600000000000003</v>
      </c>
      <c r="I10">
        <f t="shared" si="3"/>
        <v>0</v>
      </c>
      <c r="J10">
        <f t="shared" si="4"/>
        <v>0</v>
      </c>
      <c r="K10">
        <f t="shared" si="5"/>
        <v>0</v>
      </c>
      <c r="L10">
        <f t="shared" si="6"/>
        <v>0</v>
      </c>
      <c r="M10">
        <f t="shared" si="7"/>
        <v>0</v>
      </c>
      <c r="N10">
        <f t="shared" si="8"/>
        <v>0</v>
      </c>
      <c r="O10">
        <f t="shared" si="9"/>
        <v>0</v>
      </c>
      <c r="P10">
        <f t="shared" si="10"/>
        <v>0</v>
      </c>
      <c r="Q10">
        <f t="shared" si="11"/>
        <v>0</v>
      </c>
      <c r="R10">
        <f t="shared" si="12"/>
        <v>0</v>
      </c>
      <c r="S10">
        <f t="shared" si="13"/>
        <v>0</v>
      </c>
      <c r="U10">
        <v>9</v>
      </c>
      <c r="V10">
        <f>SUM(P:P)</f>
        <v>1054.1200000000001</v>
      </c>
    </row>
    <row r="11" spans="1:22" x14ac:dyDescent="0.3">
      <c r="A11" s="1">
        <v>41642</v>
      </c>
      <c r="B11" s="1">
        <v>41660</v>
      </c>
      <c r="C11">
        <v>5.64</v>
      </c>
      <c r="D11">
        <v>0.15</v>
      </c>
      <c r="E11">
        <v>4</v>
      </c>
      <c r="F11">
        <f t="shared" si="0"/>
        <v>5.79</v>
      </c>
      <c r="G11">
        <f t="shared" si="1"/>
        <v>1</v>
      </c>
      <c r="H11">
        <f t="shared" si="2"/>
        <v>5.79</v>
      </c>
      <c r="I11">
        <f t="shared" si="3"/>
        <v>0</v>
      </c>
      <c r="J11">
        <f t="shared" si="4"/>
        <v>0</v>
      </c>
      <c r="K11">
        <f t="shared" si="5"/>
        <v>0</v>
      </c>
      <c r="L11">
        <f t="shared" si="6"/>
        <v>0</v>
      </c>
      <c r="M11">
        <f t="shared" si="7"/>
        <v>0</v>
      </c>
      <c r="N11">
        <f t="shared" si="8"/>
        <v>0</v>
      </c>
      <c r="O11">
        <f t="shared" si="9"/>
        <v>0</v>
      </c>
      <c r="P11">
        <f t="shared" si="10"/>
        <v>0</v>
      </c>
      <c r="Q11">
        <f t="shared" si="11"/>
        <v>0</v>
      </c>
      <c r="R11">
        <f t="shared" si="12"/>
        <v>0</v>
      </c>
      <c r="S11">
        <f t="shared" si="13"/>
        <v>0</v>
      </c>
      <c r="U11">
        <v>10</v>
      </c>
      <c r="V11">
        <f>SUM(Q:Q)</f>
        <v>823.25</v>
      </c>
    </row>
    <row r="12" spans="1:22" x14ac:dyDescent="0.3">
      <c r="A12" s="1">
        <v>41642</v>
      </c>
      <c r="B12" s="1">
        <v>41669</v>
      </c>
      <c r="C12">
        <v>5.78</v>
      </c>
      <c r="D12">
        <v>0.15</v>
      </c>
      <c r="E12">
        <v>5</v>
      </c>
      <c r="F12">
        <f t="shared" si="0"/>
        <v>5.9300000000000006</v>
      </c>
      <c r="G12">
        <f t="shared" si="1"/>
        <v>1</v>
      </c>
      <c r="H12">
        <f t="shared" si="2"/>
        <v>5.9300000000000006</v>
      </c>
      <c r="I12">
        <f t="shared" si="3"/>
        <v>0</v>
      </c>
      <c r="J12">
        <f t="shared" si="4"/>
        <v>0</v>
      </c>
      <c r="K12">
        <f t="shared" si="5"/>
        <v>0</v>
      </c>
      <c r="L12">
        <f t="shared" si="6"/>
        <v>0</v>
      </c>
      <c r="M12">
        <f t="shared" si="7"/>
        <v>0</v>
      </c>
      <c r="N12">
        <f t="shared" si="8"/>
        <v>0</v>
      </c>
      <c r="O12">
        <f t="shared" si="9"/>
        <v>0</v>
      </c>
      <c r="P12">
        <f t="shared" si="10"/>
        <v>0</v>
      </c>
      <c r="Q12">
        <f t="shared" si="11"/>
        <v>0</v>
      </c>
      <c r="R12">
        <f t="shared" si="12"/>
        <v>0</v>
      </c>
      <c r="S12">
        <f t="shared" si="13"/>
        <v>0</v>
      </c>
      <c r="U12">
        <v>11</v>
      </c>
      <c r="V12">
        <f>SUM(R:R)</f>
        <v>1118.8</v>
      </c>
    </row>
    <row r="13" spans="1:22" x14ac:dyDescent="0.3">
      <c r="A13" s="1">
        <v>41642</v>
      </c>
      <c r="B13" s="1">
        <v>41669</v>
      </c>
      <c r="C13">
        <v>2.29</v>
      </c>
      <c r="D13">
        <v>0.06</v>
      </c>
      <c r="E13">
        <v>4</v>
      </c>
      <c r="F13">
        <f t="shared" si="0"/>
        <v>2.35</v>
      </c>
      <c r="G13">
        <f t="shared" si="1"/>
        <v>1</v>
      </c>
      <c r="H13">
        <f t="shared" si="2"/>
        <v>2.35</v>
      </c>
      <c r="I13">
        <f t="shared" si="3"/>
        <v>0</v>
      </c>
      <c r="J13">
        <f t="shared" si="4"/>
        <v>0</v>
      </c>
      <c r="K13">
        <f t="shared" si="5"/>
        <v>0</v>
      </c>
      <c r="L13">
        <f t="shared" si="6"/>
        <v>0</v>
      </c>
      <c r="M13">
        <f t="shared" si="7"/>
        <v>0</v>
      </c>
      <c r="N13">
        <f t="shared" si="8"/>
        <v>0</v>
      </c>
      <c r="O13">
        <f t="shared" si="9"/>
        <v>0</v>
      </c>
      <c r="P13">
        <f t="shared" si="10"/>
        <v>0</v>
      </c>
      <c r="Q13">
        <f t="shared" si="11"/>
        <v>0</v>
      </c>
      <c r="R13">
        <f t="shared" si="12"/>
        <v>0</v>
      </c>
      <c r="S13">
        <f t="shared" si="13"/>
        <v>0</v>
      </c>
      <c r="U13">
        <v>12</v>
      </c>
      <c r="V13">
        <f>SUM(S:S)</f>
        <v>905.16</v>
      </c>
    </row>
    <row r="14" spans="1:22" x14ac:dyDescent="0.3">
      <c r="A14" s="1">
        <v>41642</v>
      </c>
      <c r="B14" s="1">
        <v>41665</v>
      </c>
      <c r="C14">
        <v>5.23</v>
      </c>
      <c r="D14">
        <v>0.14000000000000001</v>
      </c>
      <c r="E14">
        <v>2</v>
      </c>
      <c r="F14">
        <f t="shared" si="0"/>
        <v>5.37</v>
      </c>
      <c r="G14">
        <f t="shared" si="1"/>
        <v>1</v>
      </c>
      <c r="H14">
        <f t="shared" si="2"/>
        <v>5.37</v>
      </c>
      <c r="I14">
        <f t="shared" si="3"/>
        <v>0</v>
      </c>
      <c r="J14">
        <f t="shared" si="4"/>
        <v>0</v>
      </c>
      <c r="K14">
        <f t="shared" si="5"/>
        <v>0</v>
      </c>
      <c r="L14">
        <f t="shared" si="6"/>
        <v>0</v>
      </c>
      <c r="M14">
        <f t="shared" si="7"/>
        <v>0</v>
      </c>
      <c r="N14">
        <f t="shared" si="8"/>
        <v>0</v>
      </c>
      <c r="O14">
        <f t="shared" si="9"/>
        <v>0</v>
      </c>
      <c r="P14">
        <f t="shared" si="10"/>
        <v>0</v>
      </c>
      <c r="Q14">
        <f t="shared" si="11"/>
        <v>0</v>
      </c>
      <c r="R14">
        <f t="shared" si="12"/>
        <v>0</v>
      </c>
      <c r="S14">
        <f t="shared" si="13"/>
        <v>0</v>
      </c>
    </row>
    <row r="15" spans="1:22" x14ac:dyDescent="0.3">
      <c r="A15" s="1">
        <v>41642</v>
      </c>
      <c r="B15" s="1">
        <v>41649</v>
      </c>
      <c r="C15">
        <v>5.67</v>
      </c>
      <c r="D15">
        <v>0.15</v>
      </c>
      <c r="E15">
        <v>2</v>
      </c>
      <c r="F15">
        <f t="shared" si="0"/>
        <v>5.82</v>
      </c>
      <c r="G15">
        <f t="shared" si="1"/>
        <v>1</v>
      </c>
      <c r="H15">
        <f t="shared" si="2"/>
        <v>5.82</v>
      </c>
      <c r="I15">
        <f t="shared" si="3"/>
        <v>0</v>
      </c>
      <c r="J15">
        <f t="shared" si="4"/>
        <v>0</v>
      </c>
      <c r="K15">
        <f t="shared" si="5"/>
        <v>0</v>
      </c>
      <c r="L15">
        <f t="shared" si="6"/>
        <v>0</v>
      </c>
      <c r="M15">
        <f t="shared" si="7"/>
        <v>0</v>
      </c>
      <c r="N15">
        <f t="shared" si="8"/>
        <v>0</v>
      </c>
      <c r="O15">
        <f t="shared" si="9"/>
        <v>0</v>
      </c>
      <c r="P15">
        <f t="shared" si="10"/>
        <v>0</v>
      </c>
      <c r="Q15">
        <f t="shared" si="11"/>
        <v>0</v>
      </c>
      <c r="R15">
        <f t="shared" si="12"/>
        <v>0</v>
      </c>
      <c r="S15">
        <f t="shared" si="13"/>
        <v>0</v>
      </c>
    </row>
    <row r="16" spans="1:22" x14ac:dyDescent="0.3">
      <c r="A16" s="1">
        <v>41643</v>
      </c>
      <c r="B16" s="1">
        <v>41649</v>
      </c>
      <c r="C16">
        <v>5.64</v>
      </c>
      <c r="D16">
        <v>0.15</v>
      </c>
      <c r="E16">
        <v>2</v>
      </c>
      <c r="F16">
        <f t="shared" si="0"/>
        <v>5.79</v>
      </c>
      <c r="G16">
        <f t="shared" si="1"/>
        <v>1</v>
      </c>
      <c r="H16">
        <f t="shared" si="2"/>
        <v>5.79</v>
      </c>
      <c r="I16">
        <f t="shared" si="3"/>
        <v>0</v>
      </c>
      <c r="J16">
        <f t="shared" si="4"/>
        <v>0</v>
      </c>
      <c r="K16">
        <f t="shared" si="5"/>
        <v>0</v>
      </c>
      <c r="L16">
        <f t="shared" si="6"/>
        <v>0</v>
      </c>
      <c r="M16">
        <f t="shared" si="7"/>
        <v>0</v>
      </c>
      <c r="N16">
        <f t="shared" si="8"/>
        <v>0</v>
      </c>
      <c r="O16">
        <f t="shared" si="9"/>
        <v>0</v>
      </c>
      <c r="P16">
        <f t="shared" si="10"/>
        <v>0</v>
      </c>
      <c r="Q16">
        <f t="shared" si="11"/>
        <v>0</v>
      </c>
      <c r="R16">
        <f t="shared" si="12"/>
        <v>0</v>
      </c>
      <c r="S16">
        <f t="shared" si="13"/>
        <v>0</v>
      </c>
    </row>
    <row r="17" spans="1:19" x14ac:dyDescent="0.3">
      <c r="A17" s="1">
        <v>41643</v>
      </c>
      <c r="B17" s="1">
        <v>41650</v>
      </c>
      <c r="C17">
        <v>4.25</v>
      </c>
      <c r="D17">
        <v>0.11</v>
      </c>
      <c r="E17">
        <v>4</v>
      </c>
      <c r="F17">
        <f t="shared" si="0"/>
        <v>4.3600000000000003</v>
      </c>
      <c r="G17">
        <f t="shared" si="1"/>
        <v>1</v>
      </c>
      <c r="H17">
        <f t="shared" si="2"/>
        <v>4.3600000000000003</v>
      </c>
      <c r="I17">
        <f t="shared" si="3"/>
        <v>0</v>
      </c>
      <c r="J17">
        <f t="shared" si="4"/>
        <v>0</v>
      </c>
      <c r="K17">
        <f t="shared" si="5"/>
        <v>0</v>
      </c>
      <c r="L17">
        <f t="shared" si="6"/>
        <v>0</v>
      </c>
      <c r="M17">
        <f t="shared" si="7"/>
        <v>0</v>
      </c>
      <c r="N17">
        <f t="shared" si="8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>
        <f t="shared" si="12"/>
        <v>0</v>
      </c>
      <c r="S17">
        <f t="shared" si="13"/>
        <v>0</v>
      </c>
    </row>
    <row r="18" spans="1:19" x14ac:dyDescent="0.3">
      <c r="A18" s="1">
        <v>41643</v>
      </c>
      <c r="B18" s="1">
        <v>41660</v>
      </c>
      <c r="C18">
        <v>6.58</v>
      </c>
      <c r="D18">
        <v>0.17</v>
      </c>
      <c r="E18">
        <v>6</v>
      </c>
      <c r="F18">
        <f t="shared" si="0"/>
        <v>6.75</v>
      </c>
      <c r="G18">
        <f t="shared" si="1"/>
        <v>1</v>
      </c>
      <c r="H18">
        <f t="shared" si="2"/>
        <v>6.75</v>
      </c>
      <c r="I18">
        <f t="shared" si="3"/>
        <v>0</v>
      </c>
      <c r="J18">
        <f t="shared" si="4"/>
        <v>0</v>
      </c>
      <c r="K18">
        <f t="shared" si="5"/>
        <v>0</v>
      </c>
      <c r="L18">
        <f t="shared" si="6"/>
        <v>0</v>
      </c>
      <c r="M18">
        <f t="shared" si="7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  <c r="S18">
        <f t="shared" si="13"/>
        <v>0</v>
      </c>
    </row>
    <row r="19" spans="1:19" x14ac:dyDescent="0.3">
      <c r="A19" s="1">
        <v>41644</v>
      </c>
      <c r="B19" s="1">
        <v>41661</v>
      </c>
      <c r="C19">
        <v>6.43</v>
      </c>
      <c r="D19">
        <v>0.17</v>
      </c>
      <c r="E19">
        <v>3</v>
      </c>
      <c r="F19">
        <f t="shared" si="0"/>
        <v>6.6</v>
      </c>
      <c r="G19">
        <f t="shared" si="1"/>
        <v>1</v>
      </c>
      <c r="H19">
        <f t="shared" si="2"/>
        <v>6.6</v>
      </c>
      <c r="I19">
        <f t="shared" si="3"/>
        <v>0</v>
      </c>
      <c r="J19">
        <f t="shared" si="4"/>
        <v>0</v>
      </c>
      <c r="K19">
        <f t="shared" si="5"/>
        <v>0</v>
      </c>
      <c r="L19">
        <f t="shared" si="6"/>
        <v>0</v>
      </c>
      <c r="M19">
        <f t="shared" si="7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  <c r="S19">
        <f t="shared" si="13"/>
        <v>0</v>
      </c>
    </row>
    <row r="20" spans="1:19" x14ac:dyDescent="0.3">
      <c r="A20" s="1">
        <v>41644</v>
      </c>
      <c r="B20" s="1">
        <v>41662</v>
      </c>
      <c r="C20">
        <v>5.67</v>
      </c>
      <c r="D20">
        <v>0.15</v>
      </c>
      <c r="E20">
        <v>5</v>
      </c>
      <c r="F20">
        <f t="shared" si="0"/>
        <v>5.82</v>
      </c>
      <c r="G20">
        <f t="shared" si="1"/>
        <v>1</v>
      </c>
      <c r="H20">
        <f t="shared" si="2"/>
        <v>5.82</v>
      </c>
      <c r="I20">
        <f t="shared" si="3"/>
        <v>0</v>
      </c>
      <c r="J20">
        <f t="shared" si="4"/>
        <v>0</v>
      </c>
      <c r="K20">
        <f t="shared" si="5"/>
        <v>0</v>
      </c>
      <c r="L20">
        <f t="shared" si="6"/>
        <v>0</v>
      </c>
      <c r="M20">
        <f t="shared" si="7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  <c r="S20">
        <f t="shared" si="13"/>
        <v>0</v>
      </c>
    </row>
    <row r="21" spans="1:19" x14ac:dyDescent="0.3">
      <c r="A21" s="1">
        <v>41645</v>
      </c>
      <c r="B21" s="1">
        <v>41654</v>
      </c>
      <c r="C21">
        <v>4.66</v>
      </c>
      <c r="D21">
        <v>0.12</v>
      </c>
      <c r="E21">
        <v>2</v>
      </c>
      <c r="F21">
        <f t="shared" si="0"/>
        <v>4.78</v>
      </c>
      <c r="G21">
        <f t="shared" si="1"/>
        <v>1</v>
      </c>
      <c r="H21">
        <f t="shared" si="2"/>
        <v>4.78</v>
      </c>
      <c r="I21">
        <f t="shared" si="3"/>
        <v>0</v>
      </c>
      <c r="J21">
        <f t="shared" si="4"/>
        <v>0</v>
      </c>
      <c r="K21">
        <f t="shared" si="5"/>
        <v>0</v>
      </c>
      <c r="L21">
        <f t="shared" si="6"/>
        <v>0</v>
      </c>
      <c r="M21">
        <f t="shared" si="7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  <c r="S21">
        <f t="shared" si="13"/>
        <v>0</v>
      </c>
    </row>
    <row r="22" spans="1:19" x14ac:dyDescent="0.3">
      <c r="A22" s="1">
        <v>41646</v>
      </c>
      <c r="B22" s="1">
        <v>41663</v>
      </c>
      <c r="C22">
        <v>2.0099999999999998</v>
      </c>
      <c r="D22">
        <v>0.05</v>
      </c>
      <c r="E22">
        <v>4</v>
      </c>
      <c r="F22">
        <f t="shared" si="0"/>
        <v>2.0599999999999996</v>
      </c>
      <c r="G22">
        <f t="shared" si="1"/>
        <v>1</v>
      </c>
      <c r="H22">
        <f t="shared" si="2"/>
        <v>2.0599999999999996</v>
      </c>
      <c r="I22">
        <f t="shared" si="3"/>
        <v>0</v>
      </c>
      <c r="J22">
        <f t="shared" si="4"/>
        <v>0</v>
      </c>
      <c r="K22">
        <f t="shared" si="5"/>
        <v>0</v>
      </c>
      <c r="L22">
        <f t="shared" si="6"/>
        <v>0</v>
      </c>
      <c r="M22">
        <f t="shared" si="7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  <c r="S22">
        <f t="shared" si="13"/>
        <v>0</v>
      </c>
    </row>
    <row r="23" spans="1:19" x14ac:dyDescent="0.3">
      <c r="A23" s="1">
        <v>41646</v>
      </c>
      <c r="B23" s="1">
        <v>41670</v>
      </c>
      <c r="C23">
        <v>3.57</v>
      </c>
      <c r="D23">
        <v>0.09</v>
      </c>
      <c r="E23">
        <v>3</v>
      </c>
      <c r="F23">
        <f t="shared" si="0"/>
        <v>3.6599999999999997</v>
      </c>
      <c r="G23">
        <f t="shared" si="1"/>
        <v>1</v>
      </c>
      <c r="H23">
        <f t="shared" si="2"/>
        <v>3.6599999999999997</v>
      </c>
      <c r="I23">
        <f t="shared" si="3"/>
        <v>0</v>
      </c>
      <c r="J23">
        <f t="shared" si="4"/>
        <v>0</v>
      </c>
      <c r="K23">
        <f t="shared" si="5"/>
        <v>0</v>
      </c>
      <c r="L23">
        <f t="shared" si="6"/>
        <v>0</v>
      </c>
      <c r="M23">
        <f t="shared" si="7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  <c r="S23">
        <f t="shared" si="13"/>
        <v>0</v>
      </c>
    </row>
    <row r="24" spans="1:19" x14ac:dyDescent="0.3">
      <c r="A24" s="1">
        <v>41646</v>
      </c>
      <c r="B24" s="1">
        <v>41649</v>
      </c>
      <c r="C24">
        <v>2.29</v>
      </c>
      <c r="D24">
        <v>0.06</v>
      </c>
      <c r="E24">
        <v>5</v>
      </c>
      <c r="F24">
        <f t="shared" si="0"/>
        <v>2.35</v>
      </c>
      <c r="G24">
        <f t="shared" si="1"/>
        <v>1</v>
      </c>
      <c r="H24">
        <f t="shared" si="2"/>
        <v>2.35</v>
      </c>
      <c r="I24">
        <f t="shared" si="3"/>
        <v>0</v>
      </c>
      <c r="J24">
        <f t="shared" si="4"/>
        <v>0</v>
      </c>
      <c r="K24">
        <f t="shared" si="5"/>
        <v>0</v>
      </c>
      <c r="L24">
        <f t="shared" si="6"/>
        <v>0</v>
      </c>
      <c r="M24">
        <f t="shared" si="7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  <c r="S24">
        <f t="shared" si="13"/>
        <v>0</v>
      </c>
    </row>
    <row r="25" spans="1:19" x14ac:dyDescent="0.3">
      <c r="A25" s="1">
        <v>41646</v>
      </c>
      <c r="B25" s="1">
        <v>41649</v>
      </c>
      <c r="C25">
        <v>2.72</v>
      </c>
      <c r="D25">
        <v>7.0000000000000007E-2</v>
      </c>
      <c r="E25">
        <v>4</v>
      </c>
      <c r="F25">
        <f t="shared" si="0"/>
        <v>2.79</v>
      </c>
      <c r="G25">
        <f t="shared" si="1"/>
        <v>1</v>
      </c>
      <c r="H25">
        <f t="shared" si="2"/>
        <v>2.79</v>
      </c>
      <c r="I25">
        <f t="shared" si="3"/>
        <v>0</v>
      </c>
      <c r="J25">
        <f t="shared" si="4"/>
        <v>0</v>
      </c>
      <c r="K25">
        <f t="shared" si="5"/>
        <v>0</v>
      </c>
      <c r="L25">
        <f t="shared" si="6"/>
        <v>0</v>
      </c>
      <c r="M25">
        <f t="shared" si="7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  <c r="S25">
        <f t="shared" si="13"/>
        <v>0</v>
      </c>
    </row>
    <row r="26" spans="1:19" x14ac:dyDescent="0.3">
      <c r="A26" s="1">
        <v>41646</v>
      </c>
      <c r="B26" s="1">
        <v>41651</v>
      </c>
      <c r="C26">
        <v>3.73</v>
      </c>
      <c r="D26">
        <v>0.1</v>
      </c>
      <c r="E26">
        <v>3</v>
      </c>
      <c r="F26">
        <f t="shared" si="0"/>
        <v>3.83</v>
      </c>
      <c r="G26">
        <f t="shared" si="1"/>
        <v>1</v>
      </c>
      <c r="H26">
        <f t="shared" si="2"/>
        <v>3.83</v>
      </c>
      <c r="I26">
        <f t="shared" si="3"/>
        <v>0</v>
      </c>
      <c r="J26">
        <f t="shared" si="4"/>
        <v>0</v>
      </c>
      <c r="K26">
        <f t="shared" si="5"/>
        <v>0</v>
      </c>
      <c r="L26">
        <f t="shared" si="6"/>
        <v>0</v>
      </c>
      <c r="M26">
        <f t="shared" si="7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  <c r="S26">
        <f t="shared" si="13"/>
        <v>0</v>
      </c>
    </row>
    <row r="27" spans="1:19" x14ac:dyDescent="0.3">
      <c r="A27" s="1">
        <v>41647</v>
      </c>
      <c r="B27" s="1">
        <v>41665</v>
      </c>
      <c r="C27">
        <v>6.58</v>
      </c>
      <c r="D27">
        <v>0.17</v>
      </c>
      <c r="E27">
        <v>3</v>
      </c>
      <c r="F27">
        <f t="shared" si="0"/>
        <v>6.75</v>
      </c>
      <c r="G27">
        <f t="shared" si="1"/>
        <v>1</v>
      </c>
      <c r="H27">
        <f t="shared" si="2"/>
        <v>6.75</v>
      </c>
      <c r="I27">
        <f t="shared" si="3"/>
        <v>0</v>
      </c>
      <c r="J27">
        <f t="shared" si="4"/>
        <v>0</v>
      </c>
      <c r="K27">
        <f t="shared" si="5"/>
        <v>0</v>
      </c>
      <c r="L27">
        <f t="shared" si="6"/>
        <v>0</v>
      </c>
      <c r="M27">
        <f t="shared" si="7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  <c r="S27">
        <f t="shared" si="13"/>
        <v>0</v>
      </c>
    </row>
    <row r="28" spans="1:19" x14ac:dyDescent="0.3">
      <c r="A28" s="1">
        <v>41647</v>
      </c>
      <c r="B28" s="1">
        <v>41664</v>
      </c>
      <c r="C28">
        <v>6.58</v>
      </c>
      <c r="D28">
        <v>0.17</v>
      </c>
      <c r="E28">
        <v>2</v>
      </c>
      <c r="F28">
        <f t="shared" si="0"/>
        <v>6.75</v>
      </c>
      <c r="G28">
        <f t="shared" si="1"/>
        <v>1</v>
      </c>
      <c r="H28">
        <f t="shared" si="2"/>
        <v>6.75</v>
      </c>
      <c r="I28">
        <f t="shared" si="3"/>
        <v>0</v>
      </c>
      <c r="J28">
        <f t="shared" si="4"/>
        <v>0</v>
      </c>
      <c r="K28">
        <f t="shared" si="5"/>
        <v>0</v>
      </c>
      <c r="L28">
        <f t="shared" si="6"/>
        <v>0</v>
      </c>
      <c r="M28">
        <f t="shared" si="7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  <c r="S28">
        <f t="shared" si="13"/>
        <v>0</v>
      </c>
    </row>
    <row r="29" spans="1:19" x14ac:dyDescent="0.3">
      <c r="A29" s="1">
        <v>41647</v>
      </c>
      <c r="B29" s="1">
        <v>41658</v>
      </c>
      <c r="C29">
        <v>5.67</v>
      </c>
      <c r="D29">
        <v>0.15</v>
      </c>
      <c r="E29">
        <v>5</v>
      </c>
      <c r="F29">
        <f t="shared" si="0"/>
        <v>5.82</v>
      </c>
      <c r="G29">
        <f t="shared" si="1"/>
        <v>1</v>
      </c>
      <c r="H29">
        <f t="shared" si="2"/>
        <v>5.82</v>
      </c>
      <c r="I29">
        <f t="shared" si="3"/>
        <v>0</v>
      </c>
      <c r="J29">
        <f t="shared" si="4"/>
        <v>0</v>
      </c>
      <c r="K29">
        <f t="shared" si="5"/>
        <v>0</v>
      </c>
      <c r="L29">
        <f t="shared" si="6"/>
        <v>0</v>
      </c>
      <c r="M29">
        <f t="shared" si="7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  <c r="S29">
        <f t="shared" si="13"/>
        <v>0</v>
      </c>
    </row>
    <row r="30" spans="1:19" x14ac:dyDescent="0.3">
      <c r="A30" s="1">
        <v>41648</v>
      </c>
      <c r="B30" s="1">
        <v>41674</v>
      </c>
      <c r="C30">
        <v>9.1300000000000008</v>
      </c>
      <c r="D30">
        <v>0.24</v>
      </c>
      <c r="E30">
        <v>2</v>
      </c>
      <c r="F30">
        <f t="shared" si="0"/>
        <v>9.370000000000001</v>
      </c>
      <c r="G30">
        <f t="shared" si="1"/>
        <v>1</v>
      </c>
      <c r="H30">
        <f t="shared" si="2"/>
        <v>9.370000000000001</v>
      </c>
      <c r="I30">
        <f t="shared" si="3"/>
        <v>0</v>
      </c>
      <c r="J30">
        <f t="shared" si="4"/>
        <v>0</v>
      </c>
      <c r="K30">
        <f t="shared" si="5"/>
        <v>0</v>
      </c>
      <c r="L30">
        <f t="shared" si="6"/>
        <v>0</v>
      </c>
      <c r="M30">
        <f t="shared" si="7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  <c r="S30">
        <f t="shared" si="13"/>
        <v>0</v>
      </c>
    </row>
    <row r="31" spans="1:19" x14ac:dyDescent="0.3">
      <c r="A31" s="1">
        <v>41648</v>
      </c>
      <c r="B31" s="1">
        <v>41658</v>
      </c>
      <c r="C31">
        <v>14.31</v>
      </c>
      <c r="D31">
        <v>0.38</v>
      </c>
      <c r="E31">
        <v>6</v>
      </c>
      <c r="F31">
        <f t="shared" si="0"/>
        <v>14.690000000000001</v>
      </c>
      <c r="G31">
        <f t="shared" si="1"/>
        <v>1</v>
      </c>
      <c r="H31">
        <f t="shared" si="2"/>
        <v>14.690000000000001</v>
      </c>
      <c r="I31">
        <f t="shared" si="3"/>
        <v>0</v>
      </c>
      <c r="J31">
        <f t="shared" si="4"/>
        <v>0</v>
      </c>
      <c r="K31">
        <f t="shared" si="5"/>
        <v>0</v>
      </c>
      <c r="L31">
        <f t="shared" si="6"/>
        <v>0</v>
      </c>
      <c r="M31">
        <f t="shared" si="7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  <c r="S31">
        <f t="shared" si="13"/>
        <v>0</v>
      </c>
    </row>
    <row r="32" spans="1:19" x14ac:dyDescent="0.3">
      <c r="A32" s="1">
        <v>41648</v>
      </c>
      <c r="B32" s="1">
        <v>41675</v>
      </c>
      <c r="C32">
        <v>3.79</v>
      </c>
      <c r="D32">
        <v>0.1</v>
      </c>
      <c r="E32">
        <v>5</v>
      </c>
      <c r="F32">
        <f t="shared" si="0"/>
        <v>3.89</v>
      </c>
      <c r="G32">
        <f t="shared" si="1"/>
        <v>1</v>
      </c>
      <c r="H32">
        <f t="shared" si="2"/>
        <v>3.89</v>
      </c>
      <c r="I32">
        <f t="shared" si="3"/>
        <v>0</v>
      </c>
      <c r="J32">
        <f t="shared" si="4"/>
        <v>0</v>
      </c>
      <c r="K32">
        <f t="shared" si="5"/>
        <v>0</v>
      </c>
      <c r="L32">
        <f t="shared" si="6"/>
        <v>0</v>
      </c>
      <c r="M32">
        <f t="shared" si="7"/>
        <v>0</v>
      </c>
      <c r="N32">
        <f t="shared" si="8"/>
        <v>0</v>
      </c>
      <c r="O32">
        <f t="shared" si="9"/>
        <v>0</v>
      </c>
      <c r="P32">
        <f t="shared" si="10"/>
        <v>0</v>
      </c>
      <c r="Q32">
        <f t="shared" si="11"/>
        <v>0</v>
      </c>
      <c r="R32">
        <f t="shared" si="12"/>
        <v>0</v>
      </c>
      <c r="S32">
        <f t="shared" si="13"/>
        <v>0</v>
      </c>
    </row>
    <row r="33" spans="1:19" x14ac:dyDescent="0.3">
      <c r="A33" s="1">
        <v>41648</v>
      </c>
      <c r="B33" s="1">
        <v>41666</v>
      </c>
      <c r="C33">
        <v>6.23</v>
      </c>
      <c r="D33">
        <v>0.16</v>
      </c>
      <c r="E33">
        <v>5</v>
      </c>
      <c r="F33">
        <f t="shared" si="0"/>
        <v>6.3900000000000006</v>
      </c>
      <c r="G33">
        <f t="shared" si="1"/>
        <v>1</v>
      </c>
      <c r="H33">
        <f t="shared" si="2"/>
        <v>6.3900000000000006</v>
      </c>
      <c r="I33">
        <f t="shared" si="3"/>
        <v>0</v>
      </c>
      <c r="J33">
        <f t="shared" si="4"/>
        <v>0</v>
      </c>
      <c r="K33">
        <f t="shared" si="5"/>
        <v>0</v>
      </c>
      <c r="L33">
        <f t="shared" si="6"/>
        <v>0</v>
      </c>
      <c r="M33">
        <f t="shared" si="7"/>
        <v>0</v>
      </c>
      <c r="N33">
        <f t="shared" si="8"/>
        <v>0</v>
      </c>
      <c r="O33">
        <f t="shared" si="9"/>
        <v>0</v>
      </c>
      <c r="P33">
        <f t="shared" si="10"/>
        <v>0</v>
      </c>
      <c r="Q33">
        <f t="shared" si="11"/>
        <v>0</v>
      </c>
      <c r="R33">
        <f t="shared" si="12"/>
        <v>0</v>
      </c>
      <c r="S33">
        <f t="shared" si="13"/>
        <v>0</v>
      </c>
    </row>
    <row r="34" spans="1:19" x14ac:dyDescent="0.3">
      <c r="A34" s="1">
        <v>41649</v>
      </c>
      <c r="B34" s="1">
        <v>41659</v>
      </c>
      <c r="C34">
        <v>3.57</v>
      </c>
      <c r="D34">
        <v>0.09</v>
      </c>
      <c r="E34">
        <v>6</v>
      </c>
      <c r="F34">
        <f t="shared" si="0"/>
        <v>3.6599999999999997</v>
      </c>
      <c r="G34">
        <f t="shared" si="1"/>
        <v>1</v>
      </c>
      <c r="H34">
        <f t="shared" si="2"/>
        <v>3.6599999999999997</v>
      </c>
      <c r="I34">
        <f t="shared" si="3"/>
        <v>0</v>
      </c>
      <c r="J34">
        <f t="shared" si="4"/>
        <v>0</v>
      </c>
      <c r="K34">
        <f t="shared" si="5"/>
        <v>0</v>
      </c>
      <c r="L34">
        <f t="shared" si="6"/>
        <v>0</v>
      </c>
      <c r="M34">
        <f t="shared" si="7"/>
        <v>0</v>
      </c>
      <c r="N34">
        <f t="shared" si="8"/>
        <v>0</v>
      </c>
      <c r="O34">
        <f t="shared" si="9"/>
        <v>0</v>
      </c>
      <c r="P34">
        <f t="shared" si="10"/>
        <v>0</v>
      </c>
      <c r="Q34">
        <f t="shared" si="11"/>
        <v>0</v>
      </c>
      <c r="R34">
        <f t="shared" si="12"/>
        <v>0</v>
      </c>
      <c r="S34">
        <f t="shared" si="13"/>
        <v>0</v>
      </c>
    </row>
    <row r="35" spans="1:19" x14ac:dyDescent="0.3">
      <c r="A35" s="1">
        <v>41649</v>
      </c>
      <c r="B35" s="1">
        <v>41652</v>
      </c>
      <c r="C35">
        <v>5.67</v>
      </c>
      <c r="D35">
        <v>0.15</v>
      </c>
      <c r="E35">
        <v>6</v>
      </c>
      <c r="F35">
        <f t="shared" si="0"/>
        <v>5.82</v>
      </c>
      <c r="G35">
        <f t="shared" si="1"/>
        <v>1</v>
      </c>
      <c r="H35">
        <f t="shared" si="2"/>
        <v>5.82</v>
      </c>
      <c r="I35">
        <f t="shared" si="3"/>
        <v>0</v>
      </c>
      <c r="J35">
        <f t="shared" si="4"/>
        <v>0</v>
      </c>
      <c r="K35">
        <f t="shared" si="5"/>
        <v>0</v>
      </c>
      <c r="L35">
        <f t="shared" si="6"/>
        <v>0</v>
      </c>
      <c r="M35">
        <f t="shared" si="7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  <c r="S35">
        <f t="shared" si="13"/>
        <v>0</v>
      </c>
    </row>
    <row r="36" spans="1:19" x14ac:dyDescent="0.3">
      <c r="A36" s="1">
        <v>41649</v>
      </c>
      <c r="B36" s="1">
        <v>41667</v>
      </c>
      <c r="C36">
        <v>8.7200000000000006</v>
      </c>
      <c r="D36">
        <v>0.23</v>
      </c>
      <c r="E36">
        <v>5</v>
      </c>
      <c r="F36">
        <f t="shared" si="0"/>
        <v>8.9500000000000011</v>
      </c>
      <c r="G36">
        <f t="shared" si="1"/>
        <v>1</v>
      </c>
      <c r="H36">
        <f t="shared" si="2"/>
        <v>8.9500000000000011</v>
      </c>
      <c r="I36">
        <f t="shared" si="3"/>
        <v>0</v>
      </c>
      <c r="J36">
        <f t="shared" si="4"/>
        <v>0</v>
      </c>
      <c r="K36">
        <f t="shared" si="5"/>
        <v>0</v>
      </c>
      <c r="L36">
        <f t="shared" si="6"/>
        <v>0</v>
      </c>
      <c r="M36">
        <f t="shared" si="7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  <c r="S36">
        <f t="shared" si="13"/>
        <v>0</v>
      </c>
    </row>
    <row r="37" spans="1:19" x14ac:dyDescent="0.3">
      <c r="A37" s="1">
        <v>41649</v>
      </c>
      <c r="B37" s="1">
        <v>41654</v>
      </c>
      <c r="C37">
        <v>4.66</v>
      </c>
      <c r="D37">
        <v>0.12</v>
      </c>
      <c r="E37">
        <v>3</v>
      </c>
      <c r="F37">
        <f t="shared" si="0"/>
        <v>4.78</v>
      </c>
      <c r="G37">
        <f t="shared" si="1"/>
        <v>1</v>
      </c>
      <c r="H37">
        <f t="shared" si="2"/>
        <v>4.78</v>
      </c>
      <c r="I37">
        <f t="shared" si="3"/>
        <v>0</v>
      </c>
      <c r="J37">
        <f t="shared" si="4"/>
        <v>0</v>
      </c>
      <c r="K37">
        <f t="shared" si="5"/>
        <v>0</v>
      </c>
      <c r="L37">
        <f t="shared" si="6"/>
        <v>0</v>
      </c>
      <c r="M37">
        <f t="shared" si="7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  <c r="S37">
        <f t="shared" si="13"/>
        <v>0</v>
      </c>
    </row>
    <row r="38" spans="1:19" x14ac:dyDescent="0.3">
      <c r="A38" s="1">
        <v>41651</v>
      </c>
      <c r="B38" s="1">
        <v>41659</v>
      </c>
      <c r="C38">
        <v>5.67</v>
      </c>
      <c r="D38">
        <v>0.15</v>
      </c>
      <c r="E38">
        <v>3</v>
      </c>
      <c r="F38">
        <f t="shared" si="0"/>
        <v>5.82</v>
      </c>
      <c r="G38">
        <f t="shared" si="1"/>
        <v>1</v>
      </c>
      <c r="H38">
        <f t="shared" si="2"/>
        <v>5.82</v>
      </c>
      <c r="I38">
        <f t="shared" si="3"/>
        <v>0</v>
      </c>
      <c r="J38">
        <f t="shared" si="4"/>
        <v>0</v>
      </c>
      <c r="K38">
        <f t="shared" si="5"/>
        <v>0</v>
      </c>
      <c r="L38">
        <f t="shared" si="6"/>
        <v>0</v>
      </c>
      <c r="M38">
        <f t="shared" si="7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  <c r="S38">
        <f t="shared" si="13"/>
        <v>0</v>
      </c>
    </row>
    <row r="39" spans="1:19" x14ac:dyDescent="0.3">
      <c r="A39" s="1">
        <v>41652</v>
      </c>
      <c r="B39" s="1">
        <v>41654</v>
      </c>
      <c r="C39">
        <v>7.06</v>
      </c>
      <c r="D39">
        <v>0.19</v>
      </c>
      <c r="E39">
        <v>2</v>
      </c>
      <c r="F39">
        <f t="shared" si="0"/>
        <v>7.25</v>
      </c>
      <c r="G39">
        <f t="shared" si="1"/>
        <v>1</v>
      </c>
      <c r="H39">
        <f t="shared" si="2"/>
        <v>7.25</v>
      </c>
      <c r="I39">
        <f t="shared" si="3"/>
        <v>0</v>
      </c>
      <c r="J39">
        <f t="shared" si="4"/>
        <v>0</v>
      </c>
      <c r="K39">
        <f t="shared" si="5"/>
        <v>0</v>
      </c>
      <c r="L39">
        <f t="shared" si="6"/>
        <v>0</v>
      </c>
      <c r="M39">
        <f t="shared" si="7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  <c r="S39">
        <f t="shared" si="13"/>
        <v>0</v>
      </c>
    </row>
    <row r="40" spans="1:19" x14ac:dyDescent="0.3">
      <c r="A40" s="1">
        <v>41652</v>
      </c>
      <c r="B40" s="1">
        <v>41661</v>
      </c>
      <c r="C40">
        <v>5.67</v>
      </c>
      <c r="D40">
        <v>0.15</v>
      </c>
      <c r="E40">
        <v>5</v>
      </c>
      <c r="F40">
        <f t="shared" si="0"/>
        <v>5.82</v>
      </c>
      <c r="G40">
        <f t="shared" si="1"/>
        <v>1</v>
      </c>
      <c r="H40">
        <f t="shared" si="2"/>
        <v>5.82</v>
      </c>
      <c r="I40">
        <f t="shared" si="3"/>
        <v>0</v>
      </c>
      <c r="J40">
        <f t="shared" si="4"/>
        <v>0</v>
      </c>
      <c r="K40">
        <f t="shared" si="5"/>
        <v>0</v>
      </c>
      <c r="L40">
        <f t="shared" si="6"/>
        <v>0</v>
      </c>
      <c r="M40">
        <f t="shared" si="7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  <c r="S40">
        <f t="shared" si="13"/>
        <v>0</v>
      </c>
    </row>
    <row r="41" spans="1:19" x14ac:dyDescent="0.3">
      <c r="A41" s="1">
        <v>41652</v>
      </c>
      <c r="B41" s="1">
        <v>41671</v>
      </c>
      <c r="C41">
        <v>6.34</v>
      </c>
      <c r="D41">
        <v>0.17</v>
      </c>
      <c r="E41">
        <v>3</v>
      </c>
      <c r="F41">
        <f t="shared" si="0"/>
        <v>6.51</v>
      </c>
      <c r="G41">
        <f t="shared" si="1"/>
        <v>1</v>
      </c>
      <c r="H41">
        <f t="shared" si="2"/>
        <v>6.51</v>
      </c>
      <c r="I41">
        <f t="shared" si="3"/>
        <v>0</v>
      </c>
      <c r="J41">
        <f t="shared" si="4"/>
        <v>0</v>
      </c>
      <c r="K41">
        <f t="shared" si="5"/>
        <v>0</v>
      </c>
      <c r="L41">
        <f t="shared" si="6"/>
        <v>0</v>
      </c>
      <c r="M41">
        <f t="shared" si="7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  <c r="S41">
        <f t="shared" si="13"/>
        <v>0</v>
      </c>
    </row>
    <row r="42" spans="1:19" x14ac:dyDescent="0.3">
      <c r="A42" s="1">
        <v>41652</v>
      </c>
      <c r="B42" s="1">
        <v>41656</v>
      </c>
      <c r="C42">
        <v>7.31</v>
      </c>
      <c r="D42">
        <v>0.19</v>
      </c>
      <c r="E42">
        <v>3</v>
      </c>
      <c r="F42">
        <f t="shared" si="0"/>
        <v>7.5</v>
      </c>
      <c r="G42">
        <f t="shared" si="1"/>
        <v>1</v>
      </c>
      <c r="H42">
        <f t="shared" si="2"/>
        <v>7.5</v>
      </c>
      <c r="I42">
        <f t="shared" si="3"/>
        <v>0</v>
      </c>
      <c r="J42">
        <f t="shared" si="4"/>
        <v>0</v>
      </c>
      <c r="K42">
        <f t="shared" si="5"/>
        <v>0</v>
      </c>
      <c r="L42">
        <f t="shared" si="6"/>
        <v>0</v>
      </c>
      <c r="M42">
        <f t="shared" si="7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  <c r="S42">
        <f t="shared" si="13"/>
        <v>0</v>
      </c>
    </row>
    <row r="43" spans="1:19" x14ac:dyDescent="0.3">
      <c r="A43" s="1">
        <v>41652</v>
      </c>
      <c r="B43" s="1">
        <v>41668</v>
      </c>
      <c r="C43">
        <v>6.75</v>
      </c>
      <c r="D43">
        <v>0.18</v>
      </c>
      <c r="E43">
        <v>3</v>
      </c>
      <c r="F43">
        <f t="shared" si="0"/>
        <v>6.93</v>
      </c>
      <c r="G43">
        <f t="shared" si="1"/>
        <v>1</v>
      </c>
      <c r="H43">
        <f t="shared" si="2"/>
        <v>6.93</v>
      </c>
      <c r="I43">
        <f t="shared" si="3"/>
        <v>0</v>
      </c>
      <c r="J43">
        <f t="shared" si="4"/>
        <v>0</v>
      </c>
      <c r="K43">
        <f t="shared" si="5"/>
        <v>0</v>
      </c>
      <c r="L43">
        <f t="shared" si="6"/>
        <v>0</v>
      </c>
      <c r="M43">
        <f t="shared" si="7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  <c r="S43">
        <f t="shared" si="13"/>
        <v>0</v>
      </c>
    </row>
    <row r="44" spans="1:19" x14ac:dyDescent="0.3">
      <c r="A44" s="1">
        <v>41652</v>
      </c>
      <c r="B44" s="1">
        <v>41680</v>
      </c>
      <c r="C44">
        <v>3.57</v>
      </c>
      <c r="D44">
        <v>0.09</v>
      </c>
      <c r="E44">
        <v>2</v>
      </c>
      <c r="F44">
        <f t="shared" si="0"/>
        <v>3.6599999999999997</v>
      </c>
      <c r="G44">
        <f t="shared" si="1"/>
        <v>1</v>
      </c>
      <c r="H44">
        <f t="shared" si="2"/>
        <v>3.6599999999999997</v>
      </c>
      <c r="I44">
        <f t="shared" si="3"/>
        <v>0</v>
      </c>
      <c r="J44">
        <f t="shared" si="4"/>
        <v>0</v>
      </c>
      <c r="K44">
        <f t="shared" si="5"/>
        <v>0</v>
      </c>
      <c r="L44">
        <f t="shared" si="6"/>
        <v>0</v>
      </c>
      <c r="M44">
        <f t="shared" si="7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  <c r="S44">
        <f t="shared" si="13"/>
        <v>0</v>
      </c>
    </row>
    <row r="45" spans="1:19" x14ac:dyDescent="0.3">
      <c r="A45" s="1">
        <v>41653</v>
      </c>
      <c r="B45" s="1">
        <v>41664</v>
      </c>
      <c r="C45">
        <v>8.5399999999999991</v>
      </c>
      <c r="D45">
        <v>0.22</v>
      </c>
      <c r="E45">
        <v>2</v>
      </c>
      <c r="F45">
        <f t="shared" si="0"/>
        <v>8.76</v>
      </c>
      <c r="G45">
        <f t="shared" si="1"/>
        <v>1</v>
      </c>
      <c r="H45">
        <f t="shared" si="2"/>
        <v>8.76</v>
      </c>
      <c r="I45">
        <f t="shared" si="3"/>
        <v>0</v>
      </c>
      <c r="J45">
        <f t="shared" si="4"/>
        <v>0</v>
      </c>
      <c r="K45">
        <f t="shared" si="5"/>
        <v>0</v>
      </c>
      <c r="L45">
        <f t="shared" si="6"/>
        <v>0</v>
      </c>
      <c r="M45">
        <f t="shared" si="7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  <c r="S45">
        <f t="shared" si="13"/>
        <v>0</v>
      </c>
    </row>
    <row r="46" spans="1:19" x14ac:dyDescent="0.3">
      <c r="A46" s="1">
        <v>41653</v>
      </c>
      <c r="B46" s="1">
        <v>41655</v>
      </c>
      <c r="C46">
        <v>8.9499999999999993</v>
      </c>
      <c r="D46">
        <v>0.24</v>
      </c>
      <c r="E46">
        <v>4</v>
      </c>
      <c r="F46">
        <f t="shared" si="0"/>
        <v>9.19</v>
      </c>
      <c r="G46">
        <f t="shared" si="1"/>
        <v>1</v>
      </c>
      <c r="H46">
        <f t="shared" si="2"/>
        <v>9.19</v>
      </c>
      <c r="I46">
        <f t="shared" si="3"/>
        <v>0</v>
      </c>
      <c r="J46">
        <f t="shared" si="4"/>
        <v>0</v>
      </c>
      <c r="K46">
        <f t="shared" si="5"/>
        <v>0</v>
      </c>
      <c r="L46">
        <f t="shared" si="6"/>
        <v>0</v>
      </c>
      <c r="M46">
        <f t="shared" si="7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  <c r="S46">
        <f t="shared" si="13"/>
        <v>0</v>
      </c>
    </row>
    <row r="47" spans="1:19" x14ac:dyDescent="0.3">
      <c r="A47" s="1">
        <v>41653</v>
      </c>
      <c r="B47" s="1">
        <v>41677</v>
      </c>
      <c r="C47">
        <v>6.34</v>
      </c>
      <c r="D47">
        <v>0.17</v>
      </c>
      <c r="E47">
        <v>6</v>
      </c>
      <c r="F47">
        <f t="shared" si="0"/>
        <v>6.51</v>
      </c>
      <c r="G47">
        <f t="shared" si="1"/>
        <v>1</v>
      </c>
      <c r="H47">
        <f t="shared" si="2"/>
        <v>6.51</v>
      </c>
      <c r="I47">
        <f t="shared" si="3"/>
        <v>0</v>
      </c>
      <c r="J47">
        <f t="shared" si="4"/>
        <v>0</v>
      </c>
      <c r="K47">
        <f t="shared" si="5"/>
        <v>0</v>
      </c>
      <c r="L47">
        <f t="shared" si="6"/>
        <v>0</v>
      </c>
      <c r="M47">
        <f t="shared" si="7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  <c r="S47">
        <f t="shared" si="13"/>
        <v>0</v>
      </c>
    </row>
    <row r="48" spans="1:19" x14ac:dyDescent="0.3">
      <c r="A48" s="1">
        <v>41653</v>
      </c>
      <c r="B48" s="1">
        <v>41672</v>
      </c>
      <c r="C48">
        <v>12.23</v>
      </c>
      <c r="D48">
        <v>0.32</v>
      </c>
      <c r="E48">
        <v>3</v>
      </c>
      <c r="F48">
        <f t="shared" si="0"/>
        <v>12.55</v>
      </c>
      <c r="G48">
        <f t="shared" si="1"/>
        <v>1</v>
      </c>
      <c r="H48">
        <f t="shared" si="2"/>
        <v>12.55</v>
      </c>
      <c r="I48">
        <f t="shared" si="3"/>
        <v>0</v>
      </c>
      <c r="J48">
        <f t="shared" si="4"/>
        <v>0</v>
      </c>
      <c r="K48">
        <f t="shared" si="5"/>
        <v>0</v>
      </c>
      <c r="L48">
        <f t="shared" si="6"/>
        <v>0</v>
      </c>
      <c r="M48">
        <f t="shared" si="7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  <c r="S48">
        <f t="shared" si="13"/>
        <v>0</v>
      </c>
    </row>
    <row r="49" spans="1:19" x14ac:dyDescent="0.3">
      <c r="A49" s="1">
        <v>41653</v>
      </c>
      <c r="B49" s="1">
        <v>41668</v>
      </c>
      <c r="C49">
        <v>8.7200000000000006</v>
      </c>
      <c r="D49">
        <v>0.23</v>
      </c>
      <c r="E49">
        <v>5</v>
      </c>
      <c r="F49">
        <f t="shared" si="0"/>
        <v>8.9500000000000011</v>
      </c>
      <c r="G49">
        <f t="shared" si="1"/>
        <v>1</v>
      </c>
      <c r="H49">
        <f t="shared" si="2"/>
        <v>8.9500000000000011</v>
      </c>
      <c r="I49">
        <f t="shared" si="3"/>
        <v>0</v>
      </c>
      <c r="J49">
        <f t="shared" si="4"/>
        <v>0</v>
      </c>
      <c r="K49">
        <f t="shared" si="5"/>
        <v>0</v>
      </c>
      <c r="L49">
        <f t="shared" si="6"/>
        <v>0</v>
      </c>
      <c r="M49">
        <f t="shared" si="7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  <c r="S49">
        <f t="shared" si="13"/>
        <v>0</v>
      </c>
    </row>
    <row r="50" spans="1:19" x14ac:dyDescent="0.3">
      <c r="A50" s="1">
        <v>41653</v>
      </c>
      <c r="B50" s="1">
        <v>41671</v>
      </c>
      <c r="C50">
        <v>16.55</v>
      </c>
      <c r="D50">
        <v>0.44</v>
      </c>
      <c r="E50">
        <v>6</v>
      </c>
      <c r="F50">
        <f t="shared" si="0"/>
        <v>16.990000000000002</v>
      </c>
      <c r="G50">
        <f t="shared" si="1"/>
        <v>1</v>
      </c>
      <c r="H50">
        <f t="shared" si="2"/>
        <v>16.990000000000002</v>
      </c>
      <c r="I50">
        <f t="shared" si="3"/>
        <v>0</v>
      </c>
      <c r="J50">
        <f t="shared" si="4"/>
        <v>0</v>
      </c>
      <c r="K50">
        <f t="shared" si="5"/>
        <v>0</v>
      </c>
      <c r="L50">
        <f t="shared" si="6"/>
        <v>0</v>
      </c>
      <c r="M50">
        <f t="shared" si="7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  <c r="S50">
        <f t="shared" si="13"/>
        <v>0</v>
      </c>
    </row>
    <row r="51" spans="1:19" x14ac:dyDescent="0.3">
      <c r="A51" s="1">
        <v>41653</v>
      </c>
      <c r="B51" s="1">
        <v>41656</v>
      </c>
      <c r="C51">
        <v>7.55</v>
      </c>
      <c r="D51">
        <v>0.2</v>
      </c>
      <c r="E51">
        <v>2</v>
      </c>
      <c r="F51">
        <f t="shared" si="0"/>
        <v>7.75</v>
      </c>
      <c r="G51">
        <f t="shared" si="1"/>
        <v>1</v>
      </c>
      <c r="H51">
        <f t="shared" si="2"/>
        <v>7.75</v>
      </c>
      <c r="I51">
        <f t="shared" si="3"/>
        <v>0</v>
      </c>
      <c r="J51">
        <f t="shared" si="4"/>
        <v>0</v>
      </c>
      <c r="K51">
        <f t="shared" si="5"/>
        <v>0</v>
      </c>
      <c r="L51">
        <f t="shared" si="6"/>
        <v>0</v>
      </c>
      <c r="M51">
        <f t="shared" si="7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  <c r="S51">
        <f t="shared" si="13"/>
        <v>0</v>
      </c>
    </row>
    <row r="52" spans="1:19" x14ac:dyDescent="0.3">
      <c r="A52" s="1">
        <v>41653</v>
      </c>
      <c r="B52" s="1">
        <v>41668</v>
      </c>
      <c r="C52">
        <v>5.78</v>
      </c>
      <c r="D52">
        <v>0.15</v>
      </c>
      <c r="E52">
        <v>2</v>
      </c>
      <c r="F52">
        <f t="shared" si="0"/>
        <v>5.9300000000000006</v>
      </c>
      <c r="G52">
        <f t="shared" si="1"/>
        <v>1</v>
      </c>
      <c r="H52">
        <f t="shared" si="2"/>
        <v>5.9300000000000006</v>
      </c>
      <c r="I52">
        <f t="shared" si="3"/>
        <v>0</v>
      </c>
      <c r="J52">
        <f t="shared" si="4"/>
        <v>0</v>
      </c>
      <c r="K52">
        <f t="shared" si="5"/>
        <v>0</v>
      </c>
      <c r="L52">
        <f t="shared" si="6"/>
        <v>0</v>
      </c>
      <c r="M52">
        <f t="shared" si="7"/>
        <v>0</v>
      </c>
      <c r="N52">
        <f t="shared" si="8"/>
        <v>0</v>
      </c>
      <c r="O52">
        <f t="shared" si="9"/>
        <v>0</v>
      </c>
      <c r="P52">
        <f t="shared" si="10"/>
        <v>0</v>
      </c>
      <c r="Q52">
        <f t="shared" si="11"/>
        <v>0</v>
      </c>
      <c r="R52">
        <f t="shared" si="12"/>
        <v>0</v>
      </c>
      <c r="S52">
        <f t="shared" si="13"/>
        <v>0</v>
      </c>
    </row>
    <row r="53" spans="1:19" x14ac:dyDescent="0.3">
      <c r="A53" s="1">
        <v>41653</v>
      </c>
      <c r="B53" s="1">
        <v>41658</v>
      </c>
      <c r="C53">
        <v>8.83</v>
      </c>
      <c r="D53">
        <v>0.23</v>
      </c>
      <c r="E53">
        <v>3</v>
      </c>
      <c r="F53">
        <f t="shared" si="0"/>
        <v>9.06</v>
      </c>
      <c r="G53">
        <f t="shared" si="1"/>
        <v>1</v>
      </c>
      <c r="H53">
        <f t="shared" si="2"/>
        <v>9.06</v>
      </c>
      <c r="I53">
        <f t="shared" si="3"/>
        <v>0</v>
      </c>
      <c r="J53">
        <f t="shared" si="4"/>
        <v>0</v>
      </c>
      <c r="K53">
        <f t="shared" si="5"/>
        <v>0</v>
      </c>
      <c r="L53">
        <f t="shared" si="6"/>
        <v>0</v>
      </c>
      <c r="M53">
        <f t="shared" si="7"/>
        <v>0</v>
      </c>
      <c r="N53">
        <f t="shared" si="8"/>
        <v>0</v>
      </c>
      <c r="O53">
        <f t="shared" si="9"/>
        <v>0</v>
      </c>
      <c r="P53">
        <f t="shared" si="10"/>
        <v>0</v>
      </c>
      <c r="Q53">
        <f t="shared" si="11"/>
        <v>0</v>
      </c>
      <c r="R53">
        <f t="shared" si="12"/>
        <v>0</v>
      </c>
      <c r="S53">
        <f t="shared" si="13"/>
        <v>0</v>
      </c>
    </row>
    <row r="54" spans="1:19" x14ac:dyDescent="0.3">
      <c r="A54" s="1">
        <v>41653</v>
      </c>
      <c r="B54" s="1">
        <v>41655</v>
      </c>
      <c r="C54">
        <v>8.89</v>
      </c>
      <c r="D54">
        <v>0.23</v>
      </c>
      <c r="E54">
        <v>4</v>
      </c>
      <c r="F54">
        <f t="shared" si="0"/>
        <v>9.120000000000001</v>
      </c>
      <c r="G54">
        <f t="shared" si="1"/>
        <v>1</v>
      </c>
      <c r="H54">
        <f t="shared" si="2"/>
        <v>9.120000000000001</v>
      </c>
      <c r="I54">
        <f t="shared" si="3"/>
        <v>0</v>
      </c>
      <c r="J54">
        <f t="shared" si="4"/>
        <v>0</v>
      </c>
      <c r="K54">
        <f t="shared" si="5"/>
        <v>0</v>
      </c>
      <c r="L54">
        <f t="shared" si="6"/>
        <v>0</v>
      </c>
      <c r="M54">
        <f t="shared" si="7"/>
        <v>0</v>
      </c>
      <c r="N54">
        <f t="shared" si="8"/>
        <v>0</v>
      </c>
      <c r="O54">
        <f t="shared" si="9"/>
        <v>0</v>
      </c>
      <c r="P54">
        <f t="shared" si="10"/>
        <v>0</v>
      </c>
      <c r="Q54">
        <f t="shared" si="11"/>
        <v>0</v>
      </c>
      <c r="R54">
        <f t="shared" si="12"/>
        <v>0</v>
      </c>
      <c r="S54">
        <f t="shared" si="13"/>
        <v>0</v>
      </c>
    </row>
    <row r="55" spans="1:19" x14ac:dyDescent="0.3">
      <c r="A55" s="1">
        <v>41653</v>
      </c>
      <c r="B55" s="1">
        <v>41657</v>
      </c>
      <c r="C55">
        <v>2.72</v>
      </c>
      <c r="D55">
        <v>7.0000000000000007E-2</v>
      </c>
      <c r="E55">
        <v>6</v>
      </c>
      <c r="F55">
        <f t="shared" si="0"/>
        <v>2.79</v>
      </c>
      <c r="G55">
        <f t="shared" si="1"/>
        <v>1</v>
      </c>
      <c r="H55">
        <f t="shared" si="2"/>
        <v>2.79</v>
      </c>
      <c r="I55">
        <f t="shared" si="3"/>
        <v>0</v>
      </c>
      <c r="J55">
        <f t="shared" si="4"/>
        <v>0</v>
      </c>
      <c r="K55">
        <f t="shared" si="5"/>
        <v>0</v>
      </c>
      <c r="L55">
        <f t="shared" si="6"/>
        <v>0</v>
      </c>
      <c r="M55">
        <f t="shared" si="7"/>
        <v>0</v>
      </c>
      <c r="N55">
        <f t="shared" si="8"/>
        <v>0</v>
      </c>
      <c r="O55">
        <f t="shared" si="9"/>
        <v>0</v>
      </c>
      <c r="P55">
        <f t="shared" si="10"/>
        <v>0</v>
      </c>
      <c r="Q55">
        <f t="shared" si="11"/>
        <v>0</v>
      </c>
      <c r="R55">
        <f t="shared" si="12"/>
        <v>0</v>
      </c>
      <c r="S55">
        <f t="shared" si="13"/>
        <v>0</v>
      </c>
    </row>
    <row r="56" spans="1:19" x14ac:dyDescent="0.3">
      <c r="A56" s="1">
        <v>41653</v>
      </c>
      <c r="B56" s="1">
        <v>41675</v>
      </c>
      <c r="C56">
        <v>11.42</v>
      </c>
      <c r="D56">
        <v>0.3</v>
      </c>
      <c r="E56">
        <v>2</v>
      </c>
      <c r="F56">
        <f t="shared" si="0"/>
        <v>11.72</v>
      </c>
      <c r="G56">
        <f t="shared" si="1"/>
        <v>1</v>
      </c>
      <c r="H56">
        <f t="shared" si="2"/>
        <v>11.72</v>
      </c>
      <c r="I56">
        <f t="shared" si="3"/>
        <v>0</v>
      </c>
      <c r="J56">
        <f t="shared" si="4"/>
        <v>0</v>
      </c>
      <c r="K56">
        <f t="shared" si="5"/>
        <v>0</v>
      </c>
      <c r="L56">
        <f t="shared" si="6"/>
        <v>0</v>
      </c>
      <c r="M56">
        <f t="shared" si="7"/>
        <v>0</v>
      </c>
      <c r="N56">
        <f t="shared" si="8"/>
        <v>0</v>
      </c>
      <c r="O56">
        <f t="shared" si="9"/>
        <v>0</v>
      </c>
      <c r="P56">
        <f t="shared" si="10"/>
        <v>0</v>
      </c>
      <c r="Q56">
        <f t="shared" si="11"/>
        <v>0</v>
      </c>
      <c r="R56">
        <f t="shared" si="12"/>
        <v>0</v>
      </c>
      <c r="S56">
        <f t="shared" si="13"/>
        <v>0</v>
      </c>
    </row>
    <row r="57" spans="1:19" x14ac:dyDescent="0.3">
      <c r="A57" s="1">
        <v>41653</v>
      </c>
      <c r="B57" s="1">
        <v>41675</v>
      </c>
      <c r="C57">
        <v>5.23</v>
      </c>
      <c r="D57">
        <v>0.14000000000000001</v>
      </c>
      <c r="E57">
        <v>2</v>
      </c>
      <c r="F57">
        <f t="shared" si="0"/>
        <v>5.37</v>
      </c>
      <c r="G57">
        <f t="shared" si="1"/>
        <v>1</v>
      </c>
      <c r="H57">
        <f t="shared" si="2"/>
        <v>5.37</v>
      </c>
      <c r="I57">
        <f t="shared" si="3"/>
        <v>0</v>
      </c>
      <c r="J57">
        <f t="shared" si="4"/>
        <v>0</v>
      </c>
      <c r="K57">
        <f t="shared" si="5"/>
        <v>0</v>
      </c>
      <c r="L57">
        <f t="shared" si="6"/>
        <v>0</v>
      </c>
      <c r="M57">
        <f t="shared" si="7"/>
        <v>0</v>
      </c>
      <c r="N57">
        <f t="shared" si="8"/>
        <v>0</v>
      </c>
      <c r="O57">
        <f t="shared" si="9"/>
        <v>0</v>
      </c>
      <c r="P57">
        <f t="shared" si="10"/>
        <v>0</v>
      </c>
      <c r="Q57">
        <f t="shared" si="11"/>
        <v>0</v>
      </c>
      <c r="R57">
        <f t="shared" si="12"/>
        <v>0</v>
      </c>
      <c r="S57">
        <f t="shared" si="13"/>
        <v>0</v>
      </c>
    </row>
    <row r="58" spans="1:19" x14ac:dyDescent="0.3">
      <c r="A58" s="1">
        <v>41653</v>
      </c>
      <c r="B58" s="1">
        <v>41657</v>
      </c>
      <c r="C58">
        <v>6.58</v>
      </c>
      <c r="D58">
        <v>0.17</v>
      </c>
      <c r="E58">
        <v>4</v>
      </c>
      <c r="F58">
        <f t="shared" si="0"/>
        <v>6.75</v>
      </c>
      <c r="G58">
        <f t="shared" si="1"/>
        <v>1</v>
      </c>
      <c r="H58">
        <f t="shared" si="2"/>
        <v>6.75</v>
      </c>
      <c r="I58">
        <f t="shared" si="3"/>
        <v>0</v>
      </c>
      <c r="J58">
        <f t="shared" si="4"/>
        <v>0</v>
      </c>
      <c r="K58">
        <f t="shared" si="5"/>
        <v>0</v>
      </c>
      <c r="L58">
        <f t="shared" si="6"/>
        <v>0</v>
      </c>
      <c r="M58">
        <f t="shared" si="7"/>
        <v>0</v>
      </c>
      <c r="N58">
        <f t="shared" si="8"/>
        <v>0</v>
      </c>
      <c r="O58">
        <f t="shared" si="9"/>
        <v>0</v>
      </c>
      <c r="P58">
        <f t="shared" si="10"/>
        <v>0</v>
      </c>
      <c r="Q58">
        <f t="shared" si="11"/>
        <v>0</v>
      </c>
      <c r="R58">
        <f t="shared" si="12"/>
        <v>0</v>
      </c>
      <c r="S58">
        <f t="shared" si="13"/>
        <v>0</v>
      </c>
    </row>
    <row r="59" spans="1:19" x14ac:dyDescent="0.3">
      <c r="A59" s="1">
        <v>41653</v>
      </c>
      <c r="B59" s="1">
        <v>41679</v>
      </c>
      <c r="C59">
        <v>9.74</v>
      </c>
      <c r="D59">
        <v>0.26</v>
      </c>
      <c r="E59">
        <v>4</v>
      </c>
      <c r="F59">
        <f t="shared" si="0"/>
        <v>10</v>
      </c>
      <c r="G59">
        <f t="shared" si="1"/>
        <v>1</v>
      </c>
      <c r="H59">
        <f t="shared" si="2"/>
        <v>10</v>
      </c>
      <c r="I59">
        <f t="shared" si="3"/>
        <v>0</v>
      </c>
      <c r="J59">
        <f t="shared" si="4"/>
        <v>0</v>
      </c>
      <c r="K59">
        <f t="shared" si="5"/>
        <v>0</v>
      </c>
      <c r="L59">
        <f t="shared" si="6"/>
        <v>0</v>
      </c>
      <c r="M59">
        <f t="shared" si="7"/>
        <v>0</v>
      </c>
      <c r="N59">
        <f t="shared" si="8"/>
        <v>0</v>
      </c>
      <c r="O59">
        <f t="shared" si="9"/>
        <v>0</v>
      </c>
      <c r="P59">
        <f t="shared" si="10"/>
        <v>0</v>
      </c>
      <c r="Q59">
        <f t="shared" si="11"/>
        <v>0</v>
      </c>
      <c r="R59">
        <f t="shared" si="12"/>
        <v>0</v>
      </c>
      <c r="S59">
        <f t="shared" si="13"/>
        <v>0</v>
      </c>
    </row>
    <row r="60" spans="1:19" x14ac:dyDescent="0.3">
      <c r="A60" s="1">
        <v>41653</v>
      </c>
      <c r="B60" s="1">
        <v>41659</v>
      </c>
      <c r="C60">
        <v>6.75</v>
      </c>
      <c r="D60">
        <v>0.18</v>
      </c>
      <c r="E60">
        <v>6</v>
      </c>
      <c r="F60">
        <f t="shared" si="0"/>
        <v>6.93</v>
      </c>
      <c r="G60">
        <f t="shared" si="1"/>
        <v>1</v>
      </c>
      <c r="H60">
        <f t="shared" si="2"/>
        <v>6.93</v>
      </c>
      <c r="I60">
        <f t="shared" si="3"/>
        <v>0</v>
      </c>
      <c r="J60">
        <f t="shared" si="4"/>
        <v>0</v>
      </c>
      <c r="K60">
        <f t="shared" si="5"/>
        <v>0</v>
      </c>
      <c r="L60">
        <f t="shared" si="6"/>
        <v>0</v>
      </c>
      <c r="M60">
        <f t="shared" si="7"/>
        <v>0</v>
      </c>
      <c r="N60">
        <f t="shared" si="8"/>
        <v>0</v>
      </c>
      <c r="O60">
        <f t="shared" si="9"/>
        <v>0</v>
      </c>
      <c r="P60">
        <f t="shared" si="10"/>
        <v>0</v>
      </c>
      <c r="Q60">
        <f t="shared" si="11"/>
        <v>0</v>
      </c>
      <c r="R60">
        <f t="shared" si="12"/>
        <v>0</v>
      </c>
      <c r="S60">
        <f t="shared" si="13"/>
        <v>0</v>
      </c>
    </row>
    <row r="61" spans="1:19" x14ac:dyDescent="0.3">
      <c r="A61" s="1">
        <v>41653</v>
      </c>
      <c r="B61" s="1">
        <v>41671</v>
      </c>
      <c r="C61">
        <v>16.829999999999998</v>
      </c>
      <c r="D61">
        <v>0.44</v>
      </c>
      <c r="E61">
        <v>4</v>
      </c>
      <c r="F61">
        <f t="shared" si="0"/>
        <v>17.27</v>
      </c>
      <c r="G61">
        <f t="shared" si="1"/>
        <v>1</v>
      </c>
      <c r="H61">
        <f t="shared" si="2"/>
        <v>17.27</v>
      </c>
      <c r="I61">
        <f t="shared" si="3"/>
        <v>0</v>
      </c>
      <c r="J61">
        <f t="shared" si="4"/>
        <v>0</v>
      </c>
      <c r="K61">
        <f t="shared" si="5"/>
        <v>0</v>
      </c>
      <c r="L61">
        <f t="shared" si="6"/>
        <v>0</v>
      </c>
      <c r="M61">
        <f t="shared" si="7"/>
        <v>0</v>
      </c>
      <c r="N61">
        <f t="shared" si="8"/>
        <v>0</v>
      </c>
      <c r="O61">
        <f t="shared" si="9"/>
        <v>0</v>
      </c>
      <c r="P61">
        <f t="shared" si="10"/>
        <v>0</v>
      </c>
      <c r="Q61">
        <f t="shared" si="11"/>
        <v>0</v>
      </c>
      <c r="R61">
        <f t="shared" si="12"/>
        <v>0</v>
      </c>
      <c r="S61">
        <f t="shared" si="13"/>
        <v>0</v>
      </c>
    </row>
    <row r="62" spans="1:19" x14ac:dyDescent="0.3">
      <c r="A62" s="1">
        <v>41653</v>
      </c>
      <c r="B62" s="1">
        <v>41676</v>
      </c>
      <c r="C62">
        <v>10.79</v>
      </c>
      <c r="D62">
        <v>0.28000000000000003</v>
      </c>
      <c r="E62">
        <v>3</v>
      </c>
      <c r="F62">
        <f t="shared" si="0"/>
        <v>11.069999999999999</v>
      </c>
      <c r="G62">
        <f t="shared" si="1"/>
        <v>1</v>
      </c>
      <c r="H62">
        <f t="shared" si="2"/>
        <v>11.069999999999999</v>
      </c>
      <c r="I62">
        <f t="shared" si="3"/>
        <v>0</v>
      </c>
      <c r="J62">
        <f t="shared" si="4"/>
        <v>0</v>
      </c>
      <c r="K62">
        <f t="shared" si="5"/>
        <v>0</v>
      </c>
      <c r="L62">
        <f t="shared" si="6"/>
        <v>0</v>
      </c>
      <c r="M62">
        <f t="shared" si="7"/>
        <v>0</v>
      </c>
      <c r="N62">
        <f t="shared" si="8"/>
        <v>0</v>
      </c>
      <c r="O62">
        <f t="shared" si="9"/>
        <v>0</v>
      </c>
      <c r="P62">
        <f t="shared" si="10"/>
        <v>0</v>
      </c>
      <c r="Q62">
        <f t="shared" si="11"/>
        <v>0</v>
      </c>
      <c r="R62">
        <f t="shared" si="12"/>
        <v>0</v>
      </c>
      <c r="S62">
        <f t="shared" si="13"/>
        <v>0</v>
      </c>
    </row>
    <row r="63" spans="1:19" x14ac:dyDescent="0.3">
      <c r="A63" s="1">
        <v>41653</v>
      </c>
      <c r="B63" s="1">
        <v>41669</v>
      </c>
      <c r="C63">
        <v>10.19</v>
      </c>
      <c r="D63">
        <v>0.27</v>
      </c>
      <c r="E63">
        <v>5</v>
      </c>
      <c r="F63">
        <f t="shared" si="0"/>
        <v>10.459999999999999</v>
      </c>
      <c r="G63">
        <f t="shared" si="1"/>
        <v>1</v>
      </c>
      <c r="H63">
        <f t="shared" si="2"/>
        <v>10.459999999999999</v>
      </c>
      <c r="I63">
        <f t="shared" si="3"/>
        <v>0</v>
      </c>
      <c r="J63">
        <f t="shared" si="4"/>
        <v>0</v>
      </c>
      <c r="K63">
        <f t="shared" si="5"/>
        <v>0</v>
      </c>
      <c r="L63">
        <f t="shared" si="6"/>
        <v>0</v>
      </c>
      <c r="M63">
        <f t="shared" si="7"/>
        <v>0</v>
      </c>
      <c r="N63">
        <f t="shared" si="8"/>
        <v>0</v>
      </c>
      <c r="O63">
        <f t="shared" si="9"/>
        <v>0</v>
      </c>
      <c r="P63">
        <f t="shared" si="10"/>
        <v>0</v>
      </c>
      <c r="Q63">
        <f t="shared" si="11"/>
        <v>0</v>
      </c>
      <c r="R63">
        <f t="shared" si="12"/>
        <v>0</v>
      </c>
      <c r="S63">
        <f t="shared" si="13"/>
        <v>0</v>
      </c>
    </row>
    <row r="64" spans="1:19" x14ac:dyDescent="0.3">
      <c r="A64" s="1">
        <v>41653</v>
      </c>
      <c r="B64" s="1">
        <v>41678</v>
      </c>
      <c r="C64">
        <v>10.93</v>
      </c>
      <c r="D64">
        <v>0.28999999999999998</v>
      </c>
      <c r="E64">
        <v>6</v>
      </c>
      <c r="F64">
        <f t="shared" si="0"/>
        <v>11.219999999999999</v>
      </c>
      <c r="G64">
        <f t="shared" si="1"/>
        <v>1</v>
      </c>
      <c r="H64">
        <f t="shared" si="2"/>
        <v>11.219999999999999</v>
      </c>
      <c r="I64">
        <f t="shared" si="3"/>
        <v>0</v>
      </c>
      <c r="J64">
        <f t="shared" si="4"/>
        <v>0</v>
      </c>
      <c r="K64">
        <f t="shared" si="5"/>
        <v>0</v>
      </c>
      <c r="L64">
        <f t="shared" si="6"/>
        <v>0</v>
      </c>
      <c r="M64">
        <f t="shared" si="7"/>
        <v>0</v>
      </c>
      <c r="N64">
        <f t="shared" si="8"/>
        <v>0</v>
      </c>
      <c r="O64">
        <f t="shared" si="9"/>
        <v>0</v>
      </c>
      <c r="P64">
        <f t="shared" si="10"/>
        <v>0</v>
      </c>
      <c r="Q64">
        <f t="shared" si="11"/>
        <v>0</v>
      </c>
      <c r="R64">
        <f t="shared" si="12"/>
        <v>0</v>
      </c>
      <c r="S64">
        <f t="shared" si="13"/>
        <v>0</v>
      </c>
    </row>
    <row r="65" spans="1:19" x14ac:dyDescent="0.3">
      <c r="A65" s="1">
        <v>41654</v>
      </c>
      <c r="B65" s="1">
        <v>41661</v>
      </c>
      <c r="C65">
        <v>9.74</v>
      </c>
      <c r="D65">
        <v>0.26</v>
      </c>
      <c r="E65">
        <v>5</v>
      </c>
      <c r="F65">
        <f t="shared" si="0"/>
        <v>10</v>
      </c>
      <c r="G65">
        <f t="shared" si="1"/>
        <v>1</v>
      </c>
      <c r="H65">
        <f t="shared" si="2"/>
        <v>10</v>
      </c>
      <c r="I65">
        <f t="shared" si="3"/>
        <v>0</v>
      </c>
      <c r="J65">
        <f t="shared" si="4"/>
        <v>0</v>
      </c>
      <c r="K65">
        <f t="shared" si="5"/>
        <v>0</v>
      </c>
      <c r="L65">
        <f t="shared" si="6"/>
        <v>0</v>
      </c>
      <c r="M65">
        <f t="shared" si="7"/>
        <v>0</v>
      </c>
      <c r="N65">
        <f t="shared" si="8"/>
        <v>0</v>
      </c>
      <c r="O65">
        <f t="shared" si="9"/>
        <v>0</v>
      </c>
      <c r="P65">
        <f t="shared" si="10"/>
        <v>0</v>
      </c>
      <c r="Q65">
        <f t="shared" si="11"/>
        <v>0</v>
      </c>
      <c r="R65">
        <f t="shared" si="12"/>
        <v>0</v>
      </c>
      <c r="S65">
        <f t="shared" si="13"/>
        <v>0</v>
      </c>
    </row>
    <row r="66" spans="1:19" x14ac:dyDescent="0.3">
      <c r="A66" s="1">
        <v>41654</v>
      </c>
      <c r="B66" s="1">
        <v>41669</v>
      </c>
      <c r="C66">
        <v>14.31</v>
      </c>
      <c r="D66">
        <v>0.38</v>
      </c>
      <c r="E66">
        <v>6</v>
      </c>
      <c r="F66">
        <f t="shared" si="0"/>
        <v>14.690000000000001</v>
      </c>
      <c r="G66">
        <f t="shared" si="1"/>
        <v>1</v>
      </c>
      <c r="H66">
        <f t="shared" si="2"/>
        <v>14.690000000000001</v>
      </c>
      <c r="I66">
        <f t="shared" si="3"/>
        <v>0</v>
      </c>
      <c r="J66">
        <f t="shared" si="4"/>
        <v>0</v>
      </c>
      <c r="K66">
        <f t="shared" si="5"/>
        <v>0</v>
      </c>
      <c r="L66">
        <f t="shared" si="6"/>
        <v>0</v>
      </c>
      <c r="M66">
        <f t="shared" si="7"/>
        <v>0</v>
      </c>
      <c r="N66">
        <f t="shared" si="8"/>
        <v>0</v>
      </c>
      <c r="O66">
        <f t="shared" si="9"/>
        <v>0</v>
      </c>
      <c r="P66">
        <f t="shared" si="10"/>
        <v>0</v>
      </c>
      <c r="Q66">
        <f t="shared" si="11"/>
        <v>0</v>
      </c>
      <c r="R66">
        <f t="shared" si="12"/>
        <v>0</v>
      </c>
      <c r="S66">
        <f t="shared" si="13"/>
        <v>0</v>
      </c>
    </row>
    <row r="67" spans="1:19" x14ac:dyDescent="0.3">
      <c r="A67" s="1">
        <v>41654</v>
      </c>
      <c r="B67" s="1">
        <v>41663</v>
      </c>
      <c r="C67">
        <v>7.35</v>
      </c>
      <c r="D67">
        <v>0.19</v>
      </c>
      <c r="E67">
        <v>4</v>
      </c>
      <c r="F67">
        <f t="shared" ref="F67:F130" si="14">C67+D67</f>
        <v>7.54</v>
      </c>
      <c r="G67">
        <f t="shared" ref="G67:G130" si="15">MONTH(A67)</f>
        <v>1</v>
      </c>
      <c r="H67">
        <f t="shared" ref="H67:H130" si="16">IF(EXACT(G67,1),F67,0)</f>
        <v>7.54</v>
      </c>
      <c r="I67">
        <f t="shared" ref="I67:I130" si="17">IF(EXACT(G67,2),F67,0)</f>
        <v>0</v>
      </c>
      <c r="J67">
        <f t="shared" ref="J67:J130" si="18">IF(EXACT(G67,3),F67,0)</f>
        <v>0</v>
      </c>
      <c r="K67">
        <f t="shared" ref="K67:K130" si="19">IF(EXACT(G67,4),F67,0)</f>
        <v>0</v>
      </c>
      <c r="L67">
        <f t="shared" ref="L67:L130" si="20">IF(EXACT(G67,5),F67,0)</f>
        <v>0</v>
      </c>
      <c r="M67">
        <f t="shared" ref="M67:M130" si="21">IF(EXACT(G67,6),F67,0)</f>
        <v>0</v>
      </c>
      <c r="N67">
        <f t="shared" ref="N67:N130" si="22">IF(EXACT(G67,7),F67,0)</f>
        <v>0</v>
      </c>
      <c r="O67">
        <f t="shared" ref="O67:O130" si="23">IF(EXACT(G67,8),F67,0)</f>
        <v>0</v>
      </c>
      <c r="P67">
        <f t="shared" ref="P67:P130" si="24">IF(EXACT(G67,9),F67,0)</f>
        <v>0</v>
      </c>
      <c r="Q67">
        <f t="shared" ref="Q67:Q130" si="25">IF(EXACT(G67,10),F67,0)</f>
        <v>0</v>
      </c>
      <c r="R67">
        <f t="shared" ref="R67:R130" si="26">IF(EXACT(G67,11),F67,0)</f>
        <v>0</v>
      </c>
      <c r="S67">
        <f t="shared" ref="S67:S130" si="27">IF(EXACT(G67,12),F67,0)</f>
        <v>0</v>
      </c>
    </row>
    <row r="68" spans="1:19" x14ac:dyDescent="0.3">
      <c r="A68" s="1">
        <v>41654</v>
      </c>
      <c r="B68" s="1">
        <v>41670</v>
      </c>
      <c r="C68">
        <v>9.74</v>
      </c>
      <c r="D68">
        <v>0.26</v>
      </c>
      <c r="E68">
        <v>5</v>
      </c>
      <c r="F68">
        <f t="shared" si="14"/>
        <v>10</v>
      </c>
      <c r="G68">
        <f t="shared" si="15"/>
        <v>1</v>
      </c>
      <c r="H68">
        <f t="shared" si="16"/>
        <v>10</v>
      </c>
      <c r="I68">
        <f t="shared" si="17"/>
        <v>0</v>
      </c>
      <c r="J68">
        <f t="shared" si="18"/>
        <v>0</v>
      </c>
      <c r="K68">
        <f t="shared" si="19"/>
        <v>0</v>
      </c>
      <c r="L68">
        <f t="shared" si="20"/>
        <v>0</v>
      </c>
      <c r="M68">
        <f t="shared" si="21"/>
        <v>0</v>
      </c>
      <c r="N68">
        <f t="shared" si="22"/>
        <v>0</v>
      </c>
      <c r="O68">
        <f t="shared" si="23"/>
        <v>0</v>
      </c>
      <c r="P68">
        <f t="shared" si="24"/>
        <v>0</v>
      </c>
      <c r="Q68">
        <f t="shared" si="25"/>
        <v>0</v>
      </c>
      <c r="R68">
        <f t="shared" si="26"/>
        <v>0</v>
      </c>
      <c r="S68">
        <f t="shared" si="27"/>
        <v>0</v>
      </c>
    </row>
    <row r="69" spans="1:19" x14ac:dyDescent="0.3">
      <c r="A69" s="1">
        <v>41654</v>
      </c>
      <c r="B69" s="1">
        <v>41666</v>
      </c>
      <c r="C69">
        <v>14.13</v>
      </c>
      <c r="D69">
        <v>0.37</v>
      </c>
      <c r="E69">
        <v>2</v>
      </c>
      <c r="F69">
        <f t="shared" si="14"/>
        <v>14.5</v>
      </c>
      <c r="G69">
        <f t="shared" si="15"/>
        <v>1</v>
      </c>
      <c r="H69">
        <f t="shared" si="16"/>
        <v>14.5</v>
      </c>
      <c r="I69">
        <f t="shared" si="17"/>
        <v>0</v>
      </c>
      <c r="J69">
        <f t="shared" si="18"/>
        <v>0</v>
      </c>
      <c r="K69">
        <f t="shared" si="19"/>
        <v>0</v>
      </c>
      <c r="L69">
        <f t="shared" si="20"/>
        <v>0</v>
      </c>
      <c r="M69">
        <f t="shared" si="21"/>
        <v>0</v>
      </c>
      <c r="N69">
        <f t="shared" si="22"/>
        <v>0</v>
      </c>
      <c r="O69">
        <f t="shared" si="23"/>
        <v>0</v>
      </c>
      <c r="P69">
        <f t="shared" si="24"/>
        <v>0</v>
      </c>
      <c r="Q69">
        <f t="shared" si="25"/>
        <v>0</v>
      </c>
      <c r="R69">
        <f t="shared" si="26"/>
        <v>0</v>
      </c>
      <c r="S69">
        <f t="shared" si="27"/>
        <v>0</v>
      </c>
    </row>
    <row r="70" spans="1:19" x14ac:dyDescent="0.3">
      <c r="A70" s="1">
        <v>41654</v>
      </c>
      <c r="B70" s="1">
        <v>41658</v>
      </c>
      <c r="C70">
        <v>12.01</v>
      </c>
      <c r="D70">
        <v>0.32</v>
      </c>
      <c r="E70">
        <v>3</v>
      </c>
      <c r="F70">
        <f t="shared" si="14"/>
        <v>12.33</v>
      </c>
      <c r="G70">
        <f t="shared" si="15"/>
        <v>1</v>
      </c>
      <c r="H70">
        <f t="shared" si="16"/>
        <v>12.33</v>
      </c>
      <c r="I70">
        <f t="shared" si="17"/>
        <v>0</v>
      </c>
      <c r="J70">
        <f t="shared" si="18"/>
        <v>0</v>
      </c>
      <c r="K70">
        <f t="shared" si="19"/>
        <v>0</v>
      </c>
      <c r="L70">
        <f t="shared" si="20"/>
        <v>0</v>
      </c>
      <c r="M70">
        <f t="shared" si="21"/>
        <v>0</v>
      </c>
      <c r="N70">
        <f t="shared" si="22"/>
        <v>0</v>
      </c>
      <c r="O70">
        <f t="shared" si="23"/>
        <v>0</v>
      </c>
      <c r="P70">
        <f t="shared" si="24"/>
        <v>0</v>
      </c>
      <c r="Q70">
        <f t="shared" si="25"/>
        <v>0</v>
      </c>
      <c r="R70">
        <f t="shared" si="26"/>
        <v>0</v>
      </c>
      <c r="S70">
        <f t="shared" si="27"/>
        <v>0</v>
      </c>
    </row>
    <row r="71" spans="1:19" x14ac:dyDescent="0.3">
      <c r="A71" s="1">
        <v>41654</v>
      </c>
      <c r="B71" s="1">
        <v>41669</v>
      </c>
      <c r="C71">
        <v>13.07</v>
      </c>
      <c r="D71">
        <v>0.34</v>
      </c>
      <c r="E71">
        <v>6</v>
      </c>
      <c r="F71">
        <f t="shared" si="14"/>
        <v>13.41</v>
      </c>
      <c r="G71">
        <f t="shared" si="15"/>
        <v>1</v>
      </c>
      <c r="H71">
        <f t="shared" si="16"/>
        <v>13.41</v>
      </c>
      <c r="I71">
        <f t="shared" si="17"/>
        <v>0</v>
      </c>
      <c r="J71">
        <f t="shared" si="18"/>
        <v>0</v>
      </c>
      <c r="K71">
        <f t="shared" si="19"/>
        <v>0</v>
      </c>
      <c r="L71">
        <f t="shared" si="20"/>
        <v>0</v>
      </c>
      <c r="M71">
        <f t="shared" si="21"/>
        <v>0</v>
      </c>
      <c r="N71">
        <f t="shared" si="22"/>
        <v>0</v>
      </c>
      <c r="O71">
        <f t="shared" si="23"/>
        <v>0</v>
      </c>
      <c r="P71">
        <f t="shared" si="24"/>
        <v>0</v>
      </c>
      <c r="Q71">
        <f t="shared" si="25"/>
        <v>0</v>
      </c>
      <c r="R71">
        <f t="shared" si="26"/>
        <v>0</v>
      </c>
      <c r="S71">
        <f t="shared" si="27"/>
        <v>0</v>
      </c>
    </row>
    <row r="72" spans="1:19" x14ac:dyDescent="0.3">
      <c r="A72" s="1">
        <v>41654</v>
      </c>
      <c r="B72" s="1">
        <v>41659</v>
      </c>
      <c r="C72">
        <v>14</v>
      </c>
      <c r="D72">
        <v>0.37</v>
      </c>
      <c r="E72">
        <v>5</v>
      </c>
      <c r="F72">
        <f t="shared" si="14"/>
        <v>14.37</v>
      </c>
      <c r="G72">
        <f t="shared" si="15"/>
        <v>1</v>
      </c>
      <c r="H72">
        <f t="shared" si="16"/>
        <v>14.37</v>
      </c>
      <c r="I72">
        <f t="shared" si="17"/>
        <v>0</v>
      </c>
      <c r="J72">
        <f t="shared" si="18"/>
        <v>0</v>
      </c>
      <c r="K72">
        <f t="shared" si="19"/>
        <v>0</v>
      </c>
      <c r="L72">
        <f t="shared" si="20"/>
        <v>0</v>
      </c>
      <c r="M72">
        <f t="shared" si="21"/>
        <v>0</v>
      </c>
      <c r="N72">
        <f t="shared" si="22"/>
        <v>0</v>
      </c>
      <c r="O72">
        <f t="shared" si="23"/>
        <v>0</v>
      </c>
      <c r="P72">
        <f t="shared" si="24"/>
        <v>0</v>
      </c>
      <c r="Q72">
        <f t="shared" si="25"/>
        <v>0</v>
      </c>
      <c r="R72">
        <f t="shared" si="26"/>
        <v>0</v>
      </c>
      <c r="S72">
        <f t="shared" si="27"/>
        <v>0</v>
      </c>
    </row>
    <row r="73" spans="1:19" x14ac:dyDescent="0.3">
      <c r="A73" s="1">
        <v>41654</v>
      </c>
      <c r="B73" s="1">
        <v>41671</v>
      </c>
      <c r="C73">
        <v>13.02</v>
      </c>
      <c r="D73">
        <v>0.34</v>
      </c>
      <c r="E73">
        <v>2</v>
      </c>
      <c r="F73">
        <f t="shared" si="14"/>
        <v>13.36</v>
      </c>
      <c r="G73">
        <f t="shared" si="15"/>
        <v>1</v>
      </c>
      <c r="H73">
        <f t="shared" si="16"/>
        <v>13.36</v>
      </c>
      <c r="I73">
        <f t="shared" si="17"/>
        <v>0</v>
      </c>
      <c r="J73">
        <f t="shared" si="18"/>
        <v>0</v>
      </c>
      <c r="K73">
        <f t="shared" si="19"/>
        <v>0</v>
      </c>
      <c r="L73">
        <f t="shared" si="20"/>
        <v>0</v>
      </c>
      <c r="M73">
        <f t="shared" si="21"/>
        <v>0</v>
      </c>
      <c r="N73">
        <f t="shared" si="22"/>
        <v>0</v>
      </c>
      <c r="O73">
        <f t="shared" si="23"/>
        <v>0</v>
      </c>
      <c r="P73">
        <f t="shared" si="24"/>
        <v>0</v>
      </c>
      <c r="Q73">
        <f t="shared" si="25"/>
        <v>0</v>
      </c>
      <c r="R73">
        <f t="shared" si="26"/>
        <v>0</v>
      </c>
      <c r="S73">
        <f t="shared" si="27"/>
        <v>0</v>
      </c>
    </row>
    <row r="74" spans="1:19" x14ac:dyDescent="0.3">
      <c r="A74" s="1">
        <v>41654</v>
      </c>
      <c r="B74" s="1">
        <v>41658</v>
      </c>
      <c r="C74">
        <v>6.75</v>
      </c>
      <c r="D74">
        <v>0.18</v>
      </c>
      <c r="E74">
        <v>5</v>
      </c>
      <c r="F74">
        <f t="shared" si="14"/>
        <v>6.93</v>
      </c>
      <c r="G74">
        <f t="shared" si="15"/>
        <v>1</v>
      </c>
      <c r="H74">
        <f t="shared" si="16"/>
        <v>6.93</v>
      </c>
      <c r="I74">
        <f t="shared" si="17"/>
        <v>0</v>
      </c>
      <c r="J74">
        <f t="shared" si="18"/>
        <v>0</v>
      </c>
      <c r="K74">
        <f t="shared" si="19"/>
        <v>0</v>
      </c>
      <c r="L74">
        <f t="shared" si="20"/>
        <v>0</v>
      </c>
      <c r="M74">
        <f t="shared" si="21"/>
        <v>0</v>
      </c>
      <c r="N74">
        <f t="shared" si="22"/>
        <v>0</v>
      </c>
      <c r="O74">
        <f t="shared" si="23"/>
        <v>0</v>
      </c>
      <c r="P74">
        <f t="shared" si="24"/>
        <v>0</v>
      </c>
      <c r="Q74">
        <f t="shared" si="25"/>
        <v>0</v>
      </c>
      <c r="R74">
        <f t="shared" si="26"/>
        <v>0</v>
      </c>
      <c r="S74">
        <f t="shared" si="27"/>
        <v>0</v>
      </c>
    </row>
    <row r="75" spans="1:19" x14ac:dyDescent="0.3">
      <c r="A75" s="1">
        <v>41654</v>
      </c>
      <c r="B75" s="1">
        <v>41670</v>
      </c>
      <c r="C75">
        <v>3.88</v>
      </c>
      <c r="D75">
        <v>0.1</v>
      </c>
      <c r="E75">
        <v>2</v>
      </c>
      <c r="F75">
        <f t="shared" si="14"/>
        <v>3.98</v>
      </c>
      <c r="G75">
        <f t="shared" si="15"/>
        <v>1</v>
      </c>
      <c r="H75">
        <f t="shared" si="16"/>
        <v>3.98</v>
      </c>
      <c r="I75">
        <f t="shared" si="17"/>
        <v>0</v>
      </c>
      <c r="J75">
        <f t="shared" si="18"/>
        <v>0</v>
      </c>
      <c r="K75">
        <f t="shared" si="19"/>
        <v>0</v>
      </c>
      <c r="L75">
        <f t="shared" si="20"/>
        <v>0</v>
      </c>
      <c r="M75">
        <f t="shared" si="21"/>
        <v>0</v>
      </c>
      <c r="N75">
        <f t="shared" si="22"/>
        <v>0</v>
      </c>
      <c r="O75">
        <f t="shared" si="23"/>
        <v>0</v>
      </c>
      <c r="P75">
        <f t="shared" si="24"/>
        <v>0</v>
      </c>
      <c r="Q75">
        <f t="shared" si="25"/>
        <v>0</v>
      </c>
      <c r="R75">
        <f t="shared" si="26"/>
        <v>0</v>
      </c>
      <c r="S75">
        <f t="shared" si="27"/>
        <v>0</v>
      </c>
    </row>
    <row r="76" spans="1:19" x14ac:dyDescent="0.3">
      <c r="A76" s="1">
        <v>41654</v>
      </c>
      <c r="B76" s="1">
        <v>41657</v>
      </c>
      <c r="C76">
        <v>4.66</v>
      </c>
      <c r="D76">
        <v>0.12</v>
      </c>
      <c r="E76">
        <v>6</v>
      </c>
      <c r="F76">
        <f t="shared" si="14"/>
        <v>4.78</v>
      </c>
      <c r="G76">
        <f t="shared" si="15"/>
        <v>1</v>
      </c>
      <c r="H76">
        <f t="shared" si="16"/>
        <v>4.78</v>
      </c>
      <c r="I76">
        <f t="shared" si="17"/>
        <v>0</v>
      </c>
      <c r="J76">
        <f t="shared" si="18"/>
        <v>0</v>
      </c>
      <c r="K76">
        <f t="shared" si="19"/>
        <v>0</v>
      </c>
      <c r="L76">
        <f t="shared" si="20"/>
        <v>0</v>
      </c>
      <c r="M76">
        <f t="shared" si="21"/>
        <v>0</v>
      </c>
      <c r="N76">
        <f t="shared" si="22"/>
        <v>0</v>
      </c>
      <c r="O76">
        <f t="shared" si="23"/>
        <v>0</v>
      </c>
      <c r="P76">
        <f t="shared" si="24"/>
        <v>0</v>
      </c>
      <c r="Q76">
        <f t="shared" si="25"/>
        <v>0</v>
      </c>
      <c r="R76">
        <f t="shared" si="26"/>
        <v>0</v>
      </c>
      <c r="S76">
        <f t="shared" si="27"/>
        <v>0</v>
      </c>
    </row>
    <row r="77" spans="1:19" x14ac:dyDescent="0.3">
      <c r="A77" s="1">
        <v>41654</v>
      </c>
      <c r="B77" s="1">
        <v>41661</v>
      </c>
      <c r="C77">
        <v>2.29</v>
      </c>
      <c r="D77">
        <v>0.06</v>
      </c>
      <c r="E77">
        <v>4</v>
      </c>
      <c r="F77">
        <f t="shared" si="14"/>
        <v>2.35</v>
      </c>
      <c r="G77">
        <f t="shared" si="15"/>
        <v>1</v>
      </c>
      <c r="H77">
        <f t="shared" si="16"/>
        <v>2.35</v>
      </c>
      <c r="I77">
        <f t="shared" si="17"/>
        <v>0</v>
      </c>
      <c r="J77">
        <f t="shared" si="18"/>
        <v>0</v>
      </c>
      <c r="K77">
        <f t="shared" si="19"/>
        <v>0</v>
      </c>
      <c r="L77">
        <f t="shared" si="20"/>
        <v>0</v>
      </c>
      <c r="M77">
        <f t="shared" si="21"/>
        <v>0</v>
      </c>
      <c r="N77">
        <f t="shared" si="22"/>
        <v>0</v>
      </c>
      <c r="O77">
        <f t="shared" si="23"/>
        <v>0</v>
      </c>
      <c r="P77">
        <f t="shared" si="24"/>
        <v>0</v>
      </c>
      <c r="Q77">
        <f t="shared" si="25"/>
        <v>0</v>
      </c>
      <c r="R77">
        <f t="shared" si="26"/>
        <v>0</v>
      </c>
      <c r="S77">
        <f t="shared" si="27"/>
        <v>0</v>
      </c>
    </row>
    <row r="78" spans="1:19" x14ac:dyDescent="0.3">
      <c r="A78" s="1">
        <v>41654</v>
      </c>
      <c r="B78" s="1">
        <v>41665</v>
      </c>
      <c r="C78">
        <v>7.31</v>
      </c>
      <c r="D78">
        <v>0.19</v>
      </c>
      <c r="E78">
        <v>6</v>
      </c>
      <c r="F78">
        <f t="shared" si="14"/>
        <v>7.5</v>
      </c>
      <c r="G78">
        <f t="shared" si="15"/>
        <v>1</v>
      </c>
      <c r="H78">
        <f t="shared" si="16"/>
        <v>7.5</v>
      </c>
      <c r="I78">
        <f t="shared" si="17"/>
        <v>0</v>
      </c>
      <c r="J78">
        <f t="shared" si="18"/>
        <v>0</v>
      </c>
      <c r="K78">
        <f t="shared" si="19"/>
        <v>0</v>
      </c>
      <c r="L78">
        <f t="shared" si="20"/>
        <v>0</v>
      </c>
      <c r="M78">
        <f t="shared" si="21"/>
        <v>0</v>
      </c>
      <c r="N78">
        <f t="shared" si="22"/>
        <v>0</v>
      </c>
      <c r="O78">
        <f t="shared" si="23"/>
        <v>0</v>
      </c>
      <c r="P78">
        <f t="shared" si="24"/>
        <v>0</v>
      </c>
      <c r="Q78">
        <f t="shared" si="25"/>
        <v>0</v>
      </c>
      <c r="R78">
        <f t="shared" si="26"/>
        <v>0</v>
      </c>
      <c r="S78">
        <f t="shared" si="27"/>
        <v>0</v>
      </c>
    </row>
    <row r="79" spans="1:19" x14ac:dyDescent="0.3">
      <c r="A79" s="1">
        <v>41654</v>
      </c>
      <c r="B79" s="1">
        <v>41682</v>
      </c>
      <c r="C79">
        <v>6.23</v>
      </c>
      <c r="D79">
        <v>0.16</v>
      </c>
      <c r="E79">
        <v>6</v>
      </c>
      <c r="F79">
        <f t="shared" si="14"/>
        <v>6.3900000000000006</v>
      </c>
      <c r="G79">
        <f t="shared" si="15"/>
        <v>1</v>
      </c>
      <c r="H79">
        <f t="shared" si="16"/>
        <v>6.3900000000000006</v>
      </c>
      <c r="I79">
        <f t="shared" si="17"/>
        <v>0</v>
      </c>
      <c r="J79">
        <f t="shared" si="18"/>
        <v>0</v>
      </c>
      <c r="K79">
        <f t="shared" si="19"/>
        <v>0</v>
      </c>
      <c r="L79">
        <f t="shared" si="20"/>
        <v>0</v>
      </c>
      <c r="M79">
        <f t="shared" si="21"/>
        <v>0</v>
      </c>
      <c r="N79">
        <f t="shared" si="22"/>
        <v>0</v>
      </c>
      <c r="O79">
        <f t="shared" si="23"/>
        <v>0</v>
      </c>
      <c r="P79">
        <f t="shared" si="24"/>
        <v>0</v>
      </c>
      <c r="Q79">
        <f t="shared" si="25"/>
        <v>0</v>
      </c>
      <c r="R79">
        <f t="shared" si="26"/>
        <v>0</v>
      </c>
      <c r="S79">
        <f t="shared" si="27"/>
        <v>0</v>
      </c>
    </row>
    <row r="80" spans="1:19" x14ac:dyDescent="0.3">
      <c r="A80" s="1">
        <v>41654</v>
      </c>
      <c r="B80" s="1">
        <v>41663</v>
      </c>
      <c r="C80">
        <v>3.88</v>
      </c>
      <c r="D80">
        <v>0.1</v>
      </c>
      <c r="E80">
        <v>2</v>
      </c>
      <c r="F80">
        <f t="shared" si="14"/>
        <v>3.98</v>
      </c>
      <c r="G80">
        <f t="shared" si="15"/>
        <v>1</v>
      </c>
      <c r="H80">
        <f t="shared" si="16"/>
        <v>3.98</v>
      </c>
      <c r="I80">
        <f t="shared" si="17"/>
        <v>0</v>
      </c>
      <c r="J80">
        <f t="shared" si="18"/>
        <v>0</v>
      </c>
      <c r="K80">
        <f t="shared" si="19"/>
        <v>0</v>
      </c>
      <c r="L80">
        <f t="shared" si="20"/>
        <v>0</v>
      </c>
      <c r="M80">
        <f t="shared" si="21"/>
        <v>0</v>
      </c>
      <c r="N80">
        <f t="shared" si="22"/>
        <v>0</v>
      </c>
      <c r="O80">
        <f t="shared" si="23"/>
        <v>0</v>
      </c>
      <c r="P80">
        <f t="shared" si="24"/>
        <v>0</v>
      </c>
      <c r="Q80">
        <f t="shared" si="25"/>
        <v>0</v>
      </c>
      <c r="R80">
        <f t="shared" si="26"/>
        <v>0</v>
      </c>
      <c r="S80">
        <f t="shared" si="27"/>
        <v>0</v>
      </c>
    </row>
    <row r="81" spans="1:19" x14ac:dyDescent="0.3">
      <c r="A81" s="1">
        <v>41654</v>
      </c>
      <c r="B81" s="1">
        <v>41662</v>
      </c>
      <c r="C81">
        <v>8.51</v>
      </c>
      <c r="D81">
        <v>0.22</v>
      </c>
      <c r="E81">
        <v>2</v>
      </c>
      <c r="F81">
        <f t="shared" si="14"/>
        <v>8.73</v>
      </c>
      <c r="G81">
        <f t="shared" si="15"/>
        <v>1</v>
      </c>
      <c r="H81">
        <f t="shared" si="16"/>
        <v>8.73</v>
      </c>
      <c r="I81">
        <f t="shared" si="17"/>
        <v>0</v>
      </c>
      <c r="J81">
        <f t="shared" si="18"/>
        <v>0</v>
      </c>
      <c r="K81">
        <f t="shared" si="19"/>
        <v>0</v>
      </c>
      <c r="L81">
        <f t="shared" si="20"/>
        <v>0</v>
      </c>
      <c r="M81">
        <f t="shared" si="21"/>
        <v>0</v>
      </c>
      <c r="N81">
        <f t="shared" si="22"/>
        <v>0</v>
      </c>
      <c r="O81">
        <f t="shared" si="23"/>
        <v>0</v>
      </c>
      <c r="P81">
        <f t="shared" si="24"/>
        <v>0</v>
      </c>
      <c r="Q81">
        <f t="shared" si="25"/>
        <v>0</v>
      </c>
      <c r="R81">
        <f t="shared" si="26"/>
        <v>0</v>
      </c>
      <c r="S81">
        <f t="shared" si="27"/>
        <v>0</v>
      </c>
    </row>
    <row r="82" spans="1:19" x14ac:dyDescent="0.3">
      <c r="A82" s="1">
        <v>41654</v>
      </c>
      <c r="B82" s="1">
        <v>41657</v>
      </c>
      <c r="C82">
        <v>8.51</v>
      </c>
      <c r="D82">
        <v>0.22</v>
      </c>
      <c r="E82">
        <v>4</v>
      </c>
      <c r="F82">
        <f t="shared" si="14"/>
        <v>8.73</v>
      </c>
      <c r="G82">
        <f t="shared" si="15"/>
        <v>1</v>
      </c>
      <c r="H82">
        <f t="shared" si="16"/>
        <v>8.73</v>
      </c>
      <c r="I82">
        <f t="shared" si="17"/>
        <v>0</v>
      </c>
      <c r="J82">
        <f t="shared" si="18"/>
        <v>0</v>
      </c>
      <c r="K82">
        <f t="shared" si="19"/>
        <v>0</v>
      </c>
      <c r="L82">
        <f t="shared" si="20"/>
        <v>0</v>
      </c>
      <c r="M82">
        <f t="shared" si="21"/>
        <v>0</v>
      </c>
      <c r="N82">
        <f t="shared" si="22"/>
        <v>0</v>
      </c>
      <c r="O82">
        <f t="shared" si="23"/>
        <v>0</v>
      </c>
      <c r="P82">
        <f t="shared" si="24"/>
        <v>0</v>
      </c>
      <c r="Q82">
        <f t="shared" si="25"/>
        <v>0</v>
      </c>
      <c r="R82">
        <f t="shared" si="26"/>
        <v>0</v>
      </c>
      <c r="S82">
        <f t="shared" si="27"/>
        <v>0</v>
      </c>
    </row>
    <row r="83" spans="1:19" x14ac:dyDescent="0.3">
      <c r="A83" s="1">
        <v>41654</v>
      </c>
      <c r="B83" s="1">
        <v>41676</v>
      </c>
      <c r="C83">
        <v>9.1300000000000008</v>
      </c>
      <c r="D83">
        <v>0.24</v>
      </c>
      <c r="E83">
        <v>2</v>
      </c>
      <c r="F83">
        <f t="shared" si="14"/>
        <v>9.370000000000001</v>
      </c>
      <c r="G83">
        <f t="shared" si="15"/>
        <v>1</v>
      </c>
      <c r="H83">
        <f t="shared" si="16"/>
        <v>9.370000000000001</v>
      </c>
      <c r="I83">
        <f t="shared" si="17"/>
        <v>0</v>
      </c>
      <c r="J83">
        <f t="shared" si="18"/>
        <v>0</v>
      </c>
      <c r="K83">
        <f t="shared" si="19"/>
        <v>0</v>
      </c>
      <c r="L83">
        <f t="shared" si="20"/>
        <v>0</v>
      </c>
      <c r="M83">
        <f t="shared" si="21"/>
        <v>0</v>
      </c>
      <c r="N83">
        <f t="shared" si="22"/>
        <v>0</v>
      </c>
      <c r="O83">
        <f t="shared" si="23"/>
        <v>0</v>
      </c>
      <c r="P83">
        <f t="shared" si="24"/>
        <v>0</v>
      </c>
      <c r="Q83">
        <f t="shared" si="25"/>
        <v>0</v>
      </c>
      <c r="R83">
        <f t="shared" si="26"/>
        <v>0</v>
      </c>
      <c r="S83">
        <f t="shared" si="27"/>
        <v>0</v>
      </c>
    </row>
    <row r="84" spans="1:19" x14ac:dyDescent="0.3">
      <c r="A84" s="1">
        <v>41654</v>
      </c>
      <c r="B84" s="1">
        <v>41658</v>
      </c>
      <c r="C84">
        <v>3.88</v>
      </c>
      <c r="D84">
        <v>0.1</v>
      </c>
      <c r="E84">
        <v>2</v>
      </c>
      <c r="F84">
        <f t="shared" si="14"/>
        <v>3.98</v>
      </c>
      <c r="G84">
        <f t="shared" si="15"/>
        <v>1</v>
      </c>
      <c r="H84">
        <f t="shared" si="16"/>
        <v>3.98</v>
      </c>
      <c r="I84">
        <f t="shared" si="17"/>
        <v>0</v>
      </c>
      <c r="J84">
        <f t="shared" si="18"/>
        <v>0</v>
      </c>
      <c r="K84">
        <f t="shared" si="19"/>
        <v>0</v>
      </c>
      <c r="L84">
        <f t="shared" si="20"/>
        <v>0</v>
      </c>
      <c r="M84">
        <f t="shared" si="21"/>
        <v>0</v>
      </c>
      <c r="N84">
        <f t="shared" si="22"/>
        <v>0</v>
      </c>
      <c r="O84">
        <f t="shared" si="23"/>
        <v>0</v>
      </c>
      <c r="P84">
        <f t="shared" si="24"/>
        <v>0</v>
      </c>
      <c r="Q84">
        <f t="shared" si="25"/>
        <v>0</v>
      </c>
      <c r="R84">
        <f t="shared" si="26"/>
        <v>0</v>
      </c>
      <c r="S84">
        <f t="shared" si="27"/>
        <v>0</v>
      </c>
    </row>
    <row r="85" spans="1:19" x14ac:dyDescent="0.3">
      <c r="A85" s="1">
        <v>41654</v>
      </c>
      <c r="B85" s="1">
        <v>41675</v>
      </c>
      <c r="C85">
        <v>11.42</v>
      </c>
      <c r="D85">
        <v>0.3</v>
      </c>
      <c r="E85">
        <v>2</v>
      </c>
      <c r="F85">
        <f t="shared" si="14"/>
        <v>11.72</v>
      </c>
      <c r="G85">
        <f t="shared" si="15"/>
        <v>1</v>
      </c>
      <c r="H85">
        <f t="shared" si="16"/>
        <v>11.72</v>
      </c>
      <c r="I85">
        <f t="shared" si="17"/>
        <v>0</v>
      </c>
      <c r="J85">
        <f t="shared" si="18"/>
        <v>0</v>
      </c>
      <c r="K85">
        <f t="shared" si="19"/>
        <v>0</v>
      </c>
      <c r="L85">
        <f t="shared" si="20"/>
        <v>0</v>
      </c>
      <c r="M85">
        <f t="shared" si="21"/>
        <v>0</v>
      </c>
      <c r="N85">
        <f t="shared" si="22"/>
        <v>0</v>
      </c>
      <c r="O85">
        <f t="shared" si="23"/>
        <v>0</v>
      </c>
      <c r="P85">
        <f t="shared" si="24"/>
        <v>0</v>
      </c>
      <c r="Q85">
        <f t="shared" si="25"/>
        <v>0</v>
      </c>
      <c r="R85">
        <f t="shared" si="26"/>
        <v>0</v>
      </c>
      <c r="S85">
        <f t="shared" si="27"/>
        <v>0</v>
      </c>
    </row>
    <row r="86" spans="1:19" x14ac:dyDescent="0.3">
      <c r="A86" s="1">
        <v>41654</v>
      </c>
      <c r="B86" s="1">
        <v>41661</v>
      </c>
      <c r="C86">
        <v>16.829999999999998</v>
      </c>
      <c r="D86">
        <v>0.44</v>
      </c>
      <c r="E86">
        <v>4</v>
      </c>
      <c r="F86">
        <f t="shared" si="14"/>
        <v>17.27</v>
      </c>
      <c r="G86">
        <f t="shared" si="15"/>
        <v>1</v>
      </c>
      <c r="H86">
        <f t="shared" si="16"/>
        <v>17.27</v>
      </c>
      <c r="I86">
        <f t="shared" si="17"/>
        <v>0</v>
      </c>
      <c r="J86">
        <f t="shared" si="18"/>
        <v>0</v>
      </c>
      <c r="K86">
        <f t="shared" si="19"/>
        <v>0</v>
      </c>
      <c r="L86">
        <f t="shared" si="20"/>
        <v>0</v>
      </c>
      <c r="M86">
        <f t="shared" si="21"/>
        <v>0</v>
      </c>
      <c r="N86">
        <f t="shared" si="22"/>
        <v>0</v>
      </c>
      <c r="O86">
        <f t="shared" si="23"/>
        <v>0</v>
      </c>
      <c r="P86">
        <f t="shared" si="24"/>
        <v>0</v>
      </c>
      <c r="Q86">
        <f t="shared" si="25"/>
        <v>0</v>
      </c>
      <c r="R86">
        <f t="shared" si="26"/>
        <v>0</v>
      </c>
      <c r="S86">
        <f t="shared" si="27"/>
        <v>0</v>
      </c>
    </row>
    <row r="87" spans="1:19" x14ac:dyDescent="0.3">
      <c r="A87" s="1">
        <v>41656</v>
      </c>
      <c r="B87" s="1">
        <v>41674</v>
      </c>
      <c r="C87">
        <v>5.67</v>
      </c>
      <c r="D87">
        <v>0.15</v>
      </c>
      <c r="E87">
        <v>2</v>
      </c>
      <c r="F87">
        <f t="shared" si="14"/>
        <v>5.82</v>
      </c>
      <c r="G87">
        <f t="shared" si="15"/>
        <v>1</v>
      </c>
      <c r="H87">
        <f t="shared" si="16"/>
        <v>5.82</v>
      </c>
      <c r="I87">
        <f t="shared" si="17"/>
        <v>0</v>
      </c>
      <c r="J87">
        <f t="shared" si="18"/>
        <v>0</v>
      </c>
      <c r="K87">
        <f t="shared" si="19"/>
        <v>0</v>
      </c>
      <c r="L87">
        <f t="shared" si="20"/>
        <v>0</v>
      </c>
      <c r="M87">
        <f t="shared" si="21"/>
        <v>0</v>
      </c>
      <c r="N87">
        <f t="shared" si="22"/>
        <v>0</v>
      </c>
      <c r="O87">
        <f t="shared" si="23"/>
        <v>0</v>
      </c>
      <c r="P87">
        <f t="shared" si="24"/>
        <v>0</v>
      </c>
      <c r="Q87">
        <f t="shared" si="25"/>
        <v>0</v>
      </c>
      <c r="R87">
        <f t="shared" si="26"/>
        <v>0</v>
      </c>
      <c r="S87">
        <f t="shared" si="27"/>
        <v>0</v>
      </c>
    </row>
    <row r="88" spans="1:19" x14ac:dyDescent="0.3">
      <c r="A88" s="1">
        <v>41656</v>
      </c>
      <c r="B88" s="1">
        <v>41667</v>
      </c>
      <c r="C88">
        <v>5.67</v>
      </c>
      <c r="D88">
        <v>0.15</v>
      </c>
      <c r="E88">
        <v>3</v>
      </c>
      <c r="F88">
        <f t="shared" si="14"/>
        <v>5.82</v>
      </c>
      <c r="G88">
        <f t="shared" si="15"/>
        <v>1</v>
      </c>
      <c r="H88">
        <f t="shared" si="16"/>
        <v>5.82</v>
      </c>
      <c r="I88">
        <f t="shared" si="17"/>
        <v>0</v>
      </c>
      <c r="J88">
        <f t="shared" si="18"/>
        <v>0</v>
      </c>
      <c r="K88">
        <f t="shared" si="19"/>
        <v>0</v>
      </c>
      <c r="L88">
        <f t="shared" si="20"/>
        <v>0</v>
      </c>
      <c r="M88">
        <f t="shared" si="21"/>
        <v>0</v>
      </c>
      <c r="N88">
        <f t="shared" si="22"/>
        <v>0</v>
      </c>
      <c r="O88">
        <f t="shared" si="23"/>
        <v>0</v>
      </c>
      <c r="P88">
        <f t="shared" si="24"/>
        <v>0</v>
      </c>
      <c r="Q88">
        <f t="shared" si="25"/>
        <v>0</v>
      </c>
      <c r="R88">
        <f t="shared" si="26"/>
        <v>0</v>
      </c>
      <c r="S88">
        <f t="shared" si="27"/>
        <v>0</v>
      </c>
    </row>
    <row r="89" spans="1:19" x14ac:dyDescent="0.3">
      <c r="A89" s="1">
        <v>41656</v>
      </c>
      <c r="B89" s="1">
        <v>41666</v>
      </c>
      <c r="C89">
        <v>2.0099999999999998</v>
      </c>
      <c r="D89">
        <v>0.05</v>
      </c>
      <c r="E89">
        <v>5</v>
      </c>
      <c r="F89">
        <f t="shared" si="14"/>
        <v>2.0599999999999996</v>
      </c>
      <c r="G89">
        <f t="shared" si="15"/>
        <v>1</v>
      </c>
      <c r="H89">
        <f t="shared" si="16"/>
        <v>2.0599999999999996</v>
      </c>
      <c r="I89">
        <f t="shared" si="17"/>
        <v>0</v>
      </c>
      <c r="J89">
        <f t="shared" si="18"/>
        <v>0</v>
      </c>
      <c r="K89">
        <f t="shared" si="19"/>
        <v>0</v>
      </c>
      <c r="L89">
        <f t="shared" si="20"/>
        <v>0</v>
      </c>
      <c r="M89">
        <f t="shared" si="21"/>
        <v>0</v>
      </c>
      <c r="N89">
        <f t="shared" si="22"/>
        <v>0</v>
      </c>
      <c r="O89">
        <f t="shared" si="23"/>
        <v>0</v>
      </c>
      <c r="P89">
        <f t="shared" si="24"/>
        <v>0</v>
      </c>
      <c r="Q89">
        <f t="shared" si="25"/>
        <v>0</v>
      </c>
      <c r="R89">
        <f t="shared" si="26"/>
        <v>0</v>
      </c>
      <c r="S89">
        <f t="shared" si="27"/>
        <v>0</v>
      </c>
    </row>
    <row r="90" spans="1:19" x14ac:dyDescent="0.3">
      <c r="A90" s="1">
        <v>41656</v>
      </c>
      <c r="B90" s="1">
        <v>41678</v>
      </c>
      <c r="C90">
        <v>2.0099999999999998</v>
      </c>
      <c r="D90">
        <v>0.05</v>
      </c>
      <c r="E90">
        <v>5</v>
      </c>
      <c r="F90">
        <f t="shared" si="14"/>
        <v>2.0599999999999996</v>
      </c>
      <c r="G90">
        <f t="shared" si="15"/>
        <v>1</v>
      </c>
      <c r="H90">
        <f t="shared" si="16"/>
        <v>2.0599999999999996</v>
      </c>
      <c r="I90">
        <f t="shared" si="17"/>
        <v>0</v>
      </c>
      <c r="J90">
        <f t="shared" si="18"/>
        <v>0</v>
      </c>
      <c r="K90">
        <f t="shared" si="19"/>
        <v>0</v>
      </c>
      <c r="L90">
        <f t="shared" si="20"/>
        <v>0</v>
      </c>
      <c r="M90">
        <f t="shared" si="21"/>
        <v>0</v>
      </c>
      <c r="N90">
        <f t="shared" si="22"/>
        <v>0</v>
      </c>
      <c r="O90">
        <f t="shared" si="23"/>
        <v>0</v>
      </c>
      <c r="P90">
        <f t="shared" si="24"/>
        <v>0</v>
      </c>
      <c r="Q90">
        <f t="shared" si="25"/>
        <v>0</v>
      </c>
      <c r="R90">
        <f t="shared" si="26"/>
        <v>0</v>
      </c>
      <c r="S90">
        <f t="shared" si="27"/>
        <v>0</v>
      </c>
    </row>
    <row r="91" spans="1:19" x14ac:dyDescent="0.3">
      <c r="A91" s="1">
        <v>41657</v>
      </c>
      <c r="B91" s="1">
        <v>41669</v>
      </c>
      <c r="C91">
        <v>6.43</v>
      </c>
      <c r="D91">
        <v>0.17</v>
      </c>
      <c r="E91">
        <v>5</v>
      </c>
      <c r="F91">
        <f t="shared" si="14"/>
        <v>6.6</v>
      </c>
      <c r="G91">
        <f t="shared" si="15"/>
        <v>1</v>
      </c>
      <c r="H91">
        <f t="shared" si="16"/>
        <v>6.6</v>
      </c>
      <c r="I91">
        <f t="shared" si="17"/>
        <v>0</v>
      </c>
      <c r="J91">
        <f t="shared" si="18"/>
        <v>0</v>
      </c>
      <c r="K91">
        <f t="shared" si="19"/>
        <v>0</v>
      </c>
      <c r="L91">
        <f t="shared" si="20"/>
        <v>0</v>
      </c>
      <c r="M91">
        <f t="shared" si="21"/>
        <v>0</v>
      </c>
      <c r="N91">
        <f t="shared" si="22"/>
        <v>0</v>
      </c>
      <c r="O91">
        <f t="shared" si="23"/>
        <v>0</v>
      </c>
      <c r="P91">
        <f t="shared" si="24"/>
        <v>0</v>
      </c>
      <c r="Q91">
        <f t="shared" si="25"/>
        <v>0</v>
      </c>
      <c r="R91">
        <f t="shared" si="26"/>
        <v>0</v>
      </c>
      <c r="S91">
        <f t="shared" si="27"/>
        <v>0</v>
      </c>
    </row>
    <row r="92" spans="1:19" x14ac:dyDescent="0.3">
      <c r="A92" s="1">
        <v>41657</v>
      </c>
      <c r="B92" s="1">
        <v>41666</v>
      </c>
      <c r="C92">
        <v>3.88</v>
      </c>
      <c r="D92">
        <v>0.1</v>
      </c>
      <c r="E92">
        <v>5</v>
      </c>
      <c r="F92">
        <f t="shared" si="14"/>
        <v>3.98</v>
      </c>
      <c r="G92">
        <f t="shared" si="15"/>
        <v>1</v>
      </c>
      <c r="H92">
        <f t="shared" si="16"/>
        <v>3.98</v>
      </c>
      <c r="I92">
        <f t="shared" si="17"/>
        <v>0</v>
      </c>
      <c r="J92">
        <f t="shared" si="18"/>
        <v>0</v>
      </c>
      <c r="K92">
        <f t="shared" si="19"/>
        <v>0</v>
      </c>
      <c r="L92">
        <f t="shared" si="20"/>
        <v>0</v>
      </c>
      <c r="M92">
        <f t="shared" si="21"/>
        <v>0</v>
      </c>
      <c r="N92">
        <f t="shared" si="22"/>
        <v>0</v>
      </c>
      <c r="O92">
        <f t="shared" si="23"/>
        <v>0</v>
      </c>
      <c r="P92">
        <f t="shared" si="24"/>
        <v>0</v>
      </c>
      <c r="Q92">
        <f t="shared" si="25"/>
        <v>0</v>
      </c>
      <c r="R92">
        <f t="shared" si="26"/>
        <v>0</v>
      </c>
      <c r="S92">
        <f t="shared" si="27"/>
        <v>0</v>
      </c>
    </row>
    <row r="93" spans="1:19" x14ac:dyDescent="0.3">
      <c r="A93" s="1">
        <v>41657</v>
      </c>
      <c r="B93" s="1">
        <v>41661</v>
      </c>
      <c r="C93">
        <v>8.7200000000000006</v>
      </c>
      <c r="D93">
        <v>0.23</v>
      </c>
      <c r="E93">
        <v>4</v>
      </c>
      <c r="F93">
        <f t="shared" si="14"/>
        <v>8.9500000000000011</v>
      </c>
      <c r="G93">
        <f t="shared" si="15"/>
        <v>1</v>
      </c>
      <c r="H93">
        <f t="shared" si="16"/>
        <v>8.9500000000000011</v>
      </c>
      <c r="I93">
        <f t="shared" si="17"/>
        <v>0</v>
      </c>
      <c r="J93">
        <f t="shared" si="18"/>
        <v>0</v>
      </c>
      <c r="K93">
        <f t="shared" si="19"/>
        <v>0</v>
      </c>
      <c r="L93">
        <f t="shared" si="20"/>
        <v>0</v>
      </c>
      <c r="M93">
        <f t="shared" si="21"/>
        <v>0</v>
      </c>
      <c r="N93">
        <f t="shared" si="22"/>
        <v>0</v>
      </c>
      <c r="O93">
        <f t="shared" si="23"/>
        <v>0</v>
      </c>
      <c r="P93">
        <f t="shared" si="24"/>
        <v>0</v>
      </c>
      <c r="Q93">
        <f t="shared" si="25"/>
        <v>0</v>
      </c>
      <c r="R93">
        <f t="shared" si="26"/>
        <v>0</v>
      </c>
      <c r="S93">
        <f t="shared" si="27"/>
        <v>0</v>
      </c>
    </row>
    <row r="94" spans="1:19" x14ac:dyDescent="0.3">
      <c r="A94" s="1">
        <v>41658</v>
      </c>
      <c r="B94" s="1">
        <v>41685</v>
      </c>
      <c r="C94">
        <v>6.58</v>
      </c>
      <c r="D94">
        <v>0.17</v>
      </c>
      <c r="E94">
        <v>5</v>
      </c>
      <c r="F94">
        <f t="shared" si="14"/>
        <v>6.75</v>
      </c>
      <c r="G94">
        <f t="shared" si="15"/>
        <v>1</v>
      </c>
      <c r="H94">
        <f t="shared" si="16"/>
        <v>6.75</v>
      </c>
      <c r="I94">
        <f t="shared" si="17"/>
        <v>0</v>
      </c>
      <c r="J94">
        <f t="shared" si="18"/>
        <v>0</v>
      </c>
      <c r="K94">
        <f t="shared" si="19"/>
        <v>0</v>
      </c>
      <c r="L94">
        <f t="shared" si="20"/>
        <v>0</v>
      </c>
      <c r="M94">
        <f t="shared" si="21"/>
        <v>0</v>
      </c>
      <c r="N94">
        <f t="shared" si="22"/>
        <v>0</v>
      </c>
      <c r="O94">
        <f t="shared" si="23"/>
        <v>0</v>
      </c>
      <c r="P94">
        <f t="shared" si="24"/>
        <v>0</v>
      </c>
      <c r="Q94">
        <f t="shared" si="25"/>
        <v>0</v>
      </c>
      <c r="R94">
        <f t="shared" si="26"/>
        <v>0</v>
      </c>
      <c r="S94">
        <f t="shared" si="27"/>
        <v>0</v>
      </c>
    </row>
    <row r="95" spans="1:19" x14ac:dyDescent="0.3">
      <c r="A95" s="1">
        <v>41658</v>
      </c>
      <c r="B95" s="1">
        <v>41685</v>
      </c>
      <c r="C95">
        <v>6.43</v>
      </c>
      <c r="D95">
        <v>0.17</v>
      </c>
      <c r="E95">
        <v>2</v>
      </c>
      <c r="F95">
        <f t="shared" si="14"/>
        <v>6.6</v>
      </c>
      <c r="G95">
        <f t="shared" si="15"/>
        <v>1</v>
      </c>
      <c r="H95">
        <f t="shared" si="16"/>
        <v>6.6</v>
      </c>
      <c r="I95">
        <f t="shared" si="17"/>
        <v>0</v>
      </c>
      <c r="J95">
        <f t="shared" si="18"/>
        <v>0</v>
      </c>
      <c r="K95">
        <f t="shared" si="19"/>
        <v>0</v>
      </c>
      <c r="L95">
        <f t="shared" si="20"/>
        <v>0</v>
      </c>
      <c r="M95">
        <f t="shared" si="21"/>
        <v>0</v>
      </c>
      <c r="N95">
        <f t="shared" si="22"/>
        <v>0</v>
      </c>
      <c r="O95">
        <f t="shared" si="23"/>
        <v>0</v>
      </c>
      <c r="P95">
        <f t="shared" si="24"/>
        <v>0</v>
      </c>
      <c r="Q95">
        <f t="shared" si="25"/>
        <v>0</v>
      </c>
      <c r="R95">
        <f t="shared" si="26"/>
        <v>0</v>
      </c>
      <c r="S95">
        <f t="shared" si="27"/>
        <v>0</v>
      </c>
    </row>
    <row r="96" spans="1:19" x14ac:dyDescent="0.3">
      <c r="A96" s="1">
        <v>41660</v>
      </c>
      <c r="B96" s="1">
        <v>41676</v>
      </c>
      <c r="C96">
        <v>11.44</v>
      </c>
      <c r="D96">
        <v>0.3</v>
      </c>
      <c r="E96">
        <v>3</v>
      </c>
      <c r="F96">
        <f t="shared" si="14"/>
        <v>11.74</v>
      </c>
      <c r="G96">
        <f t="shared" si="15"/>
        <v>1</v>
      </c>
      <c r="H96">
        <f t="shared" si="16"/>
        <v>11.74</v>
      </c>
      <c r="I96">
        <f t="shared" si="17"/>
        <v>0</v>
      </c>
      <c r="J96">
        <f t="shared" si="18"/>
        <v>0</v>
      </c>
      <c r="K96">
        <f t="shared" si="19"/>
        <v>0</v>
      </c>
      <c r="L96">
        <f t="shared" si="20"/>
        <v>0</v>
      </c>
      <c r="M96">
        <f t="shared" si="21"/>
        <v>0</v>
      </c>
      <c r="N96">
        <f t="shared" si="22"/>
        <v>0</v>
      </c>
      <c r="O96">
        <f t="shared" si="23"/>
        <v>0</v>
      </c>
      <c r="P96">
        <f t="shared" si="24"/>
        <v>0</v>
      </c>
      <c r="Q96">
        <f t="shared" si="25"/>
        <v>0</v>
      </c>
      <c r="R96">
        <f t="shared" si="26"/>
        <v>0</v>
      </c>
      <c r="S96">
        <f t="shared" si="27"/>
        <v>0</v>
      </c>
    </row>
    <row r="97" spans="1:19" x14ac:dyDescent="0.3">
      <c r="A97" s="1">
        <v>41660</v>
      </c>
      <c r="B97" s="1">
        <v>41667</v>
      </c>
      <c r="C97">
        <v>10.59</v>
      </c>
      <c r="D97">
        <v>0.28000000000000003</v>
      </c>
      <c r="E97">
        <v>4</v>
      </c>
      <c r="F97">
        <f t="shared" si="14"/>
        <v>10.87</v>
      </c>
      <c r="G97">
        <f t="shared" si="15"/>
        <v>1</v>
      </c>
      <c r="H97">
        <f t="shared" si="16"/>
        <v>10.87</v>
      </c>
      <c r="I97">
        <f t="shared" si="17"/>
        <v>0</v>
      </c>
      <c r="J97">
        <f t="shared" si="18"/>
        <v>0</v>
      </c>
      <c r="K97">
        <f t="shared" si="19"/>
        <v>0</v>
      </c>
      <c r="L97">
        <f t="shared" si="20"/>
        <v>0</v>
      </c>
      <c r="M97">
        <f t="shared" si="21"/>
        <v>0</v>
      </c>
      <c r="N97">
        <f t="shared" si="22"/>
        <v>0</v>
      </c>
      <c r="O97">
        <f t="shared" si="23"/>
        <v>0</v>
      </c>
      <c r="P97">
        <f t="shared" si="24"/>
        <v>0</v>
      </c>
      <c r="Q97">
        <f t="shared" si="25"/>
        <v>0</v>
      </c>
      <c r="R97">
        <f t="shared" si="26"/>
        <v>0</v>
      </c>
      <c r="S97">
        <f t="shared" si="27"/>
        <v>0</v>
      </c>
    </row>
    <row r="98" spans="1:19" x14ac:dyDescent="0.3">
      <c r="A98" s="1">
        <v>41660</v>
      </c>
      <c r="B98" s="1">
        <v>41687</v>
      </c>
      <c r="C98">
        <v>11.44</v>
      </c>
      <c r="D98">
        <v>0.3</v>
      </c>
      <c r="E98">
        <v>6</v>
      </c>
      <c r="F98">
        <f t="shared" si="14"/>
        <v>11.74</v>
      </c>
      <c r="G98">
        <f t="shared" si="15"/>
        <v>1</v>
      </c>
      <c r="H98">
        <f t="shared" si="16"/>
        <v>11.74</v>
      </c>
      <c r="I98">
        <f t="shared" si="17"/>
        <v>0</v>
      </c>
      <c r="J98">
        <f t="shared" si="18"/>
        <v>0</v>
      </c>
      <c r="K98">
        <f t="shared" si="19"/>
        <v>0</v>
      </c>
      <c r="L98">
        <f t="shared" si="20"/>
        <v>0</v>
      </c>
      <c r="M98">
        <f t="shared" si="21"/>
        <v>0</v>
      </c>
      <c r="N98">
        <f t="shared" si="22"/>
        <v>0</v>
      </c>
      <c r="O98">
        <f t="shared" si="23"/>
        <v>0</v>
      </c>
      <c r="P98">
        <f t="shared" si="24"/>
        <v>0</v>
      </c>
      <c r="Q98">
        <f t="shared" si="25"/>
        <v>0</v>
      </c>
      <c r="R98">
        <f t="shared" si="26"/>
        <v>0</v>
      </c>
      <c r="S98">
        <f t="shared" si="27"/>
        <v>0</v>
      </c>
    </row>
    <row r="99" spans="1:19" x14ac:dyDescent="0.3">
      <c r="A99" s="1">
        <v>41660</v>
      </c>
      <c r="B99" s="1">
        <v>41686</v>
      </c>
      <c r="C99">
        <v>10.199999999999999</v>
      </c>
      <c r="D99">
        <v>0.27</v>
      </c>
      <c r="E99">
        <v>6</v>
      </c>
      <c r="F99">
        <f t="shared" si="14"/>
        <v>10.469999999999999</v>
      </c>
      <c r="G99">
        <f t="shared" si="15"/>
        <v>1</v>
      </c>
      <c r="H99">
        <f t="shared" si="16"/>
        <v>10.469999999999999</v>
      </c>
      <c r="I99">
        <f t="shared" si="17"/>
        <v>0</v>
      </c>
      <c r="J99">
        <f t="shared" si="18"/>
        <v>0</v>
      </c>
      <c r="K99">
        <f t="shared" si="19"/>
        <v>0</v>
      </c>
      <c r="L99">
        <f t="shared" si="20"/>
        <v>0</v>
      </c>
      <c r="M99">
        <f t="shared" si="21"/>
        <v>0</v>
      </c>
      <c r="N99">
        <f t="shared" si="22"/>
        <v>0</v>
      </c>
      <c r="O99">
        <f t="shared" si="23"/>
        <v>0</v>
      </c>
      <c r="P99">
        <f t="shared" si="24"/>
        <v>0</v>
      </c>
      <c r="Q99">
        <f t="shared" si="25"/>
        <v>0</v>
      </c>
      <c r="R99">
        <f t="shared" si="26"/>
        <v>0</v>
      </c>
      <c r="S99">
        <f t="shared" si="27"/>
        <v>0</v>
      </c>
    </row>
    <row r="100" spans="1:19" x14ac:dyDescent="0.3">
      <c r="A100" s="1">
        <v>41660</v>
      </c>
      <c r="B100" s="1">
        <v>41684</v>
      </c>
      <c r="C100">
        <v>19.54</v>
      </c>
      <c r="D100">
        <v>0.51</v>
      </c>
      <c r="E100">
        <v>5</v>
      </c>
      <c r="F100">
        <f t="shared" si="14"/>
        <v>20.05</v>
      </c>
      <c r="G100">
        <f t="shared" si="15"/>
        <v>1</v>
      </c>
      <c r="H100">
        <f t="shared" si="16"/>
        <v>20.05</v>
      </c>
      <c r="I100">
        <f t="shared" si="17"/>
        <v>0</v>
      </c>
      <c r="J100">
        <f t="shared" si="18"/>
        <v>0</v>
      </c>
      <c r="K100">
        <f t="shared" si="19"/>
        <v>0</v>
      </c>
      <c r="L100">
        <f t="shared" si="20"/>
        <v>0</v>
      </c>
      <c r="M100">
        <f t="shared" si="21"/>
        <v>0</v>
      </c>
      <c r="N100">
        <f t="shared" si="22"/>
        <v>0</v>
      </c>
      <c r="O100">
        <f t="shared" si="23"/>
        <v>0</v>
      </c>
      <c r="P100">
        <f t="shared" si="24"/>
        <v>0</v>
      </c>
      <c r="Q100">
        <f t="shared" si="25"/>
        <v>0</v>
      </c>
      <c r="R100">
        <f t="shared" si="26"/>
        <v>0</v>
      </c>
      <c r="S100">
        <f t="shared" si="27"/>
        <v>0</v>
      </c>
    </row>
    <row r="101" spans="1:19" x14ac:dyDescent="0.3">
      <c r="A101" s="1">
        <v>41660</v>
      </c>
      <c r="B101" s="1">
        <v>41674</v>
      </c>
      <c r="C101">
        <v>10.93</v>
      </c>
      <c r="D101">
        <v>0.28999999999999998</v>
      </c>
      <c r="E101">
        <v>4</v>
      </c>
      <c r="F101">
        <f t="shared" si="14"/>
        <v>11.219999999999999</v>
      </c>
      <c r="G101">
        <f t="shared" si="15"/>
        <v>1</v>
      </c>
      <c r="H101">
        <f t="shared" si="16"/>
        <v>11.219999999999999</v>
      </c>
      <c r="I101">
        <f t="shared" si="17"/>
        <v>0</v>
      </c>
      <c r="J101">
        <f t="shared" si="18"/>
        <v>0</v>
      </c>
      <c r="K101">
        <f t="shared" si="19"/>
        <v>0</v>
      </c>
      <c r="L101">
        <f t="shared" si="20"/>
        <v>0</v>
      </c>
      <c r="M101">
        <f t="shared" si="21"/>
        <v>0</v>
      </c>
      <c r="N101">
        <f t="shared" si="22"/>
        <v>0</v>
      </c>
      <c r="O101">
        <f t="shared" si="23"/>
        <v>0</v>
      </c>
      <c r="P101">
        <f t="shared" si="24"/>
        <v>0</v>
      </c>
      <c r="Q101">
        <f t="shared" si="25"/>
        <v>0</v>
      </c>
      <c r="R101">
        <f t="shared" si="26"/>
        <v>0</v>
      </c>
      <c r="S101">
        <f t="shared" si="27"/>
        <v>0</v>
      </c>
    </row>
    <row r="102" spans="1:19" x14ac:dyDescent="0.3">
      <c r="A102" s="1">
        <v>41661</v>
      </c>
      <c r="B102" s="1">
        <v>41668</v>
      </c>
      <c r="C102">
        <v>6.43</v>
      </c>
      <c r="D102">
        <v>0.17</v>
      </c>
      <c r="E102">
        <v>5</v>
      </c>
      <c r="F102">
        <f t="shared" si="14"/>
        <v>6.6</v>
      </c>
      <c r="G102">
        <f t="shared" si="15"/>
        <v>1</v>
      </c>
      <c r="H102">
        <f t="shared" si="16"/>
        <v>6.6</v>
      </c>
      <c r="I102">
        <f t="shared" si="17"/>
        <v>0</v>
      </c>
      <c r="J102">
        <f t="shared" si="18"/>
        <v>0</v>
      </c>
      <c r="K102">
        <f t="shared" si="19"/>
        <v>0</v>
      </c>
      <c r="L102">
        <f t="shared" si="20"/>
        <v>0</v>
      </c>
      <c r="M102">
        <f t="shared" si="21"/>
        <v>0</v>
      </c>
      <c r="N102">
        <f t="shared" si="22"/>
        <v>0</v>
      </c>
      <c r="O102">
        <f t="shared" si="23"/>
        <v>0</v>
      </c>
      <c r="P102">
        <f t="shared" si="24"/>
        <v>0</v>
      </c>
      <c r="Q102">
        <f t="shared" si="25"/>
        <v>0</v>
      </c>
      <c r="R102">
        <f t="shared" si="26"/>
        <v>0</v>
      </c>
      <c r="S102">
        <f t="shared" si="27"/>
        <v>0</v>
      </c>
    </row>
    <row r="103" spans="1:19" x14ac:dyDescent="0.3">
      <c r="A103" s="1">
        <v>41661</v>
      </c>
      <c r="B103" s="1">
        <v>41681</v>
      </c>
      <c r="C103">
        <v>5.67</v>
      </c>
      <c r="D103">
        <v>0.15</v>
      </c>
      <c r="E103">
        <v>4</v>
      </c>
      <c r="F103">
        <f t="shared" si="14"/>
        <v>5.82</v>
      </c>
      <c r="G103">
        <f t="shared" si="15"/>
        <v>1</v>
      </c>
      <c r="H103">
        <f t="shared" si="16"/>
        <v>5.82</v>
      </c>
      <c r="I103">
        <f t="shared" si="17"/>
        <v>0</v>
      </c>
      <c r="J103">
        <f t="shared" si="18"/>
        <v>0</v>
      </c>
      <c r="K103">
        <f t="shared" si="19"/>
        <v>0</v>
      </c>
      <c r="L103">
        <f t="shared" si="20"/>
        <v>0</v>
      </c>
      <c r="M103">
        <f t="shared" si="21"/>
        <v>0</v>
      </c>
      <c r="N103">
        <f t="shared" si="22"/>
        <v>0</v>
      </c>
      <c r="O103">
        <f t="shared" si="23"/>
        <v>0</v>
      </c>
      <c r="P103">
        <f t="shared" si="24"/>
        <v>0</v>
      </c>
      <c r="Q103">
        <f t="shared" si="25"/>
        <v>0</v>
      </c>
      <c r="R103">
        <f t="shared" si="26"/>
        <v>0</v>
      </c>
      <c r="S103">
        <f t="shared" si="27"/>
        <v>0</v>
      </c>
    </row>
    <row r="104" spans="1:19" x14ac:dyDescent="0.3">
      <c r="A104" s="1">
        <v>41661</v>
      </c>
      <c r="B104" s="1">
        <v>41682</v>
      </c>
      <c r="C104">
        <v>14.13</v>
      </c>
      <c r="D104">
        <v>0.37</v>
      </c>
      <c r="E104">
        <v>5</v>
      </c>
      <c r="F104">
        <f t="shared" si="14"/>
        <v>14.5</v>
      </c>
      <c r="G104">
        <f t="shared" si="15"/>
        <v>1</v>
      </c>
      <c r="H104">
        <f t="shared" si="16"/>
        <v>14.5</v>
      </c>
      <c r="I104">
        <f t="shared" si="17"/>
        <v>0</v>
      </c>
      <c r="J104">
        <f t="shared" si="18"/>
        <v>0</v>
      </c>
      <c r="K104">
        <f t="shared" si="19"/>
        <v>0</v>
      </c>
      <c r="L104">
        <f t="shared" si="20"/>
        <v>0</v>
      </c>
      <c r="M104">
        <f t="shared" si="21"/>
        <v>0</v>
      </c>
      <c r="N104">
        <f t="shared" si="22"/>
        <v>0</v>
      </c>
      <c r="O104">
        <f t="shared" si="23"/>
        <v>0</v>
      </c>
      <c r="P104">
        <f t="shared" si="24"/>
        <v>0</v>
      </c>
      <c r="Q104">
        <f t="shared" si="25"/>
        <v>0</v>
      </c>
      <c r="R104">
        <f t="shared" si="26"/>
        <v>0</v>
      </c>
      <c r="S104">
        <f t="shared" si="27"/>
        <v>0</v>
      </c>
    </row>
    <row r="105" spans="1:19" x14ac:dyDescent="0.3">
      <c r="A105" s="1">
        <v>41661</v>
      </c>
      <c r="B105" s="1">
        <v>41689</v>
      </c>
      <c r="C105">
        <v>5.47</v>
      </c>
      <c r="D105">
        <v>0.14000000000000001</v>
      </c>
      <c r="E105">
        <v>3</v>
      </c>
      <c r="F105">
        <f t="shared" si="14"/>
        <v>5.6099999999999994</v>
      </c>
      <c r="G105">
        <f t="shared" si="15"/>
        <v>1</v>
      </c>
      <c r="H105">
        <f t="shared" si="16"/>
        <v>5.6099999999999994</v>
      </c>
      <c r="I105">
        <f t="shared" si="17"/>
        <v>0</v>
      </c>
      <c r="J105">
        <f t="shared" si="18"/>
        <v>0</v>
      </c>
      <c r="K105">
        <f t="shared" si="19"/>
        <v>0</v>
      </c>
      <c r="L105">
        <f t="shared" si="20"/>
        <v>0</v>
      </c>
      <c r="M105">
        <f t="shared" si="21"/>
        <v>0</v>
      </c>
      <c r="N105">
        <f t="shared" si="22"/>
        <v>0</v>
      </c>
      <c r="O105">
        <f t="shared" si="23"/>
        <v>0</v>
      </c>
      <c r="P105">
        <f t="shared" si="24"/>
        <v>0</v>
      </c>
      <c r="Q105">
        <f t="shared" si="25"/>
        <v>0</v>
      </c>
      <c r="R105">
        <f t="shared" si="26"/>
        <v>0</v>
      </c>
      <c r="S105">
        <f t="shared" si="27"/>
        <v>0</v>
      </c>
    </row>
    <row r="106" spans="1:19" x14ac:dyDescent="0.3">
      <c r="A106" s="1">
        <v>41662</v>
      </c>
      <c r="B106" s="1">
        <v>41686</v>
      </c>
      <c r="C106">
        <v>8.39</v>
      </c>
      <c r="D106">
        <v>0.22</v>
      </c>
      <c r="E106">
        <v>2</v>
      </c>
      <c r="F106">
        <f t="shared" si="14"/>
        <v>8.6100000000000012</v>
      </c>
      <c r="G106">
        <f t="shared" si="15"/>
        <v>1</v>
      </c>
      <c r="H106">
        <f t="shared" si="16"/>
        <v>8.6100000000000012</v>
      </c>
      <c r="I106">
        <f t="shared" si="17"/>
        <v>0</v>
      </c>
      <c r="J106">
        <f t="shared" si="18"/>
        <v>0</v>
      </c>
      <c r="K106">
        <f t="shared" si="19"/>
        <v>0</v>
      </c>
      <c r="L106">
        <f t="shared" si="20"/>
        <v>0</v>
      </c>
      <c r="M106">
        <f t="shared" si="21"/>
        <v>0</v>
      </c>
      <c r="N106">
        <f t="shared" si="22"/>
        <v>0</v>
      </c>
      <c r="O106">
        <f t="shared" si="23"/>
        <v>0</v>
      </c>
      <c r="P106">
        <f t="shared" si="24"/>
        <v>0</v>
      </c>
      <c r="Q106">
        <f t="shared" si="25"/>
        <v>0</v>
      </c>
      <c r="R106">
        <f t="shared" si="26"/>
        <v>0</v>
      </c>
      <c r="S106">
        <f t="shared" si="27"/>
        <v>0</v>
      </c>
    </row>
    <row r="107" spans="1:19" x14ac:dyDescent="0.3">
      <c r="A107" s="1">
        <v>41662</v>
      </c>
      <c r="B107" s="1">
        <v>41688</v>
      </c>
      <c r="C107">
        <v>3.79</v>
      </c>
      <c r="D107">
        <v>0.1</v>
      </c>
      <c r="E107">
        <v>3</v>
      </c>
      <c r="F107">
        <f t="shared" si="14"/>
        <v>3.89</v>
      </c>
      <c r="G107">
        <f t="shared" si="15"/>
        <v>1</v>
      </c>
      <c r="H107">
        <f t="shared" si="16"/>
        <v>3.89</v>
      </c>
      <c r="I107">
        <f t="shared" si="17"/>
        <v>0</v>
      </c>
      <c r="J107">
        <f t="shared" si="18"/>
        <v>0</v>
      </c>
      <c r="K107">
        <f t="shared" si="19"/>
        <v>0</v>
      </c>
      <c r="L107">
        <f t="shared" si="20"/>
        <v>0</v>
      </c>
      <c r="M107">
        <f t="shared" si="21"/>
        <v>0</v>
      </c>
      <c r="N107">
        <f t="shared" si="22"/>
        <v>0</v>
      </c>
      <c r="O107">
        <f t="shared" si="23"/>
        <v>0</v>
      </c>
      <c r="P107">
        <f t="shared" si="24"/>
        <v>0</v>
      </c>
      <c r="Q107">
        <f t="shared" si="25"/>
        <v>0</v>
      </c>
      <c r="R107">
        <f t="shared" si="26"/>
        <v>0</v>
      </c>
      <c r="S107">
        <f t="shared" si="27"/>
        <v>0</v>
      </c>
    </row>
    <row r="108" spans="1:19" x14ac:dyDescent="0.3">
      <c r="A108" s="1">
        <v>41662</v>
      </c>
      <c r="B108" s="1">
        <v>41664</v>
      </c>
      <c r="C108">
        <v>6.23</v>
      </c>
      <c r="D108">
        <v>0.16</v>
      </c>
      <c r="E108">
        <v>6</v>
      </c>
      <c r="F108">
        <f t="shared" si="14"/>
        <v>6.3900000000000006</v>
      </c>
      <c r="G108">
        <f t="shared" si="15"/>
        <v>1</v>
      </c>
      <c r="H108">
        <f t="shared" si="16"/>
        <v>6.3900000000000006</v>
      </c>
      <c r="I108">
        <f t="shared" si="17"/>
        <v>0</v>
      </c>
      <c r="J108">
        <f t="shared" si="18"/>
        <v>0</v>
      </c>
      <c r="K108">
        <f t="shared" si="19"/>
        <v>0</v>
      </c>
      <c r="L108">
        <f t="shared" si="20"/>
        <v>0</v>
      </c>
      <c r="M108">
        <f t="shared" si="21"/>
        <v>0</v>
      </c>
      <c r="N108">
        <f t="shared" si="22"/>
        <v>0</v>
      </c>
      <c r="O108">
        <f t="shared" si="23"/>
        <v>0</v>
      </c>
      <c r="P108">
        <f t="shared" si="24"/>
        <v>0</v>
      </c>
      <c r="Q108">
        <f t="shared" si="25"/>
        <v>0</v>
      </c>
      <c r="R108">
        <f t="shared" si="26"/>
        <v>0</v>
      </c>
      <c r="S108">
        <f t="shared" si="27"/>
        <v>0</v>
      </c>
    </row>
    <row r="109" spans="1:19" x14ac:dyDescent="0.3">
      <c r="A109" s="1">
        <v>41663</v>
      </c>
      <c r="B109" s="1">
        <v>41675</v>
      </c>
      <c r="C109">
        <v>6.34</v>
      </c>
      <c r="D109">
        <v>0.17</v>
      </c>
      <c r="E109">
        <v>6</v>
      </c>
      <c r="F109">
        <f t="shared" si="14"/>
        <v>6.51</v>
      </c>
      <c r="G109">
        <f t="shared" si="15"/>
        <v>1</v>
      </c>
      <c r="H109">
        <f t="shared" si="16"/>
        <v>6.51</v>
      </c>
      <c r="I109">
        <f t="shared" si="17"/>
        <v>0</v>
      </c>
      <c r="J109">
        <f t="shared" si="18"/>
        <v>0</v>
      </c>
      <c r="K109">
        <f t="shared" si="19"/>
        <v>0</v>
      </c>
      <c r="L109">
        <f t="shared" si="20"/>
        <v>0</v>
      </c>
      <c r="M109">
        <f t="shared" si="21"/>
        <v>0</v>
      </c>
      <c r="N109">
        <f t="shared" si="22"/>
        <v>0</v>
      </c>
      <c r="O109">
        <f t="shared" si="23"/>
        <v>0</v>
      </c>
      <c r="P109">
        <f t="shared" si="24"/>
        <v>0</v>
      </c>
      <c r="Q109">
        <f t="shared" si="25"/>
        <v>0</v>
      </c>
      <c r="R109">
        <f t="shared" si="26"/>
        <v>0</v>
      </c>
      <c r="S109">
        <f t="shared" si="27"/>
        <v>0</v>
      </c>
    </row>
    <row r="110" spans="1:19" x14ac:dyDescent="0.3">
      <c r="A110" s="1">
        <v>41663</v>
      </c>
      <c r="B110" s="1">
        <v>41684</v>
      </c>
      <c r="C110">
        <v>3.57</v>
      </c>
      <c r="D110">
        <v>0.09</v>
      </c>
      <c r="E110">
        <v>6</v>
      </c>
      <c r="F110">
        <f t="shared" si="14"/>
        <v>3.6599999999999997</v>
      </c>
      <c r="G110">
        <f t="shared" si="15"/>
        <v>1</v>
      </c>
      <c r="H110">
        <f t="shared" si="16"/>
        <v>3.6599999999999997</v>
      </c>
      <c r="I110">
        <f t="shared" si="17"/>
        <v>0</v>
      </c>
      <c r="J110">
        <f t="shared" si="18"/>
        <v>0</v>
      </c>
      <c r="K110">
        <f t="shared" si="19"/>
        <v>0</v>
      </c>
      <c r="L110">
        <f t="shared" si="20"/>
        <v>0</v>
      </c>
      <c r="M110">
        <f t="shared" si="21"/>
        <v>0</v>
      </c>
      <c r="N110">
        <f t="shared" si="22"/>
        <v>0</v>
      </c>
      <c r="O110">
        <f t="shared" si="23"/>
        <v>0</v>
      </c>
      <c r="P110">
        <f t="shared" si="24"/>
        <v>0</v>
      </c>
      <c r="Q110">
        <f t="shared" si="25"/>
        <v>0</v>
      </c>
      <c r="R110">
        <f t="shared" si="26"/>
        <v>0</v>
      </c>
      <c r="S110">
        <f t="shared" si="27"/>
        <v>0</v>
      </c>
    </row>
    <row r="111" spans="1:19" x14ac:dyDescent="0.3">
      <c r="A111" s="1">
        <v>41664</v>
      </c>
      <c r="B111" s="1">
        <v>41681</v>
      </c>
      <c r="C111">
        <v>4.66</v>
      </c>
      <c r="D111">
        <v>0.12</v>
      </c>
      <c r="E111">
        <v>4</v>
      </c>
      <c r="F111">
        <f t="shared" si="14"/>
        <v>4.78</v>
      </c>
      <c r="G111">
        <f t="shared" si="15"/>
        <v>1</v>
      </c>
      <c r="H111">
        <f t="shared" si="16"/>
        <v>4.78</v>
      </c>
      <c r="I111">
        <f t="shared" si="17"/>
        <v>0</v>
      </c>
      <c r="J111">
        <f t="shared" si="18"/>
        <v>0</v>
      </c>
      <c r="K111">
        <f t="shared" si="19"/>
        <v>0</v>
      </c>
      <c r="L111">
        <f t="shared" si="20"/>
        <v>0</v>
      </c>
      <c r="M111">
        <f t="shared" si="21"/>
        <v>0</v>
      </c>
      <c r="N111">
        <f t="shared" si="22"/>
        <v>0</v>
      </c>
      <c r="O111">
        <f t="shared" si="23"/>
        <v>0</v>
      </c>
      <c r="P111">
        <f t="shared" si="24"/>
        <v>0</v>
      </c>
      <c r="Q111">
        <f t="shared" si="25"/>
        <v>0</v>
      </c>
      <c r="R111">
        <f t="shared" si="26"/>
        <v>0</v>
      </c>
      <c r="S111">
        <f t="shared" si="27"/>
        <v>0</v>
      </c>
    </row>
    <row r="112" spans="1:19" x14ac:dyDescent="0.3">
      <c r="A112" s="1">
        <v>41665</v>
      </c>
      <c r="B112" s="1">
        <v>41692</v>
      </c>
      <c r="C112">
        <v>13.07</v>
      </c>
      <c r="D112">
        <v>0.34</v>
      </c>
      <c r="E112">
        <v>3</v>
      </c>
      <c r="F112">
        <f t="shared" si="14"/>
        <v>13.41</v>
      </c>
      <c r="G112">
        <f t="shared" si="15"/>
        <v>1</v>
      </c>
      <c r="H112">
        <f t="shared" si="16"/>
        <v>13.41</v>
      </c>
      <c r="I112">
        <f t="shared" si="17"/>
        <v>0</v>
      </c>
      <c r="J112">
        <f t="shared" si="18"/>
        <v>0</v>
      </c>
      <c r="K112">
        <f t="shared" si="19"/>
        <v>0</v>
      </c>
      <c r="L112">
        <f t="shared" si="20"/>
        <v>0</v>
      </c>
      <c r="M112">
        <f t="shared" si="21"/>
        <v>0</v>
      </c>
      <c r="N112">
        <f t="shared" si="22"/>
        <v>0</v>
      </c>
      <c r="O112">
        <f t="shared" si="23"/>
        <v>0</v>
      </c>
      <c r="P112">
        <f t="shared" si="24"/>
        <v>0</v>
      </c>
      <c r="Q112">
        <f t="shared" si="25"/>
        <v>0</v>
      </c>
      <c r="R112">
        <f t="shared" si="26"/>
        <v>0</v>
      </c>
      <c r="S112">
        <f t="shared" si="27"/>
        <v>0</v>
      </c>
    </row>
    <row r="113" spans="1:19" x14ac:dyDescent="0.3">
      <c r="A113" s="1">
        <v>41665</v>
      </c>
      <c r="B113" s="1">
        <v>41691</v>
      </c>
      <c r="C113">
        <v>13.81</v>
      </c>
      <c r="D113">
        <v>0.36</v>
      </c>
      <c r="E113">
        <v>5</v>
      </c>
      <c r="F113">
        <f t="shared" si="14"/>
        <v>14.17</v>
      </c>
      <c r="G113">
        <f t="shared" si="15"/>
        <v>1</v>
      </c>
      <c r="H113">
        <f t="shared" si="16"/>
        <v>14.17</v>
      </c>
      <c r="I113">
        <f t="shared" si="17"/>
        <v>0</v>
      </c>
      <c r="J113">
        <f t="shared" si="18"/>
        <v>0</v>
      </c>
      <c r="K113">
        <f t="shared" si="19"/>
        <v>0</v>
      </c>
      <c r="L113">
        <f t="shared" si="20"/>
        <v>0</v>
      </c>
      <c r="M113">
        <f t="shared" si="21"/>
        <v>0</v>
      </c>
      <c r="N113">
        <f t="shared" si="22"/>
        <v>0</v>
      </c>
      <c r="O113">
        <f t="shared" si="23"/>
        <v>0</v>
      </c>
      <c r="P113">
        <f t="shared" si="24"/>
        <v>0</v>
      </c>
      <c r="Q113">
        <f t="shared" si="25"/>
        <v>0</v>
      </c>
      <c r="R113">
        <f t="shared" si="26"/>
        <v>0</v>
      </c>
      <c r="S113">
        <f t="shared" si="27"/>
        <v>0</v>
      </c>
    </row>
    <row r="114" spans="1:19" x14ac:dyDescent="0.3">
      <c r="A114" s="1">
        <v>41665</v>
      </c>
      <c r="B114" s="1">
        <v>41673</v>
      </c>
      <c r="C114">
        <v>11.69</v>
      </c>
      <c r="D114">
        <v>0.31</v>
      </c>
      <c r="E114">
        <v>2</v>
      </c>
      <c r="F114">
        <f t="shared" si="14"/>
        <v>12</v>
      </c>
      <c r="G114">
        <f t="shared" si="15"/>
        <v>1</v>
      </c>
      <c r="H114">
        <f t="shared" si="16"/>
        <v>12</v>
      </c>
      <c r="I114">
        <f t="shared" si="17"/>
        <v>0</v>
      </c>
      <c r="J114">
        <f t="shared" si="18"/>
        <v>0</v>
      </c>
      <c r="K114">
        <f t="shared" si="19"/>
        <v>0</v>
      </c>
      <c r="L114">
        <f t="shared" si="20"/>
        <v>0</v>
      </c>
      <c r="M114">
        <f t="shared" si="21"/>
        <v>0</v>
      </c>
      <c r="N114">
        <f t="shared" si="22"/>
        <v>0</v>
      </c>
      <c r="O114">
        <f t="shared" si="23"/>
        <v>0</v>
      </c>
      <c r="P114">
        <f t="shared" si="24"/>
        <v>0</v>
      </c>
      <c r="Q114">
        <f t="shared" si="25"/>
        <v>0</v>
      </c>
      <c r="R114">
        <f t="shared" si="26"/>
        <v>0</v>
      </c>
      <c r="S114">
        <f t="shared" si="27"/>
        <v>0</v>
      </c>
    </row>
    <row r="115" spans="1:19" x14ac:dyDescent="0.3">
      <c r="A115" s="1">
        <v>41665</v>
      </c>
      <c r="B115" s="1">
        <v>41683</v>
      </c>
      <c r="C115">
        <v>8.84</v>
      </c>
      <c r="D115">
        <v>0.23</v>
      </c>
      <c r="E115">
        <v>4</v>
      </c>
      <c r="F115">
        <f t="shared" si="14"/>
        <v>9.07</v>
      </c>
      <c r="G115">
        <f t="shared" si="15"/>
        <v>1</v>
      </c>
      <c r="H115">
        <f t="shared" si="16"/>
        <v>9.07</v>
      </c>
      <c r="I115">
        <f t="shared" si="17"/>
        <v>0</v>
      </c>
      <c r="J115">
        <f t="shared" si="18"/>
        <v>0</v>
      </c>
      <c r="K115">
        <f t="shared" si="19"/>
        <v>0</v>
      </c>
      <c r="L115">
        <f t="shared" si="20"/>
        <v>0</v>
      </c>
      <c r="M115">
        <f t="shared" si="21"/>
        <v>0</v>
      </c>
      <c r="N115">
        <f t="shared" si="22"/>
        <v>0</v>
      </c>
      <c r="O115">
        <f t="shared" si="23"/>
        <v>0</v>
      </c>
      <c r="P115">
        <f t="shared" si="24"/>
        <v>0</v>
      </c>
      <c r="Q115">
        <f t="shared" si="25"/>
        <v>0</v>
      </c>
      <c r="R115">
        <f t="shared" si="26"/>
        <v>0</v>
      </c>
      <c r="S115">
        <f t="shared" si="27"/>
        <v>0</v>
      </c>
    </row>
    <row r="116" spans="1:19" x14ac:dyDescent="0.3">
      <c r="A116" s="1">
        <v>41665</v>
      </c>
      <c r="B116" s="1">
        <v>41690</v>
      </c>
      <c r="C116">
        <v>16.940000000000001</v>
      </c>
      <c r="D116">
        <v>0.45</v>
      </c>
      <c r="E116">
        <v>5</v>
      </c>
      <c r="F116">
        <f t="shared" si="14"/>
        <v>17.39</v>
      </c>
      <c r="G116">
        <f t="shared" si="15"/>
        <v>1</v>
      </c>
      <c r="H116">
        <f t="shared" si="16"/>
        <v>17.39</v>
      </c>
      <c r="I116">
        <f t="shared" si="17"/>
        <v>0</v>
      </c>
      <c r="J116">
        <f t="shared" si="18"/>
        <v>0</v>
      </c>
      <c r="K116">
        <f t="shared" si="19"/>
        <v>0</v>
      </c>
      <c r="L116">
        <f t="shared" si="20"/>
        <v>0</v>
      </c>
      <c r="M116">
        <f t="shared" si="21"/>
        <v>0</v>
      </c>
      <c r="N116">
        <f t="shared" si="22"/>
        <v>0</v>
      </c>
      <c r="O116">
        <f t="shared" si="23"/>
        <v>0</v>
      </c>
      <c r="P116">
        <f t="shared" si="24"/>
        <v>0</v>
      </c>
      <c r="Q116">
        <f t="shared" si="25"/>
        <v>0</v>
      </c>
      <c r="R116">
        <f t="shared" si="26"/>
        <v>0</v>
      </c>
      <c r="S116">
        <f t="shared" si="27"/>
        <v>0</v>
      </c>
    </row>
    <row r="117" spans="1:19" x14ac:dyDescent="0.3">
      <c r="A117" s="1">
        <v>41665</v>
      </c>
      <c r="B117" s="1">
        <v>41669</v>
      </c>
      <c r="C117">
        <v>13.82</v>
      </c>
      <c r="D117">
        <v>0.36</v>
      </c>
      <c r="E117">
        <v>4</v>
      </c>
      <c r="F117">
        <f t="shared" si="14"/>
        <v>14.18</v>
      </c>
      <c r="G117">
        <f t="shared" si="15"/>
        <v>1</v>
      </c>
      <c r="H117">
        <f t="shared" si="16"/>
        <v>14.18</v>
      </c>
      <c r="I117">
        <f t="shared" si="17"/>
        <v>0</v>
      </c>
      <c r="J117">
        <f t="shared" si="18"/>
        <v>0</v>
      </c>
      <c r="K117">
        <f t="shared" si="19"/>
        <v>0</v>
      </c>
      <c r="L117">
        <f t="shared" si="20"/>
        <v>0</v>
      </c>
      <c r="M117">
        <f t="shared" si="21"/>
        <v>0</v>
      </c>
      <c r="N117">
        <f t="shared" si="22"/>
        <v>0</v>
      </c>
      <c r="O117">
        <f t="shared" si="23"/>
        <v>0</v>
      </c>
      <c r="P117">
        <f t="shared" si="24"/>
        <v>0</v>
      </c>
      <c r="Q117">
        <f t="shared" si="25"/>
        <v>0</v>
      </c>
      <c r="R117">
        <f t="shared" si="26"/>
        <v>0</v>
      </c>
      <c r="S117">
        <f t="shared" si="27"/>
        <v>0</v>
      </c>
    </row>
    <row r="118" spans="1:19" x14ac:dyDescent="0.3">
      <c r="A118" s="1">
        <v>41665</v>
      </c>
      <c r="B118" s="1">
        <v>41689</v>
      </c>
      <c r="C118">
        <v>9.4600000000000009</v>
      </c>
      <c r="D118">
        <v>0.25</v>
      </c>
      <c r="E118">
        <v>6</v>
      </c>
      <c r="F118">
        <f t="shared" si="14"/>
        <v>9.7100000000000009</v>
      </c>
      <c r="G118">
        <f t="shared" si="15"/>
        <v>1</v>
      </c>
      <c r="H118">
        <f t="shared" si="16"/>
        <v>9.7100000000000009</v>
      </c>
      <c r="I118">
        <f t="shared" si="17"/>
        <v>0</v>
      </c>
      <c r="J118">
        <f t="shared" si="18"/>
        <v>0</v>
      </c>
      <c r="K118">
        <f t="shared" si="19"/>
        <v>0</v>
      </c>
      <c r="L118">
        <f t="shared" si="20"/>
        <v>0</v>
      </c>
      <c r="M118">
        <f t="shared" si="21"/>
        <v>0</v>
      </c>
      <c r="N118">
        <f t="shared" si="22"/>
        <v>0</v>
      </c>
      <c r="O118">
        <f t="shared" si="23"/>
        <v>0</v>
      </c>
      <c r="P118">
        <f t="shared" si="24"/>
        <v>0</v>
      </c>
      <c r="Q118">
        <f t="shared" si="25"/>
        <v>0</v>
      </c>
      <c r="R118">
        <f t="shared" si="26"/>
        <v>0</v>
      </c>
      <c r="S118">
        <f t="shared" si="27"/>
        <v>0</v>
      </c>
    </row>
    <row r="119" spans="1:19" x14ac:dyDescent="0.3">
      <c r="A119" s="1">
        <v>41665</v>
      </c>
      <c r="B119" s="1">
        <v>41684</v>
      </c>
      <c r="C119">
        <v>8.89</v>
      </c>
      <c r="D119">
        <v>0.23</v>
      </c>
      <c r="E119">
        <v>6</v>
      </c>
      <c r="F119">
        <f t="shared" si="14"/>
        <v>9.120000000000001</v>
      </c>
      <c r="G119">
        <f t="shared" si="15"/>
        <v>1</v>
      </c>
      <c r="H119">
        <f t="shared" si="16"/>
        <v>9.120000000000001</v>
      </c>
      <c r="I119">
        <f t="shared" si="17"/>
        <v>0</v>
      </c>
      <c r="J119">
        <f t="shared" si="18"/>
        <v>0</v>
      </c>
      <c r="K119">
        <f t="shared" si="19"/>
        <v>0</v>
      </c>
      <c r="L119">
        <f t="shared" si="20"/>
        <v>0</v>
      </c>
      <c r="M119">
        <f t="shared" si="21"/>
        <v>0</v>
      </c>
      <c r="N119">
        <f t="shared" si="22"/>
        <v>0</v>
      </c>
      <c r="O119">
        <f t="shared" si="23"/>
        <v>0</v>
      </c>
      <c r="P119">
        <f t="shared" si="24"/>
        <v>0</v>
      </c>
      <c r="Q119">
        <f t="shared" si="25"/>
        <v>0</v>
      </c>
      <c r="R119">
        <f t="shared" si="26"/>
        <v>0</v>
      </c>
      <c r="S119">
        <f t="shared" si="27"/>
        <v>0</v>
      </c>
    </row>
    <row r="120" spans="1:19" x14ac:dyDescent="0.3">
      <c r="A120" s="1">
        <v>41665</v>
      </c>
      <c r="B120" s="1">
        <v>41673</v>
      </c>
      <c r="C120">
        <v>5.57</v>
      </c>
      <c r="D120">
        <v>0.15</v>
      </c>
      <c r="E120">
        <v>4</v>
      </c>
      <c r="F120">
        <f t="shared" si="14"/>
        <v>5.7200000000000006</v>
      </c>
      <c r="G120">
        <f t="shared" si="15"/>
        <v>1</v>
      </c>
      <c r="H120">
        <f t="shared" si="16"/>
        <v>5.7200000000000006</v>
      </c>
      <c r="I120">
        <f t="shared" si="17"/>
        <v>0</v>
      </c>
      <c r="J120">
        <f t="shared" si="18"/>
        <v>0</v>
      </c>
      <c r="K120">
        <f t="shared" si="19"/>
        <v>0</v>
      </c>
      <c r="L120">
        <f t="shared" si="20"/>
        <v>0</v>
      </c>
      <c r="M120">
        <f t="shared" si="21"/>
        <v>0</v>
      </c>
      <c r="N120">
        <f t="shared" si="22"/>
        <v>0</v>
      </c>
      <c r="O120">
        <f t="shared" si="23"/>
        <v>0</v>
      </c>
      <c r="P120">
        <f t="shared" si="24"/>
        <v>0</v>
      </c>
      <c r="Q120">
        <f t="shared" si="25"/>
        <v>0</v>
      </c>
      <c r="R120">
        <f t="shared" si="26"/>
        <v>0</v>
      </c>
      <c r="S120">
        <f t="shared" si="27"/>
        <v>0</v>
      </c>
    </row>
    <row r="121" spans="1:19" x14ac:dyDescent="0.3">
      <c r="A121" s="1">
        <v>41665</v>
      </c>
      <c r="B121" s="1">
        <v>41669</v>
      </c>
      <c r="C121">
        <v>7.35</v>
      </c>
      <c r="D121">
        <v>0.19</v>
      </c>
      <c r="E121">
        <v>2</v>
      </c>
      <c r="F121">
        <f t="shared" si="14"/>
        <v>7.54</v>
      </c>
      <c r="G121">
        <f t="shared" si="15"/>
        <v>1</v>
      </c>
      <c r="H121">
        <f t="shared" si="16"/>
        <v>7.54</v>
      </c>
      <c r="I121">
        <f t="shared" si="17"/>
        <v>0</v>
      </c>
      <c r="J121">
        <f t="shared" si="18"/>
        <v>0</v>
      </c>
      <c r="K121">
        <f t="shared" si="19"/>
        <v>0</v>
      </c>
      <c r="L121">
        <f t="shared" si="20"/>
        <v>0</v>
      </c>
      <c r="M121">
        <f t="shared" si="21"/>
        <v>0</v>
      </c>
      <c r="N121">
        <f t="shared" si="22"/>
        <v>0</v>
      </c>
      <c r="O121">
        <f t="shared" si="23"/>
        <v>0</v>
      </c>
      <c r="P121">
        <f t="shared" si="24"/>
        <v>0</v>
      </c>
      <c r="Q121">
        <f t="shared" si="25"/>
        <v>0</v>
      </c>
      <c r="R121">
        <f t="shared" si="26"/>
        <v>0</v>
      </c>
      <c r="S121">
        <f t="shared" si="27"/>
        <v>0</v>
      </c>
    </row>
    <row r="122" spans="1:19" x14ac:dyDescent="0.3">
      <c r="A122" s="1">
        <v>41665</v>
      </c>
      <c r="B122" s="1">
        <v>41681</v>
      </c>
      <c r="C122">
        <v>12.23</v>
      </c>
      <c r="D122">
        <v>0.32</v>
      </c>
      <c r="E122">
        <v>4</v>
      </c>
      <c r="F122">
        <f t="shared" si="14"/>
        <v>12.55</v>
      </c>
      <c r="G122">
        <f t="shared" si="15"/>
        <v>1</v>
      </c>
      <c r="H122">
        <f t="shared" si="16"/>
        <v>12.55</v>
      </c>
      <c r="I122">
        <f t="shared" si="17"/>
        <v>0</v>
      </c>
      <c r="J122">
        <f t="shared" si="18"/>
        <v>0</v>
      </c>
      <c r="K122">
        <f t="shared" si="19"/>
        <v>0</v>
      </c>
      <c r="L122">
        <f t="shared" si="20"/>
        <v>0</v>
      </c>
      <c r="M122">
        <f t="shared" si="21"/>
        <v>0</v>
      </c>
      <c r="N122">
        <f t="shared" si="22"/>
        <v>0</v>
      </c>
      <c r="O122">
        <f t="shared" si="23"/>
        <v>0</v>
      </c>
      <c r="P122">
        <f t="shared" si="24"/>
        <v>0</v>
      </c>
      <c r="Q122">
        <f t="shared" si="25"/>
        <v>0</v>
      </c>
      <c r="R122">
        <f t="shared" si="26"/>
        <v>0</v>
      </c>
      <c r="S122">
        <f t="shared" si="27"/>
        <v>0</v>
      </c>
    </row>
    <row r="123" spans="1:19" x14ac:dyDescent="0.3">
      <c r="A123" s="1">
        <v>41665</v>
      </c>
      <c r="B123" s="1">
        <v>41690</v>
      </c>
      <c r="C123">
        <v>5.23</v>
      </c>
      <c r="D123">
        <v>0.14000000000000001</v>
      </c>
      <c r="E123">
        <v>6</v>
      </c>
      <c r="F123">
        <f t="shared" si="14"/>
        <v>5.37</v>
      </c>
      <c r="G123">
        <f t="shared" si="15"/>
        <v>1</v>
      </c>
      <c r="H123">
        <f t="shared" si="16"/>
        <v>5.37</v>
      </c>
      <c r="I123">
        <f t="shared" si="17"/>
        <v>0</v>
      </c>
      <c r="J123">
        <f t="shared" si="18"/>
        <v>0</v>
      </c>
      <c r="K123">
        <f t="shared" si="19"/>
        <v>0</v>
      </c>
      <c r="L123">
        <f t="shared" si="20"/>
        <v>0</v>
      </c>
      <c r="M123">
        <f t="shared" si="21"/>
        <v>0</v>
      </c>
      <c r="N123">
        <f t="shared" si="22"/>
        <v>0</v>
      </c>
      <c r="O123">
        <f t="shared" si="23"/>
        <v>0</v>
      </c>
      <c r="P123">
        <f t="shared" si="24"/>
        <v>0</v>
      </c>
      <c r="Q123">
        <f t="shared" si="25"/>
        <v>0</v>
      </c>
      <c r="R123">
        <f t="shared" si="26"/>
        <v>0</v>
      </c>
      <c r="S123">
        <f t="shared" si="27"/>
        <v>0</v>
      </c>
    </row>
    <row r="124" spans="1:19" x14ac:dyDescent="0.3">
      <c r="A124" s="1">
        <v>41666</v>
      </c>
      <c r="B124" s="1">
        <v>41682</v>
      </c>
      <c r="C124">
        <v>6.43</v>
      </c>
      <c r="D124">
        <v>0.17</v>
      </c>
      <c r="E124">
        <v>4</v>
      </c>
      <c r="F124">
        <f t="shared" si="14"/>
        <v>6.6</v>
      </c>
      <c r="G124">
        <f t="shared" si="15"/>
        <v>1</v>
      </c>
      <c r="H124">
        <f t="shared" si="16"/>
        <v>6.6</v>
      </c>
      <c r="I124">
        <f t="shared" si="17"/>
        <v>0</v>
      </c>
      <c r="J124">
        <f t="shared" si="18"/>
        <v>0</v>
      </c>
      <c r="K124">
        <f t="shared" si="19"/>
        <v>0</v>
      </c>
      <c r="L124">
        <f t="shared" si="20"/>
        <v>0</v>
      </c>
      <c r="M124">
        <f t="shared" si="21"/>
        <v>0</v>
      </c>
      <c r="N124">
        <f t="shared" si="22"/>
        <v>0</v>
      </c>
      <c r="O124">
        <f t="shared" si="23"/>
        <v>0</v>
      </c>
      <c r="P124">
        <f t="shared" si="24"/>
        <v>0</v>
      </c>
      <c r="Q124">
        <f t="shared" si="25"/>
        <v>0</v>
      </c>
      <c r="R124">
        <f t="shared" si="26"/>
        <v>0</v>
      </c>
      <c r="S124">
        <f t="shared" si="27"/>
        <v>0</v>
      </c>
    </row>
    <row r="125" spans="1:19" x14ac:dyDescent="0.3">
      <c r="A125" s="1">
        <v>41666</v>
      </c>
      <c r="B125" s="1">
        <v>41668</v>
      </c>
      <c r="C125">
        <v>11.44</v>
      </c>
      <c r="D125">
        <v>0.3</v>
      </c>
      <c r="E125">
        <v>5</v>
      </c>
      <c r="F125">
        <f t="shared" si="14"/>
        <v>11.74</v>
      </c>
      <c r="G125">
        <f t="shared" si="15"/>
        <v>1</v>
      </c>
      <c r="H125">
        <f t="shared" si="16"/>
        <v>11.74</v>
      </c>
      <c r="I125">
        <f t="shared" si="17"/>
        <v>0</v>
      </c>
      <c r="J125">
        <f t="shared" si="18"/>
        <v>0</v>
      </c>
      <c r="K125">
        <f t="shared" si="19"/>
        <v>0</v>
      </c>
      <c r="L125">
        <f t="shared" si="20"/>
        <v>0</v>
      </c>
      <c r="M125">
        <f t="shared" si="21"/>
        <v>0</v>
      </c>
      <c r="N125">
        <f t="shared" si="22"/>
        <v>0</v>
      </c>
      <c r="O125">
        <f t="shared" si="23"/>
        <v>0</v>
      </c>
      <c r="P125">
        <f t="shared" si="24"/>
        <v>0</v>
      </c>
      <c r="Q125">
        <f t="shared" si="25"/>
        <v>0</v>
      </c>
      <c r="R125">
        <f t="shared" si="26"/>
        <v>0</v>
      </c>
      <c r="S125">
        <f t="shared" si="27"/>
        <v>0</v>
      </c>
    </row>
    <row r="126" spans="1:19" x14ac:dyDescent="0.3">
      <c r="A126" s="1">
        <v>41666</v>
      </c>
      <c r="B126" s="1">
        <v>41673</v>
      </c>
      <c r="C126">
        <v>8.7200000000000006</v>
      </c>
      <c r="D126">
        <v>0.23</v>
      </c>
      <c r="E126">
        <v>5</v>
      </c>
      <c r="F126">
        <f t="shared" si="14"/>
        <v>8.9500000000000011</v>
      </c>
      <c r="G126">
        <f t="shared" si="15"/>
        <v>1</v>
      </c>
      <c r="H126">
        <f t="shared" si="16"/>
        <v>8.9500000000000011</v>
      </c>
      <c r="I126">
        <f t="shared" si="17"/>
        <v>0</v>
      </c>
      <c r="J126">
        <f t="shared" si="18"/>
        <v>0</v>
      </c>
      <c r="K126">
        <f t="shared" si="19"/>
        <v>0</v>
      </c>
      <c r="L126">
        <f t="shared" si="20"/>
        <v>0</v>
      </c>
      <c r="M126">
        <f t="shared" si="21"/>
        <v>0</v>
      </c>
      <c r="N126">
        <f t="shared" si="22"/>
        <v>0</v>
      </c>
      <c r="O126">
        <f t="shared" si="23"/>
        <v>0</v>
      </c>
      <c r="P126">
        <f t="shared" si="24"/>
        <v>0</v>
      </c>
      <c r="Q126">
        <f t="shared" si="25"/>
        <v>0</v>
      </c>
      <c r="R126">
        <f t="shared" si="26"/>
        <v>0</v>
      </c>
      <c r="S126">
        <f t="shared" si="27"/>
        <v>0</v>
      </c>
    </row>
    <row r="127" spans="1:19" x14ac:dyDescent="0.3">
      <c r="A127" s="1">
        <v>41666</v>
      </c>
      <c r="B127" s="1">
        <v>41685</v>
      </c>
      <c r="C127">
        <v>10.199999999999999</v>
      </c>
      <c r="D127">
        <v>0.27</v>
      </c>
      <c r="E127">
        <v>4</v>
      </c>
      <c r="F127">
        <f t="shared" si="14"/>
        <v>10.469999999999999</v>
      </c>
      <c r="G127">
        <f t="shared" si="15"/>
        <v>1</v>
      </c>
      <c r="H127">
        <f t="shared" si="16"/>
        <v>10.469999999999999</v>
      </c>
      <c r="I127">
        <f t="shared" si="17"/>
        <v>0</v>
      </c>
      <c r="J127">
        <f t="shared" si="18"/>
        <v>0</v>
      </c>
      <c r="K127">
        <f t="shared" si="19"/>
        <v>0</v>
      </c>
      <c r="L127">
        <f t="shared" si="20"/>
        <v>0</v>
      </c>
      <c r="M127">
        <f t="shared" si="21"/>
        <v>0</v>
      </c>
      <c r="N127">
        <f t="shared" si="22"/>
        <v>0</v>
      </c>
      <c r="O127">
        <f t="shared" si="23"/>
        <v>0</v>
      </c>
      <c r="P127">
        <f t="shared" si="24"/>
        <v>0</v>
      </c>
      <c r="Q127">
        <f t="shared" si="25"/>
        <v>0</v>
      </c>
      <c r="R127">
        <f t="shared" si="26"/>
        <v>0</v>
      </c>
      <c r="S127">
        <f t="shared" si="27"/>
        <v>0</v>
      </c>
    </row>
    <row r="128" spans="1:19" x14ac:dyDescent="0.3">
      <c r="A128" s="1">
        <v>41666</v>
      </c>
      <c r="B128" s="1">
        <v>41668</v>
      </c>
      <c r="C128">
        <v>10.199999999999999</v>
      </c>
      <c r="D128">
        <v>0.27</v>
      </c>
      <c r="E128">
        <v>2</v>
      </c>
      <c r="F128">
        <f t="shared" si="14"/>
        <v>10.469999999999999</v>
      </c>
      <c r="G128">
        <f t="shared" si="15"/>
        <v>1</v>
      </c>
      <c r="H128">
        <f t="shared" si="16"/>
        <v>10.469999999999999</v>
      </c>
      <c r="I128">
        <f t="shared" si="17"/>
        <v>0</v>
      </c>
      <c r="J128">
        <f t="shared" si="18"/>
        <v>0</v>
      </c>
      <c r="K128">
        <f t="shared" si="19"/>
        <v>0</v>
      </c>
      <c r="L128">
        <f t="shared" si="20"/>
        <v>0</v>
      </c>
      <c r="M128">
        <f t="shared" si="21"/>
        <v>0</v>
      </c>
      <c r="N128">
        <f t="shared" si="22"/>
        <v>0</v>
      </c>
      <c r="O128">
        <f t="shared" si="23"/>
        <v>0</v>
      </c>
      <c r="P128">
        <f t="shared" si="24"/>
        <v>0</v>
      </c>
      <c r="Q128">
        <f t="shared" si="25"/>
        <v>0</v>
      </c>
      <c r="R128">
        <f t="shared" si="26"/>
        <v>0</v>
      </c>
      <c r="S128">
        <f t="shared" si="27"/>
        <v>0</v>
      </c>
    </row>
    <row r="129" spans="1:19" x14ac:dyDescent="0.3">
      <c r="A129" s="1">
        <v>41667</v>
      </c>
      <c r="B129" s="1">
        <v>41693</v>
      </c>
      <c r="C129">
        <v>4.66</v>
      </c>
      <c r="D129">
        <v>0.12</v>
      </c>
      <c r="E129">
        <v>3</v>
      </c>
      <c r="F129">
        <f t="shared" si="14"/>
        <v>4.78</v>
      </c>
      <c r="G129">
        <f t="shared" si="15"/>
        <v>1</v>
      </c>
      <c r="H129">
        <f t="shared" si="16"/>
        <v>4.78</v>
      </c>
      <c r="I129">
        <f t="shared" si="17"/>
        <v>0</v>
      </c>
      <c r="J129">
        <f t="shared" si="18"/>
        <v>0</v>
      </c>
      <c r="K129">
        <f t="shared" si="19"/>
        <v>0</v>
      </c>
      <c r="L129">
        <f t="shared" si="20"/>
        <v>0</v>
      </c>
      <c r="M129">
        <f t="shared" si="21"/>
        <v>0</v>
      </c>
      <c r="N129">
        <f t="shared" si="22"/>
        <v>0</v>
      </c>
      <c r="O129">
        <f t="shared" si="23"/>
        <v>0</v>
      </c>
      <c r="P129">
        <f t="shared" si="24"/>
        <v>0</v>
      </c>
      <c r="Q129">
        <f t="shared" si="25"/>
        <v>0</v>
      </c>
      <c r="R129">
        <f t="shared" si="26"/>
        <v>0</v>
      </c>
      <c r="S129">
        <f t="shared" si="27"/>
        <v>0</v>
      </c>
    </row>
    <row r="130" spans="1:19" x14ac:dyDescent="0.3">
      <c r="A130" s="1">
        <v>41667</v>
      </c>
      <c r="B130" s="1">
        <v>41675</v>
      </c>
      <c r="C130">
        <v>11.69</v>
      </c>
      <c r="D130">
        <v>0.31</v>
      </c>
      <c r="E130">
        <v>6</v>
      </c>
      <c r="F130">
        <f t="shared" si="14"/>
        <v>12</v>
      </c>
      <c r="G130">
        <f t="shared" si="15"/>
        <v>1</v>
      </c>
      <c r="H130">
        <f t="shared" si="16"/>
        <v>12</v>
      </c>
      <c r="I130">
        <f t="shared" si="17"/>
        <v>0</v>
      </c>
      <c r="J130">
        <f t="shared" si="18"/>
        <v>0</v>
      </c>
      <c r="K130">
        <f t="shared" si="19"/>
        <v>0</v>
      </c>
      <c r="L130">
        <f t="shared" si="20"/>
        <v>0</v>
      </c>
      <c r="M130">
        <f t="shared" si="21"/>
        <v>0</v>
      </c>
      <c r="N130">
        <f t="shared" si="22"/>
        <v>0</v>
      </c>
      <c r="O130">
        <f t="shared" si="23"/>
        <v>0</v>
      </c>
      <c r="P130">
        <f t="shared" si="24"/>
        <v>0</v>
      </c>
      <c r="Q130">
        <f t="shared" si="25"/>
        <v>0</v>
      </c>
      <c r="R130">
        <f t="shared" si="26"/>
        <v>0</v>
      </c>
      <c r="S130">
        <f t="shared" si="27"/>
        <v>0</v>
      </c>
    </row>
    <row r="131" spans="1:19" x14ac:dyDescent="0.3">
      <c r="A131" s="1">
        <v>41667</v>
      </c>
      <c r="B131" s="1">
        <v>41673</v>
      </c>
      <c r="C131">
        <v>6.88</v>
      </c>
      <c r="D131">
        <v>0.18</v>
      </c>
      <c r="E131">
        <v>3</v>
      </c>
      <c r="F131">
        <f t="shared" ref="F131:F194" si="28">C131+D131</f>
        <v>7.06</v>
      </c>
      <c r="G131">
        <f t="shared" ref="G131:G194" si="29">MONTH(A131)</f>
        <v>1</v>
      </c>
      <c r="H131">
        <f t="shared" ref="H131:H194" si="30">IF(EXACT(G131,1),F131,0)</f>
        <v>7.06</v>
      </c>
      <c r="I131">
        <f t="shared" ref="I131:I194" si="31">IF(EXACT(G131,2),F131,0)</f>
        <v>0</v>
      </c>
      <c r="J131">
        <f t="shared" ref="J131:J194" si="32">IF(EXACT(G131,3),F131,0)</f>
        <v>0</v>
      </c>
      <c r="K131">
        <f t="shared" ref="K131:K194" si="33">IF(EXACT(G131,4),F131,0)</f>
        <v>0</v>
      </c>
      <c r="L131">
        <f t="shared" ref="L131:L194" si="34">IF(EXACT(G131,5),F131,0)</f>
        <v>0</v>
      </c>
      <c r="M131">
        <f t="shared" ref="M131:M194" si="35">IF(EXACT(G131,6),F131,0)</f>
        <v>0</v>
      </c>
      <c r="N131">
        <f t="shared" ref="N131:N194" si="36">IF(EXACT(G131,7),F131,0)</f>
        <v>0</v>
      </c>
      <c r="O131">
        <f t="shared" ref="O131:O194" si="37">IF(EXACT(G131,8),F131,0)</f>
        <v>0</v>
      </c>
      <c r="P131">
        <f t="shared" ref="P131:P194" si="38">IF(EXACT(G131,9),F131,0)</f>
        <v>0</v>
      </c>
      <c r="Q131">
        <f t="shared" ref="Q131:Q194" si="39">IF(EXACT(G131,10),F131,0)</f>
        <v>0</v>
      </c>
      <c r="R131">
        <f t="shared" ref="R131:R194" si="40">IF(EXACT(G131,11),F131,0)</f>
        <v>0</v>
      </c>
      <c r="S131">
        <f t="shared" ref="S131:S194" si="41">IF(EXACT(G131,12),F131,0)</f>
        <v>0</v>
      </c>
    </row>
    <row r="132" spans="1:19" x14ac:dyDescent="0.3">
      <c r="A132" s="1">
        <v>41672</v>
      </c>
      <c r="B132" s="1">
        <v>41683</v>
      </c>
      <c r="C132">
        <v>9.74</v>
      </c>
      <c r="D132">
        <v>0.26</v>
      </c>
      <c r="E132">
        <v>2</v>
      </c>
      <c r="F132">
        <f t="shared" si="28"/>
        <v>10</v>
      </c>
      <c r="G132">
        <f t="shared" si="29"/>
        <v>2</v>
      </c>
      <c r="H132">
        <f t="shared" si="30"/>
        <v>0</v>
      </c>
      <c r="I132">
        <f t="shared" si="31"/>
        <v>10</v>
      </c>
      <c r="J132">
        <f t="shared" si="32"/>
        <v>0</v>
      </c>
      <c r="K132">
        <f t="shared" si="33"/>
        <v>0</v>
      </c>
      <c r="L132">
        <f t="shared" si="34"/>
        <v>0</v>
      </c>
      <c r="M132">
        <f t="shared" si="35"/>
        <v>0</v>
      </c>
      <c r="N132">
        <f t="shared" si="36"/>
        <v>0</v>
      </c>
      <c r="O132">
        <f t="shared" si="37"/>
        <v>0</v>
      </c>
      <c r="P132">
        <f t="shared" si="38"/>
        <v>0</v>
      </c>
      <c r="Q132">
        <f t="shared" si="39"/>
        <v>0</v>
      </c>
      <c r="R132">
        <f t="shared" si="40"/>
        <v>0</v>
      </c>
      <c r="S132">
        <f t="shared" si="41"/>
        <v>0</v>
      </c>
    </row>
    <row r="133" spans="1:19" x14ac:dyDescent="0.3">
      <c r="A133" s="1">
        <v>41672</v>
      </c>
      <c r="B133" s="1">
        <v>41681</v>
      </c>
      <c r="C133">
        <v>9.06</v>
      </c>
      <c r="D133">
        <v>0.24</v>
      </c>
      <c r="E133">
        <v>2</v>
      </c>
      <c r="F133">
        <f t="shared" si="28"/>
        <v>9.3000000000000007</v>
      </c>
      <c r="G133">
        <f t="shared" si="29"/>
        <v>2</v>
      </c>
      <c r="H133">
        <f t="shared" si="30"/>
        <v>0</v>
      </c>
      <c r="I133">
        <f t="shared" si="31"/>
        <v>9.3000000000000007</v>
      </c>
      <c r="J133">
        <f t="shared" si="32"/>
        <v>0</v>
      </c>
      <c r="K133">
        <f t="shared" si="33"/>
        <v>0</v>
      </c>
      <c r="L133">
        <f t="shared" si="34"/>
        <v>0</v>
      </c>
      <c r="M133">
        <f t="shared" si="35"/>
        <v>0</v>
      </c>
      <c r="N133">
        <f t="shared" si="36"/>
        <v>0</v>
      </c>
      <c r="O133">
        <f t="shared" si="37"/>
        <v>0</v>
      </c>
      <c r="P133">
        <f t="shared" si="38"/>
        <v>0</v>
      </c>
      <c r="Q133">
        <f t="shared" si="39"/>
        <v>0</v>
      </c>
      <c r="R133">
        <f t="shared" si="40"/>
        <v>0</v>
      </c>
      <c r="S133">
        <f t="shared" si="41"/>
        <v>0</v>
      </c>
    </row>
    <row r="134" spans="1:19" x14ac:dyDescent="0.3">
      <c r="A134" s="1">
        <v>41672</v>
      </c>
      <c r="B134" s="1">
        <v>41694</v>
      </c>
      <c r="C134">
        <v>14</v>
      </c>
      <c r="D134">
        <v>0.37</v>
      </c>
      <c r="E134">
        <v>2</v>
      </c>
      <c r="F134">
        <f t="shared" si="28"/>
        <v>14.37</v>
      </c>
      <c r="G134">
        <f t="shared" si="29"/>
        <v>2</v>
      </c>
      <c r="H134">
        <f t="shared" si="30"/>
        <v>0</v>
      </c>
      <c r="I134">
        <f t="shared" si="31"/>
        <v>14.37</v>
      </c>
      <c r="J134">
        <f t="shared" si="32"/>
        <v>0</v>
      </c>
      <c r="K134">
        <f t="shared" si="33"/>
        <v>0</v>
      </c>
      <c r="L134">
        <f t="shared" si="34"/>
        <v>0</v>
      </c>
      <c r="M134">
        <f t="shared" si="35"/>
        <v>0</v>
      </c>
      <c r="N134">
        <f t="shared" si="36"/>
        <v>0</v>
      </c>
      <c r="O134">
        <f t="shared" si="37"/>
        <v>0</v>
      </c>
      <c r="P134">
        <f t="shared" si="38"/>
        <v>0</v>
      </c>
      <c r="Q134">
        <f t="shared" si="39"/>
        <v>0</v>
      </c>
      <c r="R134">
        <f t="shared" si="40"/>
        <v>0</v>
      </c>
      <c r="S134">
        <f t="shared" si="41"/>
        <v>0</v>
      </c>
    </row>
    <row r="135" spans="1:19" x14ac:dyDescent="0.3">
      <c r="A135" s="1">
        <v>41673</v>
      </c>
      <c r="B135" s="1">
        <v>41697</v>
      </c>
      <c r="C135">
        <v>10.59</v>
      </c>
      <c r="D135">
        <v>0.28000000000000003</v>
      </c>
      <c r="E135">
        <v>3</v>
      </c>
      <c r="F135">
        <f t="shared" si="28"/>
        <v>10.87</v>
      </c>
      <c r="G135">
        <f t="shared" si="29"/>
        <v>2</v>
      </c>
      <c r="H135">
        <f t="shared" si="30"/>
        <v>0</v>
      </c>
      <c r="I135">
        <f t="shared" si="31"/>
        <v>10.87</v>
      </c>
      <c r="J135">
        <f t="shared" si="32"/>
        <v>0</v>
      </c>
      <c r="K135">
        <f t="shared" si="33"/>
        <v>0</v>
      </c>
      <c r="L135">
        <f t="shared" si="34"/>
        <v>0</v>
      </c>
      <c r="M135">
        <f t="shared" si="35"/>
        <v>0</v>
      </c>
      <c r="N135">
        <f t="shared" si="36"/>
        <v>0</v>
      </c>
      <c r="O135">
        <f t="shared" si="37"/>
        <v>0</v>
      </c>
      <c r="P135">
        <f t="shared" si="38"/>
        <v>0</v>
      </c>
      <c r="Q135">
        <f t="shared" si="39"/>
        <v>0</v>
      </c>
      <c r="R135">
        <f t="shared" si="40"/>
        <v>0</v>
      </c>
      <c r="S135">
        <f t="shared" si="41"/>
        <v>0</v>
      </c>
    </row>
    <row r="136" spans="1:19" x14ac:dyDescent="0.3">
      <c r="A136" s="1">
        <v>41673</v>
      </c>
      <c r="B136" s="1">
        <v>41676</v>
      </c>
      <c r="C136">
        <v>3.94</v>
      </c>
      <c r="D136">
        <v>0.1</v>
      </c>
      <c r="E136">
        <v>6</v>
      </c>
      <c r="F136">
        <f t="shared" si="28"/>
        <v>4.04</v>
      </c>
      <c r="G136">
        <f t="shared" si="29"/>
        <v>2</v>
      </c>
      <c r="H136">
        <f t="shared" si="30"/>
        <v>0</v>
      </c>
      <c r="I136">
        <f t="shared" si="31"/>
        <v>4.04</v>
      </c>
      <c r="J136">
        <f t="shared" si="32"/>
        <v>0</v>
      </c>
      <c r="K136">
        <f t="shared" si="33"/>
        <v>0</v>
      </c>
      <c r="L136">
        <f t="shared" si="34"/>
        <v>0</v>
      </c>
      <c r="M136">
        <f t="shared" si="35"/>
        <v>0</v>
      </c>
      <c r="N136">
        <f t="shared" si="36"/>
        <v>0</v>
      </c>
      <c r="O136">
        <f t="shared" si="37"/>
        <v>0</v>
      </c>
      <c r="P136">
        <f t="shared" si="38"/>
        <v>0</v>
      </c>
      <c r="Q136">
        <f t="shared" si="39"/>
        <v>0</v>
      </c>
      <c r="R136">
        <f t="shared" si="40"/>
        <v>0</v>
      </c>
      <c r="S136">
        <f t="shared" si="41"/>
        <v>0</v>
      </c>
    </row>
    <row r="137" spans="1:19" x14ac:dyDescent="0.3">
      <c r="A137" s="1">
        <v>41673</v>
      </c>
      <c r="B137" s="1">
        <v>41690</v>
      </c>
      <c r="C137">
        <v>4.66</v>
      </c>
      <c r="D137">
        <v>0.12</v>
      </c>
      <c r="E137">
        <v>3</v>
      </c>
      <c r="F137">
        <f t="shared" si="28"/>
        <v>4.78</v>
      </c>
      <c r="G137">
        <f t="shared" si="29"/>
        <v>2</v>
      </c>
      <c r="H137">
        <f t="shared" si="30"/>
        <v>0</v>
      </c>
      <c r="I137">
        <f t="shared" si="31"/>
        <v>4.78</v>
      </c>
      <c r="J137">
        <f t="shared" si="32"/>
        <v>0</v>
      </c>
      <c r="K137">
        <f t="shared" si="33"/>
        <v>0</v>
      </c>
      <c r="L137">
        <f t="shared" si="34"/>
        <v>0</v>
      </c>
      <c r="M137">
        <f t="shared" si="35"/>
        <v>0</v>
      </c>
      <c r="N137">
        <f t="shared" si="36"/>
        <v>0</v>
      </c>
      <c r="O137">
        <f t="shared" si="37"/>
        <v>0</v>
      </c>
      <c r="P137">
        <f t="shared" si="38"/>
        <v>0</v>
      </c>
      <c r="Q137">
        <f t="shared" si="39"/>
        <v>0</v>
      </c>
      <c r="R137">
        <f t="shared" si="40"/>
        <v>0</v>
      </c>
      <c r="S137">
        <f t="shared" si="41"/>
        <v>0</v>
      </c>
    </row>
    <row r="138" spans="1:19" x14ac:dyDescent="0.3">
      <c r="A138" s="1">
        <v>41673</v>
      </c>
      <c r="B138" s="1">
        <v>41701</v>
      </c>
      <c r="C138">
        <v>10.199999999999999</v>
      </c>
      <c r="D138">
        <v>0.27</v>
      </c>
      <c r="E138">
        <v>6</v>
      </c>
      <c r="F138">
        <f t="shared" si="28"/>
        <v>10.469999999999999</v>
      </c>
      <c r="G138">
        <f t="shared" si="29"/>
        <v>2</v>
      </c>
      <c r="H138">
        <f t="shared" si="30"/>
        <v>0</v>
      </c>
      <c r="I138">
        <f t="shared" si="31"/>
        <v>10.469999999999999</v>
      </c>
      <c r="J138">
        <f t="shared" si="32"/>
        <v>0</v>
      </c>
      <c r="K138">
        <f t="shared" si="33"/>
        <v>0</v>
      </c>
      <c r="L138">
        <f t="shared" si="34"/>
        <v>0</v>
      </c>
      <c r="M138">
        <f t="shared" si="35"/>
        <v>0</v>
      </c>
      <c r="N138">
        <f t="shared" si="36"/>
        <v>0</v>
      </c>
      <c r="O138">
        <f t="shared" si="37"/>
        <v>0</v>
      </c>
      <c r="P138">
        <f t="shared" si="38"/>
        <v>0</v>
      </c>
      <c r="Q138">
        <f t="shared" si="39"/>
        <v>0</v>
      </c>
      <c r="R138">
        <f t="shared" si="40"/>
        <v>0</v>
      </c>
      <c r="S138">
        <f t="shared" si="41"/>
        <v>0</v>
      </c>
    </row>
    <row r="139" spans="1:19" x14ac:dyDescent="0.3">
      <c r="A139" s="1">
        <v>41677</v>
      </c>
      <c r="B139" s="1">
        <v>41682</v>
      </c>
      <c r="C139">
        <v>12.23</v>
      </c>
      <c r="D139">
        <v>0.32</v>
      </c>
      <c r="E139">
        <v>5</v>
      </c>
      <c r="F139">
        <f t="shared" si="28"/>
        <v>12.55</v>
      </c>
      <c r="G139">
        <f t="shared" si="29"/>
        <v>2</v>
      </c>
      <c r="H139">
        <f t="shared" si="30"/>
        <v>0</v>
      </c>
      <c r="I139">
        <f t="shared" si="31"/>
        <v>12.55</v>
      </c>
      <c r="J139">
        <f t="shared" si="32"/>
        <v>0</v>
      </c>
      <c r="K139">
        <f t="shared" si="33"/>
        <v>0</v>
      </c>
      <c r="L139">
        <f t="shared" si="34"/>
        <v>0</v>
      </c>
      <c r="M139">
        <f t="shared" si="35"/>
        <v>0</v>
      </c>
      <c r="N139">
        <f t="shared" si="36"/>
        <v>0</v>
      </c>
      <c r="O139">
        <f t="shared" si="37"/>
        <v>0</v>
      </c>
      <c r="P139">
        <f t="shared" si="38"/>
        <v>0</v>
      </c>
      <c r="Q139">
        <f t="shared" si="39"/>
        <v>0</v>
      </c>
      <c r="R139">
        <f t="shared" si="40"/>
        <v>0</v>
      </c>
      <c r="S139">
        <f t="shared" si="41"/>
        <v>0</v>
      </c>
    </row>
    <row r="140" spans="1:19" x14ac:dyDescent="0.3">
      <c r="A140" s="1">
        <v>41677</v>
      </c>
      <c r="B140" s="1">
        <v>41698</v>
      </c>
      <c r="C140">
        <v>10.19</v>
      </c>
      <c r="D140">
        <v>0.27</v>
      </c>
      <c r="E140">
        <v>3</v>
      </c>
      <c r="F140">
        <f t="shared" si="28"/>
        <v>10.459999999999999</v>
      </c>
      <c r="G140">
        <f t="shared" si="29"/>
        <v>2</v>
      </c>
      <c r="H140">
        <f t="shared" si="30"/>
        <v>0</v>
      </c>
      <c r="I140">
        <f t="shared" si="31"/>
        <v>10.459999999999999</v>
      </c>
      <c r="J140">
        <f t="shared" si="32"/>
        <v>0</v>
      </c>
      <c r="K140">
        <f t="shared" si="33"/>
        <v>0</v>
      </c>
      <c r="L140">
        <f t="shared" si="34"/>
        <v>0</v>
      </c>
      <c r="M140">
        <f t="shared" si="35"/>
        <v>0</v>
      </c>
      <c r="N140">
        <f t="shared" si="36"/>
        <v>0</v>
      </c>
      <c r="O140">
        <f t="shared" si="37"/>
        <v>0</v>
      </c>
      <c r="P140">
        <f t="shared" si="38"/>
        <v>0</v>
      </c>
      <c r="Q140">
        <f t="shared" si="39"/>
        <v>0</v>
      </c>
      <c r="R140">
        <f t="shared" si="40"/>
        <v>0</v>
      </c>
      <c r="S140">
        <f t="shared" si="41"/>
        <v>0</v>
      </c>
    </row>
    <row r="141" spans="1:19" x14ac:dyDescent="0.3">
      <c r="A141" s="1">
        <v>41677</v>
      </c>
      <c r="B141" s="1">
        <v>41701</v>
      </c>
      <c r="C141">
        <v>12.01</v>
      </c>
      <c r="D141">
        <v>0.32</v>
      </c>
      <c r="E141">
        <v>6</v>
      </c>
      <c r="F141">
        <f t="shared" si="28"/>
        <v>12.33</v>
      </c>
      <c r="G141">
        <f t="shared" si="29"/>
        <v>2</v>
      </c>
      <c r="H141">
        <f t="shared" si="30"/>
        <v>0</v>
      </c>
      <c r="I141">
        <f t="shared" si="31"/>
        <v>12.33</v>
      </c>
      <c r="J141">
        <f t="shared" si="32"/>
        <v>0</v>
      </c>
      <c r="K141">
        <f t="shared" si="33"/>
        <v>0</v>
      </c>
      <c r="L141">
        <f t="shared" si="34"/>
        <v>0</v>
      </c>
      <c r="M141">
        <f t="shared" si="35"/>
        <v>0</v>
      </c>
      <c r="N141">
        <f t="shared" si="36"/>
        <v>0</v>
      </c>
      <c r="O141">
        <f t="shared" si="37"/>
        <v>0</v>
      </c>
      <c r="P141">
        <f t="shared" si="38"/>
        <v>0</v>
      </c>
      <c r="Q141">
        <f t="shared" si="39"/>
        <v>0</v>
      </c>
      <c r="R141">
        <f t="shared" si="40"/>
        <v>0</v>
      </c>
      <c r="S141">
        <f t="shared" si="41"/>
        <v>0</v>
      </c>
    </row>
    <row r="142" spans="1:19" x14ac:dyDescent="0.3">
      <c r="A142" s="1">
        <v>41677</v>
      </c>
      <c r="B142" s="1">
        <v>41681</v>
      </c>
      <c r="C142">
        <v>11.44</v>
      </c>
      <c r="D142">
        <v>0.3</v>
      </c>
      <c r="E142">
        <v>3</v>
      </c>
      <c r="F142">
        <f t="shared" si="28"/>
        <v>11.74</v>
      </c>
      <c r="G142">
        <f t="shared" si="29"/>
        <v>2</v>
      </c>
      <c r="H142">
        <f t="shared" si="30"/>
        <v>0</v>
      </c>
      <c r="I142">
        <f t="shared" si="31"/>
        <v>11.74</v>
      </c>
      <c r="J142">
        <f t="shared" si="32"/>
        <v>0</v>
      </c>
      <c r="K142">
        <f t="shared" si="33"/>
        <v>0</v>
      </c>
      <c r="L142">
        <f t="shared" si="34"/>
        <v>0</v>
      </c>
      <c r="M142">
        <f t="shared" si="35"/>
        <v>0</v>
      </c>
      <c r="N142">
        <f t="shared" si="36"/>
        <v>0</v>
      </c>
      <c r="O142">
        <f t="shared" si="37"/>
        <v>0</v>
      </c>
      <c r="P142">
        <f t="shared" si="38"/>
        <v>0</v>
      </c>
      <c r="Q142">
        <f t="shared" si="39"/>
        <v>0</v>
      </c>
      <c r="R142">
        <f t="shared" si="40"/>
        <v>0</v>
      </c>
      <c r="S142">
        <f t="shared" si="41"/>
        <v>0</v>
      </c>
    </row>
    <row r="143" spans="1:19" x14ac:dyDescent="0.3">
      <c r="A143" s="1">
        <v>41677</v>
      </c>
      <c r="B143" s="1">
        <v>41700</v>
      </c>
      <c r="C143">
        <v>6.23</v>
      </c>
      <c r="D143">
        <v>0.16</v>
      </c>
      <c r="E143">
        <v>3</v>
      </c>
      <c r="F143">
        <f t="shared" si="28"/>
        <v>6.3900000000000006</v>
      </c>
      <c r="G143">
        <f t="shared" si="29"/>
        <v>2</v>
      </c>
      <c r="H143">
        <f t="shared" si="30"/>
        <v>0</v>
      </c>
      <c r="I143">
        <f t="shared" si="31"/>
        <v>6.3900000000000006</v>
      </c>
      <c r="J143">
        <f t="shared" si="32"/>
        <v>0</v>
      </c>
      <c r="K143">
        <f t="shared" si="33"/>
        <v>0</v>
      </c>
      <c r="L143">
        <f t="shared" si="34"/>
        <v>0</v>
      </c>
      <c r="M143">
        <f t="shared" si="35"/>
        <v>0</v>
      </c>
      <c r="N143">
        <f t="shared" si="36"/>
        <v>0</v>
      </c>
      <c r="O143">
        <f t="shared" si="37"/>
        <v>0</v>
      </c>
      <c r="P143">
        <f t="shared" si="38"/>
        <v>0</v>
      </c>
      <c r="Q143">
        <f t="shared" si="39"/>
        <v>0</v>
      </c>
      <c r="R143">
        <f t="shared" si="40"/>
        <v>0</v>
      </c>
      <c r="S143">
        <f t="shared" si="41"/>
        <v>0</v>
      </c>
    </row>
    <row r="144" spans="1:19" x14ac:dyDescent="0.3">
      <c r="A144" s="1">
        <v>41677</v>
      </c>
      <c r="B144" s="1">
        <v>41686</v>
      </c>
      <c r="C144">
        <v>12.01</v>
      </c>
      <c r="D144">
        <v>0.32</v>
      </c>
      <c r="E144">
        <v>5</v>
      </c>
      <c r="F144">
        <f t="shared" si="28"/>
        <v>12.33</v>
      </c>
      <c r="G144">
        <f t="shared" si="29"/>
        <v>2</v>
      </c>
      <c r="H144">
        <f t="shared" si="30"/>
        <v>0</v>
      </c>
      <c r="I144">
        <f t="shared" si="31"/>
        <v>12.33</v>
      </c>
      <c r="J144">
        <f t="shared" si="32"/>
        <v>0</v>
      </c>
      <c r="K144">
        <f t="shared" si="33"/>
        <v>0</v>
      </c>
      <c r="L144">
        <f t="shared" si="34"/>
        <v>0</v>
      </c>
      <c r="M144">
        <f t="shared" si="35"/>
        <v>0</v>
      </c>
      <c r="N144">
        <f t="shared" si="36"/>
        <v>0</v>
      </c>
      <c r="O144">
        <f t="shared" si="37"/>
        <v>0</v>
      </c>
      <c r="P144">
        <f t="shared" si="38"/>
        <v>0</v>
      </c>
      <c r="Q144">
        <f t="shared" si="39"/>
        <v>0</v>
      </c>
      <c r="R144">
        <f t="shared" si="40"/>
        <v>0</v>
      </c>
      <c r="S144">
        <f t="shared" si="41"/>
        <v>0</v>
      </c>
    </row>
    <row r="145" spans="1:19" x14ac:dyDescent="0.3">
      <c r="A145" s="1">
        <v>41677</v>
      </c>
      <c r="B145" s="1">
        <v>41681</v>
      </c>
      <c r="C145">
        <v>12.23</v>
      </c>
      <c r="D145">
        <v>0.32</v>
      </c>
      <c r="E145">
        <v>5</v>
      </c>
      <c r="F145">
        <f t="shared" si="28"/>
        <v>12.55</v>
      </c>
      <c r="G145">
        <f t="shared" si="29"/>
        <v>2</v>
      </c>
      <c r="H145">
        <f t="shared" si="30"/>
        <v>0</v>
      </c>
      <c r="I145">
        <f t="shared" si="31"/>
        <v>12.55</v>
      </c>
      <c r="J145">
        <f t="shared" si="32"/>
        <v>0</v>
      </c>
      <c r="K145">
        <f t="shared" si="33"/>
        <v>0</v>
      </c>
      <c r="L145">
        <f t="shared" si="34"/>
        <v>0</v>
      </c>
      <c r="M145">
        <f t="shared" si="35"/>
        <v>0</v>
      </c>
      <c r="N145">
        <f t="shared" si="36"/>
        <v>0</v>
      </c>
      <c r="O145">
        <f t="shared" si="37"/>
        <v>0</v>
      </c>
      <c r="P145">
        <f t="shared" si="38"/>
        <v>0</v>
      </c>
      <c r="Q145">
        <f t="shared" si="39"/>
        <v>0</v>
      </c>
      <c r="R145">
        <f t="shared" si="40"/>
        <v>0</v>
      </c>
      <c r="S145">
        <f t="shared" si="41"/>
        <v>0</v>
      </c>
    </row>
    <row r="146" spans="1:19" x14ac:dyDescent="0.3">
      <c r="A146" s="1">
        <v>41677</v>
      </c>
      <c r="B146" s="1">
        <v>41695</v>
      </c>
      <c r="C146">
        <v>12.01</v>
      </c>
      <c r="D146">
        <v>0.32</v>
      </c>
      <c r="E146">
        <v>5</v>
      </c>
      <c r="F146">
        <f t="shared" si="28"/>
        <v>12.33</v>
      </c>
      <c r="G146">
        <f t="shared" si="29"/>
        <v>2</v>
      </c>
      <c r="H146">
        <f t="shared" si="30"/>
        <v>0</v>
      </c>
      <c r="I146">
        <f t="shared" si="31"/>
        <v>12.33</v>
      </c>
      <c r="J146">
        <f t="shared" si="32"/>
        <v>0</v>
      </c>
      <c r="K146">
        <f t="shared" si="33"/>
        <v>0</v>
      </c>
      <c r="L146">
        <f t="shared" si="34"/>
        <v>0</v>
      </c>
      <c r="M146">
        <f t="shared" si="35"/>
        <v>0</v>
      </c>
      <c r="N146">
        <f t="shared" si="36"/>
        <v>0</v>
      </c>
      <c r="O146">
        <f t="shared" si="37"/>
        <v>0</v>
      </c>
      <c r="P146">
        <f t="shared" si="38"/>
        <v>0</v>
      </c>
      <c r="Q146">
        <f t="shared" si="39"/>
        <v>0</v>
      </c>
      <c r="R146">
        <f t="shared" si="40"/>
        <v>0</v>
      </c>
      <c r="S146">
        <f t="shared" si="41"/>
        <v>0</v>
      </c>
    </row>
    <row r="147" spans="1:19" x14ac:dyDescent="0.3">
      <c r="A147" s="1">
        <v>41677</v>
      </c>
      <c r="B147" s="1">
        <v>41692</v>
      </c>
      <c r="C147">
        <v>5.67</v>
      </c>
      <c r="D147">
        <v>0.15</v>
      </c>
      <c r="E147">
        <v>4</v>
      </c>
      <c r="F147">
        <f t="shared" si="28"/>
        <v>5.82</v>
      </c>
      <c r="G147">
        <f t="shared" si="29"/>
        <v>2</v>
      </c>
      <c r="H147">
        <f t="shared" si="30"/>
        <v>0</v>
      </c>
      <c r="I147">
        <f t="shared" si="31"/>
        <v>5.82</v>
      </c>
      <c r="J147">
        <f t="shared" si="32"/>
        <v>0</v>
      </c>
      <c r="K147">
        <f t="shared" si="33"/>
        <v>0</v>
      </c>
      <c r="L147">
        <f t="shared" si="34"/>
        <v>0</v>
      </c>
      <c r="M147">
        <f t="shared" si="35"/>
        <v>0</v>
      </c>
      <c r="N147">
        <f t="shared" si="36"/>
        <v>0</v>
      </c>
      <c r="O147">
        <f t="shared" si="37"/>
        <v>0</v>
      </c>
      <c r="P147">
        <f t="shared" si="38"/>
        <v>0</v>
      </c>
      <c r="Q147">
        <f t="shared" si="39"/>
        <v>0</v>
      </c>
      <c r="R147">
        <f t="shared" si="40"/>
        <v>0</v>
      </c>
      <c r="S147">
        <f t="shared" si="41"/>
        <v>0</v>
      </c>
    </row>
    <row r="148" spans="1:19" x14ac:dyDescent="0.3">
      <c r="A148" s="1">
        <v>41677</v>
      </c>
      <c r="B148" s="1">
        <v>41702</v>
      </c>
      <c r="C148">
        <v>6.88</v>
      </c>
      <c r="D148">
        <v>0.18</v>
      </c>
      <c r="E148">
        <v>5</v>
      </c>
      <c r="F148">
        <f t="shared" si="28"/>
        <v>7.06</v>
      </c>
      <c r="G148">
        <f t="shared" si="29"/>
        <v>2</v>
      </c>
      <c r="H148">
        <f t="shared" si="30"/>
        <v>0</v>
      </c>
      <c r="I148">
        <f t="shared" si="31"/>
        <v>7.06</v>
      </c>
      <c r="J148">
        <f t="shared" si="32"/>
        <v>0</v>
      </c>
      <c r="K148">
        <f t="shared" si="33"/>
        <v>0</v>
      </c>
      <c r="L148">
        <f t="shared" si="34"/>
        <v>0</v>
      </c>
      <c r="M148">
        <f t="shared" si="35"/>
        <v>0</v>
      </c>
      <c r="N148">
        <f t="shared" si="36"/>
        <v>0</v>
      </c>
      <c r="O148">
        <f t="shared" si="37"/>
        <v>0</v>
      </c>
      <c r="P148">
        <f t="shared" si="38"/>
        <v>0</v>
      </c>
      <c r="Q148">
        <f t="shared" si="39"/>
        <v>0</v>
      </c>
      <c r="R148">
        <f t="shared" si="40"/>
        <v>0</v>
      </c>
      <c r="S148">
        <f t="shared" si="41"/>
        <v>0</v>
      </c>
    </row>
    <row r="149" spans="1:19" x14ac:dyDescent="0.3">
      <c r="A149" s="1">
        <v>41677</v>
      </c>
      <c r="B149" s="1">
        <v>41705</v>
      </c>
      <c r="C149">
        <v>2.72</v>
      </c>
      <c r="D149">
        <v>7.0000000000000007E-2</v>
      </c>
      <c r="E149">
        <v>6</v>
      </c>
      <c r="F149">
        <f t="shared" si="28"/>
        <v>2.79</v>
      </c>
      <c r="G149">
        <f t="shared" si="29"/>
        <v>2</v>
      </c>
      <c r="H149">
        <f t="shared" si="30"/>
        <v>0</v>
      </c>
      <c r="I149">
        <f t="shared" si="31"/>
        <v>2.79</v>
      </c>
      <c r="J149">
        <f t="shared" si="32"/>
        <v>0</v>
      </c>
      <c r="K149">
        <f t="shared" si="33"/>
        <v>0</v>
      </c>
      <c r="L149">
        <f t="shared" si="34"/>
        <v>0</v>
      </c>
      <c r="M149">
        <f t="shared" si="35"/>
        <v>0</v>
      </c>
      <c r="N149">
        <f t="shared" si="36"/>
        <v>0</v>
      </c>
      <c r="O149">
        <f t="shared" si="37"/>
        <v>0</v>
      </c>
      <c r="P149">
        <f t="shared" si="38"/>
        <v>0</v>
      </c>
      <c r="Q149">
        <f t="shared" si="39"/>
        <v>0</v>
      </c>
      <c r="R149">
        <f t="shared" si="40"/>
        <v>0</v>
      </c>
      <c r="S149">
        <f t="shared" si="41"/>
        <v>0</v>
      </c>
    </row>
    <row r="150" spans="1:19" x14ac:dyDescent="0.3">
      <c r="A150" s="1">
        <v>41677</v>
      </c>
      <c r="B150" s="1">
        <v>41686</v>
      </c>
      <c r="C150">
        <v>9.74</v>
      </c>
      <c r="D150">
        <v>0.26</v>
      </c>
      <c r="E150">
        <v>6</v>
      </c>
      <c r="F150">
        <f t="shared" si="28"/>
        <v>10</v>
      </c>
      <c r="G150">
        <f t="shared" si="29"/>
        <v>2</v>
      </c>
      <c r="H150">
        <f t="shared" si="30"/>
        <v>0</v>
      </c>
      <c r="I150">
        <f t="shared" si="31"/>
        <v>10</v>
      </c>
      <c r="J150">
        <f t="shared" si="32"/>
        <v>0</v>
      </c>
      <c r="K150">
        <f t="shared" si="33"/>
        <v>0</v>
      </c>
      <c r="L150">
        <f t="shared" si="34"/>
        <v>0</v>
      </c>
      <c r="M150">
        <f t="shared" si="35"/>
        <v>0</v>
      </c>
      <c r="N150">
        <f t="shared" si="36"/>
        <v>0</v>
      </c>
      <c r="O150">
        <f t="shared" si="37"/>
        <v>0</v>
      </c>
      <c r="P150">
        <f t="shared" si="38"/>
        <v>0</v>
      </c>
      <c r="Q150">
        <f t="shared" si="39"/>
        <v>0</v>
      </c>
      <c r="R150">
        <f t="shared" si="40"/>
        <v>0</v>
      </c>
      <c r="S150">
        <f t="shared" si="41"/>
        <v>0</v>
      </c>
    </row>
    <row r="151" spans="1:19" x14ac:dyDescent="0.3">
      <c r="A151" s="1">
        <v>41677</v>
      </c>
      <c r="B151" s="1">
        <v>41691</v>
      </c>
      <c r="C151">
        <v>7.31</v>
      </c>
      <c r="D151">
        <v>0.19</v>
      </c>
      <c r="E151">
        <v>3</v>
      </c>
      <c r="F151">
        <f t="shared" si="28"/>
        <v>7.5</v>
      </c>
      <c r="G151">
        <f t="shared" si="29"/>
        <v>2</v>
      </c>
      <c r="H151">
        <f t="shared" si="30"/>
        <v>0</v>
      </c>
      <c r="I151">
        <f t="shared" si="31"/>
        <v>7.5</v>
      </c>
      <c r="J151">
        <f t="shared" si="32"/>
        <v>0</v>
      </c>
      <c r="K151">
        <f t="shared" si="33"/>
        <v>0</v>
      </c>
      <c r="L151">
        <f t="shared" si="34"/>
        <v>0</v>
      </c>
      <c r="M151">
        <f t="shared" si="35"/>
        <v>0</v>
      </c>
      <c r="N151">
        <f t="shared" si="36"/>
        <v>0</v>
      </c>
      <c r="O151">
        <f t="shared" si="37"/>
        <v>0</v>
      </c>
      <c r="P151">
        <f t="shared" si="38"/>
        <v>0</v>
      </c>
      <c r="Q151">
        <f t="shared" si="39"/>
        <v>0</v>
      </c>
      <c r="R151">
        <f t="shared" si="40"/>
        <v>0</v>
      </c>
      <c r="S151">
        <f t="shared" si="41"/>
        <v>0</v>
      </c>
    </row>
    <row r="152" spans="1:19" x14ac:dyDescent="0.3">
      <c r="A152" s="1">
        <v>41677</v>
      </c>
      <c r="B152" s="1">
        <v>41704</v>
      </c>
      <c r="C152">
        <v>8.84</v>
      </c>
      <c r="D152">
        <v>0.23</v>
      </c>
      <c r="E152">
        <v>6</v>
      </c>
      <c r="F152">
        <f t="shared" si="28"/>
        <v>9.07</v>
      </c>
      <c r="G152">
        <f t="shared" si="29"/>
        <v>2</v>
      </c>
      <c r="H152">
        <f t="shared" si="30"/>
        <v>0</v>
      </c>
      <c r="I152">
        <f t="shared" si="31"/>
        <v>9.07</v>
      </c>
      <c r="J152">
        <f t="shared" si="32"/>
        <v>0</v>
      </c>
      <c r="K152">
        <f t="shared" si="33"/>
        <v>0</v>
      </c>
      <c r="L152">
        <f t="shared" si="34"/>
        <v>0</v>
      </c>
      <c r="M152">
        <f t="shared" si="35"/>
        <v>0</v>
      </c>
      <c r="N152">
        <f t="shared" si="36"/>
        <v>0</v>
      </c>
      <c r="O152">
        <f t="shared" si="37"/>
        <v>0</v>
      </c>
      <c r="P152">
        <f t="shared" si="38"/>
        <v>0</v>
      </c>
      <c r="Q152">
        <f t="shared" si="39"/>
        <v>0</v>
      </c>
      <c r="R152">
        <f t="shared" si="40"/>
        <v>0</v>
      </c>
      <c r="S152">
        <f t="shared" si="41"/>
        <v>0</v>
      </c>
    </row>
    <row r="153" spans="1:19" x14ac:dyDescent="0.3">
      <c r="A153" s="1">
        <v>41677</v>
      </c>
      <c r="B153" s="1">
        <v>41690</v>
      </c>
      <c r="C153">
        <v>13.07</v>
      </c>
      <c r="D153">
        <v>0.34</v>
      </c>
      <c r="E153">
        <v>2</v>
      </c>
      <c r="F153">
        <f t="shared" si="28"/>
        <v>13.41</v>
      </c>
      <c r="G153">
        <f t="shared" si="29"/>
        <v>2</v>
      </c>
      <c r="H153">
        <f t="shared" si="30"/>
        <v>0</v>
      </c>
      <c r="I153">
        <f t="shared" si="31"/>
        <v>13.41</v>
      </c>
      <c r="J153">
        <f t="shared" si="32"/>
        <v>0</v>
      </c>
      <c r="K153">
        <f t="shared" si="33"/>
        <v>0</v>
      </c>
      <c r="L153">
        <f t="shared" si="34"/>
        <v>0</v>
      </c>
      <c r="M153">
        <f t="shared" si="35"/>
        <v>0</v>
      </c>
      <c r="N153">
        <f t="shared" si="36"/>
        <v>0</v>
      </c>
      <c r="O153">
        <f t="shared" si="37"/>
        <v>0</v>
      </c>
      <c r="P153">
        <f t="shared" si="38"/>
        <v>0</v>
      </c>
      <c r="Q153">
        <f t="shared" si="39"/>
        <v>0</v>
      </c>
      <c r="R153">
        <f t="shared" si="40"/>
        <v>0</v>
      </c>
      <c r="S153">
        <f t="shared" si="41"/>
        <v>0</v>
      </c>
    </row>
    <row r="154" spans="1:19" x14ac:dyDescent="0.3">
      <c r="A154" s="1">
        <v>41677</v>
      </c>
      <c r="B154" s="1">
        <v>41690</v>
      </c>
      <c r="C154">
        <v>11.42</v>
      </c>
      <c r="D154">
        <v>0.3</v>
      </c>
      <c r="E154">
        <v>6</v>
      </c>
      <c r="F154">
        <f t="shared" si="28"/>
        <v>11.72</v>
      </c>
      <c r="G154">
        <f t="shared" si="29"/>
        <v>2</v>
      </c>
      <c r="H154">
        <f t="shared" si="30"/>
        <v>0</v>
      </c>
      <c r="I154">
        <f t="shared" si="31"/>
        <v>11.72</v>
      </c>
      <c r="J154">
        <f t="shared" si="32"/>
        <v>0</v>
      </c>
      <c r="K154">
        <f t="shared" si="33"/>
        <v>0</v>
      </c>
      <c r="L154">
        <f t="shared" si="34"/>
        <v>0</v>
      </c>
      <c r="M154">
        <f t="shared" si="35"/>
        <v>0</v>
      </c>
      <c r="N154">
        <f t="shared" si="36"/>
        <v>0</v>
      </c>
      <c r="O154">
        <f t="shared" si="37"/>
        <v>0</v>
      </c>
      <c r="P154">
        <f t="shared" si="38"/>
        <v>0</v>
      </c>
      <c r="Q154">
        <f t="shared" si="39"/>
        <v>0</v>
      </c>
      <c r="R154">
        <f t="shared" si="40"/>
        <v>0</v>
      </c>
      <c r="S154">
        <f t="shared" si="41"/>
        <v>0</v>
      </c>
    </row>
    <row r="155" spans="1:19" x14ac:dyDescent="0.3">
      <c r="A155" s="1">
        <v>41677</v>
      </c>
      <c r="B155" s="1">
        <v>41704</v>
      </c>
      <c r="C155">
        <v>3.79</v>
      </c>
      <c r="D155">
        <v>0.1</v>
      </c>
      <c r="E155">
        <v>3</v>
      </c>
      <c r="F155">
        <f t="shared" si="28"/>
        <v>3.89</v>
      </c>
      <c r="G155">
        <f t="shared" si="29"/>
        <v>2</v>
      </c>
      <c r="H155">
        <f t="shared" si="30"/>
        <v>0</v>
      </c>
      <c r="I155">
        <f t="shared" si="31"/>
        <v>3.89</v>
      </c>
      <c r="J155">
        <f t="shared" si="32"/>
        <v>0</v>
      </c>
      <c r="K155">
        <f t="shared" si="33"/>
        <v>0</v>
      </c>
      <c r="L155">
        <f t="shared" si="34"/>
        <v>0</v>
      </c>
      <c r="M155">
        <f t="shared" si="35"/>
        <v>0</v>
      </c>
      <c r="N155">
        <f t="shared" si="36"/>
        <v>0</v>
      </c>
      <c r="O155">
        <f t="shared" si="37"/>
        <v>0</v>
      </c>
      <c r="P155">
        <f t="shared" si="38"/>
        <v>0</v>
      </c>
      <c r="Q155">
        <f t="shared" si="39"/>
        <v>0</v>
      </c>
      <c r="R155">
        <f t="shared" si="40"/>
        <v>0</v>
      </c>
      <c r="S155">
        <f t="shared" si="41"/>
        <v>0</v>
      </c>
    </row>
    <row r="156" spans="1:19" x14ac:dyDescent="0.3">
      <c r="A156" s="1">
        <v>41677</v>
      </c>
      <c r="B156" s="1">
        <v>41682</v>
      </c>
      <c r="C156">
        <v>11.42</v>
      </c>
      <c r="D156">
        <v>0.3</v>
      </c>
      <c r="E156">
        <v>6</v>
      </c>
      <c r="F156">
        <f t="shared" si="28"/>
        <v>11.72</v>
      </c>
      <c r="G156">
        <f t="shared" si="29"/>
        <v>2</v>
      </c>
      <c r="H156">
        <f t="shared" si="30"/>
        <v>0</v>
      </c>
      <c r="I156">
        <f t="shared" si="31"/>
        <v>11.72</v>
      </c>
      <c r="J156">
        <f t="shared" si="32"/>
        <v>0</v>
      </c>
      <c r="K156">
        <f t="shared" si="33"/>
        <v>0</v>
      </c>
      <c r="L156">
        <f t="shared" si="34"/>
        <v>0</v>
      </c>
      <c r="M156">
        <f t="shared" si="35"/>
        <v>0</v>
      </c>
      <c r="N156">
        <f t="shared" si="36"/>
        <v>0</v>
      </c>
      <c r="O156">
        <f t="shared" si="37"/>
        <v>0</v>
      </c>
      <c r="P156">
        <f t="shared" si="38"/>
        <v>0</v>
      </c>
      <c r="Q156">
        <f t="shared" si="39"/>
        <v>0</v>
      </c>
      <c r="R156">
        <f t="shared" si="40"/>
        <v>0</v>
      </c>
      <c r="S156">
        <f t="shared" si="41"/>
        <v>0</v>
      </c>
    </row>
    <row r="157" spans="1:19" x14ac:dyDescent="0.3">
      <c r="A157" s="1">
        <v>41677</v>
      </c>
      <c r="B157" s="1">
        <v>41680</v>
      </c>
      <c r="C157">
        <v>8.83</v>
      </c>
      <c r="D157">
        <v>0.23</v>
      </c>
      <c r="E157">
        <v>4</v>
      </c>
      <c r="F157">
        <f t="shared" si="28"/>
        <v>9.06</v>
      </c>
      <c r="G157">
        <f t="shared" si="29"/>
        <v>2</v>
      </c>
      <c r="H157">
        <f t="shared" si="30"/>
        <v>0</v>
      </c>
      <c r="I157">
        <f t="shared" si="31"/>
        <v>9.06</v>
      </c>
      <c r="J157">
        <f t="shared" si="32"/>
        <v>0</v>
      </c>
      <c r="K157">
        <f t="shared" si="33"/>
        <v>0</v>
      </c>
      <c r="L157">
        <f t="shared" si="34"/>
        <v>0</v>
      </c>
      <c r="M157">
        <f t="shared" si="35"/>
        <v>0</v>
      </c>
      <c r="N157">
        <f t="shared" si="36"/>
        <v>0</v>
      </c>
      <c r="O157">
        <f t="shared" si="37"/>
        <v>0</v>
      </c>
      <c r="P157">
        <f t="shared" si="38"/>
        <v>0</v>
      </c>
      <c r="Q157">
        <f t="shared" si="39"/>
        <v>0</v>
      </c>
      <c r="R157">
        <f t="shared" si="40"/>
        <v>0</v>
      </c>
      <c r="S157">
        <f t="shared" si="41"/>
        <v>0</v>
      </c>
    </row>
    <row r="158" spans="1:19" x14ac:dyDescent="0.3">
      <c r="A158" s="1">
        <v>41677</v>
      </c>
      <c r="B158" s="1">
        <v>41690</v>
      </c>
      <c r="C158">
        <v>8.51</v>
      </c>
      <c r="D158">
        <v>0.22</v>
      </c>
      <c r="E158">
        <v>5</v>
      </c>
      <c r="F158">
        <f t="shared" si="28"/>
        <v>8.73</v>
      </c>
      <c r="G158">
        <f t="shared" si="29"/>
        <v>2</v>
      </c>
      <c r="H158">
        <f t="shared" si="30"/>
        <v>0</v>
      </c>
      <c r="I158">
        <f t="shared" si="31"/>
        <v>8.73</v>
      </c>
      <c r="J158">
        <f t="shared" si="32"/>
        <v>0</v>
      </c>
      <c r="K158">
        <f t="shared" si="33"/>
        <v>0</v>
      </c>
      <c r="L158">
        <f t="shared" si="34"/>
        <v>0</v>
      </c>
      <c r="M158">
        <f t="shared" si="35"/>
        <v>0</v>
      </c>
      <c r="N158">
        <f t="shared" si="36"/>
        <v>0</v>
      </c>
      <c r="O158">
        <f t="shared" si="37"/>
        <v>0</v>
      </c>
      <c r="P158">
        <f t="shared" si="38"/>
        <v>0</v>
      </c>
      <c r="Q158">
        <f t="shared" si="39"/>
        <v>0</v>
      </c>
      <c r="R158">
        <f t="shared" si="40"/>
        <v>0</v>
      </c>
      <c r="S158">
        <f t="shared" si="41"/>
        <v>0</v>
      </c>
    </row>
    <row r="159" spans="1:19" x14ac:dyDescent="0.3">
      <c r="A159" s="1">
        <v>41677</v>
      </c>
      <c r="B159" s="1">
        <v>41694</v>
      </c>
      <c r="C159">
        <v>7.3</v>
      </c>
      <c r="D159">
        <v>0.19</v>
      </c>
      <c r="E159">
        <v>5</v>
      </c>
      <c r="F159">
        <f t="shared" si="28"/>
        <v>7.49</v>
      </c>
      <c r="G159">
        <f t="shared" si="29"/>
        <v>2</v>
      </c>
      <c r="H159">
        <f t="shared" si="30"/>
        <v>0</v>
      </c>
      <c r="I159">
        <f t="shared" si="31"/>
        <v>7.49</v>
      </c>
      <c r="J159">
        <f t="shared" si="32"/>
        <v>0</v>
      </c>
      <c r="K159">
        <f t="shared" si="33"/>
        <v>0</v>
      </c>
      <c r="L159">
        <f t="shared" si="34"/>
        <v>0</v>
      </c>
      <c r="M159">
        <f t="shared" si="35"/>
        <v>0</v>
      </c>
      <c r="N159">
        <f t="shared" si="36"/>
        <v>0</v>
      </c>
      <c r="O159">
        <f t="shared" si="37"/>
        <v>0</v>
      </c>
      <c r="P159">
        <f t="shared" si="38"/>
        <v>0</v>
      </c>
      <c r="Q159">
        <f t="shared" si="39"/>
        <v>0</v>
      </c>
      <c r="R159">
        <f t="shared" si="40"/>
        <v>0</v>
      </c>
      <c r="S159">
        <f t="shared" si="41"/>
        <v>0</v>
      </c>
    </row>
    <row r="160" spans="1:19" x14ac:dyDescent="0.3">
      <c r="A160" s="1">
        <v>41680</v>
      </c>
      <c r="B160" s="1">
        <v>41692</v>
      </c>
      <c r="C160">
        <v>5.67</v>
      </c>
      <c r="D160">
        <v>0.15</v>
      </c>
      <c r="E160">
        <v>4</v>
      </c>
      <c r="F160">
        <f t="shared" si="28"/>
        <v>5.82</v>
      </c>
      <c r="G160">
        <f t="shared" si="29"/>
        <v>2</v>
      </c>
      <c r="H160">
        <f t="shared" si="30"/>
        <v>0</v>
      </c>
      <c r="I160">
        <f t="shared" si="31"/>
        <v>5.82</v>
      </c>
      <c r="J160">
        <f t="shared" si="32"/>
        <v>0</v>
      </c>
      <c r="K160">
        <f t="shared" si="33"/>
        <v>0</v>
      </c>
      <c r="L160">
        <f t="shared" si="34"/>
        <v>0</v>
      </c>
      <c r="M160">
        <f t="shared" si="35"/>
        <v>0</v>
      </c>
      <c r="N160">
        <f t="shared" si="36"/>
        <v>0</v>
      </c>
      <c r="O160">
        <f t="shared" si="37"/>
        <v>0</v>
      </c>
      <c r="P160">
        <f t="shared" si="38"/>
        <v>0</v>
      </c>
      <c r="Q160">
        <f t="shared" si="39"/>
        <v>0</v>
      </c>
      <c r="R160">
        <f t="shared" si="40"/>
        <v>0</v>
      </c>
      <c r="S160">
        <f t="shared" si="41"/>
        <v>0</v>
      </c>
    </row>
    <row r="161" spans="1:19" x14ac:dyDescent="0.3">
      <c r="A161" s="1">
        <v>41680</v>
      </c>
      <c r="B161" s="1">
        <v>41690</v>
      </c>
      <c r="C161">
        <v>6.58</v>
      </c>
      <c r="D161">
        <v>0.17</v>
      </c>
      <c r="E161">
        <v>3</v>
      </c>
      <c r="F161">
        <f t="shared" si="28"/>
        <v>6.75</v>
      </c>
      <c r="G161">
        <f t="shared" si="29"/>
        <v>2</v>
      </c>
      <c r="H161">
        <f t="shared" si="30"/>
        <v>0</v>
      </c>
      <c r="I161">
        <f t="shared" si="31"/>
        <v>6.75</v>
      </c>
      <c r="J161">
        <f t="shared" si="32"/>
        <v>0</v>
      </c>
      <c r="K161">
        <f t="shared" si="33"/>
        <v>0</v>
      </c>
      <c r="L161">
        <f t="shared" si="34"/>
        <v>0</v>
      </c>
      <c r="M161">
        <f t="shared" si="35"/>
        <v>0</v>
      </c>
      <c r="N161">
        <f t="shared" si="36"/>
        <v>0</v>
      </c>
      <c r="O161">
        <f t="shared" si="37"/>
        <v>0</v>
      </c>
      <c r="P161">
        <f t="shared" si="38"/>
        <v>0</v>
      </c>
      <c r="Q161">
        <f t="shared" si="39"/>
        <v>0</v>
      </c>
      <c r="R161">
        <f t="shared" si="40"/>
        <v>0</v>
      </c>
      <c r="S161">
        <f t="shared" si="41"/>
        <v>0</v>
      </c>
    </row>
    <row r="162" spans="1:19" x14ac:dyDescent="0.3">
      <c r="A162" s="1">
        <v>41680</v>
      </c>
      <c r="B162" s="1">
        <v>41699</v>
      </c>
      <c r="C162">
        <v>4.25</v>
      </c>
      <c r="D162">
        <v>0.11</v>
      </c>
      <c r="E162">
        <v>3</v>
      </c>
      <c r="F162">
        <f t="shared" si="28"/>
        <v>4.3600000000000003</v>
      </c>
      <c r="G162">
        <f t="shared" si="29"/>
        <v>2</v>
      </c>
      <c r="H162">
        <f t="shared" si="30"/>
        <v>0</v>
      </c>
      <c r="I162">
        <f t="shared" si="31"/>
        <v>4.3600000000000003</v>
      </c>
      <c r="J162">
        <f t="shared" si="32"/>
        <v>0</v>
      </c>
      <c r="K162">
        <f t="shared" si="33"/>
        <v>0</v>
      </c>
      <c r="L162">
        <f t="shared" si="34"/>
        <v>0</v>
      </c>
      <c r="M162">
        <f t="shared" si="35"/>
        <v>0</v>
      </c>
      <c r="N162">
        <f t="shared" si="36"/>
        <v>0</v>
      </c>
      <c r="O162">
        <f t="shared" si="37"/>
        <v>0</v>
      </c>
      <c r="P162">
        <f t="shared" si="38"/>
        <v>0</v>
      </c>
      <c r="Q162">
        <f t="shared" si="39"/>
        <v>0</v>
      </c>
      <c r="R162">
        <f t="shared" si="40"/>
        <v>0</v>
      </c>
      <c r="S162">
        <f t="shared" si="41"/>
        <v>0</v>
      </c>
    </row>
    <row r="163" spans="1:19" x14ac:dyDescent="0.3">
      <c r="A163" s="1">
        <v>41682</v>
      </c>
      <c r="B163" s="1">
        <v>41694</v>
      </c>
      <c r="C163">
        <v>6.58</v>
      </c>
      <c r="D163">
        <v>0.17</v>
      </c>
      <c r="E163">
        <v>6</v>
      </c>
      <c r="F163">
        <f t="shared" si="28"/>
        <v>6.75</v>
      </c>
      <c r="G163">
        <f t="shared" si="29"/>
        <v>2</v>
      </c>
      <c r="H163">
        <f t="shared" si="30"/>
        <v>0</v>
      </c>
      <c r="I163">
        <f t="shared" si="31"/>
        <v>6.75</v>
      </c>
      <c r="J163">
        <f t="shared" si="32"/>
        <v>0</v>
      </c>
      <c r="K163">
        <f t="shared" si="33"/>
        <v>0</v>
      </c>
      <c r="L163">
        <f t="shared" si="34"/>
        <v>0</v>
      </c>
      <c r="M163">
        <f t="shared" si="35"/>
        <v>0</v>
      </c>
      <c r="N163">
        <f t="shared" si="36"/>
        <v>0</v>
      </c>
      <c r="O163">
        <f t="shared" si="37"/>
        <v>0</v>
      </c>
      <c r="P163">
        <f t="shared" si="38"/>
        <v>0</v>
      </c>
      <c r="Q163">
        <f t="shared" si="39"/>
        <v>0</v>
      </c>
      <c r="R163">
        <f t="shared" si="40"/>
        <v>0</v>
      </c>
      <c r="S163">
        <f t="shared" si="41"/>
        <v>0</v>
      </c>
    </row>
    <row r="164" spans="1:19" x14ac:dyDescent="0.3">
      <c r="A164" s="1">
        <v>41684</v>
      </c>
      <c r="B164" s="1">
        <v>41704</v>
      </c>
      <c r="C164">
        <v>5.78</v>
      </c>
      <c r="D164">
        <v>0.15</v>
      </c>
      <c r="E164">
        <v>2</v>
      </c>
      <c r="F164">
        <f t="shared" si="28"/>
        <v>5.9300000000000006</v>
      </c>
      <c r="G164">
        <f t="shared" si="29"/>
        <v>2</v>
      </c>
      <c r="H164">
        <f t="shared" si="30"/>
        <v>0</v>
      </c>
      <c r="I164">
        <f t="shared" si="31"/>
        <v>5.9300000000000006</v>
      </c>
      <c r="J164">
        <f t="shared" si="32"/>
        <v>0</v>
      </c>
      <c r="K164">
        <f t="shared" si="33"/>
        <v>0</v>
      </c>
      <c r="L164">
        <f t="shared" si="34"/>
        <v>0</v>
      </c>
      <c r="M164">
        <f t="shared" si="35"/>
        <v>0</v>
      </c>
      <c r="N164">
        <f t="shared" si="36"/>
        <v>0</v>
      </c>
      <c r="O164">
        <f t="shared" si="37"/>
        <v>0</v>
      </c>
      <c r="P164">
        <f t="shared" si="38"/>
        <v>0</v>
      </c>
      <c r="Q164">
        <f t="shared" si="39"/>
        <v>0</v>
      </c>
      <c r="R164">
        <f t="shared" si="40"/>
        <v>0</v>
      </c>
      <c r="S164">
        <f t="shared" si="41"/>
        <v>0</v>
      </c>
    </row>
    <row r="165" spans="1:19" x14ac:dyDescent="0.3">
      <c r="A165" s="1">
        <v>41684</v>
      </c>
      <c r="B165" s="1">
        <v>41693</v>
      </c>
      <c r="C165">
        <v>10.199999999999999</v>
      </c>
      <c r="D165">
        <v>0.27</v>
      </c>
      <c r="E165">
        <v>5</v>
      </c>
      <c r="F165">
        <f t="shared" si="28"/>
        <v>10.469999999999999</v>
      </c>
      <c r="G165">
        <f t="shared" si="29"/>
        <v>2</v>
      </c>
      <c r="H165">
        <f t="shared" si="30"/>
        <v>0</v>
      </c>
      <c r="I165">
        <f t="shared" si="31"/>
        <v>10.469999999999999</v>
      </c>
      <c r="J165">
        <f t="shared" si="32"/>
        <v>0</v>
      </c>
      <c r="K165">
        <f t="shared" si="33"/>
        <v>0</v>
      </c>
      <c r="L165">
        <f t="shared" si="34"/>
        <v>0</v>
      </c>
      <c r="M165">
        <f t="shared" si="35"/>
        <v>0</v>
      </c>
      <c r="N165">
        <f t="shared" si="36"/>
        <v>0</v>
      </c>
      <c r="O165">
        <f t="shared" si="37"/>
        <v>0</v>
      </c>
      <c r="P165">
        <f t="shared" si="38"/>
        <v>0</v>
      </c>
      <c r="Q165">
        <f t="shared" si="39"/>
        <v>0</v>
      </c>
      <c r="R165">
        <f t="shared" si="40"/>
        <v>0</v>
      </c>
      <c r="S165">
        <f t="shared" si="41"/>
        <v>0</v>
      </c>
    </row>
    <row r="166" spans="1:19" x14ac:dyDescent="0.3">
      <c r="A166" s="1">
        <v>41684</v>
      </c>
      <c r="B166" s="1">
        <v>41692</v>
      </c>
      <c r="C166">
        <v>2.72</v>
      </c>
      <c r="D166">
        <v>7.0000000000000007E-2</v>
      </c>
      <c r="E166">
        <v>6</v>
      </c>
      <c r="F166">
        <f t="shared" si="28"/>
        <v>2.79</v>
      </c>
      <c r="G166">
        <f t="shared" si="29"/>
        <v>2</v>
      </c>
      <c r="H166">
        <f t="shared" si="30"/>
        <v>0</v>
      </c>
      <c r="I166">
        <f t="shared" si="31"/>
        <v>2.79</v>
      </c>
      <c r="J166">
        <f t="shared" si="32"/>
        <v>0</v>
      </c>
      <c r="K166">
        <f t="shared" si="33"/>
        <v>0</v>
      </c>
      <c r="L166">
        <f t="shared" si="34"/>
        <v>0</v>
      </c>
      <c r="M166">
        <f t="shared" si="35"/>
        <v>0</v>
      </c>
      <c r="N166">
        <f t="shared" si="36"/>
        <v>0</v>
      </c>
      <c r="O166">
        <f t="shared" si="37"/>
        <v>0</v>
      </c>
      <c r="P166">
        <f t="shared" si="38"/>
        <v>0</v>
      </c>
      <c r="Q166">
        <f t="shared" si="39"/>
        <v>0</v>
      </c>
      <c r="R166">
        <f t="shared" si="40"/>
        <v>0</v>
      </c>
      <c r="S166">
        <f t="shared" si="41"/>
        <v>0</v>
      </c>
    </row>
    <row r="167" spans="1:19" x14ac:dyDescent="0.3">
      <c r="A167" s="1">
        <v>41684</v>
      </c>
      <c r="B167" s="1">
        <v>41707</v>
      </c>
      <c r="C167">
        <v>11.44</v>
      </c>
      <c r="D167">
        <v>0.3</v>
      </c>
      <c r="E167">
        <v>6</v>
      </c>
      <c r="F167">
        <f t="shared" si="28"/>
        <v>11.74</v>
      </c>
      <c r="G167">
        <f t="shared" si="29"/>
        <v>2</v>
      </c>
      <c r="H167">
        <f t="shared" si="30"/>
        <v>0</v>
      </c>
      <c r="I167">
        <f t="shared" si="31"/>
        <v>11.74</v>
      </c>
      <c r="J167">
        <f t="shared" si="32"/>
        <v>0</v>
      </c>
      <c r="K167">
        <f t="shared" si="33"/>
        <v>0</v>
      </c>
      <c r="L167">
        <f t="shared" si="34"/>
        <v>0</v>
      </c>
      <c r="M167">
        <f t="shared" si="35"/>
        <v>0</v>
      </c>
      <c r="N167">
        <f t="shared" si="36"/>
        <v>0</v>
      </c>
      <c r="O167">
        <f t="shared" si="37"/>
        <v>0</v>
      </c>
      <c r="P167">
        <f t="shared" si="38"/>
        <v>0</v>
      </c>
      <c r="Q167">
        <f t="shared" si="39"/>
        <v>0</v>
      </c>
      <c r="R167">
        <f t="shared" si="40"/>
        <v>0</v>
      </c>
      <c r="S167">
        <f t="shared" si="41"/>
        <v>0</v>
      </c>
    </row>
    <row r="168" spans="1:19" x14ac:dyDescent="0.3">
      <c r="A168" s="1">
        <v>41684</v>
      </c>
      <c r="B168" s="1">
        <v>41712</v>
      </c>
      <c r="C168">
        <v>13.07</v>
      </c>
      <c r="D168">
        <v>0.34</v>
      </c>
      <c r="E168">
        <v>6</v>
      </c>
      <c r="F168">
        <f t="shared" si="28"/>
        <v>13.41</v>
      </c>
      <c r="G168">
        <f t="shared" si="29"/>
        <v>2</v>
      </c>
      <c r="H168">
        <f t="shared" si="30"/>
        <v>0</v>
      </c>
      <c r="I168">
        <f t="shared" si="31"/>
        <v>13.41</v>
      </c>
      <c r="J168">
        <f t="shared" si="32"/>
        <v>0</v>
      </c>
      <c r="K168">
        <f t="shared" si="33"/>
        <v>0</v>
      </c>
      <c r="L168">
        <f t="shared" si="34"/>
        <v>0</v>
      </c>
      <c r="M168">
        <f t="shared" si="35"/>
        <v>0</v>
      </c>
      <c r="N168">
        <f t="shared" si="36"/>
        <v>0</v>
      </c>
      <c r="O168">
        <f t="shared" si="37"/>
        <v>0</v>
      </c>
      <c r="P168">
        <f t="shared" si="38"/>
        <v>0</v>
      </c>
      <c r="Q168">
        <f t="shared" si="39"/>
        <v>0</v>
      </c>
      <c r="R168">
        <f t="shared" si="40"/>
        <v>0</v>
      </c>
      <c r="S168">
        <f t="shared" si="41"/>
        <v>0</v>
      </c>
    </row>
    <row r="169" spans="1:19" x14ac:dyDescent="0.3">
      <c r="A169" s="1">
        <v>41684</v>
      </c>
      <c r="B169" s="1">
        <v>41712</v>
      </c>
      <c r="C169">
        <v>7.35</v>
      </c>
      <c r="D169">
        <v>0.19</v>
      </c>
      <c r="E169">
        <v>4</v>
      </c>
      <c r="F169">
        <f t="shared" si="28"/>
        <v>7.54</v>
      </c>
      <c r="G169">
        <f t="shared" si="29"/>
        <v>2</v>
      </c>
      <c r="H169">
        <f t="shared" si="30"/>
        <v>0</v>
      </c>
      <c r="I169">
        <f t="shared" si="31"/>
        <v>7.54</v>
      </c>
      <c r="J169">
        <f t="shared" si="32"/>
        <v>0</v>
      </c>
      <c r="K169">
        <f t="shared" si="33"/>
        <v>0</v>
      </c>
      <c r="L169">
        <f t="shared" si="34"/>
        <v>0</v>
      </c>
      <c r="M169">
        <f t="shared" si="35"/>
        <v>0</v>
      </c>
      <c r="N169">
        <f t="shared" si="36"/>
        <v>0</v>
      </c>
      <c r="O169">
        <f t="shared" si="37"/>
        <v>0</v>
      </c>
      <c r="P169">
        <f t="shared" si="38"/>
        <v>0</v>
      </c>
      <c r="Q169">
        <f t="shared" si="39"/>
        <v>0</v>
      </c>
      <c r="R169">
        <f t="shared" si="40"/>
        <v>0</v>
      </c>
      <c r="S169">
        <f t="shared" si="41"/>
        <v>0</v>
      </c>
    </row>
    <row r="170" spans="1:19" x14ac:dyDescent="0.3">
      <c r="A170" s="1">
        <v>41685</v>
      </c>
      <c r="B170" s="1">
        <v>41712</v>
      </c>
      <c r="C170">
        <v>6.88</v>
      </c>
      <c r="D170">
        <v>0.18</v>
      </c>
      <c r="E170">
        <v>3</v>
      </c>
      <c r="F170">
        <f t="shared" si="28"/>
        <v>7.06</v>
      </c>
      <c r="G170">
        <f t="shared" si="29"/>
        <v>2</v>
      </c>
      <c r="H170">
        <f t="shared" si="30"/>
        <v>0</v>
      </c>
      <c r="I170">
        <f t="shared" si="31"/>
        <v>7.06</v>
      </c>
      <c r="J170">
        <f t="shared" si="32"/>
        <v>0</v>
      </c>
      <c r="K170">
        <f t="shared" si="33"/>
        <v>0</v>
      </c>
      <c r="L170">
        <f t="shared" si="34"/>
        <v>0</v>
      </c>
      <c r="M170">
        <f t="shared" si="35"/>
        <v>0</v>
      </c>
      <c r="N170">
        <f t="shared" si="36"/>
        <v>0</v>
      </c>
      <c r="O170">
        <f t="shared" si="37"/>
        <v>0</v>
      </c>
      <c r="P170">
        <f t="shared" si="38"/>
        <v>0</v>
      </c>
      <c r="Q170">
        <f t="shared" si="39"/>
        <v>0</v>
      </c>
      <c r="R170">
        <f t="shared" si="40"/>
        <v>0</v>
      </c>
      <c r="S170">
        <f t="shared" si="41"/>
        <v>0</v>
      </c>
    </row>
    <row r="171" spans="1:19" x14ac:dyDescent="0.3">
      <c r="A171" s="1">
        <v>41685</v>
      </c>
      <c r="B171" s="1">
        <v>41708</v>
      </c>
      <c r="C171">
        <v>9.06</v>
      </c>
      <c r="D171">
        <v>0.24</v>
      </c>
      <c r="E171">
        <v>2</v>
      </c>
      <c r="F171">
        <f t="shared" si="28"/>
        <v>9.3000000000000007</v>
      </c>
      <c r="G171">
        <f t="shared" si="29"/>
        <v>2</v>
      </c>
      <c r="H171">
        <f t="shared" si="30"/>
        <v>0</v>
      </c>
      <c r="I171">
        <f t="shared" si="31"/>
        <v>9.3000000000000007</v>
      </c>
      <c r="J171">
        <f t="shared" si="32"/>
        <v>0</v>
      </c>
      <c r="K171">
        <f t="shared" si="33"/>
        <v>0</v>
      </c>
      <c r="L171">
        <f t="shared" si="34"/>
        <v>0</v>
      </c>
      <c r="M171">
        <f t="shared" si="35"/>
        <v>0</v>
      </c>
      <c r="N171">
        <f t="shared" si="36"/>
        <v>0</v>
      </c>
      <c r="O171">
        <f t="shared" si="37"/>
        <v>0</v>
      </c>
      <c r="P171">
        <f t="shared" si="38"/>
        <v>0</v>
      </c>
      <c r="Q171">
        <f t="shared" si="39"/>
        <v>0</v>
      </c>
      <c r="R171">
        <f t="shared" si="40"/>
        <v>0</v>
      </c>
      <c r="S171">
        <f t="shared" si="41"/>
        <v>0</v>
      </c>
    </row>
    <row r="172" spans="1:19" x14ac:dyDescent="0.3">
      <c r="A172" s="1">
        <v>41689</v>
      </c>
      <c r="B172" s="1">
        <v>41708</v>
      </c>
      <c r="C172">
        <v>16.55</v>
      </c>
      <c r="D172">
        <v>0.44</v>
      </c>
      <c r="E172">
        <v>2</v>
      </c>
      <c r="F172">
        <f t="shared" si="28"/>
        <v>16.990000000000002</v>
      </c>
      <c r="G172">
        <f t="shared" si="29"/>
        <v>2</v>
      </c>
      <c r="H172">
        <f t="shared" si="30"/>
        <v>0</v>
      </c>
      <c r="I172">
        <f t="shared" si="31"/>
        <v>16.990000000000002</v>
      </c>
      <c r="J172">
        <f t="shared" si="32"/>
        <v>0</v>
      </c>
      <c r="K172">
        <f t="shared" si="33"/>
        <v>0</v>
      </c>
      <c r="L172">
        <f t="shared" si="34"/>
        <v>0</v>
      </c>
      <c r="M172">
        <f t="shared" si="35"/>
        <v>0</v>
      </c>
      <c r="N172">
        <f t="shared" si="36"/>
        <v>0</v>
      </c>
      <c r="O172">
        <f t="shared" si="37"/>
        <v>0</v>
      </c>
      <c r="P172">
        <f t="shared" si="38"/>
        <v>0</v>
      </c>
      <c r="Q172">
        <f t="shared" si="39"/>
        <v>0</v>
      </c>
      <c r="R172">
        <f t="shared" si="40"/>
        <v>0</v>
      </c>
      <c r="S172">
        <f t="shared" si="41"/>
        <v>0</v>
      </c>
    </row>
    <row r="173" spans="1:19" x14ac:dyDescent="0.3">
      <c r="A173" s="1">
        <v>41689</v>
      </c>
      <c r="B173" s="1">
        <v>41708</v>
      </c>
      <c r="C173">
        <v>8.83</v>
      </c>
      <c r="D173">
        <v>0.23</v>
      </c>
      <c r="E173">
        <v>3</v>
      </c>
      <c r="F173">
        <f t="shared" si="28"/>
        <v>9.06</v>
      </c>
      <c r="G173">
        <f t="shared" si="29"/>
        <v>2</v>
      </c>
      <c r="H173">
        <f t="shared" si="30"/>
        <v>0</v>
      </c>
      <c r="I173">
        <f t="shared" si="31"/>
        <v>9.06</v>
      </c>
      <c r="J173">
        <f t="shared" si="32"/>
        <v>0</v>
      </c>
      <c r="K173">
        <f t="shared" si="33"/>
        <v>0</v>
      </c>
      <c r="L173">
        <f t="shared" si="34"/>
        <v>0</v>
      </c>
      <c r="M173">
        <f t="shared" si="35"/>
        <v>0</v>
      </c>
      <c r="N173">
        <f t="shared" si="36"/>
        <v>0</v>
      </c>
      <c r="O173">
        <f t="shared" si="37"/>
        <v>0</v>
      </c>
      <c r="P173">
        <f t="shared" si="38"/>
        <v>0</v>
      </c>
      <c r="Q173">
        <f t="shared" si="39"/>
        <v>0</v>
      </c>
      <c r="R173">
        <f t="shared" si="40"/>
        <v>0</v>
      </c>
      <c r="S173">
        <f t="shared" si="41"/>
        <v>0</v>
      </c>
    </row>
    <row r="174" spans="1:19" x14ac:dyDescent="0.3">
      <c r="A174" s="1">
        <v>41689</v>
      </c>
      <c r="B174" s="1">
        <v>41696</v>
      </c>
      <c r="C174">
        <v>7.31</v>
      </c>
      <c r="D174">
        <v>0.19</v>
      </c>
      <c r="E174">
        <v>2</v>
      </c>
      <c r="F174">
        <f t="shared" si="28"/>
        <v>7.5</v>
      </c>
      <c r="G174">
        <f t="shared" si="29"/>
        <v>2</v>
      </c>
      <c r="H174">
        <f t="shared" si="30"/>
        <v>0</v>
      </c>
      <c r="I174">
        <f t="shared" si="31"/>
        <v>7.5</v>
      </c>
      <c r="J174">
        <f t="shared" si="32"/>
        <v>0</v>
      </c>
      <c r="K174">
        <f t="shared" si="33"/>
        <v>0</v>
      </c>
      <c r="L174">
        <f t="shared" si="34"/>
        <v>0</v>
      </c>
      <c r="M174">
        <f t="shared" si="35"/>
        <v>0</v>
      </c>
      <c r="N174">
        <f t="shared" si="36"/>
        <v>0</v>
      </c>
      <c r="O174">
        <f t="shared" si="37"/>
        <v>0</v>
      </c>
      <c r="P174">
        <f t="shared" si="38"/>
        <v>0</v>
      </c>
      <c r="Q174">
        <f t="shared" si="39"/>
        <v>0</v>
      </c>
      <c r="R174">
        <f t="shared" si="40"/>
        <v>0</v>
      </c>
      <c r="S174">
        <f t="shared" si="41"/>
        <v>0</v>
      </c>
    </row>
    <row r="175" spans="1:19" x14ac:dyDescent="0.3">
      <c r="A175" s="1">
        <v>41689</v>
      </c>
      <c r="B175" s="1">
        <v>41715</v>
      </c>
      <c r="C175">
        <v>14.31</v>
      </c>
      <c r="D175">
        <v>0.38</v>
      </c>
      <c r="E175">
        <v>5</v>
      </c>
      <c r="F175">
        <f t="shared" si="28"/>
        <v>14.690000000000001</v>
      </c>
      <c r="G175">
        <f t="shared" si="29"/>
        <v>2</v>
      </c>
      <c r="H175">
        <f t="shared" si="30"/>
        <v>0</v>
      </c>
      <c r="I175">
        <f t="shared" si="31"/>
        <v>14.690000000000001</v>
      </c>
      <c r="J175">
        <f t="shared" si="32"/>
        <v>0</v>
      </c>
      <c r="K175">
        <f t="shared" si="33"/>
        <v>0</v>
      </c>
      <c r="L175">
        <f t="shared" si="34"/>
        <v>0</v>
      </c>
      <c r="M175">
        <f t="shared" si="35"/>
        <v>0</v>
      </c>
      <c r="N175">
        <f t="shared" si="36"/>
        <v>0</v>
      </c>
      <c r="O175">
        <f t="shared" si="37"/>
        <v>0</v>
      </c>
      <c r="P175">
        <f t="shared" si="38"/>
        <v>0</v>
      </c>
      <c r="Q175">
        <f t="shared" si="39"/>
        <v>0</v>
      </c>
      <c r="R175">
        <f t="shared" si="40"/>
        <v>0</v>
      </c>
      <c r="S175">
        <f t="shared" si="41"/>
        <v>0</v>
      </c>
    </row>
    <row r="176" spans="1:19" x14ac:dyDescent="0.3">
      <c r="A176" s="1">
        <v>41689</v>
      </c>
      <c r="B176" s="1">
        <v>41691</v>
      </c>
      <c r="C176">
        <v>11.42</v>
      </c>
      <c r="D176">
        <v>0.3</v>
      </c>
      <c r="E176">
        <v>5</v>
      </c>
      <c r="F176">
        <f t="shared" si="28"/>
        <v>11.72</v>
      </c>
      <c r="G176">
        <f t="shared" si="29"/>
        <v>2</v>
      </c>
      <c r="H176">
        <f t="shared" si="30"/>
        <v>0</v>
      </c>
      <c r="I176">
        <f t="shared" si="31"/>
        <v>11.72</v>
      </c>
      <c r="J176">
        <f t="shared" si="32"/>
        <v>0</v>
      </c>
      <c r="K176">
        <f t="shared" si="33"/>
        <v>0</v>
      </c>
      <c r="L176">
        <f t="shared" si="34"/>
        <v>0</v>
      </c>
      <c r="M176">
        <f t="shared" si="35"/>
        <v>0</v>
      </c>
      <c r="N176">
        <f t="shared" si="36"/>
        <v>0</v>
      </c>
      <c r="O176">
        <f t="shared" si="37"/>
        <v>0</v>
      </c>
      <c r="P176">
        <f t="shared" si="38"/>
        <v>0</v>
      </c>
      <c r="Q176">
        <f t="shared" si="39"/>
        <v>0</v>
      </c>
      <c r="R176">
        <f t="shared" si="40"/>
        <v>0</v>
      </c>
      <c r="S176">
        <f t="shared" si="41"/>
        <v>0</v>
      </c>
    </row>
    <row r="177" spans="1:19" x14ac:dyDescent="0.3">
      <c r="A177" s="1">
        <v>41689</v>
      </c>
      <c r="B177" s="1">
        <v>41700</v>
      </c>
      <c r="C177">
        <v>8.5399999999999991</v>
      </c>
      <c r="D177">
        <v>0.22</v>
      </c>
      <c r="E177">
        <v>3</v>
      </c>
      <c r="F177">
        <f t="shared" si="28"/>
        <v>8.76</v>
      </c>
      <c r="G177">
        <f t="shared" si="29"/>
        <v>2</v>
      </c>
      <c r="H177">
        <f t="shared" si="30"/>
        <v>0</v>
      </c>
      <c r="I177">
        <f t="shared" si="31"/>
        <v>8.76</v>
      </c>
      <c r="J177">
        <f t="shared" si="32"/>
        <v>0</v>
      </c>
      <c r="K177">
        <f t="shared" si="33"/>
        <v>0</v>
      </c>
      <c r="L177">
        <f t="shared" si="34"/>
        <v>0</v>
      </c>
      <c r="M177">
        <f t="shared" si="35"/>
        <v>0</v>
      </c>
      <c r="N177">
        <f t="shared" si="36"/>
        <v>0</v>
      </c>
      <c r="O177">
        <f t="shared" si="37"/>
        <v>0</v>
      </c>
      <c r="P177">
        <f t="shared" si="38"/>
        <v>0</v>
      </c>
      <c r="Q177">
        <f t="shared" si="39"/>
        <v>0</v>
      </c>
      <c r="R177">
        <f t="shared" si="40"/>
        <v>0</v>
      </c>
      <c r="S177">
        <f t="shared" si="41"/>
        <v>0</v>
      </c>
    </row>
    <row r="178" spans="1:19" x14ac:dyDescent="0.3">
      <c r="A178" s="1">
        <v>41689</v>
      </c>
      <c r="B178" s="1">
        <v>41717</v>
      </c>
      <c r="C178">
        <v>5.57</v>
      </c>
      <c r="D178">
        <v>0.15</v>
      </c>
      <c r="E178">
        <v>4</v>
      </c>
      <c r="F178">
        <f t="shared" si="28"/>
        <v>5.7200000000000006</v>
      </c>
      <c r="G178">
        <f t="shared" si="29"/>
        <v>2</v>
      </c>
      <c r="H178">
        <f t="shared" si="30"/>
        <v>0</v>
      </c>
      <c r="I178">
        <f t="shared" si="31"/>
        <v>5.7200000000000006</v>
      </c>
      <c r="J178">
        <f t="shared" si="32"/>
        <v>0</v>
      </c>
      <c r="K178">
        <f t="shared" si="33"/>
        <v>0</v>
      </c>
      <c r="L178">
        <f t="shared" si="34"/>
        <v>0</v>
      </c>
      <c r="M178">
        <f t="shared" si="35"/>
        <v>0</v>
      </c>
      <c r="N178">
        <f t="shared" si="36"/>
        <v>0</v>
      </c>
      <c r="O178">
        <f t="shared" si="37"/>
        <v>0</v>
      </c>
      <c r="P178">
        <f t="shared" si="38"/>
        <v>0</v>
      </c>
      <c r="Q178">
        <f t="shared" si="39"/>
        <v>0</v>
      </c>
      <c r="R178">
        <f t="shared" si="40"/>
        <v>0</v>
      </c>
      <c r="S178">
        <f t="shared" si="41"/>
        <v>0</v>
      </c>
    </row>
    <row r="179" spans="1:19" x14ac:dyDescent="0.3">
      <c r="A179" s="1">
        <v>41689</v>
      </c>
      <c r="B179" s="1">
        <v>41717</v>
      </c>
      <c r="C179">
        <v>7.55</v>
      </c>
      <c r="D179">
        <v>0.2</v>
      </c>
      <c r="E179">
        <v>4</v>
      </c>
      <c r="F179">
        <f t="shared" si="28"/>
        <v>7.75</v>
      </c>
      <c r="G179">
        <f t="shared" si="29"/>
        <v>2</v>
      </c>
      <c r="H179">
        <f t="shared" si="30"/>
        <v>0</v>
      </c>
      <c r="I179">
        <f t="shared" si="31"/>
        <v>7.75</v>
      </c>
      <c r="J179">
        <f t="shared" si="32"/>
        <v>0</v>
      </c>
      <c r="K179">
        <f t="shared" si="33"/>
        <v>0</v>
      </c>
      <c r="L179">
        <f t="shared" si="34"/>
        <v>0</v>
      </c>
      <c r="M179">
        <f t="shared" si="35"/>
        <v>0</v>
      </c>
      <c r="N179">
        <f t="shared" si="36"/>
        <v>0</v>
      </c>
      <c r="O179">
        <f t="shared" si="37"/>
        <v>0</v>
      </c>
      <c r="P179">
        <f t="shared" si="38"/>
        <v>0</v>
      </c>
      <c r="Q179">
        <f t="shared" si="39"/>
        <v>0</v>
      </c>
      <c r="R179">
        <f t="shared" si="40"/>
        <v>0</v>
      </c>
      <c r="S179">
        <f t="shared" si="41"/>
        <v>0</v>
      </c>
    </row>
    <row r="180" spans="1:19" x14ac:dyDescent="0.3">
      <c r="A180" s="1">
        <v>41689</v>
      </c>
      <c r="B180" s="1">
        <v>41707</v>
      </c>
      <c r="C180">
        <v>10.79</v>
      </c>
      <c r="D180">
        <v>0.28000000000000003</v>
      </c>
      <c r="E180">
        <v>6</v>
      </c>
      <c r="F180">
        <f t="shared" si="28"/>
        <v>11.069999999999999</v>
      </c>
      <c r="G180">
        <f t="shared" si="29"/>
        <v>2</v>
      </c>
      <c r="H180">
        <f t="shared" si="30"/>
        <v>0</v>
      </c>
      <c r="I180">
        <f t="shared" si="31"/>
        <v>11.069999999999999</v>
      </c>
      <c r="J180">
        <f t="shared" si="32"/>
        <v>0</v>
      </c>
      <c r="K180">
        <f t="shared" si="33"/>
        <v>0</v>
      </c>
      <c r="L180">
        <f t="shared" si="34"/>
        <v>0</v>
      </c>
      <c r="M180">
        <f t="shared" si="35"/>
        <v>0</v>
      </c>
      <c r="N180">
        <f t="shared" si="36"/>
        <v>0</v>
      </c>
      <c r="O180">
        <f t="shared" si="37"/>
        <v>0</v>
      </c>
      <c r="P180">
        <f t="shared" si="38"/>
        <v>0</v>
      </c>
      <c r="Q180">
        <f t="shared" si="39"/>
        <v>0</v>
      </c>
      <c r="R180">
        <f t="shared" si="40"/>
        <v>0</v>
      </c>
      <c r="S180">
        <f t="shared" si="41"/>
        <v>0</v>
      </c>
    </row>
    <row r="181" spans="1:19" x14ac:dyDescent="0.3">
      <c r="A181" s="1">
        <v>41689</v>
      </c>
      <c r="B181" s="1">
        <v>41706</v>
      </c>
      <c r="C181">
        <v>8.39</v>
      </c>
      <c r="D181">
        <v>0.22</v>
      </c>
      <c r="E181">
        <v>2</v>
      </c>
      <c r="F181">
        <f t="shared" si="28"/>
        <v>8.6100000000000012</v>
      </c>
      <c r="G181">
        <f t="shared" si="29"/>
        <v>2</v>
      </c>
      <c r="H181">
        <f t="shared" si="30"/>
        <v>0</v>
      </c>
      <c r="I181">
        <f t="shared" si="31"/>
        <v>8.6100000000000012</v>
      </c>
      <c r="J181">
        <f t="shared" si="32"/>
        <v>0</v>
      </c>
      <c r="K181">
        <f t="shared" si="33"/>
        <v>0</v>
      </c>
      <c r="L181">
        <f t="shared" si="34"/>
        <v>0</v>
      </c>
      <c r="M181">
        <f t="shared" si="35"/>
        <v>0</v>
      </c>
      <c r="N181">
        <f t="shared" si="36"/>
        <v>0</v>
      </c>
      <c r="O181">
        <f t="shared" si="37"/>
        <v>0</v>
      </c>
      <c r="P181">
        <f t="shared" si="38"/>
        <v>0</v>
      </c>
      <c r="Q181">
        <f t="shared" si="39"/>
        <v>0</v>
      </c>
      <c r="R181">
        <f t="shared" si="40"/>
        <v>0</v>
      </c>
      <c r="S181">
        <f t="shared" si="41"/>
        <v>0</v>
      </c>
    </row>
    <row r="182" spans="1:19" x14ac:dyDescent="0.3">
      <c r="A182" s="1">
        <v>41689</v>
      </c>
      <c r="B182" s="1">
        <v>41711</v>
      </c>
      <c r="C182">
        <v>9.06</v>
      </c>
      <c r="D182">
        <v>0.24</v>
      </c>
      <c r="E182">
        <v>6</v>
      </c>
      <c r="F182">
        <f t="shared" si="28"/>
        <v>9.3000000000000007</v>
      </c>
      <c r="G182">
        <f t="shared" si="29"/>
        <v>2</v>
      </c>
      <c r="H182">
        <f t="shared" si="30"/>
        <v>0</v>
      </c>
      <c r="I182">
        <f t="shared" si="31"/>
        <v>9.3000000000000007</v>
      </c>
      <c r="J182">
        <f t="shared" si="32"/>
        <v>0</v>
      </c>
      <c r="K182">
        <f t="shared" si="33"/>
        <v>0</v>
      </c>
      <c r="L182">
        <f t="shared" si="34"/>
        <v>0</v>
      </c>
      <c r="M182">
        <f t="shared" si="35"/>
        <v>0</v>
      </c>
      <c r="N182">
        <f t="shared" si="36"/>
        <v>0</v>
      </c>
      <c r="O182">
        <f t="shared" si="37"/>
        <v>0</v>
      </c>
      <c r="P182">
        <f t="shared" si="38"/>
        <v>0</v>
      </c>
      <c r="Q182">
        <f t="shared" si="39"/>
        <v>0</v>
      </c>
      <c r="R182">
        <f t="shared" si="40"/>
        <v>0</v>
      </c>
      <c r="S182">
        <f t="shared" si="41"/>
        <v>0</v>
      </c>
    </row>
    <row r="183" spans="1:19" x14ac:dyDescent="0.3">
      <c r="A183" s="1">
        <v>41689</v>
      </c>
      <c r="B183" s="1">
        <v>41700</v>
      </c>
      <c r="C183">
        <v>16.940000000000001</v>
      </c>
      <c r="D183">
        <v>0.45</v>
      </c>
      <c r="E183">
        <v>3</v>
      </c>
      <c r="F183">
        <f t="shared" si="28"/>
        <v>17.39</v>
      </c>
      <c r="G183">
        <f t="shared" si="29"/>
        <v>2</v>
      </c>
      <c r="H183">
        <f t="shared" si="30"/>
        <v>0</v>
      </c>
      <c r="I183">
        <f t="shared" si="31"/>
        <v>17.39</v>
      </c>
      <c r="J183">
        <f t="shared" si="32"/>
        <v>0</v>
      </c>
      <c r="K183">
        <f t="shared" si="33"/>
        <v>0</v>
      </c>
      <c r="L183">
        <f t="shared" si="34"/>
        <v>0</v>
      </c>
      <c r="M183">
        <f t="shared" si="35"/>
        <v>0</v>
      </c>
      <c r="N183">
        <f t="shared" si="36"/>
        <v>0</v>
      </c>
      <c r="O183">
        <f t="shared" si="37"/>
        <v>0</v>
      </c>
      <c r="P183">
        <f t="shared" si="38"/>
        <v>0</v>
      </c>
      <c r="Q183">
        <f t="shared" si="39"/>
        <v>0</v>
      </c>
      <c r="R183">
        <f t="shared" si="40"/>
        <v>0</v>
      </c>
      <c r="S183">
        <f t="shared" si="41"/>
        <v>0</v>
      </c>
    </row>
    <row r="184" spans="1:19" x14ac:dyDescent="0.3">
      <c r="A184" s="1">
        <v>41689</v>
      </c>
      <c r="B184" s="1">
        <v>41708</v>
      </c>
      <c r="C184">
        <v>11.37</v>
      </c>
      <c r="D184">
        <v>0.3</v>
      </c>
      <c r="E184">
        <v>4</v>
      </c>
      <c r="F184">
        <f t="shared" si="28"/>
        <v>11.67</v>
      </c>
      <c r="G184">
        <f t="shared" si="29"/>
        <v>2</v>
      </c>
      <c r="H184">
        <f t="shared" si="30"/>
        <v>0</v>
      </c>
      <c r="I184">
        <f t="shared" si="31"/>
        <v>11.67</v>
      </c>
      <c r="J184">
        <f t="shared" si="32"/>
        <v>0</v>
      </c>
      <c r="K184">
        <f t="shared" si="33"/>
        <v>0</v>
      </c>
      <c r="L184">
        <f t="shared" si="34"/>
        <v>0</v>
      </c>
      <c r="M184">
        <f t="shared" si="35"/>
        <v>0</v>
      </c>
      <c r="N184">
        <f t="shared" si="36"/>
        <v>0</v>
      </c>
      <c r="O184">
        <f t="shared" si="37"/>
        <v>0</v>
      </c>
      <c r="P184">
        <f t="shared" si="38"/>
        <v>0</v>
      </c>
      <c r="Q184">
        <f t="shared" si="39"/>
        <v>0</v>
      </c>
      <c r="R184">
        <f t="shared" si="40"/>
        <v>0</v>
      </c>
      <c r="S184">
        <f t="shared" si="41"/>
        <v>0</v>
      </c>
    </row>
    <row r="185" spans="1:19" x14ac:dyDescent="0.3">
      <c r="A185" s="1">
        <v>41689</v>
      </c>
      <c r="B185" s="1">
        <v>41699</v>
      </c>
      <c r="C185">
        <v>4.25</v>
      </c>
      <c r="D185">
        <v>0.11</v>
      </c>
      <c r="E185">
        <v>5</v>
      </c>
      <c r="F185">
        <f t="shared" si="28"/>
        <v>4.3600000000000003</v>
      </c>
      <c r="G185">
        <f t="shared" si="29"/>
        <v>2</v>
      </c>
      <c r="H185">
        <f t="shared" si="30"/>
        <v>0</v>
      </c>
      <c r="I185">
        <f t="shared" si="31"/>
        <v>4.3600000000000003</v>
      </c>
      <c r="J185">
        <f t="shared" si="32"/>
        <v>0</v>
      </c>
      <c r="K185">
        <f t="shared" si="33"/>
        <v>0</v>
      </c>
      <c r="L185">
        <f t="shared" si="34"/>
        <v>0</v>
      </c>
      <c r="M185">
        <f t="shared" si="35"/>
        <v>0</v>
      </c>
      <c r="N185">
        <f t="shared" si="36"/>
        <v>0</v>
      </c>
      <c r="O185">
        <f t="shared" si="37"/>
        <v>0</v>
      </c>
      <c r="P185">
        <f t="shared" si="38"/>
        <v>0</v>
      </c>
      <c r="Q185">
        <f t="shared" si="39"/>
        <v>0</v>
      </c>
      <c r="R185">
        <f t="shared" si="40"/>
        <v>0</v>
      </c>
      <c r="S185">
        <f t="shared" si="41"/>
        <v>0</v>
      </c>
    </row>
    <row r="186" spans="1:19" x14ac:dyDescent="0.3">
      <c r="A186" s="1">
        <v>41689</v>
      </c>
      <c r="B186" s="1">
        <v>41710</v>
      </c>
      <c r="C186">
        <v>11.42</v>
      </c>
      <c r="D186">
        <v>0.3</v>
      </c>
      <c r="E186">
        <v>4</v>
      </c>
      <c r="F186">
        <f t="shared" si="28"/>
        <v>11.72</v>
      </c>
      <c r="G186">
        <f t="shared" si="29"/>
        <v>2</v>
      </c>
      <c r="H186">
        <f t="shared" si="30"/>
        <v>0</v>
      </c>
      <c r="I186">
        <f t="shared" si="31"/>
        <v>11.72</v>
      </c>
      <c r="J186">
        <f t="shared" si="32"/>
        <v>0</v>
      </c>
      <c r="K186">
        <f t="shared" si="33"/>
        <v>0</v>
      </c>
      <c r="L186">
        <f t="shared" si="34"/>
        <v>0</v>
      </c>
      <c r="M186">
        <f t="shared" si="35"/>
        <v>0</v>
      </c>
      <c r="N186">
        <f t="shared" si="36"/>
        <v>0</v>
      </c>
      <c r="O186">
        <f t="shared" si="37"/>
        <v>0</v>
      </c>
      <c r="P186">
        <f t="shared" si="38"/>
        <v>0</v>
      </c>
      <c r="Q186">
        <f t="shared" si="39"/>
        <v>0</v>
      </c>
      <c r="R186">
        <f t="shared" si="40"/>
        <v>0</v>
      </c>
      <c r="S186">
        <f t="shared" si="41"/>
        <v>0</v>
      </c>
    </row>
    <row r="187" spans="1:19" x14ac:dyDescent="0.3">
      <c r="A187" s="1">
        <v>41689</v>
      </c>
      <c r="B187" s="1">
        <v>41711</v>
      </c>
      <c r="C187">
        <v>3.79</v>
      </c>
      <c r="D187">
        <v>0.1</v>
      </c>
      <c r="E187">
        <v>3</v>
      </c>
      <c r="F187">
        <f t="shared" si="28"/>
        <v>3.89</v>
      </c>
      <c r="G187">
        <f t="shared" si="29"/>
        <v>2</v>
      </c>
      <c r="H187">
        <f t="shared" si="30"/>
        <v>0</v>
      </c>
      <c r="I187">
        <f t="shared" si="31"/>
        <v>3.89</v>
      </c>
      <c r="J187">
        <f t="shared" si="32"/>
        <v>0</v>
      </c>
      <c r="K187">
        <f t="shared" si="33"/>
        <v>0</v>
      </c>
      <c r="L187">
        <f t="shared" si="34"/>
        <v>0</v>
      </c>
      <c r="M187">
        <f t="shared" si="35"/>
        <v>0</v>
      </c>
      <c r="N187">
        <f t="shared" si="36"/>
        <v>0</v>
      </c>
      <c r="O187">
        <f t="shared" si="37"/>
        <v>0</v>
      </c>
      <c r="P187">
        <f t="shared" si="38"/>
        <v>0</v>
      </c>
      <c r="Q187">
        <f t="shared" si="39"/>
        <v>0</v>
      </c>
      <c r="R187">
        <f t="shared" si="40"/>
        <v>0</v>
      </c>
      <c r="S187">
        <f t="shared" si="41"/>
        <v>0</v>
      </c>
    </row>
    <row r="188" spans="1:19" x14ac:dyDescent="0.3">
      <c r="A188" s="1">
        <v>41689</v>
      </c>
      <c r="B188" s="1">
        <v>41712</v>
      </c>
      <c r="C188">
        <v>10.59</v>
      </c>
      <c r="D188">
        <v>0.28000000000000003</v>
      </c>
      <c r="E188">
        <v>4</v>
      </c>
      <c r="F188">
        <f t="shared" si="28"/>
        <v>10.87</v>
      </c>
      <c r="G188">
        <f t="shared" si="29"/>
        <v>2</v>
      </c>
      <c r="H188">
        <f t="shared" si="30"/>
        <v>0</v>
      </c>
      <c r="I188">
        <f t="shared" si="31"/>
        <v>10.87</v>
      </c>
      <c r="J188">
        <f t="shared" si="32"/>
        <v>0</v>
      </c>
      <c r="K188">
        <f t="shared" si="33"/>
        <v>0</v>
      </c>
      <c r="L188">
        <f t="shared" si="34"/>
        <v>0</v>
      </c>
      <c r="M188">
        <f t="shared" si="35"/>
        <v>0</v>
      </c>
      <c r="N188">
        <f t="shared" si="36"/>
        <v>0</v>
      </c>
      <c r="O188">
        <f t="shared" si="37"/>
        <v>0</v>
      </c>
      <c r="P188">
        <f t="shared" si="38"/>
        <v>0</v>
      </c>
      <c r="Q188">
        <f t="shared" si="39"/>
        <v>0</v>
      </c>
      <c r="R188">
        <f t="shared" si="40"/>
        <v>0</v>
      </c>
      <c r="S188">
        <f t="shared" si="41"/>
        <v>0</v>
      </c>
    </row>
    <row r="189" spans="1:19" x14ac:dyDescent="0.3">
      <c r="A189" s="1">
        <v>41689</v>
      </c>
      <c r="B189" s="1">
        <v>41705</v>
      </c>
      <c r="C189">
        <v>8.9499999999999993</v>
      </c>
      <c r="D189">
        <v>0.24</v>
      </c>
      <c r="E189">
        <v>2</v>
      </c>
      <c r="F189">
        <f t="shared" si="28"/>
        <v>9.19</v>
      </c>
      <c r="G189">
        <f t="shared" si="29"/>
        <v>2</v>
      </c>
      <c r="H189">
        <f t="shared" si="30"/>
        <v>0</v>
      </c>
      <c r="I189">
        <f t="shared" si="31"/>
        <v>9.19</v>
      </c>
      <c r="J189">
        <f t="shared" si="32"/>
        <v>0</v>
      </c>
      <c r="K189">
        <f t="shared" si="33"/>
        <v>0</v>
      </c>
      <c r="L189">
        <f t="shared" si="34"/>
        <v>0</v>
      </c>
      <c r="M189">
        <f t="shared" si="35"/>
        <v>0</v>
      </c>
      <c r="N189">
        <f t="shared" si="36"/>
        <v>0</v>
      </c>
      <c r="O189">
        <f t="shared" si="37"/>
        <v>0</v>
      </c>
      <c r="P189">
        <f t="shared" si="38"/>
        <v>0</v>
      </c>
      <c r="Q189">
        <f t="shared" si="39"/>
        <v>0</v>
      </c>
      <c r="R189">
        <f t="shared" si="40"/>
        <v>0</v>
      </c>
      <c r="S189">
        <f t="shared" si="41"/>
        <v>0</v>
      </c>
    </row>
    <row r="190" spans="1:19" x14ac:dyDescent="0.3">
      <c r="A190" s="1">
        <v>41689</v>
      </c>
      <c r="B190" s="1">
        <v>41693</v>
      </c>
      <c r="C190">
        <v>4.66</v>
      </c>
      <c r="D190">
        <v>0.12</v>
      </c>
      <c r="E190">
        <v>5</v>
      </c>
      <c r="F190">
        <f t="shared" si="28"/>
        <v>4.78</v>
      </c>
      <c r="G190">
        <f t="shared" si="29"/>
        <v>2</v>
      </c>
      <c r="H190">
        <f t="shared" si="30"/>
        <v>0</v>
      </c>
      <c r="I190">
        <f t="shared" si="31"/>
        <v>4.78</v>
      </c>
      <c r="J190">
        <f t="shared" si="32"/>
        <v>0</v>
      </c>
      <c r="K190">
        <f t="shared" si="33"/>
        <v>0</v>
      </c>
      <c r="L190">
        <f t="shared" si="34"/>
        <v>0</v>
      </c>
      <c r="M190">
        <f t="shared" si="35"/>
        <v>0</v>
      </c>
      <c r="N190">
        <f t="shared" si="36"/>
        <v>0</v>
      </c>
      <c r="O190">
        <f t="shared" si="37"/>
        <v>0</v>
      </c>
      <c r="P190">
        <f t="shared" si="38"/>
        <v>0</v>
      </c>
      <c r="Q190">
        <f t="shared" si="39"/>
        <v>0</v>
      </c>
      <c r="R190">
        <f t="shared" si="40"/>
        <v>0</v>
      </c>
      <c r="S190">
        <f t="shared" si="41"/>
        <v>0</v>
      </c>
    </row>
    <row r="191" spans="1:19" x14ac:dyDescent="0.3">
      <c r="A191" s="1">
        <v>41689</v>
      </c>
      <c r="B191" s="1">
        <v>41707</v>
      </c>
      <c r="C191">
        <v>6.88</v>
      </c>
      <c r="D191">
        <v>0.18</v>
      </c>
      <c r="E191">
        <v>5</v>
      </c>
      <c r="F191">
        <f t="shared" si="28"/>
        <v>7.06</v>
      </c>
      <c r="G191">
        <f t="shared" si="29"/>
        <v>2</v>
      </c>
      <c r="H191">
        <f t="shared" si="30"/>
        <v>0</v>
      </c>
      <c r="I191">
        <f t="shared" si="31"/>
        <v>7.06</v>
      </c>
      <c r="J191">
        <f t="shared" si="32"/>
        <v>0</v>
      </c>
      <c r="K191">
        <f t="shared" si="33"/>
        <v>0</v>
      </c>
      <c r="L191">
        <f t="shared" si="34"/>
        <v>0</v>
      </c>
      <c r="M191">
        <f t="shared" si="35"/>
        <v>0</v>
      </c>
      <c r="N191">
        <f t="shared" si="36"/>
        <v>0</v>
      </c>
      <c r="O191">
        <f t="shared" si="37"/>
        <v>0</v>
      </c>
      <c r="P191">
        <f t="shared" si="38"/>
        <v>0</v>
      </c>
      <c r="Q191">
        <f t="shared" si="39"/>
        <v>0</v>
      </c>
      <c r="R191">
        <f t="shared" si="40"/>
        <v>0</v>
      </c>
      <c r="S191">
        <f t="shared" si="41"/>
        <v>0</v>
      </c>
    </row>
    <row r="192" spans="1:19" x14ac:dyDescent="0.3">
      <c r="A192" s="1">
        <v>41692</v>
      </c>
      <c r="B192" s="1">
        <v>41706</v>
      </c>
      <c r="C192">
        <v>8.7200000000000006</v>
      </c>
      <c r="D192">
        <v>0.23</v>
      </c>
      <c r="E192">
        <v>4</v>
      </c>
      <c r="F192">
        <f t="shared" si="28"/>
        <v>8.9500000000000011</v>
      </c>
      <c r="G192">
        <f t="shared" si="29"/>
        <v>2</v>
      </c>
      <c r="H192">
        <f t="shared" si="30"/>
        <v>0</v>
      </c>
      <c r="I192">
        <f t="shared" si="31"/>
        <v>8.9500000000000011</v>
      </c>
      <c r="J192">
        <f t="shared" si="32"/>
        <v>0</v>
      </c>
      <c r="K192">
        <f t="shared" si="33"/>
        <v>0</v>
      </c>
      <c r="L192">
        <f t="shared" si="34"/>
        <v>0</v>
      </c>
      <c r="M192">
        <f t="shared" si="35"/>
        <v>0</v>
      </c>
      <c r="N192">
        <f t="shared" si="36"/>
        <v>0</v>
      </c>
      <c r="O192">
        <f t="shared" si="37"/>
        <v>0</v>
      </c>
      <c r="P192">
        <f t="shared" si="38"/>
        <v>0</v>
      </c>
      <c r="Q192">
        <f t="shared" si="39"/>
        <v>0</v>
      </c>
      <c r="R192">
        <f t="shared" si="40"/>
        <v>0</v>
      </c>
      <c r="S192">
        <f t="shared" si="41"/>
        <v>0</v>
      </c>
    </row>
    <row r="193" spans="1:19" x14ac:dyDescent="0.3">
      <c r="A193" s="1">
        <v>41696</v>
      </c>
      <c r="B193" s="1">
        <v>41698</v>
      </c>
      <c r="C193">
        <v>12.23</v>
      </c>
      <c r="D193">
        <v>0.32</v>
      </c>
      <c r="E193">
        <v>2</v>
      </c>
      <c r="F193">
        <f t="shared" si="28"/>
        <v>12.55</v>
      </c>
      <c r="G193">
        <f t="shared" si="29"/>
        <v>2</v>
      </c>
      <c r="H193">
        <f t="shared" si="30"/>
        <v>0</v>
      </c>
      <c r="I193">
        <f t="shared" si="31"/>
        <v>12.55</v>
      </c>
      <c r="J193">
        <f t="shared" si="32"/>
        <v>0</v>
      </c>
      <c r="K193">
        <f t="shared" si="33"/>
        <v>0</v>
      </c>
      <c r="L193">
        <f t="shared" si="34"/>
        <v>0</v>
      </c>
      <c r="M193">
        <f t="shared" si="35"/>
        <v>0</v>
      </c>
      <c r="N193">
        <f t="shared" si="36"/>
        <v>0</v>
      </c>
      <c r="O193">
        <f t="shared" si="37"/>
        <v>0</v>
      </c>
      <c r="P193">
        <f t="shared" si="38"/>
        <v>0</v>
      </c>
      <c r="Q193">
        <f t="shared" si="39"/>
        <v>0</v>
      </c>
      <c r="R193">
        <f t="shared" si="40"/>
        <v>0</v>
      </c>
      <c r="S193">
        <f t="shared" si="41"/>
        <v>0</v>
      </c>
    </row>
    <row r="194" spans="1:19" x14ac:dyDescent="0.3">
      <c r="A194" s="1">
        <v>41696</v>
      </c>
      <c r="B194" s="1">
        <v>41708</v>
      </c>
      <c r="C194">
        <v>10.199999999999999</v>
      </c>
      <c r="D194">
        <v>0.27</v>
      </c>
      <c r="E194">
        <v>4</v>
      </c>
      <c r="F194">
        <f t="shared" si="28"/>
        <v>10.469999999999999</v>
      </c>
      <c r="G194">
        <f t="shared" si="29"/>
        <v>2</v>
      </c>
      <c r="H194">
        <f t="shared" si="30"/>
        <v>0</v>
      </c>
      <c r="I194">
        <f t="shared" si="31"/>
        <v>10.469999999999999</v>
      </c>
      <c r="J194">
        <f t="shared" si="32"/>
        <v>0</v>
      </c>
      <c r="K194">
        <f t="shared" si="33"/>
        <v>0</v>
      </c>
      <c r="L194">
        <f t="shared" si="34"/>
        <v>0</v>
      </c>
      <c r="M194">
        <f t="shared" si="35"/>
        <v>0</v>
      </c>
      <c r="N194">
        <f t="shared" si="36"/>
        <v>0</v>
      </c>
      <c r="O194">
        <f t="shared" si="37"/>
        <v>0</v>
      </c>
      <c r="P194">
        <f t="shared" si="38"/>
        <v>0</v>
      </c>
      <c r="Q194">
        <f t="shared" si="39"/>
        <v>0</v>
      </c>
      <c r="R194">
        <f t="shared" si="40"/>
        <v>0</v>
      </c>
      <c r="S194">
        <f t="shared" si="41"/>
        <v>0</v>
      </c>
    </row>
    <row r="195" spans="1:19" x14ac:dyDescent="0.3">
      <c r="A195" s="1">
        <v>41696</v>
      </c>
      <c r="B195" s="1">
        <v>41703</v>
      </c>
      <c r="C195">
        <v>7.06</v>
      </c>
      <c r="D195">
        <v>0.19</v>
      </c>
      <c r="E195">
        <v>5</v>
      </c>
      <c r="F195">
        <f t="shared" ref="F195:F258" si="42">C195+D195</f>
        <v>7.25</v>
      </c>
      <c r="G195">
        <f t="shared" ref="G195:G258" si="43">MONTH(A195)</f>
        <v>2</v>
      </c>
      <c r="H195">
        <f t="shared" ref="H195:H258" si="44">IF(EXACT(G195,1),F195,0)</f>
        <v>0</v>
      </c>
      <c r="I195">
        <f t="shared" ref="I195:I258" si="45">IF(EXACT(G195,2),F195,0)</f>
        <v>7.25</v>
      </c>
      <c r="J195">
        <f t="shared" ref="J195:J258" si="46">IF(EXACT(G195,3),F195,0)</f>
        <v>0</v>
      </c>
      <c r="K195">
        <f t="shared" ref="K195:K258" si="47">IF(EXACT(G195,4),F195,0)</f>
        <v>0</v>
      </c>
      <c r="L195">
        <f t="shared" ref="L195:L258" si="48">IF(EXACT(G195,5),F195,0)</f>
        <v>0</v>
      </c>
      <c r="M195">
        <f t="shared" ref="M195:M258" si="49">IF(EXACT(G195,6),F195,0)</f>
        <v>0</v>
      </c>
      <c r="N195">
        <f t="shared" ref="N195:N258" si="50">IF(EXACT(G195,7),F195,0)</f>
        <v>0</v>
      </c>
      <c r="O195">
        <f t="shared" ref="O195:O258" si="51">IF(EXACT(G195,8),F195,0)</f>
        <v>0</v>
      </c>
      <c r="P195">
        <f t="shared" ref="P195:P258" si="52">IF(EXACT(G195,9),F195,0)</f>
        <v>0</v>
      </c>
      <c r="Q195">
        <f t="shared" ref="Q195:Q258" si="53">IF(EXACT(G195,10),F195,0)</f>
        <v>0</v>
      </c>
      <c r="R195">
        <f t="shared" ref="R195:R258" si="54">IF(EXACT(G195,11),F195,0)</f>
        <v>0</v>
      </c>
      <c r="S195">
        <f t="shared" ref="S195:S258" si="55">IF(EXACT(G195,12),F195,0)</f>
        <v>0</v>
      </c>
    </row>
    <row r="196" spans="1:19" x14ac:dyDescent="0.3">
      <c r="A196" s="1">
        <v>41696</v>
      </c>
      <c r="B196" s="1">
        <v>41716</v>
      </c>
      <c r="C196">
        <v>5.64</v>
      </c>
      <c r="D196">
        <v>0.15</v>
      </c>
      <c r="E196">
        <v>6</v>
      </c>
      <c r="F196">
        <f t="shared" si="42"/>
        <v>5.79</v>
      </c>
      <c r="G196">
        <f t="shared" si="43"/>
        <v>2</v>
      </c>
      <c r="H196">
        <f t="shared" si="44"/>
        <v>0</v>
      </c>
      <c r="I196">
        <f t="shared" si="45"/>
        <v>5.79</v>
      </c>
      <c r="J196">
        <f t="shared" si="46"/>
        <v>0</v>
      </c>
      <c r="K196">
        <f t="shared" si="47"/>
        <v>0</v>
      </c>
      <c r="L196">
        <f t="shared" si="48"/>
        <v>0</v>
      </c>
      <c r="M196">
        <f t="shared" si="49"/>
        <v>0</v>
      </c>
      <c r="N196">
        <f t="shared" si="50"/>
        <v>0</v>
      </c>
      <c r="O196">
        <f t="shared" si="51"/>
        <v>0</v>
      </c>
      <c r="P196">
        <f t="shared" si="52"/>
        <v>0</v>
      </c>
      <c r="Q196">
        <f t="shared" si="53"/>
        <v>0</v>
      </c>
      <c r="R196">
        <f t="shared" si="54"/>
        <v>0</v>
      </c>
      <c r="S196">
        <f t="shared" si="55"/>
        <v>0</v>
      </c>
    </row>
    <row r="197" spans="1:19" x14ac:dyDescent="0.3">
      <c r="A197" s="1">
        <v>41696</v>
      </c>
      <c r="B197" s="1">
        <v>41721</v>
      </c>
      <c r="C197">
        <v>9.06</v>
      </c>
      <c r="D197">
        <v>0.24</v>
      </c>
      <c r="E197">
        <v>4</v>
      </c>
      <c r="F197">
        <f t="shared" si="42"/>
        <v>9.3000000000000007</v>
      </c>
      <c r="G197">
        <f t="shared" si="43"/>
        <v>2</v>
      </c>
      <c r="H197">
        <f t="shared" si="44"/>
        <v>0</v>
      </c>
      <c r="I197">
        <f t="shared" si="45"/>
        <v>9.3000000000000007</v>
      </c>
      <c r="J197">
        <f t="shared" si="46"/>
        <v>0</v>
      </c>
      <c r="K197">
        <f t="shared" si="47"/>
        <v>0</v>
      </c>
      <c r="L197">
        <f t="shared" si="48"/>
        <v>0</v>
      </c>
      <c r="M197">
        <f t="shared" si="49"/>
        <v>0</v>
      </c>
      <c r="N197">
        <f t="shared" si="50"/>
        <v>0</v>
      </c>
      <c r="O197">
        <f t="shared" si="51"/>
        <v>0</v>
      </c>
      <c r="P197">
        <f t="shared" si="52"/>
        <v>0</v>
      </c>
      <c r="Q197">
        <f t="shared" si="53"/>
        <v>0</v>
      </c>
      <c r="R197">
        <f t="shared" si="54"/>
        <v>0</v>
      </c>
      <c r="S197">
        <f t="shared" si="55"/>
        <v>0</v>
      </c>
    </row>
    <row r="198" spans="1:19" x14ac:dyDescent="0.3">
      <c r="A198" s="1">
        <v>41696</v>
      </c>
      <c r="B198" s="1">
        <v>41717</v>
      </c>
      <c r="C198">
        <v>6.23</v>
      </c>
      <c r="D198">
        <v>0.16</v>
      </c>
      <c r="E198">
        <v>2</v>
      </c>
      <c r="F198">
        <f t="shared" si="42"/>
        <v>6.3900000000000006</v>
      </c>
      <c r="G198">
        <f t="shared" si="43"/>
        <v>2</v>
      </c>
      <c r="H198">
        <f t="shared" si="44"/>
        <v>0</v>
      </c>
      <c r="I198">
        <f t="shared" si="45"/>
        <v>6.3900000000000006</v>
      </c>
      <c r="J198">
        <f t="shared" si="46"/>
        <v>0</v>
      </c>
      <c r="K198">
        <f t="shared" si="47"/>
        <v>0</v>
      </c>
      <c r="L198">
        <f t="shared" si="48"/>
        <v>0</v>
      </c>
      <c r="M198">
        <f t="shared" si="49"/>
        <v>0</v>
      </c>
      <c r="N198">
        <f t="shared" si="50"/>
        <v>0</v>
      </c>
      <c r="O198">
        <f t="shared" si="51"/>
        <v>0</v>
      </c>
      <c r="P198">
        <f t="shared" si="52"/>
        <v>0</v>
      </c>
      <c r="Q198">
        <f t="shared" si="53"/>
        <v>0</v>
      </c>
      <c r="R198">
        <f t="shared" si="54"/>
        <v>0</v>
      </c>
      <c r="S198">
        <f t="shared" si="55"/>
        <v>0</v>
      </c>
    </row>
    <row r="199" spans="1:19" x14ac:dyDescent="0.3">
      <c r="A199" s="1">
        <v>41698</v>
      </c>
      <c r="B199" s="1">
        <v>41721</v>
      </c>
      <c r="C199">
        <v>3.57</v>
      </c>
      <c r="D199">
        <v>0.09</v>
      </c>
      <c r="E199">
        <v>4</v>
      </c>
      <c r="F199">
        <f t="shared" si="42"/>
        <v>3.6599999999999997</v>
      </c>
      <c r="G199">
        <f t="shared" si="43"/>
        <v>2</v>
      </c>
      <c r="H199">
        <f t="shared" si="44"/>
        <v>0</v>
      </c>
      <c r="I199">
        <f t="shared" si="45"/>
        <v>3.6599999999999997</v>
      </c>
      <c r="J199">
        <f t="shared" si="46"/>
        <v>0</v>
      </c>
      <c r="K199">
        <f t="shared" si="47"/>
        <v>0</v>
      </c>
      <c r="L199">
        <f t="shared" si="48"/>
        <v>0</v>
      </c>
      <c r="M199">
        <f t="shared" si="49"/>
        <v>0</v>
      </c>
      <c r="N199">
        <f t="shared" si="50"/>
        <v>0</v>
      </c>
      <c r="O199">
        <f t="shared" si="51"/>
        <v>0</v>
      </c>
      <c r="P199">
        <f t="shared" si="52"/>
        <v>0</v>
      </c>
      <c r="Q199">
        <f t="shared" si="53"/>
        <v>0</v>
      </c>
      <c r="R199">
        <f t="shared" si="54"/>
        <v>0</v>
      </c>
      <c r="S199">
        <f t="shared" si="55"/>
        <v>0</v>
      </c>
    </row>
    <row r="200" spans="1:19" x14ac:dyDescent="0.3">
      <c r="A200" s="1">
        <v>41701</v>
      </c>
      <c r="B200" s="1">
        <v>41714</v>
      </c>
      <c r="C200">
        <v>8.89</v>
      </c>
      <c r="D200">
        <v>0.23</v>
      </c>
      <c r="E200">
        <v>3</v>
      </c>
      <c r="F200">
        <f t="shared" si="42"/>
        <v>9.120000000000001</v>
      </c>
      <c r="G200">
        <f t="shared" si="43"/>
        <v>3</v>
      </c>
      <c r="H200">
        <f t="shared" si="44"/>
        <v>0</v>
      </c>
      <c r="I200">
        <f t="shared" si="45"/>
        <v>0</v>
      </c>
      <c r="J200">
        <f t="shared" si="46"/>
        <v>9.120000000000001</v>
      </c>
      <c r="K200">
        <f t="shared" si="47"/>
        <v>0</v>
      </c>
      <c r="L200">
        <f t="shared" si="48"/>
        <v>0</v>
      </c>
      <c r="M200">
        <f t="shared" si="49"/>
        <v>0</v>
      </c>
      <c r="N200">
        <f t="shared" si="50"/>
        <v>0</v>
      </c>
      <c r="O200">
        <f t="shared" si="51"/>
        <v>0</v>
      </c>
      <c r="P200">
        <f t="shared" si="52"/>
        <v>0</v>
      </c>
      <c r="Q200">
        <f t="shared" si="53"/>
        <v>0</v>
      </c>
      <c r="R200">
        <f t="shared" si="54"/>
        <v>0</v>
      </c>
      <c r="S200">
        <f t="shared" si="55"/>
        <v>0</v>
      </c>
    </row>
    <row r="201" spans="1:19" x14ac:dyDescent="0.3">
      <c r="A201" s="1">
        <v>41701</v>
      </c>
      <c r="B201" s="1">
        <v>41726</v>
      </c>
      <c r="C201">
        <v>6.34</v>
      </c>
      <c r="D201">
        <v>0.17</v>
      </c>
      <c r="E201">
        <v>5</v>
      </c>
      <c r="F201">
        <f t="shared" si="42"/>
        <v>6.51</v>
      </c>
      <c r="G201">
        <f t="shared" si="43"/>
        <v>3</v>
      </c>
      <c r="H201">
        <f t="shared" si="44"/>
        <v>0</v>
      </c>
      <c r="I201">
        <f t="shared" si="45"/>
        <v>0</v>
      </c>
      <c r="J201">
        <f t="shared" si="46"/>
        <v>6.51</v>
      </c>
      <c r="K201">
        <f t="shared" si="47"/>
        <v>0</v>
      </c>
      <c r="L201">
        <f t="shared" si="48"/>
        <v>0</v>
      </c>
      <c r="M201">
        <f t="shared" si="49"/>
        <v>0</v>
      </c>
      <c r="N201">
        <f t="shared" si="50"/>
        <v>0</v>
      </c>
      <c r="O201">
        <f t="shared" si="51"/>
        <v>0</v>
      </c>
      <c r="P201">
        <f t="shared" si="52"/>
        <v>0</v>
      </c>
      <c r="Q201">
        <f t="shared" si="53"/>
        <v>0</v>
      </c>
      <c r="R201">
        <f t="shared" si="54"/>
        <v>0</v>
      </c>
      <c r="S201">
        <f t="shared" si="55"/>
        <v>0</v>
      </c>
    </row>
    <row r="202" spans="1:19" x14ac:dyDescent="0.3">
      <c r="A202" s="1">
        <v>41701</v>
      </c>
      <c r="B202" s="1">
        <v>41717</v>
      </c>
      <c r="C202">
        <v>11.69</v>
      </c>
      <c r="D202">
        <v>0.31</v>
      </c>
      <c r="E202">
        <v>6</v>
      </c>
      <c r="F202">
        <f t="shared" si="42"/>
        <v>12</v>
      </c>
      <c r="G202">
        <f t="shared" si="43"/>
        <v>3</v>
      </c>
      <c r="H202">
        <f t="shared" si="44"/>
        <v>0</v>
      </c>
      <c r="I202">
        <f t="shared" si="45"/>
        <v>0</v>
      </c>
      <c r="J202">
        <f t="shared" si="46"/>
        <v>12</v>
      </c>
      <c r="K202">
        <f t="shared" si="47"/>
        <v>0</v>
      </c>
      <c r="L202">
        <f t="shared" si="48"/>
        <v>0</v>
      </c>
      <c r="M202">
        <f t="shared" si="49"/>
        <v>0</v>
      </c>
      <c r="N202">
        <f t="shared" si="50"/>
        <v>0</v>
      </c>
      <c r="O202">
        <f t="shared" si="51"/>
        <v>0</v>
      </c>
      <c r="P202">
        <f t="shared" si="52"/>
        <v>0</v>
      </c>
      <c r="Q202">
        <f t="shared" si="53"/>
        <v>0</v>
      </c>
      <c r="R202">
        <f t="shared" si="54"/>
        <v>0</v>
      </c>
      <c r="S202">
        <f t="shared" si="55"/>
        <v>0</v>
      </c>
    </row>
    <row r="203" spans="1:19" x14ac:dyDescent="0.3">
      <c r="A203" s="1">
        <v>41701</v>
      </c>
      <c r="B203" s="1">
        <v>41712</v>
      </c>
      <c r="C203">
        <v>3.79</v>
      </c>
      <c r="D203">
        <v>0.1</v>
      </c>
      <c r="E203">
        <v>4</v>
      </c>
      <c r="F203">
        <f t="shared" si="42"/>
        <v>3.89</v>
      </c>
      <c r="G203">
        <f t="shared" si="43"/>
        <v>3</v>
      </c>
      <c r="H203">
        <f t="shared" si="44"/>
        <v>0</v>
      </c>
      <c r="I203">
        <f t="shared" si="45"/>
        <v>0</v>
      </c>
      <c r="J203">
        <f t="shared" si="46"/>
        <v>3.89</v>
      </c>
      <c r="K203">
        <f t="shared" si="47"/>
        <v>0</v>
      </c>
      <c r="L203">
        <f t="shared" si="48"/>
        <v>0</v>
      </c>
      <c r="M203">
        <f t="shared" si="49"/>
        <v>0</v>
      </c>
      <c r="N203">
        <f t="shared" si="50"/>
        <v>0</v>
      </c>
      <c r="O203">
        <f t="shared" si="51"/>
        <v>0</v>
      </c>
      <c r="P203">
        <f t="shared" si="52"/>
        <v>0</v>
      </c>
      <c r="Q203">
        <f t="shared" si="53"/>
        <v>0</v>
      </c>
      <c r="R203">
        <f t="shared" si="54"/>
        <v>0</v>
      </c>
      <c r="S203">
        <f t="shared" si="55"/>
        <v>0</v>
      </c>
    </row>
    <row r="204" spans="1:19" x14ac:dyDescent="0.3">
      <c r="A204" s="1">
        <v>41701</v>
      </c>
      <c r="B204" s="1">
        <v>41726</v>
      </c>
      <c r="C204">
        <v>9.1300000000000008</v>
      </c>
      <c r="D204">
        <v>0.24</v>
      </c>
      <c r="E204">
        <v>2</v>
      </c>
      <c r="F204">
        <f t="shared" si="42"/>
        <v>9.370000000000001</v>
      </c>
      <c r="G204">
        <f t="shared" si="43"/>
        <v>3</v>
      </c>
      <c r="H204">
        <f t="shared" si="44"/>
        <v>0</v>
      </c>
      <c r="I204">
        <f t="shared" si="45"/>
        <v>0</v>
      </c>
      <c r="J204">
        <f t="shared" si="46"/>
        <v>9.370000000000001</v>
      </c>
      <c r="K204">
        <f t="shared" si="47"/>
        <v>0</v>
      </c>
      <c r="L204">
        <f t="shared" si="48"/>
        <v>0</v>
      </c>
      <c r="M204">
        <f t="shared" si="49"/>
        <v>0</v>
      </c>
      <c r="N204">
        <f t="shared" si="50"/>
        <v>0</v>
      </c>
      <c r="O204">
        <f t="shared" si="51"/>
        <v>0</v>
      </c>
      <c r="P204">
        <f t="shared" si="52"/>
        <v>0</v>
      </c>
      <c r="Q204">
        <f t="shared" si="53"/>
        <v>0</v>
      </c>
      <c r="R204">
        <f t="shared" si="54"/>
        <v>0</v>
      </c>
      <c r="S204">
        <f t="shared" si="55"/>
        <v>0</v>
      </c>
    </row>
    <row r="205" spans="1:19" x14ac:dyDescent="0.3">
      <c r="A205" s="1">
        <v>41701</v>
      </c>
      <c r="B205" s="1">
        <v>41722</v>
      </c>
      <c r="C205">
        <v>5.78</v>
      </c>
      <c r="D205">
        <v>0.15</v>
      </c>
      <c r="E205">
        <v>6</v>
      </c>
      <c r="F205">
        <f t="shared" si="42"/>
        <v>5.9300000000000006</v>
      </c>
      <c r="G205">
        <f t="shared" si="43"/>
        <v>3</v>
      </c>
      <c r="H205">
        <f t="shared" si="44"/>
        <v>0</v>
      </c>
      <c r="I205">
        <f t="shared" si="45"/>
        <v>0</v>
      </c>
      <c r="J205">
        <f t="shared" si="46"/>
        <v>5.9300000000000006</v>
      </c>
      <c r="K205">
        <f t="shared" si="47"/>
        <v>0</v>
      </c>
      <c r="L205">
        <f t="shared" si="48"/>
        <v>0</v>
      </c>
      <c r="M205">
        <f t="shared" si="49"/>
        <v>0</v>
      </c>
      <c r="N205">
        <f t="shared" si="50"/>
        <v>0</v>
      </c>
      <c r="O205">
        <f t="shared" si="51"/>
        <v>0</v>
      </c>
      <c r="P205">
        <f t="shared" si="52"/>
        <v>0</v>
      </c>
      <c r="Q205">
        <f t="shared" si="53"/>
        <v>0</v>
      </c>
      <c r="R205">
        <f t="shared" si="54"/>
        <v>0</v>
      </c>
      <c r="S205">
        <f t="shared" si="55"/>
        <v>0</v>
      </c>
    </row>
    <row r="206" spans="1:19" x14ac:dyDescent="0.3">
      <c r="A206" s="1">
        <v>41701</v>
      </c>
      <c r="B206" s="1">
        <v>41719</v>
      </c>
      <c r="C206">
        <v>7.06</v>
      </c>
      <c r="D206">
        <v>0.19</v>
      </c>
      <c r="E206">
        <v>6</v>
      </c>
      <c r="F206">
        <f t="shared" si="42"/>
        <v>7.25</v>
      </c>
      <c r="G206">
        <f t="shared" si="43"/>
        <v>3</v>
      </c>
      <c r="H206">
        <f t="shared" si="44"/>
        <v>0</v>
      </c>
      <c r="I206">
        <f t="shared" si="45"/>
        <v>0</v>
      </c>
      <c r="J206">
        <f t="shared" si="46"/>
        <v>7.25</v>
      </c>
      <c r="K206">
        <f t="shared" si="47"/>
        <v>0</v>
      </c>
      <c r="L206">
        <f t="shared" si="48"/>
        <v>0</v>
      </c>
      <c r="M206">
        <f t="shared" si="49"/>
        <v>0</v>
      </c>
      <c r="N206">
        <f t="shared" si="50"/>
        <v>0</v>
      </c>
      <c r="O206">
        <f t="shared" si="51"/>
        <v>0</v>
      </c>
      <c r="P206">
        <f t="shared" si="52"/>
        <v>0</v>
      </c>
      <c r="Q206">
        <f t="shared" si="53"/>
        <v>0</v>
      </c>
      <c r="R206">
        <f t="shared" si="54"/>
        <v>0</v>
      </c>
      <c r="S206">
        <f t="shared" si="55"/>
        <v>0</v>
      </c>
    </row>
    <row r="207" spans="1:19" x14ac:dyDescent="0.3">
      <c r="A207" s="1">
        <v>41701</v>
      </c>
      <c r="B207" s="1">
        <v>41712</v>
      </c>
      <c r="C207">
        <v>7.31</v>
      </c>
      <c r="D207">
        <v>0.19</v>
      </c>
      <c r="E207">
        <v>4</v>
      </c>
      <c r="F207">
        <f t="shared" si="42"/>
        <v>7.5</v>
      </c>
      <c r="G207">
        <f t="shared" si="43"/>
        <v>3</v>
      </c>
      <c r="H207">
        <f t="shared" si="44"/>
        <v>0</v>
      </c>
      <c r="I207">
        <f t="shared" si="45"/>
        <v>0</v>
      </c>
      <c r="J207">
        <f t="shared" si="46"/>
        <v>7.5</v>
      </c>
      <c r="K207">
        <f t="shared" si="47"/>
        <v>0</v>
      </c>
      <c r="L207">
        <f t="shared" si="48"/>
        <v>0</v>
      </c>
      <c r="M207">
        <f t="shared" si="49"/>
        <v>0</v>
      </c>
      <c r="N207">
        <f t="shared" si="50"/>
        <v>0</v>
      </c>
      <c r="O207">
        <f t="shared" si="51"/>
        <v>0</v>
      </c>
      <c r="P207">
        <f t="shared" si="52"/>
        <v>0</v>
      </c>
      <c r="Q207">
        <f t="shared" si="53"/>
        <v>0</v>
      </c>
      <c r="R207">
        <f t="shared" si="54"/>
        <v>0</v>
      </c>
      <c r="S207">
        <f t="shared" si="55"/>
        <v>0</v>
      </c>
    </row>
    <row r="208" spans="1:19" x14ac:dyDescent="0.3">
      <c r="A208" s="1">
        <v>41701</v>
      </c>
      <c r="B208" s="1">
        <v>41711</v>
      </c>
      <c r="C208">
        <v>8.9499999999999993</v>
      </c>
      <c r="D208">
        <v>0.24</v>
      </c>
      <c r="E208">
        <v>4</v>
      </c>
      <c r="F208">
        <f t="shared" si="42"/>
        <v>9.19</v>
      </c>
      <c r="G208">
        <f t="shared" si="43"/>
        <v>3</v>
      </c>
      <c r="H208">
        <f t="shared" si="44"/>
        <v>0</v>
      </c>
      <c r="I208">
        <f t="shared" si="45"/>
        <v>0</v>
      </c>
      <c r="J208">
        <f t="shared" si="46"/>
        <v>9.19</v>
      </c>
      <c r="K208">
        <f t="shared" si="47"/>
        <v>0</v>
      </c>
      <c r="L208">
        <f t="shared" si="48"/>
        <v>0</v>
      </c>
      <c r="M208">
        <f t="shared" si="49"/>
        <v>0</v>
      </c>
      <c r="N208">
        <f t="shared" si="50"/>
        <v>0</v>
      </c>
      <c r="O208">
        <f t="shared" si="51"/>
        <v>0</v>
      </c>
      <c r="P208">
        <f t="shared" si="52"/>
        <v>0</v>
      </c>
      <c r="Q208">
        <f t="shared" si="53"/>
        <v>0</v>
      </c>
      <c r="R208">
        <f t="shared" si="54"/>
        <v>0</v>
      </c>
      <c r="S208">
        <f t="shared" si="55"/>
        <v>0</v>
      </c>
    </row>
    <row r="209" spans="1:19" x14ac:dyDescent="0.3">
      <c r="A209" s="1">
        <v>41701</v>
      </c>
      <c r="B209" s="1">
        <v>41719</v>
      </c>
      <c r="C209">
        <v>2.0099999999999998</v>
      </c>
      <c r="D209">
        <v>0.05</v>
      </c>
      <c r="E209">
        <v>5</v>
      </c>
      <c r="F209">
        <f t="shared" si="42"/>
        <v>2.0599999999999996</v>
      </c>
      <c r="G209">
        <f t="shared" si="43"/>
        <v>3</v>
      </c>
      <c r="H209">
        <f t="shared" si="44"/>
        <v>0</v>
      </c>
      <c r="I209">
        <f t="shared" si="45"/>
        <v>0</v>
      </c>
      <c r="J209">
        <f t="shared" si="46"/>
        <v>2.0599999999999996</v>
      </c>
      <c r="K209">
        <f t="shared" si="47"/>
        <v>0</v>
      </c>
      <c r="L209">
        <f t="shared" si="48"/>
        <v>0</v>
      </c>
      <c r="M209">
        <f t="shared" si="49"/>
        <v>0</v>
      </c>
      <c r="N209">
        <f t="shared" si="50"/>
        <v>0</v>
      </c>
      <c r="O209">
        <f t="shared" si="51"/>
        <v>0</v>
      </c>
      <c r="P209">
        <f t="shared" si="52"/>
        <v>0</v>
      </c>
      <c r="Q209">
        <f t="shared" si="53"/>
        <v>0</v>
      </c>
      <c r="R209">
        <f t="shared" si="54"/>
        <v>0</v>
      </c>
      <c r="S209">
        <f t="shared" si="55"/>
        <v>0</v>
      </c>
    </row>
    <row r="210" spans="1:19" x14ac:dyDescent="0.3">
      <c r="A210" s="1">
        <v>41701</v>
      </c>
      <c r="B210" s="1">
        <v>41705</v>
      </c>
      <c r="C210">
        <v>19.54</v>
      </c>
      <c r="D210">
        <v>0.51</v>
      </c>
      <c r="E210">
        <v>3</v>
      </c>
      <c r="F210">
        <f t="shared" si="42"/>
        <v>20.05</v>
      </c>
      <c r="G210">
        <f t="shared" si="43"/>
        <v>3</v>
      </c>
      <c r="H210">
        <f t="shared" si="44"/>
        <v>0</v>
      </c>
      <c r="I210">
        <f t="shared" si="45"/>
        <v>0</v>
      </c>
      <c r="J210">
        <f t="shared" si="46"/>
        <v>20.05</v>
      </c>
      <c r="K210">
        <f t="shared" si="47"/>
        <v>0</v>
      </c>
      <c r="L210">
        <f t="shared" si="48"/>
        <v>0</v>
      </c>
      <c r="M210">
        <f t="shared" si="49"/>
        <v>0</v>
      </c>
      <c r="N210">
        <f t="shared" si="50"/>
        <v>0</v>
      </c>
      <c r="O210">
        <f t="shared" si="51"/>
        <v>0</v>
      </c>
      <c r="P210">
        <f t="shared" si="52"/>
        <v>0</v>
      </c>
      <c r="Q210">
        <f t="shared" si="53"/>
        <v>0</v>
      </c>
      <c r="R210">
        <f t="shared" si="54"/>
        <v>0</v>
      </c>
      <c r="S210">
        <f t="shared" si="55"/>
        <v>0</v>
      </c>
    </row>
    <row r="211" spans="1:19" x14ac:dyDescent="0.3">
      <c r="A211" s="1">
        <v>41701</v>
      </c>
      <c r="B211" s="1">
        <v>41718</v>
      </c>
      <c r="C211">
        <v>13.02</v>
      </c>
      <c r="D211">
        <v>0.34</v>
      </c>
      <c r="E211">
        <v>5</v>
      </c>
      <c r="F211">
        <f t="shared" si="42"/>
        <v>13.36</v>
      </c>
      <c r="G211">
        <f t="shared" si="43"/>
        <v>3</v>
      </c>
      <c r="H211">
        <f t="shared" si="44"/>
        <v>0</v>
      </c>
      <c r="I211">
        <f t="shared" si="45"/>
        <v>0</v>
      </c>
      <c r="J211">
        <f t="shared" si="46"/>
        <v>13.36</v>
      </c>
      <c r="K211">
        <f t="shared" si="47"/>
        <v>0</v>
      </c>
      <c r="L211">
        <f t="shared" si="48"/>
        <v>0</v>
      </c>
      <c r="M211">
        <f t="shared" si="49"/>
        <v>0</v>
      </c>
      <c r="N211">
        <f t="shared" si="50"/>
        <v>0</v>
      </c>
      <c r="O211">
        <f t="shared" si="51"/>
        <v>0</v>
      </c>
      <c r="P211">
        <f t="shared" si="52"/>
        <v>0</v>
      </c>
      <c r="Q211">
        <f t="shared" si="53"/>
        <v>0</v>
      </c>
      <c r="R211">
        <f t="shared" si="54"/>
        <v>0</v>
      </c>
      <c r="S211">
        <f t="shared" si="55"/>
        <v>0</v>
      </c>
    </row>
    <row r="212" spans="1:19" x14ac:dyDescent="0.3">
      <c r="A212" s="1">
        <v>41701</v>
      </c>
      <c r="B212" s="1">
        <v>41720</v>
      </c>
      <c r="C212">
        <v>11.69</v>
      </c>
      <c r="D212">
        <v>0.31</v>
      </c>
      <c r="E212">
        <v>6</v>
      </c>
      <c r="F212">
        <f t="shared" si="42"/>
        <v>12</v>
      </c>
      <c r="G212">
        <f t="shared" si="43"/>
        <v>3</v>
      </c>
      <c r="H212">
        <f t="shared" si="44"/>
        <v>0</v>
      </c>
      <c r="I212">
        <f t="shared" si="45"/>
        <v>0</v>
      </c>
      <c r="J212">
        <f t="shared" si="46"/>
        <v>12</v>
      </c>
      <c r="K212">
        <f t="shared" si="47"/>
        <v>0</v>
      </c>
      <c r="L212">
        <f t="shared" si="48"/>
        <v>0</v>
      </c>
      <c r="M212">
        <f t="shared" si="49"/>
        <v>0</v>
      </c>
      <c r="N212">
        <f t="shared" si="50"/>
        <v>0</v>
      </c>
      <c r="O212">
        <f t="shared" si="51"/>
        <v>0</v>
      </c>
      <c r="P212">
        <f t="shared" si="52"/>
        <v>0</v>
      </c>
      <c r="Q212">
        <f t="shared" si="53"/>
        <v>0</v>
      </c>
      <c r="R212">
        <f t="shared" si="54"/>
        <v>0</v>
      </c>
      <c r="S212">
        <f t="shared" si="55"/>
        <v>0</v>
      </c>
    </row>
    <row r="213" spans="1:19" x14ac:dyDescent="0.3">
      <c r="A213" s="1">
        <v>41701</v>
      </c>
      <c r="B213" s="1">
        <v>41729</v>
      </c>
      <c r="C213">
        <v>13.02</v>
      </c>
      <c r="D213">
        <v>0.34</v>
      </c>
      <c r="E213">
        <v>2</v>
      </c>
      <c r="F213">
        <f t="shared" si="42"/>
        <v>13.36</v>
      </c>
      <c r="G213">
        <f t="shared" si="43"/>
        <v>3</v>
      </c>
      <c r="H213">
        <f t="shared" si="44"/>
        <v>0</v>
      </c>
      <c r="I213">
        <f t="shared" si="45"/>
        <v>0</v>
      </c>
      <c r="J213">
        <f t="shared" si="46"/>
        <v>13.36</v>
      </c>
      <c r="K213">
        <f t="shared" si="47"/>
        <v>0</v>
      </c>
      <c r="L213">
        <f t="shared" si="48"/>
        <v>0</v>
      </c>
      <c r="M213">
        <f t="shared" si="49"/>
        <v>0</v>
      </c>
      <c r="N213">
        <f t="shared" si="50"/>
        <v>0</v>
      </c>
      <c r="O213">
        <f t="shared" si="51"/>
        <v>0</v>
      </c>
      <c r="P213">
        <f t="shared" si="52"/>
        <v>0</v>
      </c>
      <c r="Q213">
        <f t="shared" si="53"/>
        <v>0</v>
      </c>
      <c r="R213">
        <f t="shared" si="54"/>
        <v>0</v>
      </c>
      <c r="S213">
        <f t="shared" si="55"/>
        <v>0</v>
      </c>
    </row>
    <row r="214" spans="1:19" x14ac:dyDescent="0.3">
      <c r="A214" s="1">
        <v>41701</v>
      </c>
      <c r="B214" s="1">
        <v>41713</v>
      </c>
      <c r="C214">
        <v>3.57</v>
      </c>
      <c r="D214">
        <v>0.09</v>
      </c>
      <c r="E214">
        <v>3</v>
      </c>
      <c r="F214">
        <f t="shared" si="42"/>
        <v>3.6599999999999997</v>
      </c>
      <c r="G214">
        <f t="shared" si="43"/>
        <v>3</v>
      </c>
      <c r="H214">
        <f t="shared" si="44"/>
        <v>0</v>
      </c>
      <c r="I214">
        <f t="shared" si="45"/>
        <v>0</v>
      </c>
      <c r="J214">
        <f t="shared" si="46"/>
        <v>3.6599999999999997</v>
      </c>
      <c r="K214">
        <f t="shared" si="47"/>
        <v>0</v>
      </c>
      <c r="L214">
        <f t="shared" si="48"/>
        <v>0</v>
      </c>
      <c r="M214">
        <f t="shared" si="49"/>
        <v>0</v>
      </c>
      <c r="N214">
        <f t="shared" si="50"/>
        <v>0</v>
      </c>
      <c r="O214">
        <f t="shared" si="51"/>
        <v>0</v>
      </c>
      <c r="P214">
        <f t="shared" si="52"/>
        <v>0</v>
      </c>
      <c r="Q214">
        <f t="shared" si="53"/>
        <v>0</v>
      </c>
      <c r="R214">
        <f t="shared" si="54"/>
        <v>0</v>
      </c>
      <c r="S214">
        <f t="shared" si="55"/>
        <v>0</v>
      </c>
    </row>
    <row r="215" spans="1:19" x14ac:dyDescent="0.3">
      <c r="A215" s="1">
        <v>41701</v>
      </c>
      <c r="B215" s="1">
        <v>41708</v>
      </c>
      <c r="C215">
        <v>7.06</v>
      </c>
      <c r="D215">
        <v>0.19</v>
      </c>
      <c r="E215">
        <v>3</v>
      </c>
      <c r="F215">
        <f t="shared" si="42"/>
        <v>7.25</v>
      </c>
      <c r="G215">
        <f t="shared" si="43"/>
        <v>3</v>
      </c>
      <c r="H215">
        <f t="shared" si="44"/>
        <v>0</v>
      </c>
      <c r="I215">
        <f t="shared" si="45"/>
        <v>0</v>
      </c>
      <c r="J215">
        <f t="shared" si="46"/>
        <v>7.25</v>
      </c>
      <c r="K215">
        <f t="shared" si="47"/>
        <v>0</v>
      </c>
      <c r="L215">
        <f t="shared" si="48"/>
        <v>0</v>
      </c>
      <c r="M215">
        <f t="shared" si="49"/>
        <v>0</v>
      </c>
      <c r="N215">
        <f t="shared" si="50"/>
        <v>0</v>
      </c>
      <c r="O215">
        <f t="shared" si="51"/>
        <v>0</v>
      </c>
      <c r="P215">
        <f t="shared" si="52"/>
        <v>0</v>
      </c>
      <c r="Q215">
        <f t="shared" si="53"/>
        <v>0</v>
      </c>
      <c r="R215">
        <f t="shared" si="54"/>
        <v>0</v>
      </c>
      <c r="S215">
        <f t="shared" si="55"/>
        <v>0</v>
      </c>
    </row>
    <row r="216" spans="1:19" x14ac:dyDescent="0.3">
      <c r="A216" s="1">
        <v>41704</v>
      </c>
      <c r="B216" s="1">
        <v>41717</v>
      </c>
      <c r="C216">
        <v>6.34</v>
      </c>
      <c r="D216">
        <v>0.17</v>
      </c>
      <c r="E216">
        <v>3</v>
      </c>
      <c r="F216">
        <f t="shared" si="42"/>
        <v>6.51</v>
      </c>
      <c r="G216">
        <f t="shared" si="43"/>
        <v>3</v>
      </c>
      <c r="H216">
        <f t="shared" si="44"/>
        <v>0</v>
      </c>
      <c r="I216">
        <f t="shared" si="45"/>
        <v>0</v>
      </c>
      <c r="J216">
        <f t="shared" si="46"/>
        <v>6.51</v>
      </c>
      <c r="K216">
        <f t="shared" si="47"/>
        <v>0</v>
      </c>
      <c r="L216">
        <f t="shared" si="48"/>
        <v>0</v>
      </c>
      <c r="M216">
        <f t="shared" si="49"/>
        <v>0</v>
      </c>
      <c r="N216">
        <f t="shared" si="50"/>
        <v>0</v>
      </c>
      <c r="O216">
        <f t="shared" si="51"/>
        <v>0</v>
      </c>
      <c r="P216">
        <f t="shared" si="52"/>
        <v>0</v>
      </c>
      <c r="Q216">
        <f t="shared" si="53"/>
        <v>0</v>
      </c>
      <c r="R216">
        <f t="shared" si="54"/>
        <v>0</v>
      </c>
      <c r="S216">
        <f t="shared" si="55"/>
        <v>0</v>
      </c>
    </row>
    <row r="217" spans="1:19" x14ac:dyDescent="0.3">
      <c r="A217" s="1">
        <v>41704</v>
      </c>
      <c r="B217" s="1">
        <v>41718</v>
      </c>
      <c r="C217">
        <v>2.72</v>
      </c>
      <c r="D217">
        <v>7.0000000000000007E-2</v>
      </c>
      <c r="E217">
        <v>2</v>
      </c>
      <c r="F217">
        <f t="shared" si="42"/>
        <v>2.79</v>
      </c>
      <c r="G217">
        <f t="shared" si="43"/>
        <v>3</v>
      </c>
      <c r="H217">
        <f t="shared" si="44"/>
        <v>0</v>
      </c>
      <c r="I217">
        <f t="shared" si="45"/>
        <v>0</v>
      </c>
      <c r="J217">
        <f t="shared" si="46"/>
        <v>2.79</v>
      </c>
      <c r="K217">
        <f t="shared" si="47"/>
        <v>0</v>
      </c>
      <c r="L217">
        <f t="shared" si="48"/>
        <v>0</v>
      </c>
      <c r="M217">
        <f t="shared" si="49"/>
        <v>0</v>
      </c>
      <c r="N217">
        <f t="shared" si="50"/>
        <v>0</v>
      </c>
      <c r="O217">
        <f t="shared" si="51"/>
        <v>0</v>
      </c>
      <c r="P217">
        <f t="shared" si="52"/>
        <v>0</v>
      </c>
      <c r="Q217">
        <f t="shared" si="53"/>
        <v>0</v>
      </c>
      <c r="R217">
        <f t="shared" si="54"/>
        <v>0</v>
      </c>
      <c r="S217">
        <f t="shared" si="55"/>
        <v>0</v>
      </c>
    </row>
    <row r="218" spans="1:19" x14ac:dyDescent="0.3">
      <c r="A218" s="1">
        <v>41705</v>
      </c>
      <c r="B218" s="1">
        <v>41710</v>
      </c>
      <c r="C218">
        <v>3.73</v>
      </c>
      <c r="D218">
        <v>0.1</v>
      </c>
      <c r="E218">
        <v>5</v>
      </c>
      <c r="F218">
        <f t="shared" si="42"/>
        <v>3.83</v>
      </c>
      <c r="G218">
        <f t="shared" si="43"/>
        <v>3</v>
      </c>
      <c r="H218">
        <f t="shared" si="44"/>
        <v>0</v>
      </c>
      <c r="I218">
        <f t="shared" si="45"/>
        <v>0</v>
      </c>
      <c r="J218">
        <f t="shared" si="46"/>
        <v>3.83</v>
      </c>
      <c r="K218">
        <f t="shared" si="47"/>
        <v>0</v>
      </c>
      <c r="L218">
        <f t="shared" si="48"/>
        <v>0</v>
      </c>
      <c r="M218">
        <f t="shared" si="49"/>
        <v>0</v>
      </c>
      <c r="N218">
        <f t="shared" si="50"/>
        <v>0</v>
      </c>
      <c r="O218">
        <f t="shared" si="51"/>
        <v>0</v>
      </c>
      <c r="P218">
        <f t="shared" si="52"/>
        <v>0</v>
      </c>
      <c r="Q218">
        <f t="shared" si="53"/>
        <v>0</v>
      </c>
      <c r="R218">
        <f t="shared" si="54"/>
        <v>0</v>
      </c>
      <c r="S218">
        <f t="shared" si="55"/>
        <v>0</v>
      </c>
    </row>
    <row r="219" spans="1:19" x14ac:dyDescent="0.3">
      <c r="A219" s="1">
        <v>41707</v>
      </c>
      <c r="B219" s="1">
        <v>41719</v>
      </c>
      <c r="C219">
        <v>10.59</v>
      </c>
      <c r="D219">
        <v>0.28000000000000003</v>
      </c>
      <c r="E219">
        <v>6</v>
      </c>
      <c r="F219">
        <f t="shared" si="42"/>
        <v>10.87</v>
      </c>
      <c r="G219">
        <f t="shared" si="43"/>
        <v>3</v>
      </c>
      <c r="H219">
        <f t="shared" si="44"/>
        <v>0</v>
      </c>
      <c r="I219">
        <f t="shared" si="45"/>
        <v>0</v>
      </c>
      <c r="J219">
        <f t="shared" si="46"/>
        <v>10.87</v>
      </c>
      <c r="K219">
        <f t="shared" si="47"/>
        <v>0</v>
      </c>
      <c r="L219">
        <f t="shared" si="48"/>
        <v>0</v>
      </c>
      <c r="M219">
        <f t="shared" si="49"/>
        <v>0</v>
      </c>
      <c r="N219">
        <f t="shared" si="50"/>
        <v>0</v>
      </c>
      <c r="O219">
        <f t="shared" si="51"/>
        <v>0</v>
      </c>
      <c r="P219">
        <f t="shared" si="52"/>
        <v>0</v>
      </c>
      <c r="Q219">
        <f t="shared" si="53"/>
        <v>0</v>
      </c>
      <c r="R219">
        <f t="shared" si="54"/>
        <v>0</v>
      </c>
      <c r="S219">
        <f t="shared" si="55"/>
        <v>0</v>
      </c>
    </row>
    <row r="220" spans="1:19" x14ac:dyDescent="0.3">
      <c r="A220" s="1">
        <v>41708</v>
      </c>
      <c r="B220" s="1">
        <v>41733</v>
      </c>
      <c r="C220">
        <v>3.73</v>
      </c>
      <c r="D220">
        <v>0.1</v>
      </c>
      <c r="E220">
        <v>5</v>
      </c>
      <c r="F220">
        <f t="shared" si="42"/>
        <v>3.83</v>
      </c>
      <c r="G220">
        <f t="shared" si="43"/>
        <v>3</v>
      </c>
      <c r="H220">
        <f t="shared" si="44"/>
        <v>0</v>
      </c>
      <c r="I220">
        <f t="shared" si="45"/>
        <v>0</v>
      </c>
      <c r="J220">
        <f t="shared" si="46"/>
        <v>3.83</v>
      </c>
      <c r="K220">
        <f t="shared" si="47"/>
        <v>0</v>
      </c>
      <c r="L220">
        <f t="shared" si="48"/>
        <v>0</v>
      </c>
      <c r="M220">
        <f t="shared" si="49"/>
        <v>0</v>
      </c>
      <c r="N220">
        <f t="shared" si="50"/>
        <v>0</v>
      </c>
      <c r="O220">
        <f t="shared" si="51"/>
        <v>0</v>
      </c>
      <c r="P220">
        <f t="shared" si="52"/>
        <v>0</v>
      </c>
      <c r="Q220">
        <f t="shared" si="53"/>
        <v>0</v>
      </c>
      <c r="R220">
        <f t="shared" si="54"/>
        <v>0</v>
      </c>
      <c r="S220">
        <f t="shared" si="55"/>
        <v>0</v>
      </c>
    </row>
    <row r="221" spans="1:19" x14ac:dyDescent="0.3">
      <c r="A221" s="1">
        <v>41708</v>
      </c>
      <c r="B221" s="1">
        <v>41720</v>
      </c>
      <c r="C221">
        <v>5.78</v>
      </c>
      <c r="D221">
        <v>0.15</v>
      </c>
      <c r="E221">
        <v>2</v>
      </c>
      <c r="F221">
        <f t="shared" si="42"/>
        <v>5.9300000000000006</v>
      </c>
      <c r="G221">
        <f t="shared" si="43"/>
        <v>3</v>
      </c>
      <c r="H221">
        <f t="shared" si="44"/>
        <v>0</v>
      </c>
      <c r="I221">
        <f t="shared" si="45"/>
        <v>0</v>
      </c>
      <c r="J221">
        <f t="shared" si="46"/>
        <v>5.9300000000000006</v>
      </c>
      <c r="K221">
        <f t="shared" si="47"/>
        <v>0</v>
      </c>
      <c r="L221">
        <f t="shared" si="48"/>
        <v>0</v>
      </c>
      <c r="M221">
        <f t="shared" si="49"/>
        <v>0</v>
      </c>
      <c r="N221">
        <f t="shared" si="50"/>
        <v>0</v>
      </c>
      <c r="O221">
        <f t="shared" si="51"/>
        <v>0</v>
      </c>
      <c r="P221">
        <f t="shared" si="52"/>
        <v>0</v>
      </c>
      <c r="Q221">
        <f t="shared" si="53"/>
        <v>0</v>
      </c>
      <c r="R221">
        <f t="shared" si="54"/>
        <v>0</v>
      </c>
      <c r="S221">
        <f t="shared" si="55"/>
        <v>0</v>
      </c>
    </row>
    <row r="222" spans="1:19" x14ac:dyDescent="0.3">
      <c r="A222" s="1">
        <v>41708</v>
      </c>
      <c r="B222" s="1">
        <v>41720</v>
      </c>
      <c r="C222">
        <v>10.79</v>
      </c>
      <c r="D222">
        <v>0.28000000000000003</v>
      </c>
      <c r="E222">
        <v>2</v>
      </c>
      <c r="F222">
        <f t="shared" si="42"/>
        <v>11.069999999999999</v>
      </c>
      <c r="G222">
        <f t="shared" si="43"/>
        <v>3</v>
      </c>
      <c r="H222">
        <f t="shared" si="44"/>
        <v>0</v>
      </c>
      <c r="I222">
        <f t="shared" si="45"/>
        <v>0</v>
      </c>
      <c r="J222">
        <f t="shared" si="46"/>
        <v>11.069999999999999</v>
      </c>
      <c r="K222">
        <f t="shared" si="47"/>
        <v>0</v>
      </c>
      <c r="L222">
        <f t="shared" si="48"/>
        <v>0</v>
      </c>
      <c r="M222">
        <f t="shared" si="49"/>
        <v>0</v>
      </c>
      <c r="N222">
        <f t="shared" si="50"/>
        <v>0</v>
      </c>
      <c r="O222">
        <f t="shared" si="51"/>
        <v>0</v>
      </c>
      <c r="P222">
        <f t="shared" si="52"/>
        <v>0</v>
      </c>
      <c r="Q222">
        <f t="shared" si="53"/>
        <v>0</v>
      </c>
      <c r="R222">
        <f t="shared" si="54"/>
        <v>0</v>
      </c>
      <c r="S222">
        <f t="shared" si="55"/>
        <v>0</v>
      </c>
    </row>
    <row r="223" spans="1:19" x14ac:dyDescent="0.3">
      <c r="A223" s="1">
        <v>41708</v>
      </c>
      <c r="B223" s="1">
        <v>41726</v>
      </c>
      <c r="C223">
        <v>5.47</v>
      </c>
      <c r="D223">
        <v>0.14000000000000001</v>
      </c>
      <c r="E223">
        <v>4</v>
      </c>
      <c r="F223">
        <f t="shared" si="42"/>
        <v>5.6099999999999994</v>
      </c>
      <c r="G223">
        <f t="shared" si="43"/>
        <v>3</v>
      </c>
      <c r="H223">
        <f t="shared" si="44"/>
        <v>0</v>
      </c>
      <c r="I223">
        <f t="shared" si="45"/>
        <v>0</v>
      </c>
      <c r="J223">
        <f t="shared" si="46"/>
        <v>5.6099999999999994</v>
      </c>
      <c r="K223">
        <f t="shared" si="47"/>
        <v>0</v>
      </c>
      <c r="L223">
        <f t="shared" si="48"/>
        <v>0</v>
      </c>
      <c r="M223">
        <f t="shared" si="49"/>
        <v>0</v>
      </c>
      <c r="N223">
        <f t="shared" si="50"/>
        <v>0</v>
      </c>
      <c r="O223">
        <f t="shared" si="51"/>
        <v>0</v>
      </c>
      <c r="P223">
        <f t="shared" si="52"/>
        <v>0</v>
      </c>
      <c r="Q223">
        <f t="shared" si="53"/>
        <v>0</v>
      </c>
      <c r="R223">
        <f t="shared" si="54"/>
        <v>0</v>
      </c>
      <c r="S223">
        <f t="shared" si="55"/>
        <v>0</v>
      </c>
    </row>
    <row r="224" spans="1:19" x14ac:dyDescent="0.3">
      <c r="A224" s="1">
        <v>41708</v>
      </c>
      <c r="B224" s="1">
        <v>41720</v>
      </c>
      <c r="C224">
        <v>5.57</v>
      </c>
      <c r="D224">
        <v>0.15</v>
      </c>
      <c r="E224">
        <v>2</v>
      </c>
      <c r="F224">
        <f t="shared" si="42"/>
        <v>5.7200000000000006</v>
      </c>
      <c r="G224">
        <f t="shared" si="43"/>
        <v>3</v>
      </c>
      <c r="H224">
        <f t="shared" si="44"/>
        <v>0</v>
      </c>
      <c r="I224">
        <f t="shared" si="45"/>
        <v>0</v>
      </c>
      <c r="J224">
        <f t="shared" si="46"/>
        <v>5.7200000000000006</v>
      </c>
      <c r="K224">
        <f t="shared" si="47"/>
        <v>0</v>
      </c>
      <c r="L224">
        <f t="shared" si="48"/>
        <v>0</v>
      </c>
      <c r="M224">
        <f t="shared" si="49"/>
        <v>0</v>
      </c>
      <c r="N224">
        <f t="shared" si="50"/>
        <v>0</v>
      </c>
      <c r="O224">
        <f t="shared" si="51"/>
        <v>0</v>
      </c>
      <c r="P224">
        <f t="shared" si="52"/>
        <v>0</v>
      </c>
      <c r="Q224">
        <f t="shared" si="53"/>
        <v>0</v>
      </c>
      <c r="R224">
        <f t="shared" si="54"/>
        <v>0</v>
      </c>
      <c r="S224">
        <f t="shared" si="55"/>
        <v>0</v>
      </c>
    </row>
    <row r="225" spans="1:19" x14ac:dyDescent="0.3">
      <c r="A225" s="1">
        <v>41709</v>
      </c>
      <c r="B225" s="1">
        <v>41736</v>
      </c>
      <c r="C225">
        <v>4.66</v>
      </c>
      <c r="D225">
        <v>0.12</v>
      </c>
      <c r="E225">
        <v>5</v>
      </c>
      <c r="F225">
        <f t="shared" si="42"/>
        <v>4.78</v>
      </c>
      <c r="G225">
        <f t="shared" si="43"/>
        <v>3</v>
      </c>
      <c r="H225">
        <f t="shared" si="44"/>
        <v>0</v>
      </c>
      <c r="I225">
        <f t="shared" si="45"/>
        <v>0</v>
      </c>
      <c r="J225">
        <f t="shared" si="46"/>
        <v>4.78</v>
      </c>
      <c r="K225">
        <f t="shared" si="47"/>
        <v>0</v>
      </c>
      <c r="L225">
        <f t="shared" si="48"/>
        <v>0</v>
      </c>
      <c r="M225">
        <f t="shared" si="49"/>
        <v>0</v>
      </c>
      <c r="N225">
        <f t="shared" si="50"/>
        <v>0</v>
      </c>
      <c r="O225">
        <f t="shared" si="51"/>
        <v>0</v>
      </c>
      <c r="P225">
        <f t="shared" si="52"/>
        <v>0</v>
      </c>
      <c r="Q225">
        <f t="shared" si="53"/>
        <v>0</v>
      </c>
      <c r="R225">
        <f t="shared" si="54"/>
        <v>0</v>
      </c>
      <c r="S225">
        <f t="shared" si="55"/>
        <v>0</v>
      </c>
    </row>
    <row r="226" spans="1:19" x14ac:dyDescent="0.3">
      <c r="A226" s="1">
        <v>41709</v>
      </c>
      <c r="B226" s="1">
        <v>41731</v>
      </c>
      <c r="C226">
        <v>8.9499999999999993</v>
      </c>
      <c r="D226">
        <v>0.24</v>
      </c>
      <c r="E226">
        <v>4</v>
      </c>
      <c r="F226">
        <f t="shared" si="42"/>
        <v>9.19</v>
      </c>
      <c r="G226">
        <f t="shared" si="43"/>
        <v>3</v>
      </c>
      <c r="H226">
        <f t="shared" si="44"/>
        <v>0</v>
      </c>
      <c r="I226">
        <f t="shared" si="45"/>
        <v>0</v>
      </c>
      <c r="J226">
        <f t="shared" si="46"/>
        <v>9.19</v>
      </c>
      <c r="K226">
        <f t="shared" si="47"/>
        <v>0</v>
      </c>
      <c r="L226">
        <f t="shared" si="48"/>
        <v>0</v>
      </c>
      <c r="M226">
        <f t="shared" si="49"/>
        <v>0</v>
      </c>
      <c r="N226">
        <f t="shared" si="50"/>
        <v>0</v>
      </c>
      <c r="O226">
        <f t="shared" si="51"/>
        <v>0</v>
      </c>
      <c r="P226">
        <f t="shared" si="52"/>
        <v>0</v>
      </c>
      <c r="Q226">
        <f t="shared" si="53"/>
        <v>0</v>
      </c>
      <c r="R226">
        <f t="shared" si="54"/>
        <v>0</v>
      </c>
      <c r="S226">
        <f t="shared" si="55"/>
        <v>0</v>
      </c>
    </row>
    <row r="227" spans="1:19" x14ac:dyDescent="0.3">
      <c r="A227" s="1">
        <v>41710</v>
      </c>
      <c r="B227" s="1">
        <v>41719</v>
      </c>
      <c r="C227">
        <v>3.94</v>
      </c>
      <c r="D227">
        <v>0.1</v>
      </c>
      <c r="E227">
        <v>3</v>
      </c>
      <c r="F227">
        <f t="shared" si="42"/>
        <v>4.04</v>
      </c>
      <c r="G227">
        <f t="shared" si="43"/>
        <v>3</v>
      </c>
      <c r="H227">
        <f t="shared" si="44"/>
        <v>0</v>
      </c>
      <c r="I227">
        <f t="shared" si="45"/>
        <v>0</v>
      </c>
      <c r="J227">
        <f t="shared" si="46"/>
        <v>4.04</v>
      </c>
      <c r="K227">
        <f t="shared" si="47"/>
        <v>0</v>
      </c>
      <c r="L227">
        <f t="shared" si="48"/>
        <v>0</v>
      </c>
      <c r="M227">
        <f t="shared" si="49"/>
        <v>0</v>
      </c>
      <c r="N227">
        <f t="shared" si="50"/>
        <v>0</v>
      </c>
      <c r="O227">
        <f t="shared" si="51"/>
        <v>0</v>
      </c>
      <c r="P227">
        <f t="shared" si="52"/>
        <v>0</v>
      </c>
      <c r="Q227">
        <f t="shared" si="53"/>
        <v>0</v>
      </c>
      <c r="R227">
        <f t="shared" si="54"/>
        <v>0</v>
      </c>
      <c r="S227">
        <f t="shared" si="55"/>
        <v>0</v>
      </c>
    </row>
    <row r="228" spans="1:19" x14ac:dyDescent="0.3">
      <c r="A228" s="1">
        <v>41713</v>
      </c>
      <c r="B228" s="1">
        <v>41724</v>
      </c>
      <c r="C228">
        <v>5.78</v>
      </c>
      <c r="D228">
        <v>0.15</v>
      </c>
      <c r="E228">
        <v>6</v>
      </c>
      <c r="F228">
        <f t="shared" si="42"/>
        <v>5.9300000000000006</v>
      </c>
      <c r="G228">
        <f t="shared" si="43"/>
        <v>3</v>
      </c>
      <c r="H228">
        <f t="shared" si="44"/>
        <v>0</v>
      </c>
      <c r="I228">
        <f t="shared" si="45"/>
        <v>0</v>
      </c>
      <c r="J228">
        <f t="shared" si="46"/>
        <v>5.9300000000000006</v>
      </c>
      <c r="K228">
        <f t="shared" si="47"/>
        <v>0</v>
      </c>
      <c r="L228">
        <f t="shared" si="48"/>
        <v>0</v>
      </c>
      <c r="M228">
        <f t="shared" si="49"/>
        <v>0</v>
      </c>
      <c r="N228">
        <f t="shared" si="50"/>
        <v>0</v>
      </c>
      <c r="O228">
        <f t="shared" si="51"/>
        <v>0</v>
      </c>
      <c r="P228">
        <f t="shared" si="52"/>
        <v>0</v>
      </c>
      <c r="Q228">
        <f t="shared" si="53"/>
        <v>0</v>
      </c>
      <c r="R228">
        <f t="shared" si="54"/>
        <v>0</v>
      </c>
      <c r="S228">
        <f t="shared" si="55"/>
        <v>0</v>
      </c>
    </row>
    <row r="229" spans="1:19" x14ac:dyDescent="0.3">
      <c r="A229" s="1">
        <v>41713</v>
      </c>
      <c r="B229" s="1">
        <v>41735</v>
      </c>
      <c r="C229">
        <v>13.81</v>
      </c>
      <c r="D229">
        <v>0.36</v>
      </c>
      <c r="E229">
        <v>2</v>
      </c>
      <c r="F229">
        <f t="shared" si="42"/>
        <v>14.17</v>
      </c>
      <c r="G229">
        <f t="shared" si="43"/>
        <v>3</v>
      </c>
      <c r="H229">
        <f t="shared" si="44"/>
        <v>0</v>
      </c>
      <c r="I229">
        <f t="shared" si="45"/>
        <v>0</v>
      </c>
      <c r="J229">
        <f t="shared" si="46"/>
        <v>14.17</v>
      </c>
      <c r="K229">
        <f t="shared" si="47"/>
        <v>0</v>
      </c>
      <c r="L229">
        <f t="shared" si="48"/>
        <v>0</v>
      </c>
      <c r="M229">
        <f t="shared" si="49"/>
        <v>0</v>
      </c>
      <c r="N229">
        <f t="shared" si="50"/>
        <v>0</v>
      </c>
      <c r="O229">
        <f t="shared" si="51"/>
        <v>0</v>
      </c>
      <c r="P229">
        <f t="shared" si="52"/>
        <v>0</v>
      </c>
      <c r="Q229">
        <f t="shared" si="53"/>
        <v>0</v>
      </c>
      <c r="R229">
        <f t="shared" si="54"/>
        <v>0</v>
      </c>
      <c r="S229">
        <f t="shared" si="55"/>
        <v>0</v>
      </c>
    </row>
    <row r="230" spans="1:19" x14ac:dyDescent="0.3">
      <c r="A230" s="1">
        <v>41713</v>
      </c>
      <c r="B230" s="1">
        <v>41739</v>
      </c>
      <c r="C230">
        <v>5.23</v>
      </c>
      <c r="D230">
        <v>0.14000000000000001</v>
      </c>
      <c r="E230">
        <v>6</v>
      </c>
      <c r="F230">
        <f t="shared" si="42"/>
        <v>5.37</v>
      </c>
      <c r="G230">
        <f t="shared" si="43"/>
        <v>3</v>
      </c>
      <c r="H230">
        <f t="shared" si="44"/>
        <v>0</v>
      </c>
      <c r="I230">
        <f t="shared" si="45"/>
        <v>0</v>
      </c>
      <c r="J230">
        <f t="shared" si="46"/>
        <v>5.37</v>
      </c>
      <c r="K230">
        <f t="shared" si="47"/>
        <v>0</v>
      </c>
      <c r="L230">
        <f t="shared" si="48"/>
        <v>0</v>
      </c>
      <c r="M230">
        <f t="shared" si="49"/>
        <v>0</v>
      </c>
      <c r="N230">
        <f t="shared" si="50"/>
        <v>0</v>
      </c>
      <c r="O230">
        <f t="shared" si="51"/>
        <v>0</v>
      </c>
      <c r="P230">
        <f t="shared" si="52"/>
        <v>0</v>
      </c>
      <c r="Q230">
        <f t="shared" si="53"/>
        <v>0</v>
      </c>
      <c r="R230">
        <f t="shared" si="54"/>
        <v>0</v>
      </c>
      <c r="S230">
        <f t="shared" si="55"/>
        <v>0</v>
      </c>
    </row>
    <row r="231" spans="1:19" x14ac:dyDescent="0.3">
      <c r="A231" s="1">
        <v>41713</v>
      </c>
      <c r="B231" s="1">
        <v>41728</v>
      </c>
      <c r="C231">
        <v>10.93</v>
      </c>
      <c r="D231">
        <v>0.28999999999999998</v>
      </c>
      <c r="E231">
        <v>6</v>
      </c>
      <c r="F231">
        <f t="shared" si="42"/>
        <v>11.219999999999999</v>
      </c>
      <c r="G231">
        <f t="shared" si="43"/>
        <v>3</v>
      </c>
      <c r="H231">
        <f t="shared" si="44"/>
        <v>0</v>
      </c>
      <c r="I231">
        <f t="shared" si="45"/>
        <v>0</v>
      </c>
      <c r="J231">
        <f t="shared" si="46"/>
        <v>11.219999999999999</v>
      </c>
      <c r="K231">
        <f t="shared" si="47"/>
        <v>0</v>
      </c>
      <c r="L231">
        <f t="shared" si="48"/>
        <v>0</v>
      </c>
      <c r="M231">
        <f t="shared" si="49"/>
        <v>0</v>
      </c>
      <c r="N231">
        <f t="shared" si="50"/>
        <v>0</v>
      </c>
      <c r="O231">
        <f t="shared" si="51"/>
        <v>0</v>
      </c>
      <c r="P231">
        <f t="shared" si="52"/>
        <v>0</v>
      </c>
      <c r="Q231">
        <f t="shared" si="53"/>
        <v>0</v>
      </c>
      <c r="R231">
        <f t="shared" si="54"/>
        <v>0</v>
      </c>
      <c r="S231">
        <f t="shared" si="55"/>
        <v>0</v>
      </c>
    </row>
    <row r="232" spans="1:19" x14ac:dyDescent="0.3">
      <c r="A232" s="1">
        <v>41713</v>
      </c>
      <c r="B232" s="1">
        <v>41731</v>
      </c>
      <c r="C232">
        <v>8.9499999999999993</v>
      </c>
      <c r="D232">
        <v>0.24</v>
      </c>
      <c r="E232">
        <v>4</v>
      </c>
      <c r="F232">
        <f t="shared" si="42"/>
        <v>9.19</v>
      </c>
      <c r="G232">
        <f t="shared" si="43"/>
        <v>3</v>
      </c>
      <c r="H232">
        <f t="shared" si="44"/>
        <v>0</v>
      </c>
      <c r="I232">
        <f t="shared" si="45"/>
        <v>0</v>
      </c>
      <c r="J232">
        <f t="shared" si="46"/>
        <v>9.19</v>
      </c>
      <c r="K232">
        <f t="shared" si="47"/>
        <v>0</v>
      </c>
      <c r="L232">
        <f t="shared" si="48"/>
        <v>0</v>
      </c>
      <c r="M232">
        <f t="shared" si="49"/>
        <v>0</v>
      </c>
      <c r="N232">
        <f t="shared" si="50"/>
        <v>0</v>
      </c>
      <c r="O232">
        <f t="shared" si="51"/>
        <v>0</v>
      </c>
      <c r="P232">
        <f t="shared" si="52"/>
        <v>0</v>
      </c>
      <c r="Q232">
        <f t="shared" si="53"/>
        <v>0</v>
      </c>
      <c r="R232">
        <f t="shared" si="54"/>
        <v>0</v>
      </c>
      <c r="S232">
        <f t="shared" si="55"/>
        <v>0</v>
      </c>
    </row>
    <row r="233" spans="1:19" x14ac:dyDescent="0.3">
      <c r="A233" s="1">
        <v>41713</v>
      </c>
      <c r="B233" s="1">
        <v>41731</v>
      </c>
      <c r="C233">
        <v>16.829999999999998</v>
      </c>
      <c r="D233">
        <v>0.44</v>
      </c>
      <c r="E233">
        <v>3</v>
      </c>
      <c r="F233">
        <f t="shared" si="42"/>
        <v>17.27</v>
      </c>
      <c r="G233">
        <f t="shared" si="43"/>
        <v>3</v>
      </c>
      <c r="H233">
        <f t="shared" si="44"/>
        <v>0</v>
      </c>
      <c r="I233">
        <f t="shared" si="45"/>
        <v>0</v>
      </c>
      <c r="J233">
        <f t="shared" si="46"/>
        <v>17.27</v>
      </c>
      <c r="K233">
        <f t="shared" si="47"/>
        <v>0</v>
      </c>
      <c r="L233">
        <f t="shared" si="48"/>
        <v>0</v>
      </c>
      <c r="M233">
        <f t="shared" si="49"/>
        <v>0</v>
      </c>
      <c r="N233">
        <f t="shared" si="50"/>
        <v>0</v>
      </c>
      <c r="O233">
        <f t="shared" si="51"/>
        <v>0</v>
      </c>
      <c r="P233">
        <f t="shared" si="52"/>
        <v>0</v>
      </c>
      <c r="Q233">
        <f t="shared" si="53"/>
        <v>0</v>
      </c>
      <c r="R233">
        <f t="shared" si="54"/>
        <v>0</v>
      </c>
      <c r="S233">
        <f t="shared" si="55"/>
        <v>0</v>
      </c>
    </row>
    <row r="234" spans="1:19" x14ac:dyDescent="0.3">
      <c r="A234" s="1">
        <v>41713</v>
      </c>
      <c r="B234" s="1">
        <v>41718</v>
      </c>
      <c r="C234">
        <v>14</v>
      </c>
      <c r="D234">
        <v>0.37</v>
      </c>
      <c r="E234">
        <v>2</v>
      </c>
      <c r="F234">
        <f t="shared" si="42"/>
        <v>14.37</v>
      </c>
      <c r="G234">
        <f t="shared" si="43"/>
        <v>3</v>
      </c>
      <c r="H234">
        <f t="shared" si="44"/>
        <v>0</v>
      </c>
      <c r="I234">
        <f t="shared" si="45"/>
        <v>0</v>
      </c>
      <c r="J234">
        <f t="shared" si="46"/>
        <v>14.37</v>
      </c>
      <c r="K234">
        <f t="shared" si="47"/>
        <v>0</v>
      </c>
      <c r="L234">
        <f t="shared" si="48"/>
        <v>0</v>
      </c>
      <c r="M234">
        <f t="shared" si="49"/>
        <v>0</v>
      </c>
      <c r="N234">
        <f t="shared" si="50"/>
        <v>0</v>
      </c>
      <c r="O234">
        <f t="shared" si="51"/>
        <v>0</v>
      </c>
      <c r="P234">
        <f t="shared" si="52"/>
        <v>0</v>
      </c>
      <c r="Q234">
        <f t="shared" si="53"/>
        <v>0</v>
      </c>
      <c r="R234">
        <f t="shared" si="54"/>
        <v>0</v>
      </c>
      <c r="S234">
        <f t="shared" si="55"/>
        <v>0</v>
      </c>
    </row>
    <row r="235" spans="1:19" x14ac:dyDescent="0.3">
      <c r="A235" s="1">
        <v>41713</v>
      </c>
      <c r="B235" s="1">
        <v>41735</v>
      </c>
      <c r="C235">
        <v>5.23</v>
      </c>
      <c r="D235">
        <v>0.14000000000000001</v>
      </c>
      <c r="E235">
        <v>6</v>
      </c>
      <c r="F235">
        <f t="shared" si="42"/>
        <v>5.37</v>
      </c>
      <c r="G235">
        <f t="shared" si="43"/>
        <v>3</v>
      </c>
      <c r="H235">
        <f t="shared" si="44"/>
        <v>0</v>
      </c>
      <c r="I235">
        <f t="shared" si="45"/>
        <v>0</v>
      </c>
      <c r="J235">
        <f t="shared" si="46"/>
        <v>5.37</v>
      </c>
      <c r="K235">
        <f t="shared" si="47"/>
        <v>0</v>
      </c>
      <c r="L235">
        <f t="shared" si="48"/>
        <v>0</v>
      </c>
      <c r="M235">
        <f t="shared" si="49"/>
        <v>0</v>
      </c>
      <c r="N235">
        <f t="shared" si="50"/>
        <v>0</v>
      </c>
      <c r="O235">
        <f t="shared" si="51"/>
        <v>0</v>
      </c>
      <c r="P235">
        <f t="shared" si="52"/>
        <v>0</v>
      </c>
      <c r="Q235">
        <f t="shared" si="53"/>
        <v>0</v>
      </c>
      <c r="R235">
        <f t="shared" si="54"/>
        <v>0</v>
      </c>
      <c r="S235">
        <f t="shared" si="55"/>
        <v>0</v>
      </c>
    </row>
    <row r="236" spans="1:19" x14ac:dyDescent="0.3">
      <c r="A236" s="1">
        <v>41713</v>
      </c>
      <c r="B236" s="1">
        <v>41724</v>
      </c>
      <c r="C236">
        <v>16.55</v>
      </c>
      <c r="D236">
        <v>0.44</v>
      </c>
      <c r="E236">
        <v>6</v>
      </c>
      <c r="F236">
        <f t="shared" si="42"/>
        <v>16.990000000000002</v>
      </c>
      <c r="G236">
        <f t="shared" si="43"/>
        <v>3</v>
      </c>
      <c r="H236">
        <f t="shared" si="44"/>
        <v>0</v>
      </c>
      <c r="I236">
        <f t="shared" si="45"/>
        <v>0</v>
      </c>
      <c r="J236">
        <f t="shared" si="46"/>
        <v>16.990000000000002</v>
      </c>
      <c r="K236">
        <f t="shared" si="47"/>
        <v>0</v>
      </c>
      <c r="L236">
        <f t="shared" si="48"/>
        <v>0</v>
      </c>
      <c r="M236">
        <f t="shared" si="49"/>
        <v>0</v>
      </c>
      <c r="N236">
        <f t="shared" si="50"/>
        <v>0</v>
      </c>
      <c r="O236">
        <f t="shared" si="51"/>
        <v>0</v>
      </c>
      <c r="P236">
        <f t="shared" si="52"/>
        <v>0</v>
      </c>
      <c r="Q236">
        <f t="shared" si="53"/>
        <v>0</v>
      </c>
      <c r="R236">
        <f t="shared" si="54"/>
        <v>0</v>
      </c>
      <c r="S236">
        <f t="shared" si="55"/>
        <v>0</v>
      </c>
    </row>
    <row r="237" spans="1:19" x14ac:dyDescent="0.3">
      <c r="A237" s="1">
        <v>41713</v>
      </c>
      <c r="B237" s="1">
        <v>41724</v>
      </c>
      <c r="C237">
        <v>12.23</v>
      </c>
      <c r="D237">
        <v>0.32</v>
      </c>
      <c r="E237">
        <v>3</v>
      </c>
      <c r="F237">
        <f t="shared" si="42"/>
        <v>12.55</v>
      </c>
      <c r="G237">
        <f t="shared" si="43"/>
        <v>3</v>
      </c>
      <c r="H237">
        <f t="shared" si="44"/>
        <v>0</v>
      </c>
      <c r="I237">
        <f t="shared" si="45"/>
        <v>0</v>
      </c>
      <c r="J237">
        <f t="shared" si="46"/>
        <v>12.55</v>
      </c>
      <c r="K237">
        <f t="shared" si="47"/>
        <v>0</v>
      </c>
      <c r="L237">
        <f t="shared" si="48"/>
        <v>0</v>
      </c>
      <c r="M237">
        <f t="shared" si="49"/>
        <v>0</v>
      </c>
      <c r="N237">
        <f t="shared" si="50"/>
        <v>0</v>
      </c>
      <c r="O237">
        <f t="shared" si="51"/>
        <v>0</v>
      </c>
      <c r="P237">
        <f t="shared" si="52"/>
        <v>0</v>
      </c>
      <c r="Q237">
        <f t="shared" si="53"/>
        <v>0</v>
      </c>
      <c r="R237">
        <f t="shared" si="54"/>
        <v>0</v>
      </c>
      <c r="S237">
        <f t="shared" si="55"/>
        <v>0</v>
      </c>
    </row>
    <row r="238" spans="1:19" x14ac:dyDescent="0.3">
      <c r="A238" s="1">
        <v>41713</v>
      </c>
      <c r="B238" s="1">
        <v>41720</v>
      </c>
      <c r="C238">
        <v>8.39</v>
      </c>
      <c r="D238">
        <v>0.22</v>
      </c>
      <c r="E238">
        <v>2</v>
      </c>
      <c r="F238">
        <f t="shared" si="42"/>
        <v>8.6100000000000012</v>
      </c>
      <c r="G238">
        <f t="shared" si="43"/>
        <v>3</v>
      </c>
      <c r="H238">
        <f t="shared" si="44"/>
        <v>0</v>
      </c>
      <c r="I238">
        <f t="shared" si="45"/>
        <v>0</v>
      </c>
      <c r="J238">
        <f t="shared" si="46"/>
        <v>8.6100000000000012</v>
      </c>
      <c r="K238">
        <f t="shared" si="47"/>
        <v>0</v>
      </c>
      <c r="L238">
        <f t="shared" si="48"/>
        <v>0</v>
      </c>
      <c r="M238">
        <f t="shared" si="49"/>
        <v>0</v>
      </c>
      <c r="N238">
        <f t="shared" si="50"/>
        <v>0</v>
      </c>
      <c r="O238">
        <f t="shared" si="51"/>
        <v>0</v>
      </c>
      <c r="P238">
        <f t="shared" si="52"/>
        <v>0</v>
      </c>
      <c r="Q238">
        <f t="shared" si="53"/>
        <v>0</v>
      </c>
      <c r="R238">
        <f t="shared" si="54"/>
        <v>0</v>
      </c>
      <c r="S238">
        <f t="shared" si="55"/>
        <v>0</v>
      </c>
    </row>
    <row r="239" spans="1:19" x14ac:dyDescent="0.3">
      <c r="A239" s="1">
        <v>41713</v>
      </c>
      <c r="B239" s="1">
        <v>41721</v>
      </c>
      <c r="C239">
        <v>5.67</v>
      </c>
      <c r="D239">
        <v>0.15</v>
      </c>
      <c r="E239">
        <v>5</v>
      </c>
      <c r="F239">
        <f t="shared" si="42"/>
        <v>5.82</v>
      </c>
      <c r="G239">
        <f t="shared" si="43"/>
        <v>3</v>
      </c>
      <c r="H239">
        <f t="shared" si="44"/>
        <v>0</v>
      </c>
      <c r="I239">
        <f t="shared" si="45"/>
        <v>0</v>
      </c>
      <c r="J239">
        <f t="shared" si="46"/>
        <v>5.82</v>
      </c>
      <c r="K239">
        <f t="shared" si="47"/>
        <v>0</v>
      </c>
      <c r="L239">
        <f t="shared" si="48"/>
        <v>0</v>
      </c>
      <c r="M239">
        <f t="shared" si="49"/>
        <v>0</v>
      </c>
      <c r="N239">
        <f t="shared" si="50"/>
        <v>0</v>
      </c>
      <c r="O239">
        <f t="shared" si="51"/>
        <v>0</v>
      </c>
      <c r="P239">
        <f t="shared" si="52"/>
        <v>0</v>
      </c>
      <c r="Q239">
        <f t="shared" si="53"/>
        <v>0</v>
      </c>
      <c r="R239">
        <f t="shared" si="54"/>
        <v>0</v>
      </c>
      <c r="S239">
        <f t="shared" si="55"/>
        <v>0</v>
      </c>
    </row>
    <row r="240" spans="1:19" x14ac:dyDescent="0.3">
      <c r="A240" s="1">
        <v>41713</v>
      </c>
      <c r="B240" s="1">
        <v>41719</v>
      </c>
      <c r="C240">
        <v>14.13</v>
      </c>
      <c r="D240">
        <v>0.37</v>
      </c>
      <c r="E240">
        <v>4</v>
      </c>
      <c r="F240">
        <f t="shared" si="42"/>
        <v>14.5</v>
      </c>
      <c r="G240">
        <f t="shared" si="43"/>
        <v>3</v>
      </c>
      <c r="H240">
        <f t="shared" si="44"/>
        <v>0</v>
      </c>
      <c r="I240">
        <f t="shared" si="45"/>
        <v>0</v>
      </c>
      <c r="J240">
        <f t="shared" si="46"/>
        <v>14.5</v>
      </c>
      <c r="K240">
        <f t="shared" si="47"/>
        <v>0</v>
      </c>
      <c r="L240">
        <f t="shared" si="48"/>
        <v>0</v>
      </c>
      <c r="M240">
        <f t="shared" si="49"/>
        <v>0</v>
      </c>
      <c r="N240">
        <f t="shared" si="50"/>
        <v>0</v>
      </c>
      <c r="O240">
        <f t="shared" si="51"/>
        <v>0</v>
      </c>
      <c r="P240">
        <f t="shared" si="52"/>
        <v>0</v>
      </c>
      <c r="Q240">
        <f t="shared" si="53"/>
        <v>0</v>
      </c>
      <c r="R240">
        <f t="shared" si="54"/>
        <v>0</v>
      </c>
      <c r="S240">
        <f t="shared" si="55"/>
        <v>0</v>
      </c>
    </row>
    <row r="241" spans="1:19" x14ac:dyDescent="0.3">
      <c r="A241" s="1">
        <v>41713</v>
      </c>
      <c r="B241" s="1">
        <v>41723</v>
      </c>
      <c r="C241">
        <v>11.69</v>
      </c>
      <c r="D241">
        <v>0.31</v>
      </c>
      <c r="E241">
        <v>4</v>
      </c>
      <c r="F241">
        <f t="shared" si="42"/>
        <v>12</v>
      </c>
      <c r="G241">
        <f t="shared" si="43"/>
        <v>3</v>
      </c>
      <c r="H241">
        <f t="shared" si="44"/>
        <v>0</v>
      </c>
      <c r="I241">
        <f t="shared" si="45"/>
        <v>0</v>
      </c>
      <c r="J241">
        <f t="shared" si="46"/>
        <v>12</v>
      </c>
      <c r="K241">
        <f t="shared" si="47"/>
        <v>0</v>
      </c>
      <c r="L241">
        <f t="shared" si="48"/>
        <v>0</v>
      </c>
      <c r="M241">
        <f t="shared" si="49"/>
        <v>0</v>
      </c>
      <c r="N241">
        <f t="shared" si="50"/>
        <v>0</v>
      </c>
      <c r="O241">
        <f t="shared" si="51"/>
        <v>0</v>
      </c>
      <c r="P241">
        <f t="shared" si="52"/>
        <v>0</v>
      </c>
      <c r="Q241">
        <f t="shared" si="53"/>
        <v>0</v>
      </c>
      <c r="R241">
        <f t="shared" si="54"/>
        <v>0</v>
      </c>
      <c r="S241">
        <f t="shared" si="55"/>
        <v>0</v>
      </c>
    </row>
    <row r="242" spans="1:19" x14ac:dyDescent="0.3">
      <c r="A242" s="1">
        <v>41713</v>
      </c>
      <c r="B242" s="1">
        <v>41728</v>
      </c>
      <c r="C242">
        <v>16.940000000000001</v>
      </c>
      <c r="D242">
        <v>0.45</v>
      </c>
      <c r="E242">
        <v>2</v>
      </c>
      <c r="F242">
        <f t="shared" si="42"/>
        <v>17.39</v>
      </c>
      <c r="G242">
        <f t="shared" si="43"/>
        <v>3</v>
      </c>
      <c r="H242">
        <f t="shared" si="44"/>
        <v>0</v>
      </c>
      <c r="I242">
        <f t="shared" si="45"/>
        <v>0</v>
      </c>
      <c r="J242">
        <f t="shared" si="46"/>
        <v>17.39</v>
      </c>
      <c r="K242">
        <f t="shared" si="47"/>
        <v>0</v>
      </c>
      <c r="L242">
        <f t="shared" si="48"/>
        <v>0</v>
      </c>
      <c r="M242">
        <f t="shared" si="49"/>
        <v>0</v>
      </c>
      <c r="N242">
        <f t="shared" si="50"/>
        <v>0</v>
      </c>
      <c r="O242">
        <f t="shared" si="51"/>
        <v>0</v>
      </c>
      <c r="P242">
        <f t="shared" si="52"/>
        <v>0</v>
      </c>
      <c r="Q242">
        <f t="shared" si="53"/>
        <v>0</v>
      </c>
      <c r="R242">
        <f t="shared" si="54"/>
        <v>0</v>
      </c>
      <c r="S242">
        <f t="shared" si="55"/>
        <v>0</v>
      </c>
    </row>
    <row r="243" spans="1:19" x14ac:dyDescent="0.3">
      <c r="A243" s="1">
        <v>41713</v>
      </c>
      <c r="B243" s="1">
        <v>41733</v>
      </c>
      <c r="C243">
        <v>14</v>
      </c>
      <c r="D243">
        <v>0.37</v>
      </c>
      <c r="E243">
        <v>4</v>
      </c>
      <c r="F243">
        <f t="shared" si="42"/>
        <v>14.37</v>
      </c>
      <c r="G243">
        <f t="shared" si="43"/>
        <v>3</v>
      </c>
      <c r="H243">
        <f t="shared" si="44"/>
        <v>0</v>
      </c>
      <c r="I243">
        <f t="shared" si="45"/>
        <v>0</v>
      </c>
      <c r="J243">
        <f t="shared" si="46"/>
        <v>14.37</v>
      </c>
      <c r="K243">
        <f t="shared" si="47"/>
        <v>0</v>
      </c>
      <c r="L243">
        <f t="shared" si="48"/>
        <v>0</v>
      </c>
      <c r="M243">
        <f t="shared" si="49"/>
        <v>0</v>
      </c>
      <c r="N243">
        <f t="shared" si="50"/>
        <v>0</v>
      </c>
      <c r="O243">
        <f t="shared" si="51"/>
        <v>0</v>
      </c>
      <c r="P243">
        <f t="shared" si="52"/>
        <v>0</v>
      </c>
      <c r="Q243">
        <f t="shared" si="53"/>
        <v>0</v>
      </c>
      <c r="R243">
        <f t="shared" si="54"/>
        <v>0</v>
      </c>
      <c r="S243">
        <f t="shared" si="55"/>
        <v>0</v>
      </c>
    </row>
    <row r="244" spans="1:19" x14ac:dyDescent="0.3">
      <c r="A244" s="1">
        <v>41715</v>
      </c>
      <c r="B244" s="1">
        <v>41743</v>
      </c>
      <c r="C244">
        <v>8.84</v>
      </c>
      <c r="D244">
        <v>0.23</v>
      </c>
      <c r="E244">
        <v>2</v>
      </c>
      <c r="F244">
        <f t="shared" si="42"/>
        <v>9.07</v>
      </c>
      <c r="G244">
        <f t="shared" si="43"/>
        <v>3</v>
      </c>
      <c r="H244">
        <f t="shared" si="44"/>
        <v>0</v>
      </c>
      <c r="I244">
        <f t="shared" si="45"/>
        <v>0</v>
      </c>
      <c r="J244">
        <f t="shared" si="46"/>
        <v>9.07</v>
      </c>
      <c r="K244">
        <f t="shared" si="47"/>
        <v>0</v>
      </c>
      <c r="L244">
        <f t="shared" si="48"/>
        <v>0</v>
      </c>
      <c r="M244">
        <f t="shared" si="49"/>
        <v>0</v>
      </c>
      <c r="N244">
        <f t="shared" si="50"/>
        <v>0</v>
      </c>
      <c r="O244">
        <f t="shared" si="51"/>
        <v>0</v>
      </c>
      <c r="P244">
        <f t="shared" si="52"/>
        <v>0</v>
      </c>
      <c r="Q244">
        <f t="shared" si="53"/>
        <v>0</v>
      </c>
      <c r="R244">
        <f t="shared" si="54"/>
        <v>0</v>
      </c>
      <c r="S244">
        <f t="shared" si="55"/>
        <v>0</v>
      </c>
    </row>
    <row r="245" spans="1:19" x14ac:dyDescent="0.3">
      <c r="A245" s="1">
        <v>41715</v>
      </c>
      <c r="B245" s="1">
        <v>41734</v>
      </c>
      <c r="C245">
        <v>6.75</v>
      </c>
      <c r="D245">
        <v>0.18</v>
      </c>
      <c r="E245">
        <v>4</v>
      </c>
      <c r="F245">
        <f t="shared" si="42"/>
        <v>6.93</v>
      </c>
      <c r="G245">
        <f t="shared" si="43"/>
        <v>3</v>
      </c>
      <c r="H245">
        <f t="shared" si="44"/>
        <v>0</v>
      </c>
      <c r="I245">
        <f t="shared" si="45"/>
        <v>0</v>
      </c>
      <c r="J245">
        <f t="shared" si="46"/>
        <v>6.93</v>
      </c>
      <c r="K245">
        <f t="shared" si="47"/>
        <v>0</v>
      </c>
      <c r="L245">
        <f t="shared" si="48"/>
        <v>0</v>
      </c>
      <c r="M245">
        <f t="shared" si="49"/>
        <v>0</v>
      </c>
      <c r="N245">
        <f t="shared" si="50"/>
        <v>0</v>
      </c>
      <c r="O245">
        <f t="shared" si="51"/>
        <v>0</v>
      </c>
      <c r="P245">
        <f t="shared" si="52"/>
        <v>0</v>
      </c>
      <c r="Q245">
        <f t="shared" si="53"/>
        <v>0</v>
      </c>
      <c r="R245">
        <f t="shared" si="54"/>
        <v>0</v>
      </c>
      <c r="S245">
        <f t="shared" si="55"/>
        <v>0</v>
      </c>
    </row>
    <row r="246" spans="1:19" x14ac:dyDescent="0.3">
      <c r="A246" s="1">
        <v>41715</v>
      </c>
      <c r="B246" s="1">
        <v>41728</v>
      </c>
      <c r="C246">
        <v>6.23</v>
      </c>
      <c r="D246">
        <v>0.16</v>
      </c>
      <c r="E246">
        <v>5</v>
      </c>
      <c r="F246">
        <f t="shared" si="42"/>
        <v>6.3900000000000006</v>
      </c>
      <c r="G246">
        <f t="shared" si="43"/>
        <v>3</v>
      </c>
      <c r="H246">
        <f t="shared" si="44"/>
        <v>0</v>
      </c>
      <c r="I246">
        <f t="shared" si="45"/>
        <v>0</v>
      </c>
      <c r="J246">
        <f t="shared" si="46"/>
        <v>6.3900000000000006</v>
      </c>
      <c r="K246">
        <f t="shared" si="47"/>
        <v>0</v>
      </c>
      <c r="L246">
        <f t="shared" si="48"/>
        <v>0</v>
      </c>
      <c r="M246">
        <f t="shared" si="49"/>
        <v>0</v>
      </c>
      <c r="N246">
        <f t="shared" si="50"/>
        <v>0</v>
      </c>
      <c r="O246">
        <f t="shared" si="51"/>
        <v>0</v>
      </c>
      <c r="P246">
        <f t="shared" si="52"/>
        <v>0</v>
      </c>
      <c r="Q246">
        <f t="shared" si="53"/>
        <v>0</v>
      </c>
      <c r="R246">
        <f t="shared" si="54"/>
        <v>0</v>
      </c>
      <c r="S246">
        <f t="shared" si="55"/>
        <v>0</v>
      </c>
    </row>
    <row r="247" spans="1:19" x14ac:dyDescent="0.3">
      <c r="A247" s="1">
        <v>41715</v>
      </c>
      <c r="B247" s="1">
        <v>41741</v>
      </c>
      <c r="C247">
        <v>8.7200000000000006</v>
      </c>
      <c r="D247">
        <v>0.23</v>
      </c>
      <c r="E247">
        <v>6</v>
      </c>
      <c r="F247">
        <f t="shared" si="42"/>
        <v>8.9500000000000011</v>
      </c>
      <c r="G247">
        <f t="shared" si="43"/>
        <v>3</v>
      </c>
      <c r="H247">
        <f t="shared" si="44"/>
        <v>0</v>
      </c>
      <c r="I247">
        <f t="shared" si="45"/>
        <v>0</v>
      </c>
      <c r="J247">
        <f t="shared" si="46"/>
        <v>8.9500000000000011</v>
      </c>
      <c r="K247">
        <f t="shared" si="47"/>
        <v>0</v>
      </c>
      <c r="L247">
        <f t="shared" si="48"/>
        <v>0</v>
      </c>
      <c r="M247">
        <f t="shared" si="49"/>
        <v>0</v>
      </c>
      <c r="N247">
        <f t="shared" si="50"/>
        <v>0</v>
      </c>
      <c r="O247">
        <f t="shared" si="51"/>
        <v>0</v>
      </c>
      <c r="P247">
        <f t="shared" si="52"/>
        <v>0</v>
      </c>
      <c r="Q247">
        <f t="shared" si="53"/>
        <v>0</v>
      </c>
      <c r="R247">
        <f t="shared" si="54"/>
        <v>0</v>
      </c>
      <c r="S247">
        <f t="shared" si="55"/>
        <v>0</v>
      </c>
    </row>
    <row r="248" spans="1:19" x14ac:dyDescent="0.3">
      <c r="A248" s="1">
        <v>41716</v>
      </c>
      <c r="B248" s="1">
        <v>41719</v>
      </c>
      <c r="C248">
        <v>6.34</v>
      </c>
      <c r="D248">
        <v>0.17</v>
      </c>
      <c r="E248">
        <v>5</v>
      </c>
      <c r="F248">
        <f t="shared" si="42"/>
        <v>6.51</v>
      </c>
      <c r="G248">
        <f t="shared" si="43"/>
        <v>3</v>
      </c>
      <c r="H248">
        <f t="shared" si="44"/>
        <v>0</v>
      </c>
      <c r="I248">
        <f t="shared" si="45"/>
        <v>0</v>
      </c>
      <c r="J248">
        <f t="shared" si="46"/>
        <v>6.51</v>
      </c>
      <c r="K248">
        <f t="shared" si="47"/>
        <v>0</v>
      </c>
      <c r="L248">
        <f t="shared" si="48"/>
        <v>0</v>
      </c>
      <c r="M248">
        <f t="shared" si="49"/>
        <v>0</v>
      </c>
      <c r="N248">
        <f t="shared" si="50"/>
        <v>0</v>
      </c>
      <c r="O248">
        <f t="shared" si="51"/>
        <v>0</v>
      </c>
      <c r="P248">
        <f t="shared" si="52"/>
        <v>0</v>
      </c>
      <c r="Q248">
        <f t="shared" si="53"/>
        <v>0</v>
      </c>
      <c r="R248">
        <f t="shared" si="54"/>
        <v>0</v>
      </c>
      <c r="S248">
        <f t="shared" si="55"/>
        <v>0</v>
      </c>
    </row>
    <row r="249" spans="1:19" x14ac:dyDescent="0.3">
      <c r="A249" s="1">
        <v>41716</v>
      </c>
      <c r="B249" s="1">
        <v>41734</v>
      </c>
      <c r="C249">
        <v>2.29</v>
      </c>
      <c r="D249">
        <v>0.06</v>
      </c>
      <c r="E249">
        <v>4</v>
      </c>
      <c r="F249">
        <f t="shared" si="42"/>
        <v>2.35</v>
      </c>
      <c r="G249">
        <f t="shared" si="43"/>
        <v>3</v>
      </c>
      <c r="H249">
        <f t="shared" si="44"/>
        <v>0</v>
      </c>
      <c r="I249">
        <f t="shared" si="45"/>
        <v>0</v>
      </c>
      <c r="J249">
        <f t="shared" si="46"/>
        <v>2.35</v>
      </c>
      <c r="K249">
        <f t="shared" si="47"/>
        <v>0</v>
      </c>
      <c r="L249">
        <f t="shared" si="48"/>
        <v>0</v>
      </c>
      <c r="M249">
        <f t="shared" si="49"/>
        <v>0</v>
      </c>
      <c r="N249">
        <f t="shared" si="50"/>
        <v>0</v>
      </c>
      <c r="O249">
        <f t="shared" si="51"/>
        <v>0</v>
      </c>
      <c r="P249">
        <f t="shared" si="52"/>
        <v>0</v>
      </c>
      <c r="Q249">
        <f t="shared" si="53"/>
        <v>0</v>
      </c>
      <c r="R249">
        <f t="shared" si="54"/>
        <v>0</v>
      </c>
      <c r="S249">
        <f t="shared" si="55"/>
        <v>0</v>
      </c>
    </row>
    <row r="250" spans="1:19" x14ac:dyDescent="0.3">
      <c r="A250" s="1">
        <v>41716</v>
      </c>
      <c r="B250" s="1">
        <v>41734</v>
      </c>
      <c r="C250">
        <v>4.25</v>
      </c>
      <c r="D250">
        <v>0.11</v>
      </c>
      <c r="E250">
        <v>4</v>
      </c>
      <c r="F250">
        <f t="shared" si="42"/>
        <v>4.3600000000000003</v>
      </c>
      <c r="G250">
        <f t="shared" si="43"/>
        <v>3</v>
      </c>
      <c r="H250">
        <f t="shared" si="44"/>
        <v>0</v>
      </c>
      <c r="I250">
        <f t="shared" si="45"/>
        <v>0</v>
      </c>
      <c r="J250">
        <f t="shared" si="46"/>
        <v>4.3600000000000003</v>
      </c>
      <c r="K250">
        <f t="shared" si="47"/>
        <v>0</v>
      </c>
      <c r="L250">
        <f t="shared" si="48"/>
        <v>0</v>
      </c>
      <c r="M250">
        <f t="shared" si="49"/>
        <v>0</v>
      </c>
      <c r="N250">
        <f t="shared" si="50"/>
        <v>0</v>
      </c>
      <c r="O250">
        <f t="shared" si="51"/>
        <v>0</v>
      </c>
      <c r="P250">
        <f t="shared" si="52"/>
        <v>0</v>
      </c>
      <c r="Q250">
        <f t="shared" si="53"/>
        <v>0</v>
      </c>
      <c r="R250">
        <f t="shared" si="54"/>
        <v>0</v>
      </c>
      <c r="S250">
        <f t="shared" si="55"/>
        <v>0</v>
      </c>
    </row>
    <row r="251" spans="1:19" x14ac:dyDescent="0.3">
      <c r="A251" s="1">
        <v>41719</v>
      </c>
      <c r="B251" s="1">
        <v>41742</v>
      </c>
      <c r="C251">
        <v>16.55</v>
      </c>
      <c r="D251">
        <v>0.44</v>
      </c>
      <c r="E251">
        <v>5</v>
      </c>
      <c r="F251">
        <f t="shared" si="42"/>
        <v>16.990000000000002</v>
      </c>
      <c r="G251">
        <f t="shared" si="43"/>
        <v>3</v>
      </c>
      <c r="H251">
        <f t="shared" si="44"/>
        <v>0</v>
      </c>
      <c r="I251">
        <f t="shared" si="45"/>
        <v>0</v>
      </c>
      <c r="J251">
        <f t="shared" si="46"/>
        <v>16.990000000000002</v>
      </c>
      <c r="K251">
        <f t="shared" si="47"/>
        <v>0</v>
      </c>
      <c r="L251">
        <f t="shared" si="48"/>
        <v>0</v>
      </c>
      <c r="M251">
        <f t="shared" si="49"/>
        <v>0</v>
      </c>
      <c r="N251">
        <f t="shared" si="50"/>
        <v>0</v>
      </c>
      <c r="O251">
        <f t="shared" si="51"/>
        <v>0</v>
      </c>
      <c r="P251">
        <f t="shared" si="52"/>
        <v>0</v>
      </c>
      <c r="Q251">
        <f t="shared" si="53"/>
        <v>0</v>
      </c>
      <c r="R251">
        <f t="shared" si="54"/>
        <v>0</v>
      </c>
      <c r="S251">
        <f t="shared" si="55"/>
        <v>0</v>
      </c>
    </row>
    <row r="252" spans="1:19" x14ac:dyDescent="0.3">
      <c r="A252" s="1">
        <v>41719</v>
      </c>
      <c r="B252" s="1">
        <v>41745</v>
      </c>
      <c r="C252">
        <v>7.55</v>
      </c>
      <c r="D252">
        <v>0.2</v>
      </c>
      <c r="E252">
        <v>3</v>
      </c>
      <c r="F252">
        <f t="shared" si="42"/>
        <v>7.75</v>
      </c>
      <c r="G252">
        <f t="shared" si="43"/>
        <v>3</v>
      </c>
      <c r="H252">
        <f t="shared" si="44"/>
        <v>0</v>
      </c>
      <c r="I252">
        <f t="shared" si="45"/>
        <v>0</v>
      </c>
      <c r="J252">
        <f t="shared" si="46"/>
        <v>7.75</v>
      </c>
      <c r="K252">
        <f t="shared" si="47"/>
        <v>0</v>
      </c>
      <c r="L252">
        <f t="shared" si="48"/>
        <v>0</v>
      </c>
      <c r="M252">
        <f t="shared" si="49"/>
        <v>0</v>
      </c>
      <c r="N252">
        <f t="shared" si="50"/>
        <v>0</v>
      </c>
      <c r="O252">
        <f t="shared" si="51"/>
        <v>0</v>
      </c>
      <c r="P252">
        <f t="shared" si="52"/>
        <v>0</v>
      </c>
      <c r="Q252">
        <f t="shared" si="53"/>
        <v>0</v>
      </c>
      <c r="R252">
        <f t="shared" si="54"/>
        <v>0</v>
      </c>
      <c r="S252">
        <f t="shared" si="55"/>
        <v>0</v>
      </c>
    </row>
    <row r="253" spans="1:19" x14ac:dyDescent="0.3">
      <c r="A253" s="1">
        <v>41719</v>
      </c>
      <c r="B253" s="1">
        <v>41731</v>
      </c>
      <c r="C253">
        <v>16.55</v>
      </c>
      <c r="D253">
        <v>0.44</v>
      </c>
      <c r="E253">
        <v>5</v>
      </c>
      <c r="F253">
        <f t="shared" si="42"/>
        <v>16.990000000000002</v>
      </c>
      <c r="G253">
        <f t="shared" si="43"/>
        <v>3</v>
      </c>
      <c r="H253">
        <f t="shared" si="44"/>
        <v>0</v>
      </c>
      <c r="I253">
        <f t="shared" si="45"/>
        <v>0</v>
      </c>
      <c r="J253">
        <f t="shared" si="46"/>
        <v>16.990000000000002</v>
      </c>
      <c r="K253">
        <f t="shared" si="47"/>
        <v>0</v>
      </c>
      <c r="L253">
        <f t="shared" si="48"/>
        <v>0</v>
      </c>
      <c r="M253">
        <f t="shared" si="49"/>
        <v>0</v>
      </c>
      <c r="N253">
        <f t="shared" si="50"/>
        <v>0</v>
      </c>
      <c r="O253">
        <f t="shared" si="51"/>
        <v>0</v>
      </c>
      <c r="P253">
        <f t="shared" si="52"/>
        <v>0</v>
      </c>
      <c r="Q253">
        <f t="shared" si="53"/>
        <v>0</v>
      </c>
      <c r="R253">
        <f t="shared" si="54"/>
        <v>0</v>
      </c>
      <c r="S253">
        <f t="shared" si="55"/>
        <v>0</v>
      </c>
    </row>
    <row r="254" spans="1:19" x14ac:dyDescent="0.3">
      <c r="A254" s="1">
        <v>41719</v>
      </c>
      <c r="B254" s="1">
        <v>41739</v>
      </c>
      <c r="C254">
        <v>3.79</v>
      </c>
      <c r="D254">
        <v>0.1</v>
      </c>
      <c r="E254">
        <v>3</v>
      </c>
      <c r="F254">
        <f t="shared" si="42"/>
        <v>3.89</v>
      </c>
      <c r="G254">
        <f t="shared" si="43"/>
        <v>3</v>
      </c>
      <c r="H254">
        <f t="shared" si="44"/>
        <v>0</v>
      </c>
      <c r="I254">
        <f t="shared" si="45"/>
        <v>0</v>
      </c>
      <c r="J254">
        <f t="shared" si="46"/>
        <v>3.89</v>
      </c>
      <c r="K254">
        <f t="shared" si="47"/>
        <v>0</v>
      </c>
      <c r="L254">
        <f t="shared" si="48"/>
        <v>0</v>
      </c>
      <c r="M254">
        <f t="shared" si="49"/>
        <v>0</v>
      </c>
      <c r="N254">
        <f t="shared" si="50"/>
        <v>0</v>
      </c>
      <c r="O254">
        <f t="shared" si="51"/>
        <v>0</v>
      </c>
      <c r="P254">
        <f t="shared" si="52"/>
        <v>0</v>
      </c>
      <c r="Q254">
        <f t="shared" si="53"/>
        <v>0</v>
      </c>
      <c r="R254">
        <f t="shared" si="54"/>
        <v>0</v>
      </c>
      <c r="S254">
        <f t="shared" si="55"/>
        <v>0</v>
      </c>
    </row>
    <row r="255" spans="1:19" x14ac:dyDescent="0.3">
      <c r="A255" s="1">
        <v>41719</v>
      </c>
      <c r="B255" s="1">
        <v>41725</v>
      </c>
      <c r="C255">
        <v>8.51</v>
      </c>
      <c r="D255">
        <v>0.22</v>
      </c>
      <c r="E255">
        <v>6</v>
      </c>
      <c r="F255">
        <f t="shared" si="42"/>
        <v>8.73</v>
      </c>
      <c r="G255">
        <f t="shared" si="43"/>
        <v>3</v>
      </c>
      <c r="H255">
        <f t="shared" si="44"/>
        <v>0</v>
      </c>
      <c r="I255">
        <f t="shared" si="45"/>
        <v>0</v>
      </c>
      <c r="J255">
        <f t="shared" si="46"/>
        <v>8.73</v>
      </c>
      <c r="K255">
        <f t="shared" si="47"/>
        <v>0</v>
      </c>
      <c r="L255">
        <f t="shared" si="48"/>
        <v>0</v>
      </c>
      <c r="M255">
        <f t="shared" si="49"/>
        <v>0</v>
      </c>
      <c r="N255">
        <f t="shared" si="50"/>
        <v>0</v>
      </c>
      <c r="O255">
        <f t="shared" si="51"/>
        <v>0</v>
      </c>
      <c r="P255">
        <f t="shared" si="52"/>
        <v>0</v>
      </c>
      <c r="Q255">
        <f t="shared" si="53"/>
        <v>0</v>
      </c>
      <c r="R255">
        <f t="shared" si="54"/>
        <v>0</v>
      </c>
      <c r="S255">
        <f t="shared" si="55"/>
        <v>0</v>
      </c>
    </row>
    <row r="256" spans="1:19" x14ac:dyDescent="0.3">
      <c r="A256" s="1">
        <v>41719</v>
      </c>
      <c r="B256" s="1">
        <v>41724</v>
      </c>
      <c r="C256">
        <v>7.71</v>
      </c>
      <c r="D256">
        <v>0.2</v>
      </c>
      <c r="E256">
        <v>2</v>
      </c>
      <c r="F256">
        <f t="shared" si="42"/>
        <v>7.91</v>
      </c>
      <c r="G256">
        <f t="shared" si="43"/>
        <v>3</v>
      </c>
      <c r="H256">
        <f t="shared" si="44"/>
        <v>0</v>
      </c>
      <c r="I256">
        <f t="shared" si="45"/>
        <v>0</v>
      </c>
      <c r="J256">
        <f t="shared" si="46"/>
        <v>7.91</v>
      </c>
      <c r="K256">
        <f t="shared" si="47"/>
        <v>0</v>
      </c>
      <c r="L256">
        <f t="shared" si="48"/>
        <v>0</v>
      </c>
      <c r="M256">
        <f t="shared" si="49"/>
        <v>0</v>
      </c>
      <c r="N256">
        <f t="shared" si="50"/>
        <v>0</v>
      </c>
      <c r="O256">
        <f t="shared" si="51"/>
        <v>0</v>
      </c>
      <c r="P256">
        <f t="shared" si="52"/>
        <v>0</v>
      </c>
      <c r="Q256">
        <f t="shared" si="53"/>
        <v>0</v>
      </c>
      <c r="R256">
        <f t="shared" si="54"/>
        <v>0</v>
      </c>
      <c r="S256">
        <f t="shared" si="55"/>
        <v>0</v>
      </c>
    </row>
    <row r="257" spans="1:19" x14ac:dyDescent="0.3">
      <c r="A257" s="1">
        <v>41725</v>
      </c>
      <c r="B257" s="1">
        <v>41742</v>
      </c>
      <c r="C257">
        <v>3.79</v>
      </c>
      <c r="D257">
        <v>0.1</v>
      </c>
      <c r="E257">
        <v>2</v>
      </c>
      <c r="F257">
        <f t="shared" si="42"/>
        <v>3.89</v>
      </c>
      <c r="G257">
        <f t="shared" si="43"/>
        <v>3</v>
      </c>
      <c r="H257">
        <f t="shared" si="44"/>
        <v>0</v>
      </c>
      <c r="I257">
        <f t="shared" si="45"/>
        <v>0</v>
      </c>
      <c r="J257">
        <f t="shared" si="46"/>
        <v>3.89</v>
      </c>
      <c r="K257">
        <f t="shared" si="47"/>
        <v>0</v>
      </c>
      <c r="L257">
        <f t="shared" si="48"/>
        <v>0</v>
      </c>
      <c r="M257">
        <f t="shared" si="49"/>
        <v>0</v>
      </c>
      <c r="N257">
        <f t="shared" si="50"/>
        <v>0</v>
      </c>
      <c r="O257">
        <f t="shared" si="51"/>
        <v>0</v>
      </c>
      <c r="P257">
        <f t="shared" si="52"/>
        <v>0</v>
      </c>
      <c r="Q257">
        <f t="shared" si="53"/>
        <v>0</v>
      </c>
      <c r="R257">
        <f t="shared" si="54"/>
        <v>0</v>
      </c>
      <c r="S257">
        <f t="shared" si="55"/>
        <v>0</v>
      </c>
    </row>
    <row r="258" spans="1:19" x14ac:dyDescent="0.3">
      <c r="A258" s="1">
        <v>41725</v>
      </c>
      <c r="B258" s="1">
        <v>41747</v>
      </c>
      <c r="C258">
        <v>16.55</v>
      </c>
      <c r="D258">
        <v>0.44</v>
      </c>
      <c r="E258">
        <v>4</v>
      </c>
      <c r="F258">
        <f t="shared" si="42"/>
        <v>16.990000000000002</v>
      </c>
      <c r="G258">
        <f t="shared" si="43"/>
        <v>3</v>
      </c>
      <c r="H258">
        <f t="shared" si="44"/>
        <v>0</v>
      </c>
      <c r="I258">
        <f t="shared" si="45"/>
        <v>0</v>
      </c>
      <c r="J258">
        <f t="shared" si="46"/>
        <v>16.990000000000002</v>
      </c>
      <c r="K258">
        <f t="shared" si="47"/>
        <v>0</v>
      </c>
      <c r="L258">
        <f t="shared" si="48"/>
        <v>0</v>
      </c>
      <c r="M258">
        <f t="shared" si="49"/>
        <v>0</v>
      </c>
      <c r="N258">
        <f t="shared" si="50"/>
        <v>0</v>
      </c>
      <c r="O258">
        <f t="shared" si="51"/>
        <v>0</v>
      </c>
      <c r="P258">
        <f t="shared" si="52"/>
        <v>0</v>
      </c>
      <c r="Q258">
        <f t="shared" si="53"/>
        <v>0</v>
      </c>
      <c r="R258">
        <f t="shared" si="54"/>
        <v>0</v>
      </c>
      <c r="S258">
        <f t="shared" si="55"/>
        <v>0</v>
      </c>
    </row>
    <row r="259" spans="1:19" x14ac:dyDescent="0.3">
      <c r="A259" s="1">
        <v>41725</v>
      </c>
      <c r="B259" s="1">
        <v>41728</v>
      </c>
      <c r="C259">
        <v>10.19</v>
      </c>
      <c r="D259">
        <v>0.27</v>
      </c>
      <c r="E259">
        <v>5</v>
      </c>
      <c r="F259">
        <f t="shared" ref="F259:F322" si="56">C259+D259</f>
        <v>10.459999999999999</v>
      </c>
      <c r="G259">
        <f t="shared" ref="G259:G322" si="57">MONTH(A259)</f>
        <v>3</v>
      </c>
      <c r="H259">
        <f t="shared" ref="H259:H322" si="58">IF(EXACT(G259,1),F259,0)</f>
        <v>0</v>
      </c>
      <c r="I259">
        <f t="shared" ref="I259:I322" si="59">IF(EXACT(G259,2),F259,0)</f>
        <v>0</v>
      </c>
      <c r="J259">
        <f t="shared" ref="J259:J322" si="60">IF(EXACT(G259,3),F259,0)</f>
        <v>10.459999999999999</v>
      </c>
      <c r="K259">
        <f t="shared" ref="K259:K322" si="61">IF(EXACT(G259,4),F259,0)</f>
        <v>0</v>
      </c>
      <c r="L259">
        <f t="shared" ref="L259:L322" si="62">IF(EXACT(G259,5),F259,0)</f>
        <v>0</v>
      </c>
      <c r="M259">
        <f t="shared" ref="M259:M322" si="63">IF(EXACT(G259,6),F259,0)</f>
        <v>0</v>
      </c>
      <c r="N259">
        <f t="shared" ref="N259:N322" si="64">IF(EXACT(G259,7),F259,0)</f>
        <v>0</v>
      </c>
      <c r="O259">
        <f t="shared" ref="O259:O322" si="65">IF(EXACT(G259,8),F259,0)</f>
        <v>0</v>
      </c>
      <c r="P259">
        <f t="shared" ref="P259:P322" si="66">IF(EXACT(G259,9),F259,0)</f>
        <v>0</v>
      </c>
      <c r="Q259">
        <f t="shared" ref="Q259:Q322" si="67">IF(EXACT(G259,10),F259,0)</f>
        <v>0</v>
      </c>
      <c r="R259">
        <f t="shared" ref="R259:R322" si="68">IF(EXACT(G259,11),F259,0)</f>
        <v>0</v>
      </c>
      <c r="S259">
        <f t="shared" ref="S259:S322" si="69">IF(EXACT(G259,12),F259,0)</f>
        <v>0</v>
      </c>
    </row>
    <row r="260" spans="1:19" x14ac:dyDescent="0.3">
      <c r="A260" s="1">
        <v>41725</v>
      </c>
      <c r="B260" s="1">
        <v>41731</v>
      </c>
      <c r="C260">
        <v>8.39</v>
      </c>
      <c r="D260">
        <v>0.22</v>
      </c>
      <c r="E260">
        <v>5</v>
      </c>
      <c r="F260">
        <f t="shared" si="56"/>
        <v>8.6100000000000012</v>
      </c>
      <c r="G260">
        <f t="shared" si="57"/>
        <v>3</v>
      </c>
      <c r="H260">
        <f t="shared" si="58"/>
        <v>0</v>
      </c>
      <c r="I260">
        <f t="shared" si="59"/>
        <v>0</v>
      </c>
      <c r="J260">
        <f t="shared" si="60"/>
        <v>8.6100000000000012</v>
      </c>
      <c r="K260">
        <f t="shared" si="61"/>
        <v>0</v>
      </c>
      <c r="L260">
        <f t="shared" si="62"/>
        <v>0</v>
      </c>
      <c r="M260">
        <f t="shared" si="63"/>
        <v>0</v>
      </c>
      <c r="N260">
        <f t="shared" si="64"/>
        <v>0</v>
      </c>
      <c r="O260">
        <f t="shared" si="65"/>
        <v>0</v>
      </c>
      <c r="P260">
        <f t="shared" si="66"/>
        <v>0</v>
      </c>
      <c r="Q260">
        <f t="shared" si="67"/>
        <v>0</v>
      </c>
      <c r="R260">
        <f t="shared" si="68"/>
        <v>0</v>
      </c>
      <c r="S260">
        <f t="shared" si="69"/>
        <v>0</v>
      </c>
    </row>
    <row r="261" spans="1:19" x14ac:dyDescent="0.3">
      <c r="A261" s="1">
        <v>41725</v>
      </c>
      <c r="B261" s="1">
        <v>41752</v>
      </c>
      <c r="C261">
        <v>8.89</v>
      </c>
      <c r="D261">
        <v>0.23</v>
      </c>
      <c r="E261">
        <v>2</v>
      </c>
      <c r="F261">
        <f t="shared" si="56"/>
        <v>9.120000000000001</v>
      </c>
      <c r="G261">
        <f t="shared" si="57"/>
        <v>3</v>
      </c>
      <c r="H261">
        <f t="shared" si="58"/>
        <v>0</v>
      </c>
      <c r="I261">
        <f t="shared" si="59"/>
        <v>0</v>
      </c>
      <c r="J261">
        <f t="shared" si="60"/>
        <v>9.120000000000001</v>
      </c>
      <c r="K261">
        <f t="shared" si="61"/>
        <v>0</v>
      </c>
      <c r="L261">
        <f t="shared" si="62"/>
        <v>0</v>
      </c>
      <c r="M261">
        <f t="shared" si="63"/>
        <v>0</v>
      </c>
      <c r="N261">
        <f t="shared" si="64"/>
        <v>0</v>
      </c>
      <c r="O261">
        <f t="shared" si="65"/>
        <v>0</v>
      </c>
      <c r="P261">
        <f t="shared" si="66"/>
        <v>0</v>
      </c>
      <c r="Q261">
        <f t="shared" si="67"/>
        <v>0</v>
      </c>
      <c r="R261">
        <f t="shared" si="68"/>
        <v>0</v>
      </c>
      <c r="S261">
        <f t="shared" si="69"/>
        <v>0</v>
      </c>
    </row>
    <row r="262" spans="1:19" x14ac:dyDescent="0.3">
      <c r="A262" s="1">
        <v>41725</v>
      </c>
      <c r="B262" s="1">
        <v>41748</v>
      </c>
      <c r="C262">
        <v>7.35</v>
      </c>
      <c r="D262">
        <v>0.19</v>
      </c>
      <c r="E262">
        <v>2</v>
      </c>
      <c r="F262">
        <f t="shared" si="56"/>
        <v>7.54</v>
      </c>
      <c r="G262">
        <f t="shared" si="57"/>
        <v>3</v>
      </c>
      <c r="H262">
        <f t="shared" si="58"/>
        <v>0</v>
      </c>
      <c r="I262">
        <f t="shared" si="59"/>
        <v>0</v>
      </c>
      <c r="J262">
        <f t="shared" si="60"/>
        <v>7.54</v>
      </c>
      <c r="K262">
        <f t="shared" si="61"/>
        <v>0</v>
      </c>
      <c r="L262">
        <f t="shared" si="62"/>
        <v>0</v>
      </c>
      <c r="M262">
        <f t="shared" si="63"/>
        <v>0</v>
      </c>
      <c r="N262">
        <f t="shared" si="64"/>
        <v>0</v>
      </c>
      <c r="O262">
        <f t="shared" si="65"/>
        <v>0</v>
      </c>
      <c r="P262">
        <f t="shared" si="66"/>
        <v>0</v>
      </c>
      <c r="Q262">
        <f t="shared" si="67"/>
        <v>0</v>
      </c>
      <c r="R262">
        <f t="shared" si="68"/>
        <v>0</v>
      </c>
      <c r="S262">
        <f t="shared" si="69"/>
        <v>0</v>
      </c>
    </row>
    <row r="263" spans="1:19" x14ac:dyDescent="0.3">
      <c r="A263" s="1">
        <v>41731</v>
      </c>
      <c r="B263" s="1">
        <v>41740</v>
      </c>
      <c r="C263">
        <v>6.88</v>
      </c>
      <c r="D263">
        <v>0.18</v>
      </c>
      <c r="E263">
        <v>4</v>
      </c>
      <c r="F263">
        <f t="shared" si="56"/>
        <v>7.06</v>
      </c>
      <c r="G263">
        <f t="shared" si="57"/>
        <v>4</v>
      </c>
      <c r="H263">
        <f t="shared" si="58"/>
        <v>0</v>
      </c>
      <c r="I263">
        <f t="shared" si="59"/>
        <v>0</v>
      </c>
      <c r="J263">
        <f t="shared" si="60"/>
        <v>0</v>
      </c>
      <c r="K263">
        <f t="shared" si="61"/>
        <v>7.06</v>
      </c>
      <c r="L263">
        <f t="shared" si="62"/>
        <v>0</v>
      </c>
      <c r="M263">
        <f t="shared" si="63"/>
        <v>0</v>
      </c>
      <c r="N263">
        <f t="shared" si="64"/>
        <v>0</v>
      </c>
      <c r="O263">
        <f t="shared" si="65"/>
        <v>0</v>
      </c>
      <c r="P263">
        <f t="shared" si="66"/>
        <v>0</v>
      </c>
      <c r="Q263">
        <f t="shared" si="67"/>
        <v>0</v>
      </c>
      <c r="R263">
        <f t="shared" si="68"/>
        <v>0</v>
      </c>
      <c r="S263">
        <f t="shared" si="69"/>
        <v>0</v>
      </c>
    </row>
    <row r="264" spans="1:19" x14ac:dyDescent="0.3">
      <c r="A264" s="1">
        <v>41731</v>
      </c>
      <c r="B264" s="1">
        <v>41740</v>
      </c>
      <c r="C264">
        <v>13.02</v>
      </c>
      <c r="D264">
        <v>0.34</v>
      </c>
      <c r="E264">
        <v>3</v>
      </c>
      <c r="F264">
        <f t="shared" si="56"/>
        <v>13.36</v>
      </c>
      <c r="G264">
        <f t="shared" si="57"/>
        <v>4</v>
      </c>
      <c r="H264">
        <f t="shared" si="58"/>
        <v>0</v>
      </c>
      <c r="I264">
        <f t="shared" si="59"/>
        <v>0</v>
      </c>
      <c r="J264">
        <f t="shared" si="60"/>
        <v>0</v>
      </c>
      <c r="K264">
        <f t="shared" si="61"/>
        <v>13.36</v>
      </c>
      <c r="L264">
        <f t="shared" si="62"/>
        <v>0</v>
      </c>
      <c r="M264">
        <f t="shared" si="63"/>
        <v>0</v>
      </c>
      <c r="N264">
        <f t="shared" si="64"/>
        <v>0</v>
      </c>
      <c r="O264">
        <f t="shared" si="65"/>
        <v>0</v>
      </c>
      <c r="P264">
        <f t="shared" si="66"/>
        <v>0</v>
      </c>
      <c r="Q264">
        <f t="shared" si="67"/>
        <v>0</v>
      </c>
      <c r="R264">
        <f t="shared" si="68"/>
        <v>0</v>
      </c>
      <c r="S264">
        <f t="shared" si="69"/>
        <v>0</v>
      </c>
    </row>
    <row r="265" spans="1:19" x14ac:dyDescent="0.3">
      <c r="A265" s="1">
        <v>41731</v>
      </c>
      <c r="B265" s="1">
        <v>41750</v>
      </c>
      <c r="C265">
        <v>10.59</v>
      </c>
      <c r="D265">
        <v>0.28000000000000003</v>
      </c>
      <c r="E265">
        <v>3</v>
      </c>
      <c r="F265">
        <f t="shared" si="56"/>
        <v>10.87</v>
      </c>
      <c r="G265">
        <f t="shared" si="57"/>
        <v>4</v>
      </c>
      <c r="H265">
        <f t="shared" si="58"/>
        <v>0</v>
      </c>
      <c r="I265">
        <f t="shared" si="59"/>
        <v>0</v>
      </c>
      <c r="J265">
        <f t="shared" si="60"/>
        <v>0</v>
      </c>
      <c r="K265">
        <f t="shared" si="61"/>
        <v>10.87</v>
      </c>
      <c r="L265">
        <f t="shared" si="62"/>
        <v>0</v>
      </c>
      <c r="M265">
        <f t="shared" si="63"/>
        <v>0</v>
      </c>
      <c r="N265">
        <f t="shared" si="64"/>
        <v>0</v>
      </c>
      <c r="O265">
        <f t="shared" si="65"/>
        <v>0</v>
      </c>
      <c r="P265">
        <f t="shared" si="66"/>
        <v>0</v>
      </c>
      <c r="Q265">
        <f t="shared" si="67"/>
        <v>0</v>
      </c>
      <c r="R265">
        <f t="shared" si="68"/>
        <v>0</v>
      </c>
      <c r="S265">
        <f t="shared" si="69"/>
        <v>0</v>
      </c>
    </row>
    <row r="266" spans="1:19" x14ac:dyDescent="0.3">
      <c r="A266" s="1">
        <v>41731</v>
      </c>
      <c r="B266" s="1">
        <v>41751</v>
      </c>
      <c r="C266">
        <v>16.940000000000001</v>
      </c>
      <c r="D266">
        <v>0.45</v>
      </c>
      <c r="E266">
        <v>4</v>
      </c>
      <c r="F266">
        <f t="shared" si="56"/>
        <v>17.39</v>
      </c>
      <c r="G266">
        <f t="shared" si="57"/>
        <v>4</v>
      </c>
      <c r="H266">
        <f t="shared" si="58"/>
        <v>0</v>
      </c>
      <c r="I266">
        <f t="shared" si="59"/>
        <v>0</v>
      </c>
      <c r="J266">
        <f t="shared" si="60"/>
        <v>0</v>
      </c>
      <c r="K266">
        <f t="shared" si="61"/>
        <v>17.39</v>
      </c>
      <c r="L266">
        <f t="shared" si="62"/>
        <v>0</v>
      </c>
      <c r="M266">
        <f t="shared" si="63"/>
        <v>0</v>
      </c>
      <c r="N266">
        <f t="shared" si="64"/>
        <v>0</v>
      </c>
      <c r="O266">
        <f t="shared" si="65"/>
        <v>0</v>
      </c>
      <c r="P266">
        <f t="shared" si="66"/>
        <v>0</v>
      </c>
      <c r="Q266">
        <f t="shared" si="67"/>
        <v>0</v>
      </c>
      <c r="R266">
        <f t="shared" si="68"/>
        <v>0</v>
      </c>
      <c r="S266">
        <f t="shared" si="69"/>
        <v>0</v>
      </c>
    </row>
    <row r="267" spans="1:19" x14ac:dyDescent="0.3">
      <c r="A267" s="1">
        <v>41731</v>
      </c>
      <c r="B267" s="1">
        <v>41748</v>
      </c>
      <c r="C267">
        <v>11.44</v>
      </c>
      <c r="D267">
        <v>0.3</v>
      </c>
      <c r="E267">
        <v>4</v>
      </c>
      <c r="F267">
        <f t="shared" si="56"/>
        <v>11.74</v>
      </c>
      <c r="G267">
        <f t="shared" si="57"/>
        <v>4</v>
      </c>
      <c r="H267">
        <f t="shared" si="58"/>
        <v>0</v>
      </c>
      <c r="I267">
        <f t="shared" si="59"/>
        <v>0</v>
      </c>
      <c r="J267">
        <f t="shared" si="60"/>
        <v>0</v>
      </c>
      <c r="K267">
        <f t="shared" si="61"/>
        <v>11.74</v>
      </c>
      <c r="L267">
        <f t="shared" si="62"/>
        <v>0</v>
      </c>
      <c r="M267">
        <f t="shared" si="63"/>
        <v>0</v>
      </c>
      <c r="N267">
        <f t="shared" si="64"/>
        <v>0</v>
      </c>
      <c r="O267">
        <f t="shared" si="65"/>
        <v>0</v>
      </c>
      <c r="P267">
        <f t="shared" si="66"/>
        <v>0</v>
      </c>
      <c r="Q267">
        <f t="shared" si="67"/>
        <v>0</v>
      </c>
      <c r="R267">
        <f t="shared" si="68"/>
        <v>0</v>
      </c>
      <c r="S267">
        <f t="shared" si="69"/>
        <v>0</v>
      </c>
    </row>
    <row r="268" spans="1:19" x14ac:dyDescent="0.3">
      <c r="A268" s="1">
        <v>41731</v>
      </c>
      <c r="B268" s="1">
        <v>41733</v>
      </c>
      <c r="C268">
        <v>3.79</v>
      </c>
      <c r="D268">
        <v>0.1</v>
      </c>
      <c r="E268">
        <v>4</v>
      </c>
      <c r="F268">
        <f t="shared" si="56"/>
        <v>3.89</v>
      </c>
      <c r="G268">
        <f t="shared" si="57"/>
        <v>4</v>
      </c>
      <c r="H268">
        <f t="shared" si="58"/>
        <v>0</v>
      </c>
      <c r="I268">
        <f t="shared" si="59"/>
        <v>0</v>
      </c>
      <c r="J268">
        <f t="shared" si="60"/>
        <v>0</v>
      </c>
      <c r="K268">
        <f t="shared" si="61"/>
        <v>3.89</v>
      </c>
      <c r="L268">
        <f t="shared" si="62"/>
        <v>0</v>
      </c>
      <c r="M268">
        <f t="shared" si="63"/>
        <v>0</v>
      </c>
      <c r="N268">
        <f t="shared" si="64"/>
        <v>0</v>
      </c>
      <c r="O268">
        <f t="shared" si="65"/>
        <v>0</v>
      </c>
      <c r="P268">
        <f t="shared" si="66"/>
        <v>0</v>
      </c>
      <c r="Q268">
        <f t="shared" si="67"/>
        <v>0</v>
      </c>
      <c r="R268">
        <f t="shared" si="68"/>
        <v>0</v>
      </c>
      <c r="S268">
        <f t="shared" si="69"/>
        <v>0</v>
      </c>
    </row>
    <row r="269" spans="1:19" x14ac:dyDescent="0.3">
      <c r="A269" s="1">
        <v>41732</v>
      </c>
      <c r="B269" s="1">
        <v>41758</v>
      </c>
      <c r="C269">
        <v>10.19</v>
      </c>
      <c r="D269">
        <v>0.27</v>
      </c>
      <c r="E269">
        <v>2</v>
      </c>
      <c r="F269">
        <f t="shared" si="56"/>
        <v>10.459999999999999</v>
      </c>
      <c r="G269">
        <f t="shared" si="57"/>
        <v>4</v>
      </c>
      <c r="H269">
        <f t="shared" si="58"/>
        <v>0</v>
      </c>
      <c r="I269">
        <f t="shared" si="59"/>
        <v>0</v>
      </c>
      <c r="J269">
        <f t="shared" si="60"/>
        <v>0</v>
      </c>
      <c r="K269">
        <f t="shared" si="61"/>
        <v>10.459999999999999</v>
      </c>
      <c r="L269">
        <f t="shared" si="62"/>
        <v>0</v>
      </c>
      <c r="M269">
        <f t="shared" si="63"/>
        <v>0</v>
      </c>
      <c r="N269">
        <f t="shared" si="64"/>
        <v>0</v>
      </c>
      <c r="O269">
        <f t="shared" si="65"/>
        <v>0</v>
      </c>
      <c r="P269">
        <f t="shared" si="66"/>
        <v>0</v>
      </c>
      <c r="Q269">
        <f t="shared" si="67"/>
        <v>0</v>
      </c>
      <c r="R269">
        <f t="shared" si="68"/>
        <v>0</v>
      </c>
      <c r="S269">
        <f t="shared" si="69"/>
        <v>0</v>
      </c>
    </row>
    <row r="270" spans="1:19" x14ac:dyDescent="0.3">
      <c r="A270" s="1">
        <v>41737</v>
      </c>
      <c r="B270" s="1">
        <v>41747</v>
      </c>
      <c r="C270">
        <v>7.35</v>
      </c>
      <c r="D270">
        <v>0.19</v>
      </c>
      <c r="E270">
        <v>5</v>
      </c>
      <c r="F270">
        <f t="shared" si="56"/>
        <v>7.54</v>
      </c>
      <c r="G270">
        <f t="shared" si="57"/>
        <v>4</v>
      </c>
      <c r="H270">
        <f t="shared" si="58"/>
        <v>0</v>
      </c>
      <c r="I270">
        <f t="shared" si="59"/>
        <v>0</v>
      </c>
      <c r="J270">
        <f t="shared" si="60"/>
        <v>0</v>
      </c>
      <c r="K270">
        <f t="shared" si="61"/>
        <v>7.54</v>
      </c>
      <c r="L270">
        <f t="shared" si="62"/>
        <v>0</v>
      </c>
      <c r="M270">
        <f t="shared" si="63"/>
        <v>0</v>
      </c>
      <c r="N270">
        <f t="shared" si="64"/>
        <v>0</v>
      </c>
      <c r="O270">
        <f t="shared" si="65"/>
        <v>0</v>
      </c>
      <c r="P270">
        <f t="shared" si="66"/>
        <v>0</v>
      </c>
      <c r="Q270">
        <f t="shared" si="67"/>
        <v>0</v>
      </c>
      <c r="R270">
        <f t="shared" si="68"/>
        <v>0</v>
      </c>
      <c r="S270">
        <f t="shared" si="69"/>
        <v>0</v>
      </c>
    </row>
    <row r="271" spans="1:19" x14ac:dyDescent="0.3">
      <c r="A271" s="1">
        <v>41737</v>
      </c>
      <c r="B271" s="1">
        <v>41752</v>
      </c>
      <c r="C271">
        <v>9.74</v>
      </c>
      <c r="D271">
        <v>0.26</v>
      </c>
      <c r="E271">
        <v>6</v>
      </c>
      <c r="F271">
        <f t="shared" si="56"/>
        <v>10</v>
      </c>
      <c r="G271">
        <f t="shared" si="57"/>
        <v>4</v>
      </c>
      <c r="H271">
        <f t="shared" si="58"/>
        <v>0</v>
      </c>
      <c r="I271">
        <f t="shared" si="59"/>
        <v>0</v>
      </c>
      <c r="J271">
        <f t="shared" si="60"/>
        <v>0</v>
      </c>
      <c r="K271">
        <f t="shared" si="61"/>
        <v>10</v>
      </c>
      <c r="L271">
        <f t="shared" si="62"/>
        <v>0</v>
      </c>
      <c r="M271">
        <f t="shared" si="63"/>
        <v>0</v>
      </c>
      <c r="N271">
        <f t="shared" si="64"/>
        <v>0</v>
      </c>
      <c r="O271">
        <f t="shared" si="65"/>
        <v>0</v>
      </c>
      <c r="P271">
        <f t="shared" si="66"/>
        <v>0</v>
      </c>
      <c r="Q271">
        <f t="shared" si="67"/>
        <v>0</v>
      </c>
      <c r="R271">
        <f t="shared" si="68"/>
        <v>0</v>
      </c>
      <c r="S271">
        <f t="shared" si="69"/>
        <v>0</v>
      </c>
    </row>
    <row r="272" spans="1:19" x14ac:dyDescent="0.3">
      <c r="A272" s="1">
        <v>41737</v>
      </c>
      <c r="B272" s="1">
        <v>41758</v>
      </c>
      <c r="C272">
        <v>8.65</v>
      </c>
      <c r="D272">
        <v>0.23</v>
      </c>
      <c r="E272">
        <v>3</v>
      </c>
      <c r="F272">
        <f t="shared" si="56"/>
        <v>8.8800000000000008</v>
      </c>
      <c r="G272">
        <f t="shared" si="57"/>
        <v>4</v>
      </c>
      <c r="H272">
        <f t="shared" si="58"/>
        <v>0</v>
      </c>
      <c r="I272">
        <f t="shared" si="59"/>
        <v>0</v>
      </c>
      <c r="J272">
        <f t="shared" si="60"/>
        <v>0</v>
      </c>
      <c r="K272">
        <f t="shared" si="61"/>
        <v>8.8800000000000008</v>
      </c>
      <c r="L272">
        <f t="shared" si="62"/>
        <v>0</v>
      </c>
      <c r="M272">
        <f t="shared" si="63"/>
        <v>0</v>
      </c>
      <c r="N272">
        <f t="shared" si="64"/>
        <v>0</v>
      </c>
      <c r="O272">
        <f t="shared" si="65"/>
        <v>0</v>
      </c>
      <c r="P272">
        <f t="shared" si="66"/>
        <v>0</v>
      </c>
      <c r="Q272">
        <f t="shared" si="67"/>
        <v>0</v>
      </c>
      <c r="R272">
        <f t="shared" si="68"/>
        <v>0</v>
      </c>
      <c r="S272">
        <f t="shared" si="69"/>
        <v>0</v>
      </c>
    </row>
    <row r="273" spans="1:19" x14ac:dyDescent="0.3">
      <c r="A273" s="1">
        <v>41737</v>
      </c>
      <c r="B273" s="1">
        <v>41759</v>
      </c>
      <c r="C273">
        <v>7.06</v>
      </c>
      <c r="D273">
        <v>0.19</v>
      </c>
      <c r="E273">
        <v>2</v>
      </c>
      <c r="F273">
        <f t="shared" si="56"/>
        <v>7.25</v>
      </c>
      <c r="G273">
        <f t="shared" si="57"/>
        <v>4</v>
      </c>
      <c r="H273">
        <f t="shared" si="58"/>
        <v>0</v>
      </c>
      <c r="I273">
        <f t="shared" si="59"/>
        <v>0</v>
      </c>
      <c r="J273">
        <f t="shared" si="60"/>
        <v>0</v>
      </c>
      <c r="K273">
        <f t="shared" si="61"/>
        <v>7.25</v>
      </c>
      <c r="L273">
        <f t="shared" si="62"/>
        <v>0</v>
      </c>
      <c r="M273">
        <f t="shared" si="63"/>
        <v>0</v>
      </c>
      <c r="N273">
        <f t="shared" si="64"/>
        <v>0</v>
      </c>
      <c r="O273">
        <f t="shared" si="65"/>
        <v>0</v>
      </c>
      <c r="P273">
        <f t="shared" si="66"/>
        <v>0</v>
      </c>
      <c r="Q273">
        <f t="shared" si="67"/>
        <v>0</v>
      </c>
      <c r="R273">
        <f t="shared" si="68"/>
        <v>0</v>
      </c>
      <c r="S273">
        <f t="shared" si="69"/>
        <v>0</v>
      </c>
    </row>
    <row r="274" spans="1:19" x14ac:dyDescent="0.3">
      <c r="A274" s="1">
        <v>41737</v>
      </c>
      <c r="B274" s="1">
        <v>41762</v>
      </c>
      <c r="C274">
        <v>14</v>
      </c>
      <c r="D274">
        <v>0.37</v>
      </c>
      <c r="E274">
        <v>2</v>
      </c>
      <c r="F274">
        <f t="shared" si="56"/>
        <v>14.37</v>
      </c>
      <c r="G274">
        <f t="shared" si="57"/>
        <v>4</v>
      </c>
      <c r="H274">
        <f t="shared" si="58"/>
        <v>0</v>
      </c>
      <c r="I274">
        <f t="shared" si="59"/>
        <v>0</v>
      </c>
      <c r="J274">
        <f t="shared" si="60"/>
        <v>0</v>
      </c>
      <c r="K274">
        <f t="shared" si="61"/>
        <v>14.37</v>
      </c>
      <c r="L274">
        <f t="shared" si="62"/>
        <v>0</v>
      </c>
      <c r="M274">
        <f t="shared" si="63"/>
        <v>0</v>
      </c>
      <c r="N274">
        <f t="shared" si="64"/>
        <v>0</v>
      </c>
      <c r="O274">
        <f t="shared" si="65"/>
        <v>0</v>
      </c>
      <c r="P274">
        <f t="shared" si="66"/>
        <v>0</v>
      </c>
      <c r="Q274">
        <f t="shared" si="67"/>
        <v>0</v>
      </c>
      <c r="R274">
        <f t="shared" si="68"/>
        <v>0</v>
      </c>
      <c r="S274">
        <f t="shared" si="69"/>
        <v>0</v>
      </c>
    </row>
    <row r="275" spans="1:19" x14ac:dyDescent="0.3">
      <c r="A275" s="1">
        <v>41737</v>
      </c>
      <c r="B275" s="1">
        <v>41764</v>
      </c>
      <c r="C275">
        <v>16.940000000000001</v>
      </c>
      <c r="D275">
        <v>0.45</v>
      </c>
      <c r="E275">
        <v>4</v>
      </c>
      <c r="F275">
        <f t="shared" si="56"/>
        <v>17.39</v>
      </c>
      <c r="G275">
        <f t="shared" si="57"/>
        <v>4</v>
      </c>
      <c r="H275">
        <f t="shared" si="58"/>
        <v>0</v>
      </c>
      <c r="I275">
        <f t="shared" si="59"/>
        <v>0</v>
      </c>
      <c r="J275">
        <f t="shared" si="60"/>
        <v>0</v>
      </c>
      <c r="K275">
        <f t="shared" si="61"/>
        <v>17.39</v>
      </c>
      <c r="L275">
        <f t="shared" si="62"/>
        <v>0</v>
      </c>
      <c r="M275">
        <f t="shared" si="63"/>
        <v>0</v>
      </c>
      <c r="N275">
        <f t="shared" si="64"/>
        <v>0</v>
      </c>
      <c r="O275">
        <f t="shared" si="65"/>
        <v>0</v>
      </c>
      <c r="P275">
        <f t="shared" si="66"/>
        <v>0</v>
      </c>
      <c r="Q275">
        <f t="shared" si="67"/>
        <v>0</v>
      </c>
      <c r="R275">
        <f t="shared" si="68"/>
        <v>0</v>
      </c>
      <c r="S275">
        <f t="shared" si="69"/>
        <v>0</v>
      </c>
    </row>
    <row r="276" spans="1:19" x14ac:dyDescent="0.3">
      <c r="A276" s="1">
        <v>41743</v>
      </c>
      <c r="B276" s="1">
        <v>41759</v>
      </c>
      <c r="C276">
        <v>16.55</v>
      </c>
      <c r="D276">
        <v>0.44</v>
      </c>
      <c r="E276">
        <v>4</v>
      </c>
      <c r="F276">
        <f t="shared" si="56"/>
        <v>16.990000000000002</v>
      </c>
      <c r="G276">
        <f t="shared" si="57"/>
        <v>4</v>
      </c>
      <c r="H276">
        <f t="shared" si="58"/>
        <v>0</v>
      </c>
      <c r="I276">
        <f t="shared" si="59"/>
        <v>0</v>
      </c>
      <c r="J276">
        <f t="shared" si="60"/>
        <v>0</v>
      </c>
      <c r="K276">
        <f t="shared" si="61"/>
        <v>16.990000000000002</v>
      </c>
      <c r="L276">
        <f t="shared" si="62"/>
        <v>0</v>
      </c>
      <c r="M276">
        <f t="shared" si="63"/>
        <v>0</v>
      </c>
      <c r="N276">
        <f t="shared" si="64"/>
        <v>0</v>
      </c>
      <c r="O276">
        <f t="shared" si="65"/>
        <v>0</v>
      </c>
      <c r="P276">
        <f t="shared" si="66"/>
        <v>0</v>
      </c>
      <c r="Q276">
        <f t="shared" si="67"/>
        <v>0</v>
      </c>
      <c r="R276">
        <f t="shared" si="68"/>
        <v>0</v>
      </c>
      <c r="S276">
        <f t="shared" si="69"/>
        <v>0</v>
      </c>
    </row>
    <row r="277" spans="1:19" x14ac:dyDescent="0.3">
      <c r="A277" s="1">
        <v>41743</v>
      </c>
      <c r="B277" s="1">
        <v>41766</v>
      </c>
      <c r="C277">
        <v>14.13</v>
      </c>
      <c r="D277">
        <v>0.37</v>
      </c>
      <c r="E277">
        <v>6</v>
      </c>
      <c r="F277">
        <f t="shared" si="56"/>
        <v>14.5</v>
      </c>
      <c r="G277">
        <f t="shared" si="57"/>
        <v>4</v>
      </c>
      <c r="H277">
        <f t="shared" si="58"/>
        <v>0</v>
      </c>
      <c r="I277">
        <f t="shared" si="59"/>
        <v>0</v>
      </c>
      <c r="J277">
        <f t="shared" si="60"/>
        <v>0</v>
      </c>
      <c r="K277">
        <f t="shared" si="61"/>
        <v>14.5</v>
      </c>
      <c r="L277">
        <f t="shared" si="62"/>
        <v>0</v>
      </c>
      <c r="M277">
        <f t="shared" si="63"/>
        <v>0</v>
      </c>
      <c r="N277">
        <f t="shared" si="64"/>
        <v>0</v>
      </c>
      <c r="O277">
        <f t="shared" si="65"/>
        <v>0</v>
      </c>
      <c r="P277">
        <f t="shared" si="66"/>
        <v>0</v>
      </c>
      <c r="Q277">
        <f t="shared" si="67"/>
        <v>0</v>
      </c>
      <c r="R277">
        <f t="shared" si="68"/>
        <v>0</v>
      </c>
      <c r="S277">
        <f t="shared" si="69"/>
        <v>0</v>
      </c>
    </row>
    <row r="278" spans="1:19" x14ac:dyDescent="0.3">
      <c r="A278" s="1">
        <v>41743</v>
      </c>
      <c r="B278" s="1">
        <v>41761</v>
      </c>
      <c r="C278">
        <v>11.42</v>
      </c>
      <c r="D278">
        <v>0.3</v>
      </c>
      <c r="E278">
        <v>5</v>
      </c>
      <c r="F278">
        <f t="shared" si="56"/>
        <v>11.72</v>
      </c>
      <c r="G278">
        <f t="shared" si="57"/>
        <v>4</v>
      </c>
      <c r="H278">
        <f t="shared" si="58"/>
        <v>0</v>
      </c>
      <c r="I278">
        <f t="shared" si="59"/>
        <v>0</v>
      </c>
      <c r="J278">
        <f t="shared" si="60"/>
        <v>0</v>
      </c>
      <c r="K278">
        <f t="shared" si="61"/>
        <v>11.72</v>
      </c>
      <c r="L278">
        <f t="shared" si="62"/>
        <v>0</v>
      </c>
      <c r="M278">
        <f t="shared" si="63"/>
        <v>0</v>
      </c>
      <c r="N278">
        <f t="shared" si="64"/>
        <v>0</v>
      </c>
      <c r="O278">
        <f t="shared" si="65"/>
        <v>0</v>
      </c>
      <c r="P278">
        <f t="shared" si="66"/>
        <v>0</v>
      </c>
      <c r="Q278">
        <f t="shared" si="67"/>
        <v>0</v>
      </c>
      <c r="R278">
        <f t="shared" si="68"/>
        <v>0</v>
      </c>
      <c r="S278">
        <f t="shared" si="69"/>
        <v>0</v>
      </c>
    </row>
    <row r="279" spans="1:19" x14ac:dyDescent="0.3">
      <c r="A279" s="1">
        <v>41743</v>
      </c>
      <c r="B279" s="1">
        <v>41762</v>
      </c>
      <c r="C279">
        <v>16.829999999999998</v>
      </c>
      <c r="D279">
        <v>0.44</v>
      </c>
      <c r="E279">
        <v>5</v>
      </c>
      <c r="F279">
        <f t="shared" si="56"/>
        <v>17.27</v>
      </c>
      <c r="G279">
        <f t="shared" si="57"/>
        <v>4</v>
      </c>
      <c r="H279">
        <f t="shared" si="58"/>
        <v>0</v>
      </c>
      <c r="I279">
        <f t="shared" si="59"/>
        <v>0</v>
      </c>
      <c r="J279">
        <f t="shared" si="60"/>
        <v>0</v>
      </c>
      <c r="K279">
        <f t="shared" si="61"/>
        <v>17.27</v>
      </c>
      <c r="L279">
        <f t="shared" si="62"/>
        <v>0</v>
      </c>
      <c r="M279">
        <f t="shared" si="63"/>
        <v>0</v>
      </c>
      <c r="N279">
        <f t="shared" si="64"/>
        <v>0</v>
      </c>
      <c r="O279">
        <f t="shared" si="65"/>
        <v>0</v>
      </c>
      <c r="P279">
        <f t="shared" si="66"/>
        <v>0</v>
      </c>
      <c r="Q279">
        <f t="shared" si="67"/>
        <v>0</v>
      </c>
      <c r="R279">
        <f t="shared" si="68"/>
        <v>0</v>
      </c>
      <c r="S279">
        <f t="shared" si="69"/>
        <v>0</v>
      </c>
    </row>
    <row r="280" spans="1:19" x14ac:dyDescent="0.3">
      <c r="A280" s="1">
        <v>41743</v>
      </c>
      <c r="B280" s="1">
        <v>41768</v>
      </c>
      <c r="C280">
        <v>9.06</v>
      </c>
      <c r="D280">
        <v>0.24</v>
      </c>
      <c r="E280">
        <v>4</v>
      </c>
      <c r="F280">
        <f t="shared" si="56"/>
        <v>9.3000000000000007</v>
      </c>
      <c r="G280">
        <f t="shared" si="57"/>
        <v>4</v>
      </c>
      <c r="H280">
        <f t="shared" si="58"/>
        <v>0</v>
      </c>
      <c r="I280">
        <f t="shared" si="59"/>
        <v>0</v>
      </c>
      <c r="J280">
        <f t="shared" si="60"/>
        <v>0</v>
      </c>
      <c r="K280">
        <f t="shared" si="61"/>
        <v>9.3000000000000007</v>
      </c>
      <c r="L280">
        <f t="shared" si="62"/>
        <v>0</v>
      </c>
      <c r="M280">
        <f t="shared" si="63"/>
        <v>0</v>
      </c>
      <c r="N280">
        <f t="shared" si="64"/>
        <v>0</v>
      </c>
      <c r="O280">
        <f t="shared" si="65"/>
        <v>0</v>
      </c>
      <c r="P280">
        <f t="shared" si="66"/>
        <v>0</v>
      </c>
      <c r="Q280">
        <f t="shared" si="67"/>
        <v>0</v>
      </c>
      <c r="R280">
        <f t="shared" si="68"/>
        <v>0</v>
      </c>
      <c r="S280">
        <f t="shared" si="69"/>
        <v>0</v>
      </c>
    </row>
    <row r="281" spans="1:19" x14ac:dyDescent="0.3">
      <c r="A281" s="1">
        <v>41743</v>
      </c>
      <c r="B281" s="1">
        <v>41755</v>
      </c>
      <c r="C281">
        <v>11.69</v>
      </c>
      <c r="D281">
        <v>0.31</v>
      </c>
      <c r="E281">
        <v>5</v>
      </c>
      <c r="F281">
        <f t="shared" si="56"/>
        <v>12</v>
      </c>
      <c r="G281">
        <f t="shared" si="57"/>
        <v>4</v>
      </c>
      <c r="H281">
        <f t="shared" si="58"/>
        <v>0</v>
      </c>
      <c r="I281">
        <f t="shared" si="59"/>
        <v>0</v>
      </c>
      <c r="J281">
        <f t="shared" si="60"/>
        <v>0</v>
      </c>
      <c r="K281">
        <f t="shared" si="61"/>
        <v>12</v>
      </c>
      <c r="L281">
        <f t="shared" si="62"/>
        <v>0</v>
      </c>
      <c r="M281">
        <f t="shared" si="63"/>
        <v>0</v>
      </c>
      <c r="N281">
        <f t="shared" si="64"/>
        <v>0</v>
      </c>
      <c r="O281">
        <f t="shared" si="65"/>
        <v>0</v>
      </c>
      <c r="P281">
        <f t="shared" si="66"/>
        <v>0</v>
      </c>
      <c r="Q281">
        <f t="shared" si="67"/>
        <v>0</v>
      </c>
      <c r="R281">
        <f t="shared" si="68"/>
        <v>0</v>
      </c>
      <c r="S281">
        <f t="shared" si="69"/>
        <v>0</v>
      </c>
    </row>
    <row r="282" spans="1:19" x14ac:dyDescent="0.3">
      <c r="A282" s="1">
        <v>41747</v>
      </c>
      <c r="B282" s="1">
        <v>41772</v>
      </c>
      <c r="C282">
        <v>6.58</v>
      </c>
      <c r="D282">
        <v>0.17</v>
      </c>
      <c r="E282">
        <v>3</v>
      </c>
      <c r="F282">
        <f t="shared" si="56"/>
        <v>6.75</v>
      </c>
      <c r="G282">
        <f t="shared" si="57"/>
        <v>4</v>
      </c>
      <c r="H282">
        <f t="shared" si="58"/>
        <v>0</v>
      </c>
      <c r="I282">
        <f t="shared" si="59"/>
        <v>0</v>
      </c>
      <c r="J282">
        <f t="shared" si="60"/>
        <v>0</v>
      </c>
      <c r="K282">
        <f t="shared" si="61"/>
        <v>6.75</v>
      </c>
      <c r="L282">
        <f t="shared" si="62"/>
        <v>0</v>
      </c>
      <c r="M282">
        <f t="shared" si="63"/>
        <v>0</v>
      </c>
      <c r="N282">
        <f t="shared" si="64"/>
        <v>0</v>
      </c>
      <c r="O282">
        <f t="shared" si="65"/>
        <v>0</v>
      </c>
      <c r="P282">
        <f t="shared" si="66"/>
        <v>0</v>
      </c>
      <c r="Q282">
        <f t="shared" si="67"/>
        <v>0</v>
      </c>
      <c r="R282">
        <f t="shared" si="68"/>
        <v>0</v>
      </c>
      <c r="S282">
        <f t="shared" si="69"/>
        <v>0</v>
      </c>
    </row>
    <row r="283" spans="1:19" x14ac:dyDescent="0.3">
      <c r="A283" s="1">
        <v>41749</v>
      </c>
      <c r="B283" s="1">
        <v>41755</v>
      </c>
      <c r="C283">
        <v>11.44</v>
      </c>
      <c r="D283">
        <v>0.3</v>
      </c>
      <c r="E283">
        <v>6</v>
      </c>
      <c r="F283">
        <f t="shared" si="56"/>
        <v>11.74</v>
      </c>
      <c r="G283">
        <f t="shared" si="57"/>
        <v>4</v>
      </c>
      <c r="H283">
        <f t="shared" si="58"/>
        <v>0</v>
      </c>
      <c r="I283">
        <f t="shared" si="59"/>
        <v>0</v>
      </c>
      <c r="J283">
        <f t="shared" si="60"/>
        <v>0</v>
      </c>
      <c r="K283">
        <f t="shared" si="61"/>
        <v>11.74</v>
      </c>
      <c r="L283">
        <f t="shared" si="62"/>
        <v>0</v>
      </c>
      <c r="M283">
        <f t="shared" si="63"/>
        <v>0</v>
      </c>
      <c r="N283">
        <f t="shared" si="64"/>
        <v>0</v>
      </c>
      <c r="O283">
        <f t="shared" si="65"/>
        <v>0</v>
      </c>
      <c r="P283">
        <f t="shared" si="66"/>
        <v>0</v>
      </c>
      <c r="Q283">
        <f t="shared" si="67"/>
        <v>0</v>
      </c>
      <c r="R283">
        <f t="shared" si="68"/>
        <v>0</v>
      </c>
      <c r="S283">
        <f t="shared" si="69"/>
        <v>0</v>
      </c>
    </row>
    <row r="284" spans="1:19" x14ac:dyDescent="0.3">
      <c r="A284" s="1">
        <v>41749</v>
      </c>
      <c r="B284" s="1">
        <v>41763</v>
      </c>
      <c r="C284">
        <v>6.75</v>
      </c>
      <c r="D284">
        <v>0.18</v>
      </c>
      <c r="E284">
        <v>6</v>
      </c>
      <c r="F284">
        <f t="shared" si="56"/>
        <v>6.93</v>
      </c>
      <c r="G284">
        <f t="shared" si="57"/>
        <v>4</v>
      </c>
      <c r="H284">
        <f t="shared" si="58"/>
        <v>0</v>
      </c>
      <c r="I284">
        <f t="shared" si="59"/>
        <v>0</v>
      </c>
      <c r="J284">
        <f t="shared" si="60"/>
        <v>0</v>
      </c>
      <c r="K284">
        <f t="shared" si="61"/>
        <v>6.93</v>
      </c>
      <c r="L284">
        <f t="shared" si="62"/>
        <v>0</v>
      </c>
      <c r="M284">
        <f t="shared" si="63"/>
        <v>0</v>
      </c>
      <c r="N284">
        <f t="shared" si="64"/>
        <v>0</v>
      </c>
      <c r="O284">
        <f t="shared" si="65"/>
        <v>0</v>
      </c>
      <c r="P284">
        <f t="shared" si="66"/>
        <v>0</v>
      </c>
      <c r="Q284">
        <f t="shared" si="67"/>
        <v>0</v>
      </c>
      <c r="R284">
        <f t="shared" si="68"/>
        <v>0</v>
      </c>
      <c r="S284">
        <f t="shared" si="69"/>
        <v>0</v>
      </c>
    </row>
    <row r="285" spans="1:19" x14ac:dyDescent="0.3">
      <c r="A285" s="1">
        <v>41752</v>
      </c>
      <c r="B285" s="1">
        <v>41771</v>
      </c>
      <c r="C285">
        <v>7.71</v>
      </c>
      <c r="D285">
        <v>0.2</v>
      </c>
      <c r="E285">
        <v>5</v>
      </c>
      <c r="F285">
        <f t="shared" si="56"/>
        <v>7.91</v>
      </c>
      <c r="G285">
        <f t="shared" si="57"/>
        <v>4</v>
      </c>
      <c r="H285">
        <f t="shared" si="58"/>
        <v>0</v>
      </c>
      <c r="I285">
        <f t="shared" si="59"/>
        <v>0</v>
      </c>
      <c r="J285">
        <f t="shared" si="60"/>
        <v>0</v>
      </c>
      <c r="K285">
        <f t="shared" si="61"/>
        <v>7.91</v>
      </c>
      <c r="L285">
        <f t="shared" si="62"/>
        <v>0</v>
      </c>
      <c r="M285">
        <f t="shared" si="63"/>
        <v>0</v>
      </c>
      <c r="N285">
        <f t="shared" si="64"/>
        <v>0</v>
      </c>
      <c r="O285">
        <f t="shared" si="65"/>
        <v>0</v>
      </c>
      <c r="P285">
        <f t="shared" si="66"/>
        <v>0</v>
      </c>
      <c r="Q285">
        <f t="shared" si="67"/>
        <v>0</v>
      </c>
      <c r="R285">
        <f t="shared" si="68"/>
        <v>0</v>
      </c>
      <c r="S285">
        <f t="shared" si="69"/>
        <v>0</v>
      </c>
    </row>
    <row r="286" spans="1:19" x14ac:dyDescent="0.3">
      <c r="A286" s="1">
        <v>41752</v>
      </c>
      <c r="B286" s="1">
        <v>41754</v>
      </c>
      <c r="C286">
        <v>6.75</v>
      </c>
      <c r="D286">
        <v>0.18</v>
      </c>
      <c r="E286">
        <v>4</v>
      </c>
      <c r="F286">
        <f t="shared" si="56"/>
        <v>6.93</v>
      </c>
      <c r="G286">
        <f t="shared" si="57"/>
        <v>4</v>
      </c>
      <c r="H286">
        <f t="shared" si="58"/>
        <v>0</v>
      </c>
      <c r="I286">
        <f t="shared" si="59"/>
        <v>0</v>
      </c>
      <c r="J286">
        <f t="shared" si="60"/>
        <v>0</v>
      </c>
      <c r="K286">
        <f t="shared" si="61"/>
        <v>6.93</v>
      </c>
      <c r="L286">
        <f t="shared" si="62"/>
        <v>0</v>
      </c>
      <c r="M286">
        <f t="shared" si="63"/>
        <v>0</v>
      </c>
      <c r="N286">
        <f t="shared" si="64"/>
        <v>0</v>
      </c>
      <c r="O286">
        <f t="shared" si="65"/>
        <v>0</v>
      </c>
      <c r="P286">
        <f t="shared" si="66"/>
        <v>0</v>
      </c>
      <c r="Q286">
        <f t="shared" si="67"/>
        <v>0</v>
      </c>
      <c r="R286">
        <f t="shared" si="68"/>
        <v>0</v>
      </c>
      <c r="S286">
        <f t="shared" si="69"/>
        <v>0</v>
      </c>
    </row>
    <row r="287" spans="1:19" x14ac:dyDescent="0.3">
      <c r="A287" s="1">
        <v>41753</v>
      </c>
      <c r="B287" s="1">
        <v>41758</v>
      </c>
      <c r="C287">
        <v>3.57</v>
      </c>
      <c r="D287">
        <v>0.09</v>
      </c>
      <c r="E287">
        <v>2</v>
      </c>
      <c r="F287">
        <f t="shared" si="56"/>
        <v>3.6599999999999997</v>
      </c>
      <c r="G287">
        <f t="shared" si="57"/>
        <v>4</v>
      </c>
      <c r="H287">
        <f t="shared" si="58"/>
        <v>0</v>
      </c>
      <c r="I287">
        <f t="shared" si="59"/>
        <v>0</v>
      </c>
      <c r="J287">
        <f t="shared" si="60"/>
        <v>0</v>
      </c>
      <c r="K287">
        <f t="shared" si="61"/>
        <v>3.6599999999999997</v>
      </c>
      <c r="L287">
        <f t="shared" si="62"/>
        <v>0</v>
      </c>
      <c r="M287">
        <f t="shared" si="63"/>
        <v>0</v>
      </c>
      <c r="N287">
        <f t="shared" si="64"/>
        <v>0</v>
      </c>
      <c r="O287">
        <f t="shared" si="65"/>
        <v>0</v>
      </c>
      <c r="P287">
        <f t="shared" si="66"/>
        <v>0</v>
      </c>
      <c r="Q287">
        <f t="shared" si="67"/>
        <v>0</v>
      </c>
      <c r="R287">
        <f t="shared" si="68"/>
        <v>0</v>
      </c>
      <c r="S287">
        <f t="shared" si="69"/>
        <v>0</v>
      </c>
    </row>
    <row r="288" spans="1:19" x14ac:dyDescent="0.3">
      <c r="A288" s="1">
        <v>41755</v>
      </c>
      <c r="B288" s="1">
        <v>41782</v>
      </c>
      <c r="C288">
        <v>10.19</v>
      </c>
      <c r="D288">
        <v>0.27</v>
      </c>
      <c r="E288">
        <v>3</v>
      </c>
      <c r="F288">
        <f t="shared" si="56"/>
        <v>10.459999999999999</v>
      </c>
      <c r="G288">
        <f t="shared" si="57"/>
        <v>4</v>
      </c>
      <c r="H288">
        <f t="shared" si="58"/>
        <v>0</v>
      </c>
      <c r="I288">
        <f t="shared" si="59"/>
        <v>0</v>
      </c>
      <c r="J288">
        <f t="shared" si="60"/>
        <v>0</v>
      </c>
      <c r="K288">
        <f t="shared" si="61"/>
        <v>10.459999999999999</v>
      </c>
      <c r="L288">
        <f t="shared" si="62"/>
        <v>0</v>
      </c>
      <c r="M288">
        <f t="shared" si="63"/>
        <v>0</v>
      </c>
      <c r="N288">
        <f t="shared" si="64"/>
        <v>0</v>
      </c>
      <c r="O288">
        <f t="shared" si="65"/>
        <v>0</v>
      </c>
      <c r="P288">
        <f t="shared" si="66"/>
        <v>0</v>
      </c>
      <c r="Q288">
        <f t="shared" si="67"/>
        <v>0</v>
      </c>
      <c r="R288">
        <f t="shared" si="68"/>
        <v>0</v>
      </c>
      <c r="S288">
        <f t="shared" si="69"/>
        <v>0</v>
      </c>
    </row>
    <row r="289" spans="1:19" x14ac:dyDescent="0.3">
      <c r="A289" s="1">
        <v>41755</v>
      </c>
      <c r="B289" s="1">
        <v>41779</v>
      </c>
      <c r="C289">
        <v>11.78</v>
      </c>
      <c r="D289">
        <v>0.31</v>
      </c>
      <c r="E289">
        <v>3</v>
      </c>
      <c r="F289">
        <f t="shared" si="56"/>
        <v>12.09</v>
      </c>
      <c r="G289">
        <f t="shared" si="57"/>
        <v>4</v>
      </c>
      <c r="H289">
        <f t="shared" si="58"/>
        <v>0</v>
      </c>
      <c r="I289">
        <f t="shared" si="59"/>
        <v>0</v>
      </c>
      <c r="J289">
        <f t="shared" si="60"/>
        <v>0</v>
      </c>
      <c r="K289">
        <f t="shared" si="61"/>
        <v>12.09</v>
      </c>
      <c r="L289">
        <f t="shared" si="62"/>
        <v>0</v>
      </c>
      <c r="M289">
        <f t="shared" si="63"/>
        <v>0</v>
      </c>
      <c r="N289">
        <f t="shared" si="64"/>
        <v>0</v>
      </c>
      <c r="O289">
        <f t="shared" si="65"/>
        <v>0</v>
      </c>
      <c r="P289">
        <f t="shared" si="66"/>
        <v>0</v>
      </c>
      <c r="Q289">
        <f t="shared" si="67"/>
        <v>0</v>
      </c>
      <c r="R289">
        <f t="shared" si="68"/>
        <v>0</v>
      </c>
      <c r="S289">
        <f t="shared" si="69"/>
        <v>0</v>
      </c>
    </row>
    <row r="290" spans="1:19" x14ac:dyDescent="0.3">
      <c r="A290" s="1">
        <v>41755</v>
      </c>
      <c r="B290" s="1">
        <v>41771</v>
      </c>
      <c r="C290">
        <v>3.79</v>
      </c>
      <c r="D290">
        <v>0.1</v>
      </c>
      <c r="E290">
        <v>3</v>
      </c>
      <c r="F290">
        <f t="shared" si="56"/>
        <v>3.89</v>
      </c>
      <c r="G290">
        <f t="shared" si="57"/>
        <v>4</v>
      </c>
      <c r="H290">
        <f t="shared" si="58"/>
        <v>0</v>
      </c>
      <c r="I290">
        <f t="shared" si="59"/>
        <v>0</v>
      </c>
      <c r="J290">
        <f t="shared" si="60"/>
        <v>0</v>
      </c>
      <c r="K290">
        <f t="shared" si="61"/>
        <v>3.89</v>
      </c>
      <c r="L290">
        <f t="shared" si="62"/>
        <v>0</v>
      </c>
      <c r="M290">
        <f t="shared" si="63"/>
        <v>0</v>
      </c>
      <c r="N290">
        <f t="shared" si="64"/>
        <v>0</v>
      </c>
      <c r="O290">
        <f t="shared" si="65"/>
        <v>0</v>
      </c>
      <c r="P290">
        <f t="shared" si="66"/>
        <v>0</v>
      </c>
      <c r="Q290">
        <f t="shared" si="67"/>
        <v>0</v>
      </c>
      <c r="R290">
        <f t="shared" si="68"/>
        <v>0</v>
      </c>
      <c r="S290">
        <f t="shared" si="69"/>
        <v>0</v>
      </c>
    </row>
    <row r="291" spans="1:19" x14ac:dyDescent="0.3">
      <c r="A291" s="1">
        <v>41755</v>
      </c>
      <c r="B291" s="1">
        <v>41761</v>
      </c>
      <c r="C291">
        <v>6.75</v>
      </c>
      <c r="D291">
        <v>0.18</v>
      </c>
      <c r="E291">
        <v>6</v>
      </c>
      <c r="F291">
        <f t="shared" si="56"/>
        <v>6.93</v>
      </c>
      <c r="G291">
        <f t="shared" si="57"/>
        <v>4</v>
      </c>
      <c r="H291">
        <f t="shared" si="58"/>
        <v>0</v>
      </c>
      <c r="I291">
        <f t="shared" si="59"/>
        <v>0</v>
      </c>
      <c r="J291">
        <f t="shared" si="60"/>
        <v>0</v>
      </c>
      <c r="K291">
        <f t="shared" si="61"/>
        <v>6.93</v>
      </c>
      <c r="L291">
        <f t="shared" si="62"/>
        <v>0</v>
      </c>
      <c r="M291">
        <f t="shared" si="63"/>
        <v>0</v>
      </c>
      <c r="N291">
        <f t="shared" si="64"/>
        <v>0</v>
      </c>
      <c r="O291">
        <f t="shared" si="65"/>
        <v>0</v>
      </c>
      <c r="P291">
        <f t="shared" si="66"/>
        <v>0</v>
      </c>
      <c r="Q291">
        <f t="shared" si="67"/>
        <v>0</v>
      </c>
      <c r="R291">
        <f t="shared" si="68"/>
        <v>0</v>
      </c>
      <c r="S291">
        <f t="shared" si="69"/>
        <v>0</v>
      </c>
    </row>
    <row r="292" spans="1:19" x14ac:dyDescent="0.3">
      <c r="A292" s="1">
        <v>41755</v>
      </c>
      <c r="B292" s="1">
        <v>41767</v>
      </c>
      <c r="C292">
        <v>12.01</v>
      </c>
      <c r="D292">
        <v>0.32</v>
      </c>
      <c r="E292">
        <v>2</v>
      </c>
      <c r="F292">
        <f t="shared" si="56"/>
        <v>12.33</v>
      </c>
      <c r="G292">
        <f t="shared" si="57"/>
        <v>4</v>
      </c>
      <c r="H292">
        <f t="shared" si="58"/>
        <v>0</v>
      </c>
      <c r="I292">
        <f t="shared" si="59"/>
        <v>0</v>
      </c>
      <c r="J292">
        <f t="shared" si="60"/>
        <v>0</v>
      </c>
      <c r="K292">
        <f t="shared" si="61"/>
        <v>12.33</v>
      </c>
      <c r="L292">
        <f t="shared" si="62"/>
        <v>0</v>
      </c>
      <c r="M292">
        <f t="shared" si="63"/>
        <v>0</v>
      </c>
      <c r="N292">
        <f t="shared" si="64"/>
        <v>0</v>
      </c>
      <c r="O292">
        <f t="shared" si="65"/>
        <v>0</v>
      </c>
      <c r="P292">
        <f t="shared" si="66"/>
        <v>0</v>
      </c>
      <c r="Q292">
        <f t="shared" si="67"/>
        <v>0</v>
      </c>
      <c r="R292">
        <f t="shared" si="68"/>
        <v>0</v>
      </c>
      <c r="S292">
        <f t="shared" si="69"/>
        <v>0</v>
      </c>
    </row>
    <row r="293" spans="1:19" x14ac:dyDescent="0.3">
      <c r="A293" s="1">
        <v>41755</v>
      </c>
      <c r="B293" s="1">
        <v>41764</v>
      </c>
      <c r="C293">
        <v>2.0099999999999998</v>
      </c>
      <c r="D293">
        <v>0.05</v>
      </c>
      <c r="E293">
        <v>2</v>
      </c>
      <c r="F293">
        <f t="shared" si="56"/>
        <v>2.0599999999999996</v>
      </c>
      <c r="G293">
        <f t="shared" si="57"/>
        <v>4</v>
      </c>
      <c r="H293">
        <f t="shared" si="58"/>
        <v>0</v>
      </c>
      <c r="I293">
        <f t="shared" si="59"/>
        <v>0</v>
      </c>
      <c r="J293">
        <f t="shared" si="60"/>
        <v>0</v>
      </c>
      <c r="K293">
        <f t="shared" si="61"/>
        <v>2.0599999999999996</v>
      </c>
      <c r="L293">
        <f t="shared" si="62"/>
        <v>0</v>
      </c>
      <c r="M293">
        <f t="shared" si="63"/>
        <v>0</v>
      </c>
      <c r="N293">
        <f t="shared" si="64"/>
        <v>0</v>
      </c>
      <c r="O293">
        <f t="shared" si="65"/>
        <v>0</v>
      </c>
      <c r="P293">
        <f t="shared" si="66"/>
        <v>0</v>
      </c>
      <c r="Q293">
        <f t="shared" si="67"/>
        <v>0</v>
      </c>
      <c r="R293">
        <f t="shared" si="68"/>
        <v>0</v>
      </c>
      <c r="S293">
        <f t="shared" si="69"/>
        <v>0</v>
      </c>
    </row>
    <row r="294" spans="1:19" x14ac:dyDescent="0.3">
      <c r="A294" s="1">
        <v>41757</v>
      </c>
      <c r="B294" s="1">
        <v>41768</v>
      </c>
      <c r="C294">
        <v>9.06</v>
      </c>
      <c r="D294">
        <v>0.24</v>
      </c>
      <c r="E294">
        <v>5</v>
      </c>
      <c r="F294">
        <f t="shared" si="56"/>
        <v>9.3000000000000007</v>
      </c>
      <c r="G294">
        <f t="shared" si="57"/>
        <v>4</v>
      </c>
      <c r="H294">
        <f t="shared" si="58"/>
        <v>0</v>
      </c>
      <c r="I294">
        <f t="shared" si="59"/>
        <v>0</v>
      </c>
      <c r="J294">
        <f t="shared" si="60"/>
        <v>0</v>
      </c>
      <c r="K294">
        <f t="shared" si="61"/>
        <v>9.3000000000000007</v>
      </c>
      <c r="L294">
        <f t="shared" si="62"/>
        <v>0</v>
      </c>
      <c r="M294">
        <f t="shared" si="63"/>
        <v>0</v>
      </c>
      <c r="N294">
        <f t="shared" si="64"/>
        <v>0</v>
      </c>
      <c r="O294">
        <f t="shared" si="65"/>
        <v>0</v>
      </c>
      <c r="P294">
        <f t="shared" si="66"/>
        <v>0</v>
      </c>
      <c r="Q294">
        <f t="shared" si="67"/>
        <v>0</v>
      </c>
      <c r="R294">
        <f t="shared" si="68"/>
        <v>0</v>
      </c>
      <c r="S294">
        <f t="shared" si="69"/>
        <v>0</v>
      </c>
    </row>
    <row r="295" spans="1:19" x14ac:dyDescent="0.3">
      <c r="A295" s="1">
        <v>41761</v>
      </c>
      <c r="B295" s="1">
        <v>41786</v>
      </c>
      <c r="C295">
        <v>13.81</v>
      </c>
      <c r="D295">
        <v>0.36</v>
      </c>
      <c r="E295">
        <v>3</v>
      </c>
      <c r="F295">
        <f t="shared" si="56"/>
        <v>14.17</v>
      </c>
      <c r="G295">
        <f t="shared" si="57"/>
        <v>5</v>
      </c>
      <c r="H295">
        <f t="shared" si="58"/>
        <v>0</v>
      </c>
      <c r="I295">
        <f t="shared" si="59"/>
        <v>0</v>
      </c>
      <c r="J295">
        <f t="shared" si="60"/>
        <v>0</v>
      </c>
      <c r="K295">
        <f t="shared" si="61"/>
        <v>0</v>
      </c>
      <c r="L295">
        <f t="shared" si="62"/>
        <v>14.17</v>
      </c>
      <c r="M295">
        <f t="shared" si="63"/>
        <v>0</v>
      </c>
      <c r="N295">
        <f t="shared" si="64"/>
        <v>0</v>
      </c>
      <c r="O295">
        <f t="shared" si="65"/>
        <v>0</v>
      </c>
      <c r="P295">
        <f t="shared" si="66"/>
        <v>0</v>
      </c>
      <c r="Q295">
        <f t="shared" si="67"/>
        <v>0</v>
      </c>
      <c r="R295">
        <f t="shared" si="68"/>
        <v>0</v>
      </c>
      <c r="S295">
        <f t="shared" si="69"/>
        <v>0</v>
      </c>
    </row>
    <row r="296" spans="1:19" x14ac:dyDescent="0.3">
      <c r="A296" s="1">
        <v>41761</v>
      </c>
      <c r="B296" s="1">
        <v>41782</v>
      </c>
      <c r="C296">
        <v>5.47</v>
      </c>
      <c r="D296">
        <v>0.14000000000000001</v>
      </c>
      <c r="E296">
        <v>3</v>
      </c>
      <c r="F296">
        <f t="shared" si="56"/>
        <v>5.6099999999999994</v>
      </c>
      <c r="G296">
        <f t="shared" si="57"/>
        <v>5</v>
      </c>
      <c r="H296">
        <f t="shared" si="58"/>
        <v>0</v>
      </c>
      <c r="I296">
        <f t="shared" si="59"/>
        <v>0</v>
      </c>
      <c r="J296">
        <f t="shared" si="60"/>
        <v>0</v>
      </c>
      <c r="K296">
        <f t="shared" si="61"/>
        <v>0</v>
      </c>
      <c r="L296">
        <f t="shared" si="62"/>
        <v>5.6099999999999994</v>
      </c>
      <c r="M296">
        <f t="shared" si="63"/>
        <v>0</v>
      </c>
      <c r="N296">
        <f t="shared" si="64"/>
        <v>0</v>
      </c>
      <c r="O296">
        <f t="shared" si="65"/>
        <v>0</v>
      </c>
      <c r="P296">
        <f t="shared" si="66"/>
        <v>0</v>
      </c>
      <c r="Q296">
        <f t="shared" si="67"/>
        <v>0</v>
      </c>
      <c r="R296">
        <f t="shared" si="68"/>
        <v>0</v>
      </c>
      <c r="S296">
        <f t="shared" si="69"/>
        <v>0</v>
      </c>
    </row>
    <row r="297" spans="1:19" x14ac:dyDescent="0.3">
      <c r="A297" s="1">
        <v>41761</v>
      </c>
      <c r="B297" s="1">
        <v>41777</v>
      </c>
      <c r="C297">
        <v>9.06</v>
      </c>
      <c r="D297">
        <v>0.24</v>
      </c>
      <c r="E297">
        <v>5</v>
      </c>
      <c r="F297">
        <f t="shared" si="56"/>
        <v>9.3000000000000007</v>
      </c>
      <c r="G297">
        <f t="shared" si="57"/>
        <v>5</v>
      </c>
      <c r="H297">
        <f t="shared" si="58"/>
        <v>0</v>
      </c>
      <c r="I297">
        <f t="shared" si="59"/>
        <v>0</v>
      </c>
      <c r="J297">
        <f t="shared" si="60"/>
        <v>0</v>
      </c>
      <c r="K297">
        <f t="shared" si="61"/>
        <v>0</v>
      </c>
      <c r="L297">
        <f t="shared" si="62"/>
        <v>9.3000000000000007</v>
      </c>
      <c r="M297">
        <f t="shared" si="63"/>
        <v>0</v>
      </c>
      <c r="N297">
        <f t="shared" si="64"/>
        <v>0</v>
      </c>
      <c r="O297">
        <f t="shared" si="65"/>
        <v>0</v>
      </c>
      <c r="P297">
        <f t="shared" si="66"/>
        <v>0</v>
      </c>
      <c r="Q297">
        <f t="shared" si="67"/>
        <v>0</v>
      </c>
      <c r="R297">
        <f t="shared" si="68"/>
        <v>0</v>
      </c>
      <c r="S297">
        <f t="shared" si="69"/>
        <v>0</v>
      </c>
    </row>
    <row r="298" spans="1:19" x14ac:dyDescent="0.3">
      <c r="A298" s="1">
        <v>41764</v>
      </c>
      <c r="B298" s="1">
        <v>41780</v>
      </c>
      <c r="C298">
        <v>8.39</v>
      </c>
      <c r="D298">
        <v>0.22</v>
      </c>
      <c r="E298">
        <v>5</v>
      </c>
      <c r="F298">
        <f t="shared" si="56"/>
        <v>8.6100000000000012</v>
      </c>
      <c r="G298">
        <f t="shared" si="57"/>
        <v>5</v>
      </c>
      <c r="H298">
        <f t="shared" si="58"/>
        <v>0</v>
      </c>
      <c r="I298">
        <f t="shared" si="59"/>
        <v>0</v>
      </c>
      <c r="J298">
        <f t="shared" si="60"/>
        <v>0</v>
      </c>
      <c r="K298">
        <f t="shared" si="61"/>
        <v>0</v>
      </c>
      <c r="L298">
        <f t="shared" si="62"/>
        <v>8.6100000000000012</v>
      </c>
      <c r="M298">
        <f t="shared" si="63"/>
        <v>0</v>
      </c>
      <c r="N298">
        <f t="shared" si="64"/>
        <v>0</v>
      </c>
      <c r="O298">
        <f t="shared" si="65"/>
        <v>0</v>
      </c>
      <c r="P298">
        <f t="shared" si="66"/>
        <v>0</v>
      </c>
      <c r="Q298">
        <f t="shared" si="67"/>
        <v>0</v>
      </c>
      <c r="R298">
        <f t="shared" si="68"/>
        <v>0</v>
      </c>
      <c r="S298">
        <f t="shared" si="69"/>
        <v>0</v>
      </c>
    </row>
    <row r="299" spans="1:19" x14ac:dyDescent="0.3">
      <c r="A299" s="1">
        <v>41764</v>
      </c>
      <c r="B299" s="1">
        <v>41776</v>
      </c>
      <c r="C299">
        <v>3.73</v>
      </c>
      <c r="D299">
        <v>0.1</v>
      </c>
      <c r="E299">
        <v>5</v>
      </c>
      <c r="F299">
        <f t="shared" si="56"/>
        <v>3.83</v>
      </c>
      <c r="G299">
        <f t="shared" si="57"/>
        <v>5</v>
      </c>
      <c r="H299">
        <f t="shared" si="58"/>
        <v>0</v>
      </c>
      <c r="I299">
        <f t="shared" si="59"/>
        <v>0</v>
      </c>
      <c r="J299">
        <f t="shared" si="60"/>
        <v>0</v>
      </c>
      <c r="K299">
        <f t="shared" si="61"/>
        <v>0</v>
      </c>
      <c r="L299">
        <f t="shared" si="62"/>
        <v>3.83</v>
      </c>
      <c r="M299">
        <f t="shared" si="63"/>
        <v>0</v>
      </c>
      <c r="N299">
        <f t="shared" si="64"/>
        <v>0</v>
      </c>
      <c r="O299">
        <f t="shared" si="65"/>
        <v>0</v>
      </c>
      <c r="P299">
        <f t="shared" si="66"/>
        <v>0</v>
      </c>
      <c r="Q299">
        <f t="shared" si="67"/>
        <v>0</v>
      </c>
      <c r="R299">
        <f t="shared" si="68"/>
        <v>0</v>
      </c>
      <c r="S299">
        <f t="shared" si="69"/>
        <v>0</v>
      </c>
    </row>
    <row r="300" spans="1:19" x14ac:dyDescent="0.3">
      <c r="A300" s="1">
        <v>41765</v>
      </c>
      <c r="B300" s="1">
        <v>41773</v>
      </c>
      <c r="C300">
        <v>7.31</v>
      </c>
      <c r="D300">
        <v>0.19</v>
      </c>
      <c r="E300">
        <v>4</v>
      </c>
      <c r="F300">
        <f t="shared" si="56"/>
        <v>7.5</v>
      </c>
      <c r="G300">
        <f t="shared" si="57"/>
        <v>5</v>
      </c>
      <c r="H300">
        <f t="shared" si="58"/>
        <v>0</v>
      </c>
      <c r="I300">
        <f t="shared" si="59"/>
        <v>0</v>
      </c>
      <c r="J300">
        <f t="shared" si="60"/>
        <v>0</v>
      </c>
      <c r="K300">
        <f t="shared" si="61"/>
        <v>0</v>
      </c>
      <c r="L300">
        <f t="shared" si="62"/>
        <v>7.5</v>
      </c>
      <c r="M300">
        <f t="shared" si="63"/>
        <v>0</v>
      </c>
      <c r="N300">
        <f t="shared" si="64"/>
        <v>0</v>
      </c>
      <c r="O300">
        <f t="shared" si="65"/>
        <v>0</v>
      </c>
      <c r="P300">
        <f t="shared" si="66"/>
        <v>0</v>
      </c>
      <c r="Q300">
        <f t="shared" si="67"/>
        <v>0</v>
      </c>
      <c r="R300">
        <f t="shared" si="68"/>
        <v>0</v>
      </c>
      <c r="S300">
        <f t="shared" si="69"/>
        <v>0</v>
      </c>
    </row>
    <row r="301" spans="1:19" x14ac:dyDescent="0.3">
      <c r="A301" s="1">
        <v>41767</v>
      </c>
      <c r="B301" s="1">
        <v>41780</v>
      </c>
      <c r="C301">
        <v>14.31</v>
      </c>
      <c r="D301">
        <v>0.38</v>
      </c>
      <c r="E301">
        <v>6</v>
      </c>
      <c r="F301">
        <f t="shared" si="56"/>
        <v>14.690000000000001</v>
      </c>
      <c r="G301">
        <f t="shared" si="57"/>
        <v>5</v>
      </c>
      <c r="H301">
        <f t="shared" si="58"/>
        <v>0</v>
      </c>
      <c r="I301">
        <f t="shared" si="59"/>
        <v>0</v>
      </c>
      <c r="J301">
        <f t="shared" si="60"/>
        <v>0</v>
      </c>
      <c r="K301">
        <f t="shared" si="61"/>
        <v>0</v>
      </c>
      <c r="L301">
        <f t="shared" si="62"/>
        <v>14.690000000000001</v>
      </c>
      <c r="M301">
        <f t="shared" si="63"/>
        <v>0</v>
      </c>
      <c r="N301">
        <f t="shared" si="64"/>
        <v>0</v>
      </c>
      <c r="O301">
        <f t="shared" si="65"/>
        <v>0</v>
      </c>
      <c r="P301">
        <f t="shared" si="66"/>
        <v>0</v>
      </c>
      <c r="Q301">
        <f t="shared" si="67"/>
        <v>0</v>
      </c>
      <c r="R301">
        <f t="shared" si="68"/>
        <v>0</v>
      </c>
      <c r="S301">
        <f t="shared" si="69"/>
        <v>0</v>
      </c>
    </row>
    <row r="302" spans="1:19" x14ac:dyDescent="0.3">
      <c r="A302" s="1">
        <v>41767</v>
      </c>
      <c r="B302" s="1">
        <v>41794</v>
      </c>
      <c r="C302">
        <v>14.13</v>
      </c>
      <c r="D302">
        <v>0.37</v>
      </c>
      <c r="E302">
        <v>4</v>
      </c>
      <c r="F302">
        <f t="shared" si="56"/>
        <v>14.5</v>
      </c>
      <c r="G302">
        <f t="shared" si="57"/>
        <v>5</v>
      </c>
      <c r="H302">
        <f t="shared" si="58"/>
        <v>0</v>
      </c>
      <c r="I302">
        <f t="shared" si="59"/>
        <v>0</v>
      </c>
      <c r="J302">
        <f t="shared" si="60"/>
        <v>0</v>
      </c>
      <c r="K302">
        <f t="shared" si="61"/>
        <v>0</v>
      </c>
      <c r="L302">
        <f t="shared" si="62"/>
        <v>14.5</v>
      </c>
      <c r="M302">
        <f t="shared" si="63"/>
        <v>0</v>
      </c>
      <c r="N302">
        <f t="shared" si="64"/>
        <v>0</v>
      </c>
      <c r="O302">
        <f t="shared" si="65"/>
        <v>0</v>
      </c>
      <c r="P302">
        <f t="shared" si="66"/>
        <v>0</v>
      </c>
      <c r="Q302">
        <f t="shared" si="67"/>
        <v>0</v>
      </c>
      <c r="R302">
        <f t="shared" si="68"/>
        <v>0</v>
      </c>
      <c r="S302">
        <f t="shared" si="69"/>
        <v>0</v>
      </c>
    </row>
    <row r="303" spans="1:19" x14ac:dyDescent="0.3">
      <c r="A303" s="1">
        <v>41767</v>
      </c>
      <c r="B303" s="1">
        <v>41777</v>
      </c>
      <c r="C303">
        <v>3.88</v>
      </c>
      <c r="D303">
        <v>0.1</v>
      </c>
      <c r="E303">
        <v>5</v>
      </c>
      <c r="F303">
        <f t="shared" si="56"/>
        <v>3.98</v>
      </c>
      <c r="G303">
        <f t="shared" si="57"/>
        <v>5</v>
      </c>
      <c r="H303">
        <f t="shared" si="58"/>
        <v>0</v>
      </c>
      <c r="I303">
        <f t="shared" si="59"/>
        <v>0</v>
      </c>
      <c r="J303">
        <f t="shared" si="60"/>
        <v>0</v>
      </c>
      <c r="K303">
        <f t="shared" si="61"/>
        <v>0</v>
      </c>
      <c r="L303">
        <f t="shared" si="62"/>
        <v>3.98</v>
      </c>
      <c r="M303">
        <f t="shared" si="63"/>
        <v>0</v>
      </c>
      <c r="N303">
        <f t="shared" si="64"/>
        <v>0</v>
      </c>
      <c r="O303">
        <f t="shared" si="65"/>
        <v>0</v>
      </c>
      <c r="P303">
        <f t="shared" si="66"/>
        <v>0</v>
      </c>
      <c r="Q303">
        <f t="shared" si="67"/>
        <v>0</v>
      </c>
      <c r="R303">
        <f t="shared" si="68"/>
        <v>0</v>
      </c>
      <c r="S303">
        <f t="shared" si="69"/>
        <v>0</v>
      </c>
    </row>
    <row r="304" spans="1:19" x14ac:dyDescent="0.3">
      <c r="A304" s="1">
        <v>41767</v>
      </c>
      <c r="B304" s="1">
        <v>41769</v>
      </c>
      <c r="C304">
        <v>7.35</v>
      </c>
      <c r="D304">
        <v>0.19</v>
      </c>
      <c r="E304">
        <v>6</v>
      </c>
      <c r="F304">
        <f t="shared" si="56"/>
        <v>7.54</v>
      </c>
      <c r="G304">
        <f t="shared" si="57"/>
        <v>5</v>
      </c>
      <c r="H304">
        <f t="shared" si="58"/>
        <v>0</v>
      </c>
      <c r="I304">
        <f t="shared" si="59"/>
        <v>0</v>
      </c>
      <c r="J304">
        <f t="shared" si="60"/>
        <v>0</v>
      </c>
      <c r="K304">
        <f t="shared" si="61"/>
        <v>0</v>
      </c>
      <c r="L304">
        <f t="shared" si="62"/>
        <v>7.54</v>
      </c>
      <c r="M304">
        <f t="shared" si="63"/>
        <v>0</v>
      </c>
      <c r="N304">
        <f t="shared" si="64"/>
        <v>0</v>
      </c>
      <c r="O304">
        <f t="shared" si="65"/>
        <v>0</v>
      </c>
      <c r="P304">
        <f t="shared" si="66"/>
        <v>0</v>
      </c>
      <c r="Q304">
        <f t="shared" si="67"/>
        <v>0</v>
      </c>
      <c r="R304">
        <f t="shared" si="68"/>
        <v>0</v>
      </c>
      <c r="S304">
        <f t="shared" si="69"/>
        <v>0</v>
      </c>
    </row>
    <row r="305" spans="1:19" x14ac:dyDescent="0.3">
      <c r="A305" s="1">
        <v>41767</v>
      </c>
      <c r="B305" s="1">
        <v>41776</v>
      </c>
      <c r="C305">
        <v>12.01</v>
      </c>
      <c r="D305">
        <v>0.32</v>
      </c>
      <c r="E305">
        <v>4</v>
      </c>
      <c r="F305">
        <f t="shared" si="56"/>
        <v>12.33</v>
      </c>
      <c r="G305">
        <f t="shared" si="57"/>
        <v>5</v>
      </c>
      <c r="H305">
        <f t="shared" si="58"/>
        <v>0</v>
      </c>
      <c r="I305">
        <f t="shared" si="59"/>
        <v>0</v>
      </c>
      <c r="J305">
        <f t="shared" si="60"/>
        <v>0</v>
      </c>
      <c r="K305">
        <f t="shared" si="61"/>
        <v>0</v>
      </c>
      <c r="L305">
        <f t="shared" si="62"/>
        <v>12.33</v>
      </c>
      <c r="M305">
        <f t="shared" si="63"/>
        <v>0</v>
      </c>
      <c r="N305">
        <f t="shared" si="64"/>
        <v>0</v>
      </c>
      <c r="O305">
        <f t="shared" si="65"/>
        <v>0</v>
      </c>
      <c r="P305">
        <f t="shared" si="66"/>
        <v>0</v>
      </c>
      <c r="Q305">
        <f t="shared" si="67"/>
        <v>0</v>
      </c>
      <c r="R305">
        <f t="shared" si="68"/>
        <v>0</v>
      </c>
      <c r="S305">
        <f t="shared" si="69"/>
        <v>0</v>
      </c>
    </row>
    <row r="306" spans="1:19" x14ac:dyDescent="0.3">
      <c r="A306" s="1">
        <v>41767</v>
      </c>
      <c r="B306" s="1">
        <v>41775</v>
      </c>
      <c r="C306">
        <v>13.07</v>
      </c>
      <c r="D306">
        <v>0.34</v>
      </c>
      <c r="E306">
        <v>3</v>
      </c>
      <c r="F306">
        <f t="shared" si="56"/>
        <v>13.41</v>
      </c>
      <c r="G306">
        <f t="shared" si="57"/>
        <v>5</v>
      </c>
      <c r="H306">
        <f t="shared" si="58"/>
        <v>0</v>
      </c>
      <c r="I306">
        <f t="shared" si="59"/>
        <v>0</v>
      </c>
      <c r="J306">
        <f t="shared" si="60"/>
        <v>0</v>
      </c>
      <c r="K306">
        <f t="shared" si="61"/>
        <v>0</v>
      </c>
      <c r="L306">
        <f t="shared" si="62"/>
        <v>13.41</v>
      </c>
      <c r="M306">
        <f t="shared" si="63"/>
        <v>0</v>
      </c>
      <c r="N306">
        <f t="shared" si="64"/>
        <v>0</v>
      </c>
      <c r="O306">
        <f t="shared" si="65"/>
        <v>0</v>
      </c>
      <c r="P306">
        <f t="shared" si="66"/>
        <v>0</v>
      </c>
      <c r="Q306">
        <f t="shared" si="67"/>
        <v>0</v>
      </c>
      <c r="R306">
        <f t="shared" si="68"/>
        <v>0</v>
      </c>
      <c r="S306">
        <f t="shared" si="69"/>
        <v>0</v>
      </c>
    </row>
    <row r="307" spans="1:19" x14ac:dyDescent="0.3">
      <c r="A307" s="1">
        <v>41773</v>
      </c>
      <c r="B307" s="1">
        <v>41789</v>
      </c>
      <c r="C307">
        <v>7.35</v>
      </c>
      <c r="D307">
        <v>0.19</v>
      </c>
      <c r="E307">
        <v>4</v>
      </c>
      <c r="F307">
        <f t="shared" si="56"/>
        <v>7.54</v>
      </c>
      <c r="G307">
        <f t="shared" si="57"/>
        <v>5</v>
      </c>
      <c r="H307">
        <f t="shared" si="58"/>
        <v>0</v>
      </c>
      <c r="I307">
        <f t="shared" si="59"/>
        <v>0</v>
      </c>
      <c r="J307">
        <f t="shared" si="60"/>
        <v>0</v>
      </c>
      <c r="K307">
        <f t="shared" si="61"/>
        <v>0</v>
      </c>
      <c r="L307">
        <f t="shared" si="62"/>
        <v>7.54</v>
      </c>
      <c r="M307">
        <f t="shared" si="63"/>
        <v>0</v>
      </c>
      <c r="N307">
        <f t="shared" si="64"/>
        <v>0</v>
      </c>
      <c r="O307">
        <f t="shared" si="65"/>
        <v>0</v>
      </c>
      <c r="P307">
        <f t="shared" si="66"/>
        <v>0</v>
      </c>
      <c r="Q307">
        <f t="shared" si="67"/>
        <v>0</v>
      </c>
      <c r="R307">
        <f t="shared" si="68"/>
        <v>0</v>
      </c>
      <c r="S307">
        <f t="shared" si="69"/>
        <v>0</v>
      </c>
    </row>
    <row r="308" spans="1:19" x14ac:dyDescent="0.3">
      <c r="A308" s="1">
        <v>41773</v>
      </c>
      <c r="B308" s="1">
        <v>41776</v>
      </c>
      <c r="C308">
        <v>11.37</v>
      </c>
      <c r="D308">
        <v>0.3</v>
      </c>
      <c r="E308">
        <v>2</v>
      </c>
      <c r="F308">
        <f t="shared" si="56"/>
        <v>11.67</v>
      </c>
      <c r="G308">
        <f t="shared" si="57"/>
        <v>5</v>
      </c>
      <c r="H308">
        <f t="shared" si="58"/>
        <v>0</v>
      </c>
      <c r="I308">
        <f t="shared" si="59"/>
        <v>0</v>
      </c>
      <c r="J308">
        <f t="shared" si="60"/>
        <v>0</v>
      </c>
      <c r="K308">
        <f t="shared" si="61"/>
        <v>0</v>
      </c>
      <c r="L308">
        <f t="shared" si="62"/>
        <v>11.67</v>
      </c>
      <c r="M308">
        <f t="shared" si="63"/>
        <v>0</v>
      </c>
      <c r="N308">
        <f t="shared" si="64"/>
        <v>0</v>
      </c>
      <c r="O308">
        <f t="shared" si="65"/>
        <v>0</v>
      </c>
      <c r="P308">
        <f t="shared" si="66"/>
        <v>0</v>
      </c>
      <c r="Q308">
        <f t="shared" si="67"/>
        <v>0</v>
      </c>
      <c r="R308">
        <f t="shared" si="68"/>
        <v>0</v>
      </c>
      <c r="S308">
        <f t="shared" si="69"/>
        <v>0</v>
      </c>
    </row>
    <row r="309" spans="1:19" x14ac:dyDescent="0.3">
      <c r="A309" s="1">
        <v>41773</v>
      </c>
      <c r="B309" s="1">
        <v>41778</v>
      </c>
      <c r="C309">
        <v>13.81</v>
      </c>
      <c r="D309">
        <v>0.36</v>
      </c>
      <c r="E309">
        <v>3</v>
      </c>
      <c r="F309">
        <f t="shared" si="56"/>
        <v>14.17</v>
      </c>
      <c r="G309">
        <f t="shared" si="57"/>
        <v>5</v>
      </c>
      <c r="H309">
        <f t="shared" si="58"/>
        <v>0</v>
      </c>
      <c r="I309">
        <f t="shared" si="59"/>
        <v>0</v>
      </c>
      <c r="J309">
        <f t="shared" si="60"/>
        <v>0</v>
      </c>
      <c r="K309">
        <f t="shared" si="61"/>
        <v>0</v>
      </c>
      <c r="L309">
        <f t="shared" si="62"/>
        <v>14.17</v>
      </c>
      <c r="M309">
        <f t="shared" si="63"/>
        <v>0</v>
      </c>
      <c r="N309">
        <f t="shared" si="64"/>
        <v>0</v>
      </c>
      <c r="O309">
        <f t="shared" si="65"/>
        <v>0</v>
      </c>
      <c r="P309">
        <f t="shared" si="66"/>
        <v>0</v>
      </c>
      <c r="Q309">
        <f t="shared" si="67"/>
        <v>0</v>
      </c>
      <c r="R309">
        <f t="shared" si="68"/>
        <v>0</v>
      </c>
      <c r="S309">
        <f t="shared" si="69"/>
        <v>0</v>
      </c>
    </row>
    <row r="310" spans="1:19" x14ac:dyDescent="0.3">
      <c r="A310" s="1">
        <v>41773</v>
      </c>
      <c r="B310" s="1">
        <v>41780</v>
      </c>
      <c r="C310">
        <v>5.64</v>
      </c>
      <c r="D310">
        <v>0.15</v>
      </c>
      <c r="E310">
        <v>6</v>
      </c>
      <c r="F310">
        <f t="shared" si="56"/>
        <v>5.79</v>
      </c>
      <c r="G310">
        <f t="shared" si="57"/>
        <v>5</v>
      </c>
      <c r="H310">
        <f t="shared" si="58"/>
        <v>0</v>
      </c>
      <c r="I310">
        <f t="shared" si="59"/>
        <v>0</v>
      </c>
      <c r="J310">
        <f t="shared" si="60"/>
        <v>0</v>
      </c>
      <c r="K310">
        <f t="shared" si="61"/>
        <v>0</v>
      </c>
      <c r="L310">
        <f t="shared" si="62"/>
        <v>5.79</v>
      </c>
      <c r="M310">
        <f t="shared" si="63"/>
        <v>0</v>
      </c>
      <c r="N310">
        <f t="shared" si="64"/>
        <v>0</v>
      </c>
      <c r="O310">
        <f t="shared" si="65"/>
        <v>0</v>
      </c>
      <c r="P310">
        <f t="shared" si="66"/>
        <v>0</v>
      </c>
      <c r="Q310">
        <f t="shared" si="67"/>
        <v>0</v>
      </c>
      <c r="R310">
        <f t="shared" si="68"/>
        <v>0</v>
      </c>
      <c r="S310">
        <f t="shared" si="69"/>
        <v>0</v>
      </c>
    </row>
    <row r="311" spans="1:19" x14ac:dyDescent="0.3">
      <c r="A311" s="1">
        <v>41773</v>
      </c>
      <c r="B311" s="1">
        <v>41782</v>
      </c>
      <c r="C311">
        <v>7.55</v>
      </c>
      <c r="D311">
        <v>0.2</v>
      </c>
      <c r="E311">
        <v>2</v>
      </c>
      <c r="F311">
        <f t="shared" si="56"/>
        <v>7.75</v>
      </c>
      <c r="G311">
        <f t="shared" si="57"/>
        <v>5</v>
      </c>
      <c r="H311">
        <f t="shared" si="58"/>
        <v>0</v>
      </c>
      <c r="I311">
        <f t="shared" si="59"/>
        <v>0</v>
      </c>
      <c r="J311">
        <f t="shared" si="60"/>
        <v>0</v>
      </c>
      <c r="K311">
        <f t="shared" si="61"/>
        <v>0</v>
      </c>
      <c r="L311">
        <f t="shared" si="62"/>
        <v>7.75</v>
      </c>
      <c r="M311">
        <f t="shared" si="63"/>
        <v>0</v>
      </c>
      <c r="N311">
        <f t="shared" si="64"/>
        <v>0</v>
      </c>
      <c r="O311">
        <f t="shared" si="65"/>
        <v>0</v>
      </c>
      <c r="P311">
        <f t="shared" si="66"/>
        <v>0</v>
      </c>
      <c r="Q311">
        <f t="shared" si="67"/>
        <v>0</v>
      </c>
      <c r="R311">
        <f t="shared" si="68"/>
        <v>0</v>
      </c>
      <c r="S311">
        <f t="shared" si="69"/>
        <v>0</v>
      </c>
    </row>
    <row r="312" spans="1:19" x14ac:dyDescent="0.3">
      <c r="A312" s="1">
        <v>41773</v>
      </c>
      <c r="B312" s="1">
        <v>41787</v>
      </c>
      <c r="C312">
        <v>5.23</v>
      </c>
      <c r="D312">
        <v>0.14000000000000001</v>
      </c>
      <c r="E312">
        <v>3</v>
      </c>
      <c r="F312">
        <f t="shared" si="56"/>
        <v>5.37</v>
      </c>
      <c r="G312">
        <f t="shared" si="57"/>
        <v>5</v>
      </c>
      <c r="H312">
        <f t="shared" si="58"/>
        <v>0</v>
      </c>
      <c r="I312">
        <f t="shared" si="59"/>
        <v>0</v>
      </c>
      <c r="J312">
        <f t="shared" si="60"/>
        <v>0</v>
      </c>
      <c r="K312">
        <f t="shared" si="61"/>
        <v>0</v>
      </c>
      <c r="L312">
        <f t="shared" si="62"/>
        <v>5.37</v>
      </c>
      <c r="M312">
        <f t="shared" si="63"/>
        <v>0</v>
      </c>
      <c r="N312">
        <f t="shared" si="64"/>
        <v>0</v>
      </c>
      <c r="O312">
        <f t="shared" si="65"/>
        <v>0</v>
      </c>
      <c r="P312">
        <f t="shared" si="66"/>
        <v>0</v>
      </c>
      <c r="Q312">
        <f t="shared" si="67"/>
        <v>0</v>
      </c>
      <c r="R312">
        <f t="shared" si="68"/>
        <v>0</v>
      </c>
      <c r="S312">
        <f t="shared" si="69"/>
        <v>0</v>
      </c>
    </row>
    <row r="313" spans="1:19" x14ac:dyDescent="0.3">
      <c r="A313" s="1">
        <v>41773</v>
      </c>
      <c r="B313" s="1">
        <v>41791</v>
      </c>
      <c r="C313">
        <v>7.55</v>
      </c>
      <c r="D313">
        <v>0.2</v>
      </c>
      <c r="E313">
        <v>2</v>
      </c>
      <c r="F313">
        <f t="shared" si="56"/>
        <v>7.75</v>
      </c>
      <c r="G313">
        <f t="shared" si="57"/>
        <v>5</v>
      </c>
      <c r="H313">
        <f t="shared" si="58"/>
        <v>0</v>
      </c>
      <c r="I313">
        <f t="shared" si="59"/>
        <v>0</v>
      </c>
      <c r="J313">
        <f t="shared" si="60"/>
        <v>0</v>
      </c>
      <c r="K313">
        <f t="shared" si="61"/>
        <v>0</v>
      </c>
      <c r="L313">
        <f t="shared" si="62"/>
        <v>7.75</v>
      </c>
      <c r="M313">
        <f t="shared" si="63"/>
        <v>0</v>
      </c>
      <c r="N313">
        <f t="shared" si="64"/>
        <v>0</v>
      </c>
      <c r="O313">
        <f t="shared" si="65"/>
        <v>0</v>
      </c>
      <c r="P313">
        <f t="shared" si="66"/>
        <v>0</v>
      </c>
      <c r="Q313">
        <f t="shared" si="67"/>
        <v>0</v>
      </c>
      <c r="R313">
        <f t="shared" si="68"/>
        <v>0</v>
      </c>
      <c r="S313">
        <f t="shared" si="69"/>
        <v>0</v>
      </c>
    </row>
    <row r="314" spans="1:19" x14ac:dyDescent="0.3">
      <c r="A314" s="1">
        <v>41779</v>
      </c>
      <c r="B314" s="1">
        <v>41792</v>
      </c>
      <c r="C314">
        <v>8.89</v>
      </c>
      <c r="D314">
        <v>0.23</v>
      </c>
      <c r="E314">
        <v>3</v>
      </c>
      <c r="F314">
        <f t="shared" si="56"/>
        <v>9.120000000000001</v>
      </c>
      <c r="G314">
        <f t="shared" si="57"/>
        <v>5</v>
      </c>
      <c r="H314">
        <f t="shared" si="58"/>
        <v>0</v>
      </c>
      <c r="I314">
        <f t="shared" si="59"/>
        <v>0</v>
      </c>
      <c r="J314">
        <f t="shared" si="60"/>
        <v>0</v>
      </c>
      <c r="K314">
        <f t="shared" si="61"/>
        <v>0</v>
      </c>
      <c r="L314">
        <f t="shared" si="62"/>
        <v>9.120000000000001</v>
      </c>
      <c r="M314">
        <f t="shared" si="63"/>
        <v>0</v>
      </c>
      <c r="N314">
        <f t="shared" si="64"/>
        <v>0</v>
      </c>
      <c r="O314">
        <f t="shared" si="65"/>
        <v>0</v>
      </c>
      <c r="P314">
        <f t="shared" si="66"/>
        <v>0</v>
      </c>
      <c r="Q314">
        <f t="shared" si="67"/>
        <v>0</v>
      </c>
      <c r="R314">
        <f t="shared" si="68"/>
        <v>0</v>
      </c>
      <c r="S314">
        <f t="shared" si="69"/>
        <v>0</v>
      </c>
    </row>
    <row r="315" spans="1:19" x14ac:dyDescent="0.3">
      <c r="A315" s="1">
        <v>41779</v>
      </c>
      <c r="B315" s="1">
        <v>41803</v>
      </c>
      <c r="C315">
        <v>8.65</v>
      </c>
      <c r="D315">
        <v>0.23</v>
      </c>
      <c r="E315">
        <v>3</v>
      </c>
      <c r="F315">
        <f t="shared" si="56"/>
        <v>8.8800000000000008</v>
      </c>
      <c r="G315">
        <f t="shared" si="57"/>
        <v>5</v>
      </c>
      <c r="H315">
        <f t="shared" si="58"/>
        <v>0</v>
      </c>
      <c r="I315">
        <f t="shared" si="59"/>
        <v>0</v>
      </c>
      <c r="J315">
        <f t="shared" si="60"/>
        <v>0</v>
      </c>
      <c r="K315">
        <f t="shared" si="61"/>
        <v>0</v>
      </c>
      <c r="L315">
        <f t="shared" si="62"/>
        <v>8.8800000000000008</v>
      </c>
      <c r="M315">
        <f t="shared" si="63"/>
        <v>0</v>
      </c>
      <c r="N315">
        <f t="shared" si="64"/>
        <v>0</v>
      </c>
      <c r="O315">
        <f t="shared" si="65"/>
        <v>0</v>
      </c>
      <c r="P315">
        <f t="shared" si="66"/>
        <v>0</v>
      </c>
      <c r="Q315">
        <f t="shared" si="67"/>
        <v>0</v>
      </c>
      <c r="R315">
        <f t="shared" si="68"/>
        <v>0</v>
      </c>
      <c r="S315">
        <f t="shared" si="69"/>
        <v>0</v>
      </c>
    </row>
    <row r="316" spans="1:19" x14ac:dyDescent="0.3">
      <c r="A316" s="1">
        <v>41779</v>
      </c>
      <c r="B316" s="1">
        <v>41788</v>
      </c>
      <c r="C316">
        <v>7.3</v>
      </c>
      <c r="D316">
        <v>0.19</v>
      </c>
      <c r="E316">
        <v>6</v>
      </c>
      <c r="F316">
        <f t="shared" si="56"/>
        <v>7.49</v>
      </c>
      <c r="G316">
        <f t="shared" si="57"/>
        <v>5</v>
      </c>
      <c r="H316">
        <f t="shared" si="58"/>
        <v>0</v>
      </c>
      <c r="I316">
        <f t="shared" si="59"/>
        <v>0</v>
      </c>
      <c r="J316">
        <f t="shared" si="60"/>
        <v>0</v>
      </c>
      <c r="K316">
        <f t="shared" si="61"/>
        <v>0</v>
      </c>
      <c r="L316">
        <f t="shared" si="62"/>
        <v>7.49</v>
      </c>
      <c r="M316">
        <f t="shared" si="63"/>
        <v>0</v>
      </c>
      <c r="N316">
        <f t="shared" si="64"/>
        <v>0</v>
      </c>
      <c r="O316">
        <f t="shared" si="65"/>
        <v>0</v>
      </c>
      <c r="P316">
        <f t="shared" si="66"/>
        <v>0</v>
      </c>
      <c r="Q316">
        <f t="shared" si="67"/>
        <v>0</v>
      </c>
      <c r="R316">
        <f t="shared" si="68"/>
        <v>0</v>
      </c>
      <c r="S316">
        <f t="shared" si="69"/>
        <v>0</v>
      </c>
    </row>
    <row r="317" spans="1:19" x14ac:dyDescent="0.3">
      <c r="A317" s="1">
        <v>41779</v>
      </c>
      <c r="B317" s="1">
        <v>41801</v>
      </c>
      <c r="C317">
        <v>10.59</v>
      </c>
      <c r="D317">
        <v>0.28000000000000003</v>
      </c>
      <c r="E317">
        <v>5</v>
      </c>
      <c r="F317">
        <f t="shared" si="56"/>
        <v>10.87</v>
      </c>
      <c r="G317">
        <f t="shared" si="57"/>
        <v>5</v>
      </c>
      <c r="H317">
        <f t="shared" si="58"/>
        <v>0</v>
      </c>
      <c r="I317">
        <f t="shared" si="59"/>
        <v>0</v>
      </c>
      <c r="J317">
        <f t="shared" si="60"/>
        <v>0</v>
      </c>
      <c r="K317">
        <f t="shared" si="61"/>
        <v>0</v>
      </c>
      <c r="L317">
        <f t="shared" si="62"/>
        <v>10.87</v>
      </c>
      <c r="M317">
        <f t="shared" si="63"/>
        <v>0</v>
      </c>
      <c r="N317">
        <f t="shared" si="64"/>
        <v>0</v>
      </c>
      <c r="O317">
        <f t="shared" si="65"/>
        <v>0</v>
      </c>
      <c r="P317">
        <f t="shared" si="66"/>
        <v>0</v>
      </c>
      <c r="Q317">
        <f t="shared" si="67"/>
        <v>0</v>
      </c>
      <c r="R317">
        <f t="shared" si="68"/>
        <v>0</v>
      </c>
      <c r="S317">
        <f t="shared" si="69"/>
        <v>0</v>
      </c>
    </row>
    <row r="318" spans="1:19" x14ac:dyDescent="0.3">
      <c r="A318" s="1">
        <v>41779</v>
      </c>
      <c r="B318" s="1">
        <v>41789</v>
      </c>
      <c r="C318">
        <v>11.37</v>
      </c>
      <c r="D318">
        <v>0.3</v>
      </c>
      <c r="E318">
        <v>5</v>
      </c>
      <c r="F318">
        <f t="shared" si="56"/>
        <v>11.67</v>
      </c>
      <c r="G318">
        <f t="shared" si="57"/>
        <v>5</v>
      </c>
      <c r="H318">
        <f t="shared" si="58"/>
        <v>0</v>
      </c>
      <c r="I318">
        <f t="shared" si="59"/>
        <v>0</v>
      </c>
      <c r="J318">
        <f t="shared" si="60"/>
        <v>0</v>
      </c>
      <c r="K318">
        <f t="shared" si="61"/>
        <v>0</v>
      </c>
      <c r="L318">
        <f t="shared" si="62"/>
        <v>11.67</v>
      </c>
      <c r="M318">
        <f t="shared" si="63"/>
        <v>0</v>
      </c>
      <c r="N318">
        <f t="shared" si="64"/>
        <v>0</v>
      </c>
      <c r="O318">
        <f t="shared" si="65"/>
        <v>0</v>
      </c>
      <c r="P318">
        <f t="shared" si="66"/>
        <v>0</v>
      </c>
      <c r="Q318">
        <f t="shared" si="67"/>
        <v>0</v>
      </c>
      <c r="R318">
        <f t="shared" si="68"/>
        <v>0</v>
      </c>
      <c r="S318">
        <f t="shared" si="69"/>
        <v>0</v>
      </c>
    </row>
    <row r="319" spans="1:19" x14ac:dyDescent="0.3">
      <c r="A319" s="1">
        <v>41779</v>
      </c>
      <c r="B319" s="1">
        <v>41793</v>
      </c>
      <c r="C319">
        <v>10.79</v>
      </c>
      <c r="D319">
        <v>0.28000000000000003</v>
      </c>
      <c r="E319">
        <v>4</v>
      </c>
      <c r="F319">
        <f t="shared" si="56"/>
        <v>11.069999999999999</v>
      </c>
      <c r="G319">
        <f t="shared" si="57"/>
        <v>5</v>
      </c>
      <c r="H319">
        <f t="shared" si="58"/>
        <v>0</v>
      </c>
      <c r="I319">
        <f t="shared" si="59"/>
        <v>0</v>
      </c>
      <c r="J319">
        <f t="shared" si="60"/>
        <v>0</v>
      </c>
      <c r="K319">
        <f t="shared" si="61"/>
        <v>0</v>
      </c>
      <c r="L319">
        <f t="shared" si="62"/>
        <v>11.069999999999999</v>
      </c>
      <c r="M319">
        <f t="shared" si="63"/>
        <v>0</v>
      </c>
      <c r="N319">
        <f t="shared" si="64"/>
        <v>0</v>
      </c>
      <c r="O319">
        <f t="shared" si="65"/>
        <v>0</v>
      </c>
      <c r="P319">
        <f t="shared" si="66"/>
        <v>0</v>
      </c>
      <c r="Q319">
        <f t="shared" si="67"/>
        <v>0</v>
      </c>
      <c r="R319">
        <f t="shared" si="68"/>
        <v>0</v>
      </c>
      <c r="S319">
        <f t="shared" si="69"/>
        <v>0</v>
      </c>
    </row>
    <row r="320" spans="1:19" x14ac:dyDescent="0.3">
      <c r="A320" s="1">
        <v>41785</v>
      </c>
      <c r="B320" s="1">
        <v>41793</v>
      </c>
      <c r="C320">
        <v>11.44</v>
      </c>
      <c r="D320">
        <v>0.3</v>
      </c>
      <c r="E320">
        <v>4</v>
      </c>
      <c r="F320">
        <f t="shared" si="56"/>
        <v>11.74</v>
      </c>
      <c r="G320">
        <f t="shared" si="57"/>
        <v>5</v>
      </c>
      <c r="H320">
        <f t="shared" si="58"/>
        <v>0</v>
      </c>
      <c r="I320">
        <f t="shared" si="59"/>
        <v>0</v>
      </c>
      <c r="J320">
        <f t="shared" si="60"/>
        <v>0</v>
      </c>
      <c r="K320">
        <f t="shared" si="61"/>
        <v>0</v>
      </c>
      <c r="L320">
        <f t="shared" si="62"/>
        <v>11.74</v>
      </c>
      <c r="M320">
        <f t="shared" si="63"/>
        <v>0</v>
      </c>
      <c r="N320">
        <f t="shared" si="64"/>
        <v>0</v>
      </c>
      <c r="O320">
        <f t="shared" si="65"/>
        <v>0</v>
      </c>
      <c r="P320">
        <f t="shared" si="66"/>
        <v>0</v>
      </c>
      <c r="Q320">
        <f t="shared" si="67"/>
        <v>0</v>
      </c>
      <c r="R320">
        <f t="shared" si="68"/>
        <v>0</v>
      </c>
      <c r="S320">
        <f t="shared" si="69"/>
        <v>0</v>
      </c>
    </row>
    <row r="321" spans="1:19" x14ac:dyDescent="0.3">
      <c r="A321" s="1">
        <v>41785</v>
      </c>
      <c r="B321" s="1">
        <v>41796</v>
      </c>
      <c r="C321">
        <v>13.07</v>
      </c>
      <c r="D321">
        <v>0.34</v>
      </c>
      <c r="E321">
        <v>2</v>
      </c>
      <c r="F321">
        <f t="shared" si="56"/>
        <v>13.41</v>
      </c>
      <c r="G321">
        <f t="shared" si="57"/>
        <v>5</v>
      </c>
      <c r="H321">
        <f t="shared" si="58"/>
        <v>0</v>
      </c>
      <c r="I321">
        <f t="shared" si="59"/>
        <v>0</v>
      </c>
      <c r="J321">
        <f t="shared" si="60"/>
        <v>0</v>
      </c>
      <c r="K321">
        <f t="shared" si="61"/>
        <v>0</v>
      </c>
      <c r="L321">
        <f t="shared" si="62"/>
        <v>13.41</v>
      </c>
      <c r="M321">
        <f t="shared" si="63"/>
        <v>0</v>
      </c>
      <c r="N321">
        <f t="shared" si="64"/>
        <v>0</v>
      </c>
      <c r="O321">
        <f t="shared" si="65"/>
        <v>0</v>
      </c>
      <c r="P321">
        <f t="shared" si="66"/>
        <v>0</v>
      </c>
      <c r="Q321">
        <f t="shared" si="67"/>
        <v>0</v>
      </c>
      <c r="R321">
        <f t="shared" si="68"/>
        <v>0</v>
      </c>
      <c r="S321">
        <f t="shared" si="69"/>
        <v>0</v>
      </c>
    </row>
    <row r="322" spans="1:19" x14ac:dyDescent="0.3">
      <c r="A322" s="1">
        <v>41785</v>
      </c>
      <c r="B322" s="1">
        <v>41801</v>
      </c>
      <c r="C322">
        <v>5.57</v>
      </c>
      <c r="D322">
        <v>0.15</v>
      </c>
      <c r="E322">
        <v>6</v>
      </c>
      <c r="F322">
        <f t="shared" si="56"/>
        <v>5.7200000000000006</v>
      </c>
      <c r="G322">
        <f t="shared" si="57"/>
        <v>5</v>
      </c>
      <c r="H322">
        <f t="shared" si="58"/>
        <v>0</v>
      </c>
      <c r="I322">
        <f t="shared" si="59"/>
        <v>0</v>
      </c>
      <c r="J322">
        <f t="shared" si="60"/>
        <v>0</v>
      </c>
      <c r="K322">
        <f t="shared" si="61"/>
        <v>0</v>
      </c>
      <c r="L322">
        <f t="shared" si="62"/>
        <v>5.7200000000000006</v>
      </c>
      <c r="M322">
        <f t="shared" si="63"/>
        <v>0</v>
      </c>
      <c r="N322">
        <f t="shared" si="64"/>
        <v>0</v>
      </c>
      <c r="O322">
        <f t="shared" si="65"/>
        <v>0</v>
      </c>
      <c r="P322">
        <f t="shared" si="66"/>
        <v>0</v>
      </c>
      <c r="Q322">
        <f t="shared" si="67"/>
        <v>0</v>
      </c>
      <c r="R322">
        <f t="shared" si="68"/>
        <v>0</v>
      </c>
      <c r="S322">
        <f t="shared" si="69"/>
        <v>0</v>
      </c>
    </row>
    <row r="323" spans="1:19" x14ac:dyDescent="0.3">
      <c r="A323" s="1">
        <v>41785</v>
      </c>
      <c r="B323" s="1">
        <v>41787</v>
      </c>
      <c r="C323">
        <v>11.78</v>
      </c>
      <c r="D323">
        <v>0.31</v>
      </c>
      <c r="E323">
        <v>5</v>
      </c>
      <c r="F323">
        <f t="shared" ref="F323:F386" si="70">C323+D323</f>
        <v>12.09</v>
      </c>
      <c r="G323">
        <f t="shared" ref="G323:G386" si="71">MONTH(A323)</f>
        <v>5</v>
      </c>
      <c r="H323">
        <f t="shared" ref="H323:H386" si="72">IF(EXACT(G323,1),F323,0)</f>
        <v>0</v>
      </c>
      <c r="I323">
        <f t="shared" ref="I323:I386" si="73">IF(EXACT(G323,2),F323,0)</f>
        <v>0</v>
      </c>
      <c r="J323">
        <f t="shared" ref="J323:J386" si="74">IF(EXACT(G323,3),F323,0)</f>
        <v>0</v>
      </c>
      <c r="K323">
        <f t="shared" ref="K323:K386" si="75">IF(EXACT(G323,4),F323,0)</f>
        <v>0</v>
      </c>
      <c r="L323">
        <f t="shared" ref="L323:L386" si="76">IF(EXACT(G323,5),F323,0)</f>
        <v>12.09</v>
      </c>
      <c r="M323">
        <f t="shared" ref="M323:M386" si="77">IF(EXACT(G323,6),F323,0)</f>
        <v>0</v>
      </c>
      <c r="N323">
        <f t="shared" ref="N323:N386" si="78">IF(EXACT(G323,7),F323,0)</f>
        <v>0</v>
      </c>
      <c r="O323">
        <f t="shared" ref="O323:O386" si="79">IF(EXACT(G323,8),F323,0)</f>
        <v>0</v>
      </c>
      <c r="P323">
        <f t="shared" ref="P323:P386" si="80">IF(EXACT(G323,9),F323,0)</f>
        <v>0</v>
      </c>
      <c r="Q323">
        <f t="shared" ref="Q323:Q386" si="81">IF(EXACT(G323,10),F323,0)</f>
        <v>0</v>
      </c>
      <c r="R323">
        <f t="shared" ref="R323:R386" si="82">IF(EXACT(G323,11),F323,0)</f>
        <v>0</v>
      </c>
      <c r="S323">
        <f t="shared" ref="S323:S386" si="83">IF(EXACT(G323,12),F323,0)</f>
        <v>0</v>
      </c>
    </row>
    <row r="324" spans="1:19" x14ac:dyDescent="0.3">
      <c r="A324" s="1">
        <v>41785</v>
      </c>
      <c r="B324" s="1">
        <v>41788</v>
      </c>
      <c r="C324">
        <v>11.78</v>
      </c>
      <c r="D324">
        <v>0.31</v>
      </c>
      <c r="E324">
        <v>2</v>
      </c>
      <c r="F324">
        <f t="shared" si="70"/>
        <v>12.09</v>
      </c>
      <c r="G324">
        <f t="shared" si="71"/>
        <v>5</v>
      </c>
      <c r="H324">
        <f t="shared" si="72"/>
        <v>0</v>
      </c>
      <c r="I324">
        <f t="shared" si="73"/>
        <v>0</v>
      </c>
      <c r="J324">
        <f t="shared" si="74"/>
        <v>0</v>
      </c>
      <c r="K324">
        <f t="shared" si="75"/>
        <v>0</v>
      </c>
      <c r="L324">
        <f t="shared" si="76"/>
        <v>12.09</v>
      </c>
      <c r="M324">
        <f t="shared" si="77"/>
        <v>0</v>
      </c>
      <c r="N324">
        <f t="shared" si="78"/>
        <v>0</v>
      </c>
      <c r="O324">
        <f t="shared" si="79"/>
        <v>0</v>
      </c>
      <c r="P324">
        <f t="shared" si="80"/>
        <v>0</v>
      </c>
      <c r="Q324">
        <f t="shared" si="81"/>
        <v>0</v>
      </c>
      <c r="R324">
        <f t="shared" si="82"/>
        <v>0</v>
      </c>
      <c r="S324">
        <f t="shared" si="83"/>
        <v>0</v>
      </c>
    </row>
    <row r="325" spans="1:19" x14ac:dyDescent="0.3">
      <c r="A325" s="1">
        <v>41785</v>
      </c>
      <c r="B325" s="1">
        <v>41802</v>
      </c>
      <c r="C325">
        <v>9.74</v>
      </c>
      <c r="D325">
        <v>0.26</v>
      </c>
      <c r="E325">
        <v>3</v>
      </c>
      <c r="F325">
        <f t="shared" si="70"/>
        <v>10</v>
      </c>
      <c r="G325">
        <f t="shared" si="71"/>
        <v>5</v>
      </c>
      <c r="H325">
        <f t="shared" si="72"/>
        <v>0</v>
      </c>
      <c r="I325">
        <f t="shared" si="73"/>
        <v>0</v>
      </c>
      <c r="J325">
        <f t="shared" si="74"/>
        <v>0</v>
      </c>
      <c r="K325">
        <f t="shared" si="75"/>
        <v>0</v>
      </c>
      <c r="L325">
        <f t="shared" si="76"/>
        <v>10</v>
      </c>
      <c r="M325">
        <f t="shared" si="77"/>
        <v>0</v>
      </c>
      <c r="N325">
        <f t="shared" si="78"/>
        <v>0</v>
      </c>
      <c r="O325">
        <f t="shared" si="79"/>
        <v>0</v>
      </c>
      <c r="P325">
        <f t="shared" si="80"/>
        <v>0</v>
      </c>
      <c r="Q325">
        <f t="shared" si="81"/>
        <v>0</v>
      </c>
      <c r="R325">
        <f t="shared" si="82"/>
        <v>0</v>
      </c>
      <c r="S325">
        <f t="shared" si="83"/>
        <v>0</v>
      </c>
    </row>
    <row r="326" spans="1:19" x14ac:dyDescent="0.3">
      <c r="A326" s="1">
        <v>41791</v>
      </c>
      <c r="B326" s="1">
        <v>41818</v>
      </c>
      <c r="C326">
        <v>12.01</v>
      </c>
      <c r="D326">
        <v>0.32</v>
      </c>
      <c r="E326">
        <v>6</v>
      </c>
      <c r="F326">
        <f t="shared" si="70"/>
        <v>12.33</v>
      </c>
      <c r="G326">
        <f t="shared" si="71"/>
        <v>6</v>
      </c>
      <c r="H326">
        <f t="shared" si="72"/>
        <v>0</v>
      </c>
      <c r="I326">
        <f t="shared" si="73"/>
        <v>0</v>
      </c>
      <c r="J326">
        <f t="shared" si="74"/>
        <v>0</v>
      </c>
      <c r="K326">
        <f t="shared" si="75"/>
        <v>0</v>
      </c>
      <c r="L326">
        <f t="shared" si="76"/>
        <v>0</v>
      </c>
      <c r="M326">
        <f t="shared" si="77"/>
        <v>12.33</v>
      </c>
      <c r="N326">
        <f t="shared" si="78"/>
        <v>0</v>
      </c>
      <c r="O326">
        <f t="shared" si="79"/>
        <v>0</v>
      </c>
      <c r="P326">
        <f t="shared" si="80"/>
        <v>0</v>
      </c>
      <c r="Q326">
        <f t="shared" si="81"/>
        <v>0</v>
      </c>
      <c r="R326">
        <f t="shared" si="82"/>
        <v>0</v>
      </c>
      <c r="S326">
        <f t="shared" si="83"/>
        <v>0</v>
      </c>
    </row>
    <row r="327" spans="1:19" x14ac:dyDescent="0.3">
      <c r="A327" s="1">
        <v>41791</v>
      </c>
      <c r="B327" s="1">
        <v>41798</v>
      </c>
      <c r="C327">
        <v>9.4600000000000009</v>
      </c>
      <c r="D327">
        <v>0.25</v>
      </c>
      <c r="E327">
        <v>3</v>
      </c>
      <c r="F327">
        <f t="shared" si="70"/>
        <v>9.7100000000000009</v>
      </c>
      <c r="G327">
        <f t="shared" si="71"/>
        <v>6</v>
      </c>
      <c r="H327">
        <f t="shared" si="72"/>
        <v>0</v>
      </c>
      <c r="I327">
        <f t="shared" si="73"/>
        <v>0</v>
      </c>
      <c r="J327">
        <f t="shared" si="74"/>
        <v>0</v>
      </c>
      <c r="K327">
        <f t="shared" si="75"/>
        <v>0</v>
      </c>
      <c r="L327">
        <f t="shared" si="76"/>
        <v>0</v>
      </c>
      <c r="M327">
        <f t="shared" si="77"/>
        <v>9.7100000000000009</v>
      </c>
      <c r="N327">
        <f t="shared" si="78"/>
        <v>0</v>
      </c>
      <c r="O327">
        <f t="shared" si="79"/>
        <v>0</v>
      </c>
      <c r="P327">
        <f t="shared" si="80"/>
        <v>0</v>
      </c>
      <c r="Q327">
        <f t="shared" si="81"/>
        <v>0</v>
      </c>
      <c r="R327">
        <f t="shared" si="82"/>
        <v>0</v>
      </c>
      <c r="S327">
        <f t="shared" si="83"/>
        <v>0</v>
      </c>
    </row>
    <row r="328" spans="1:19" x14ac:dyDescent="0.3">
      <c r="A328" s="1">
        <v>41791</v>
      </c>
      <c r="B328" s="1">
        <v>41795</v>
      </c>
      <c r="C328">
        <v>11.37</v>
      </c>
      <c r="D328">
        <v>0.3</v>
      </c>
      <c r="E328">
        <v>6</v>
      </c>
      <c r="F328">
        <f t="shared" si="70"/>
        <v>11.67</v>
      </c>
      <c r="G328">
        <f t="shared" si="71"/>
        <v>6</v>
      </c>
      <c r="H328">
        <f t="shared" si="72"/>
        <v>0</v>
      </c>
      <c r="I328">
        <f t="shared" si="73"/>
        <v>0</v>
      </c>
      <c r="J328">
        <f t="shared" si="74"/>
        <v>0</v>
      </c>
      <c r="K328">
        <f t="shared" si="75"/>
        <v>0</v>
      </c>
      <c r="L328">
        <f t="shared" si="76"/>
        <v>0</v>
      </c>
      <c r="M328">
        <f t="shared" si="77"/>
        <v>11.67</v>
      </c>
      <c r="N328">
        <f t="shared" si="78"/>
        <v>0</v>
      </c>
      <c r="O328">
        <f t="shared" si="79"/>
        <v>0</v>
      </c>
      <c r="P328">
        <f t="shared" si="80"/>
        <v>0</v>
      </c>
      <c r="Q328">
        <f t="shared" si="81"/>
        <v>0</v>
      </c>
      <c r="R328">
        <f t="shared" si="82"/>
        <v>0</v>
      </c>
      <c r="S328">
        <f t="shared" si="83"/>
        <v>0</v>
      </c>
    </row>
    <row r="329" spans="1:19" x14ac:dyDescent="0.3">
      <c r="A329" s="1">
        <v>41791</v>
      </c>
      <c r="B329" s="1">
        <v>41807</v>
      </c>
      <c r="C329">
        <v>5.78</v>
      </c>
      <c r="D329">
        <v>0.15</v>
      </c>
      <c r="E329">
        <v>3</v>
      </c>
      <c r="F329">
        <f t="shared" si="70"/>
        <v>5.9300000000000006</v>
      </c>
      <c r="G329">
        <f t="shared" si="71"/>
        <v>6</v>
      </c>
      <c r="H329">
        <f t="shared" si="72"/>
        <v>0</v>
      </c>
      <c r="I329">
        <f t="shared" si="73"/>
        <v>0</v>
      </c>
      <c r="J329">
        <f t="shared" si="74"/>
        <v>0</v>
      </c>
      <c r="K329">
        <f t="shared" si="75"/>
        <v>0</v>
      </c>
      <c r="L329">
        <f t="shared" si="76"/>
        <v>0</v>
      </c>
      <c r="M329">
        <f t="shared" si="77"/>
        <v>5.9300000000000006</v>
      </c>
      <c r="N329">
        <f t="shared" si="78"/>
        <v>0</v>
      </c>
      <c r="O329">
        <f t="shared" si="79"/>
        <v>0</v>
      </c>
      <c r="P329">
        <f t="shared" si="80"/>
        <v>0</v>
      </c>
      <c r="Q329">
        <f t="shared" si="81"/>
        <v>0</v>
      </c>
      <c r="R329">
        <f t="shared" si="82"/>
        <v>0</v>
      </c>
      <c r="S329">
        <f t="shared" si="83"/>
        <v>0</v>
      </c>
    </row>
    <row r="330" spans="1:19" x14ac:dyDescent="0.3">
      <c r="A330" s="1">
        <v>41791</v>
      </c>
      <c r="B330" s="1">
        <v>41812</v>
      </c>
      <c r="C330">
        <v>12.01</v>
      </c>
      <c r="D330">
        <v>0.32</v>
      </c>
      <c r="E330">
        <v>5</v>
      </c>
      <c r="F330">
        <f t="shared" si="70"/>
        <v>12.33</v>
      </c>
      <c r="G330">
        <f t="shared" si="71"/>
        <v>6</v>
      </c>
      <c r="H330">
        <f t="shared" si="72"/>
        <v>0</v>
      </c>
      <c r="I330">
        <f t="shared" si="73"/>
        <v>0</v>
      </c>
      <c r="J330">
        <f t="shared" si="74"/>
        <v>0</v>
      </c>
      <c r="K330">
        <f t="shared" si="75"/>
        <v>0</v>
      </c>
      <c r="L330">
        <f t="shared" si="76"/>
        <v>0</v>
      </c>
      <c r="M330">
        <f t="shared" si="77"/>
        <v>12.33</v>
      </c>
      <c r="N330">
        <f t="shared" si="78"/>
        <v>0</v>
      </c>
      <c r="O330">
        <f t="shared" si="79"/>
        <v>0</v>
      </c>
      <c r="P330">
        <f t="shared" si="80"/>
        <v>0</v>
      </c>
      <c r="Q330">
        <f t="shared" si="81"/>
        <v>0</v>
      </c>
      <c r="R330">
        <f t="shared" si="82"/>
        <v>0</v>
      </c>
      <c r="S330">
        <f t="shared" si="83"/>
        <v>0</v>
      </c>
    </row>
    <row r="331" spans="1:19" x14ac:dyDescent="0.3">
      <c r="A331" s="1">
        <v>41791</v>
      </c>
      <c r="B331" s="1">
        <v>41815</v>
      </c>
      <c r="C331">
        <v>7.55</v>
      </c>
      <c r="D331">
        <v>0.2</v>
      </c>
      <c r="E331">
        <v>5</v>
      </c>
      <c r="F331">
        <f t="shared" si="70"/>
        <v>7.75</v>
      </c>
      <c r="G331">
        <f t="shared" si="71"/>
        <v>6</v>
      </c>
      <c r="H331">
        <f t="shared" si="72"/>
        <v>0</v>
      </c>
      <c r="I331">
        <f t="shared" si="73"/>
        <v>0</v>
      </c>
      <c r="J331">
        <f t="shared" si="74"/>
        <v>0</v>
      </c>
      <c r="K331">
        <f t="shared" si="75"/>
        <v>0</v>
      </c>
      <c r="L331">
        <f t="shared" si="76"/>
        <v>0</v>
      </c>
      <c r="M331">
        <f t="shared" si="77"/>
        <v>7.75</v>
      </c>
      <c r="N331">
        <f t="shared" si="78"/>
        <v>0</v>
      </c>
      <c r="O331">
        <f t="shared" si="79"/>
        <v>0</v>
      </c>
      <c r="P331">
        <f t="shared" si="80"/>
        <v>0</v>
      </c>
      <c r="Q331">
        <f t="shared" si="81"/>
        <v>0</v>
      </c>
      <c r="R331">
        <f t="shared" si="82"/>
        <v>0</v>
      </c>
      <c r="S331">
        <f t="shared" si="83"/>
        <v>0</v>
      </c>
    </row>
    <row r="332" spans="1:19" x14ac:dyDescent="0.3">
      <c r="A332" s="1">
        <v>41791</v>
      </c>
      <c r="B332" s="1">
        <v>41794</v>
      </c>
      <c r="C332">
        <v>9.74</v>
      </c>
      <c r="D332">
        <v>0.26</v>
      </c>
      <c r="E332">
        <v>3</v>
      </c>
      <c r="F332">
        <f t="shared" si="70"/>
        <v>10</v>
      </c>
      <c r="G332">
        <f t="shared" si="71"/>
        <v>6</v>
      </c>
      <c r="H332">
        <f t="shared" si="72"/>
        <v>0</v>
      </c>
      <c r="I332">
        <f t="shared" si="73"/>
        <v>0</v>
      </c>
      <c r="J332">
        <f t="shared" si="74"/>
        <v>0</v>
      </c>
      <c r="K332">
        <f t="shared" si="75"/>
        <v>0</v>
      </c>
      <c r="L332">
        <f t="shared" si="76"/>
        <v>0</v>
      </c>
      <c r="M332">
        <f t="shared" si="77"/>
        <v>10</v>
      </c>
      <c r="N332">
        <f t="shared" si="78"/>
        <v>0</v>
      </c>
      <c r="O332">
        <f t="shared" si="79"/>
        <v>0</v>
      </c>
      <c r="P332">
        <f t="shared" si="80"/>
        <v>0</v>
      </c>
      <c r="Q332">
        <f t="shared" si="81"/>
        <v>0</v>
      </c>
      <c r="R332">
        <f t="shared" si="82"/>
        <v>0</v>
      </c>
      <c r="S332">
        <f t="shared" si="83"/>
        <v>0</v>
      </c>
    </row>
    <row r="333" spans="1:19" x14ac:dyDescent="0.3">
      <c r="A333" s="1">
        <v>41792</v>
      </c>
      <c r="B333" s="1">
        <v>41802</v>
      </c>
      <c r="C333">
        <v>2.72</v>
      </c>
      <c r="D333">
        <v>7.0000000000000007E-2</v>
      </c>
      <c r="E333">
        <v>2</v>
      </c>
      <c r="F333">
        <f t="shared" si="70"/>
        <v>2.79</v>
      </c>
      <c r="G333">
        <f t="shared" si="71"/>
        <v>6</v>
      </c>
      <c r="H333">
        <f t="shared" si="72"/>
        <v>0</v>
      </c>
      <c r="I333">
        <f t="shared" si="73"/>
        <v>0</v>
      </c>
      <c r="J333">
        <f t="shared" si="74"/>
        <v>0</v>
      </c>
      <c r="K333">
        <f t="shared" si="75"/>
        <v>0</v>
      </c>
      <c r="L333">
        <f t="shared" si="76"/>
        <v>0</v>
      </c>
      <c r="M333">
        <f t="shared" si="77"/>
        <v>2.79</v>
      </c>
      <c r="N333">
        <f t="shared" si="78"/>
        <v>0</v>
      </c>
      <c r="O333">
        <f t="shared" si="79"/>
        <v>0</v>
      </c>
      <c r="P333">
        <f t="shared" si="80"/>
        <v>0</v>
      </c>
      <c r="Q333">
        <f t="shared" si="81"/>
        <v>0</v>
      </c>
      <c r="R333">
        <f t="shared" si="82"/>
        <v>0</v>
      </c>
      <c r="S333">
        <f t="shared" si="83"/>
        <v>0</v>
      </c>
    </row>
    <row r="334" spans="1:19" x14ac:dyDescent="0.3">
      <c r="A334" s="1">
        <v>41792</v>
      </c>
      <c r="B334" s="1">
        <v>41801</v>
      </c>
      <c r="C334">
        <v>3.57</v>
      </c>
      <c r="D334">
        <v>0.09</v>
      </c>
      <c r="E334">
        <v>3</v>
      </c>
      <c r="F334">
        <f t="shared" si="70"/>
        <v>3.6599999999999997</v>
      </c>
      <c r="G334">
        <f t="shared" si="71"/>
        <v>6</v>
      </c>
      <c r="H334">
        <f t="shared" si="72"/>
        <v>0</v>
      </c>
      <c r="I334">
        <f t="shared" si="73"/>
        <v>0</v>
      </c>
      <c r="J334">
        <f t="shared" si="74"/>
        <v>0</v>
      </c>
      <c r="K334">
        <f t="shared" si="75"/>
        <v>0</v>
      </c>
      <c r="L334">
        <f t="shared" si="76"/>
        <v>0</v>
      </c>
      <c r="M334">
        <f t="shared" si="77"/>
        <v>3.6599999999999997</v>
      </c>
      <c r="N334">
        <f t="shared" si="78"/>
        <v>0</v>
      </c>
      <c r="O334">
        <f t="shared" si="79"/>
        <v>0</v>
      </c>
      <c r="P334">
        <f t="shared" si="80"/>
        <v>0</v>
      </c>
      <c r="Q334">
        <f t="shared" si="81"/>
        <v>0</v>
      </c>
      <c r="R334">
        <f t="shared" si="82"/>
        <v>0</v>
      </c>
      <c r="S334">
        <f t="shared" si="83"/>
        <v>0</v>
      </c>
    </row>
    <row r="335" spans="1:19" x14ac:dyDescent="0.3">
      <c r="A335" s="1">
        <v>41792</v>
      </c>
      <c r="B335" s="1">
        <v>41813</v>
      </c>
      <c r="C335">
        <v>7.55</v>
      </c>
      <c r="D335">
        <v>0.2</v>
      </c>
      <c r="E335">
        <v>6</v>
      </c>
      <c r="F335">
        <f t="shared" si="70"/>
        <v>7.75</v>
      </c>
      <c r="G335">
        <f t="shared" si="71"/>
        <v>6</v>
      </c>
      <c r="H335">
        <f t="shared" si="72"/>
        <v>0</v>
      </c>
      <c r="I335">
        <f t="shared" si="73"/>
        <v>0</v>
      </c>
      <c r="J335">
        <f t="shared" si="74"/>
        <v>0</v>
      </c>
      <c r="K335">
        <f t="shared" si="75"/>
        <v>0</v>
      </c>
      <c r="L335">
        <f t="shared" si="76"/>
        <v>0</v>
      </c>
      <c r="M335">
        <f t="shared" si="77"/>
        <v>7.75</v>
      </c>
      <c r="N335">
        <f t="shared" si="78"/>
        <v>0</v>
      </c>
      <c r="O335">
        <f t="shared" si="79"/>
        <v>0</v>
      </c>
      <c r="P335">
        <f t="shared" si="80"/>
        <v>0</v>
      </c>
      <c r="Q335">
        <f t="shared" si="81"/>
        <v>0</v>
      </c>
      <c r="R335">
        <f t="shared" si="82"/>
        <v>0</v>
      </c>
      <c r="S335">
        <f t="shared" si="83"/>
        <v>0</v>
      </c>
    </row>
    <row r="336" spans="1:19" x14ac:dyDescent="0.3">
      <c r="A336" s="1">
        <v>41792</v>
      </c>
      <c r="B336" s="1">
        <v>41812</v>
      </c>
      <c r="C336">
        <v>3.57</v>
      </c>
      <c r="D336">
        <v>0.09</v>
      </c>
      <c r="E336">
        <v>2</v>
      </c>
      <c r="F336">
        <f t="shared" si="70"/>
        <v>3.6599999999999997</v>
      </c>
      <c r="G336">
        <f t="shared" si="71"/>
        <v>6</v>
      </c>
      <c r="H336">
        <f t="shared" si="72"/>
        <v>0</v>
      </c>
      <c r="I336">
        <f t="shared" si="73"/>
        <v>0</v>
      </c>
      <c r="J336">
        <f t="shared" si="74"/>
        <v>0</v>
      </c>
      <c r="K336">
        <f t="shared" si="75"/>
        <v>0</v>
      </c>
      <c r="L336">
        <f t="shared" si="76"/>
        <v>0</v>
      </c>
      <c r="M336">
        <f t="shared" si="77"/>
        <v>3.6599999999999997</v>
      </c>
      <c r="N336">
        <f t="shared" si="78"/>
        <v>0</v>
      </c>
      <c r="O336">
        <f t="shared" si="79"/>
        <v>0</v>
      </c>
      <c r="P336">
        <f t="shared" si="80"/>
        <v>0</v>
      </c>
      <c r="Q336">
        <f t="shared" si="81"/>
        <v>0</v>
      </c>
      <c r="R336">
        <f t="shared" si="82"/>
        <v>0</v>
      </c>
      <c r="S336">
        <f t="shared" si="83"/>
        <v>0</v>
      </c>
    </row>
    <row r="337" spans="1:19" x14ac:dyDescent="0.3">
      <c r="A337" s="1">
        <v>41793</v>
      </c>
      <c r="B337" s="1">
        <v>41803</v>
      </c>
      <c r="C337">
        <v>2.29</v>
      </c>
      <c r="D337">
        <v>0.06</v>
      </c>
      <c r="E337">
        <v>5</v>
      </c>
      <c r="F337">
        <f t="shared" si="70"/>
        <v>2.35</v>
      </c>
      <c r="G337">
        <f t="shared" si="71"/>
        <v>6</v>
      </c>
      <c r="H337">
        <f t="shared" si="72"/>
        <v>0</v>
      </c>
      <c r="I337">
        <f t="shared" si="73"/>
        <v>0</v>
      </c>
      <c r="J337">
        <f t="shared" si="74"/>
        <v>0</v>
      </c>
      <c r="K337">
        <f t="shared" si="75"/>
        <v>0</v>
      </c>
      <c r="L337">
        <f t="shared" si="76"/>
        <v>0</v>
      </c>
      <c r="M337">
        <f t="shared" si="77"/>
        <v>2.35</v>
      </c>
      <c r="N337">
        <f t="shared" si="78"/>
        <v>0</v>
      </c>
      <c r="O337">
        <f t="shared" si="79"/>
        <v>0</v>
      </c>
      <c r="P337">
        <f t="shared" si="80"/>
        <v>0</v>
      </c>
      <c r="Q337">
        <f t="shared" si="81"/>
        <v>0</v>
      </c>
      <c r="R337">
        <f t="shared" si="82"/>
        <v>0</v>
      </c>
      <c r="S337">
        <f t="shared" si="83"/>
        <v>0</v>
      </c>
    </row>
    <row r="338" spans="1:19" x14ac:dyDescent="0.3">
      <c r="A338" s="1">
        <v>41793</v>
      </c>
      <c r="B338" s="1">
        <v>41817</v>
      </c>
      <c r="C338">
        <v>9.06</v>
      </c>
      <c r="D338">
        <v>0.24</v>
      </c>
      <c r="E338">
        <v>4</v>
      </c>
      <c r="F338">
        <f t="shared" si="70"/>
        <v>9.3000000000000007</v>
      </c>
      <c r="G338">
        <f t="shared" si="71"/>
        <v>6</v>
      </c>
      <c r="H338">
        <f t="shared" si="72"/>
        <v>0</v>
      </c>
      <c r="I338">
        <f t="shared" si="73"/>
        <v>0</v>
      </c>
      <c r="J338">
        <f t="shared" si="74"/>
        <v>0</v>
      </c>
      <c r="K338">
        <f t="shared" si="75"/>
        <v>0</v>
      </c>
      <c r="L338">
        <f t="shared" si="76"/>
        <v>0</v>
      </c>
      <c r="M338">
        <f t="shared" si="77"/>
        <v>9.3000000000000007</v>
      </c>
      <c r="N338">
        <f t="shared" si="78"/>
        <v>0</v>
      </c>
      <c r="O338">
        <f t="shared" si="79"/>
        <v>0</v>
      </c>
      <c r="P338">
        <f t="shared" si="80"/>
        <v>0</v>
      </c>
      <c r="Q338">
        <f t="shared" si="81"/>
        <v>0</v>
      </c>
      <c r="R338">
        <f t="shared" si="82"/>
        <v>0</v>
      </c>
      <c r="S338">
        <f t="shared" si="83"/>
        <v>0</v>
      </c>
    </row>
    <row r="339" spans="1:19" x14ac:dyDescent="0.3">
      <c r="A339" s="1">
        <v>41794</v>
      </c>
      <c r="B339" s="1">
        <v>41798</v>
      </c>
      <c r="C339">
        <v>4.25</v>
      </c>
      <c r="D339">
        <v>0.11</v>
      </c>
      <c r="E339">
        <v>2</v>
      </c>
      <c r="F339">
        <f t="shared" si="70"/>
        <v>4.3600000000000003</v>
      </c>
      <c r="G339">
        <f t="shared" si="71"/>
        <v>6</v>
      </c>
      <c r="H339">
        <f t="shared" si="72"/>
        <v>0</v>
      </c>
      <c r="I339">
        <f t="shared" si="73"/>
        <v>0</v>
      </c>
      <c r="J339">
        <f t="shared" si="74"/>
        <v>0</v>
      </c>
      <c r="K339">
        <f t="shared" si="75"/>
        <v>0</v>
      </c>
      <c r="L339">
        <f t="shared" si="76"/>
        <v>0</v>
      </c>
      <c r="M339">
        <f t="shared" si="77"/>
        <v>4.3600000000000003</v>
      </c>
      <c r="N339">
        <f t="shared" si="78"/>
        <v>0</v>
      </c>
      <c r="O339">
        <f t="shared" si="79"/>
        <v>0</v>
      </c>
      <c r="P339">
        <f t="shared" si="80"/>
        <v>0</v>
      </c>
      <c r="Q339">
        <f t="shared" si="81"/>
        <v>0</v>
      </c>
      <c r="R339">
        <f t="shared" si="82"/>
        <v>0</v>
      </c>
      <c r="S339">
        <f t="shared" si="83"/>
        <v>0</v>
      </c>
    </row>
    <row r="340" spans="1:19" x14ac:dyDescent="0.3">
      <c r="A340" s="1">
        <v>41794</v>
      </c>
      <c r="B340" s="1">
        <v>41804</v>
      </c>
      <c r="C340">
        <v>7.31</v>
      </c>
      <c r="D340">
        <v>0.19</v>
      </c>
      <c r="E340">
        <v>6</v>
      </c>
      <c r="F340">
        <f t="shared" si="70"/>
        <v>7.5</v>
      </c>
      <c r="G340">
        <f t="shared" si="71"/>
        <v>6</v>
      </c>
      <c r="H340">
        <f t="shared" si="72"/>
        <v>0</v>
      </c>
      <c r="I340">
        <f t="shared" si="73"/>
        <v>0</v>
      </c>
      <c r="J340">
        <f t="shared" si="74"/>
        <v>0</v>
      </c>
      <c r="K340">
        <f t="shared" si="75"/>
        <v>0</v>
      </c>
      <c r="L340">
        <f t="shared" si="76"/>
        <v>0</v>
      </c>
      <c r="M340">
        <f t="shared" si="77"/>
        <v>7.5</v>
      </c>
      <c r="N340">
        <f t="shared" si="78"/>
        <v>0</v>
      </c>
      <c r="O340">
        <f t="shared" si="79"/>
        <v>0</v>
      </c>
      <c r="P340">
        <f t="shared" si="80"/>
        <v>0</v>
      </c>
      <c r="Q340">
        <f t="shared" si="81"/>
        <v>0</v>
      </c>
      <c r="R340">
        <f t="shared" si="82"/>
        <v>0</v>
      </c>
      <c r="S340">
        <f t="shared" si="83"/>
        <v>0</v>
      </c>
    </row>
    <row r="341" spans="1:19" x14ac:dyDescent="0.3">
      <c r="A341" s="1">
        <v>41794</v>
      </c>
      <c r="B341" s="1">
        <v>41800</v>
      </c>
      <c r="C341">
        <v>9.06</v>
      </c>
      <c r="D341">
        <v>0.24</v>
      </c>
      <c r="E341">
        <v>2</v>
      </c>
      <c r="F341">
        <f t="shared" si="70"/>
        <v>9.3000000000000007</v>
      </c>
      <c r="G341">
        <f t="shared" si="71"/>
        <v>6</v>
      </c>
      <c r="H341">
        <f t="shared" si="72"/>
        <v>0</v>
      </c>
      <c r="I341">
        <f t="shared" si="73"/>
        <v>0</v>
      </c>
      <c r="J341">
        <f t="shared" si="74"/>
        <v>0</v>
      </c>
      <c r="K341">
        <f t="shared" si="75"/>
        <v>0</v>
      </c>
      <c r="L341">
        <f t="shared" si="76"/>
        <v>0</v>
      </c>
      <c r="M341">
        <f t="shared" si="77"/>
        <v>9.3000000000000007</v>
      </c>
      <c r="N341">
        <f t="shared" si="78"/>
        <v>0</v>
      </c>
      <c r="O341">
        <f t="shared" si="79"/>
        <v>0</v>
      </c>
      <c r="P341">
        <f t="shared" si="80"/>
        <v>0</v>
      </c>
      <c r="Q341">
        <f t="shared" si="81"/>
        <v>0</v>
      </c>
      <c r="R341">
        <f t="shared" si="82"/>
        <v>0</v>
      </c>
      <c r="S341">
        <f t="shared" si="83"/>
        <v>0</v>
      </c>
    </row>
    <row r="342" spans="1:19" x14ac:dyDescent="0.3">
      <c r="A342" s="1">
        <v>41795</v>
      </c>
      <c r="B342" s="1">
        <v>41799</v>
      </c>
      <c r="C342">
        <v>6.43</v>
      </c>
      <c r="D342">
        <v>0.17</v>
      </c>
      <c r="E342">
        <v>3</v>
      </c>
      <c r="F342">
        <f t="shared" si="70"/>
        <v>6.6</v>
      </c>
      <c r="G342">
        <f t="shared" si="71"/>
        <v>6</v>
      </c>
      <c r="H342">
        <f t="shared" si="72"/>
        <v>0</v>
      </c>
      <c r="I342">
        <f t="shared" si="73"/>
        <v>0</v>
      </c>
      <c r="J342">
        <f t="shared" si="74"/>
        <v>0</v>
      </c>
      <c r="K342">
        <f t="shared" si="75"/>
        <v>0</v>
      </c>
      <c r="L342">
        <f t="shared" si="76"/>
        <v>0</v>
      </c>
      <c r="M342">
        <f t="shared" si="77"/>
        <v>6.6</v>
      </c>
      <c r="N342">
        <f t="shared" si="78"/>
        <v>0</v>
      </c>
      <c r="O342">
        <f t="shared" si="79"/>
        <v>0</v>
      </c>
      <c r="P342">
        <f t="shared" si="80"/>
        <v>0</v>
      </c>
      <c r="Q342">
        <f t="shared" si="81"/>
        <v>0</v>
      </c>
      <c r="R342">
        <f t="shared" si="82"/>
        <v>0</v>
      </c>
      <c r="S342">
        <f t="shared" si="83"/>
        <v>0</v>
      </c>
    </row>
    <row r="343" spans="1:19" x14ac:dyDescent="0.3">
      <c r="A343" s="1">
        <v>41797</v>
      </c>
      <c r="B343" s="1">
        <v>41808</v>
      </c>
      <c r="C343">
        <v>2.0099999999999998</v>
      </c>
      <c r="D343">
        <v>0.05</v>
      </c>
      <c r="E343">
        <v>3</v>
      </c>
      <c r="F343">
        <f t="shared" si="70"/>
        <v>2.0599999999999996</v>
      </c>
      <c r="G343">
        <f t="shared" si="71"/>
        <v>6</v>
      </c>
      <c r="H343">
        <f t="shared" si="72"/>
        <v>0</v>
      </c>
      <c r="I343">
        <f t="shared" si="73"/>
        <v>0</v>
      </c>
      <c r="J343">
        <f t="shared" si="74"/>
        <v>0</v>
      </c>
      <c r="K343">
        <f t="shared" si="75"/>
        <v>0</v>
      </c>
      <c r="L343">
        <f t="shared" si="76"/>
        <v>0</v>
      </c>
      <c r="M343">
        <f t="shared" si="77"/>
        <v>2.0599999999999996</v>
      </c>
      <c r="N343">
        <f t="shared" si="78"/>
        <v>0</v>
      </c>
      <c r="O343">
        <f t="shared" si="79"/>
        <v>0</v>
      </c>
      <c r="P343">
        <f t="shared" si="80"/>
        <v>0</v>
      </c>
      <c r="Q343">
        <f t="shared" si="81"/>
        <v>0</v>
      </c>
      <c r="R343">
        <f t="shared" si="82"/>
        <v>0</v>
      </c>
      <c r="S343">
        <f t="shared" si="83"/>
        <v>0</v>
      </c>
    </row>
    <row r="344" spans="1:19" x14ac:dyDescent="0.3">
      <c r="A344" s="1">
        <v>41797</v>
      </c>
      <c r="B344" s="1">
        <v>41802</v>
      </c>
      <c r="C344">
        <v>8.51</v>
      </c>
      <c r="D344">
        <v>0.22</v>
      </c>
      <c r="E344">
        <v>3</v>
      </c>
      <c r="F344">
        <f t="shared" si="70"/>
        <v>8.73</v>
      </c>
      <c r="G344">
        <f t="shared" si="71"/>
        <v>6</v>
      </c>
      <c r="H344">
        <f t="shared" si="72"/>
        <v>0</v>
      </c>
      <c r="I344">
        <f t="shared" si="73"/>
        <v>0</v>
      </c>
      <c r="J344">
        <f t="shared" si="74"/>
        <v>0</v>
      </c>
      <c r="K344">
        <f t="shared" si="75"/>
        <v>0</v>
      </c>
      <c r="L344">
        <f t="shared" si="76"/>
        <v>0</v>
      </c>
      <c r="M344">
        <f t="shared" si="77"/>
        <v>8.73</v>
      </c>
      <c r="N344">
        <f t="shared" si="78"/>
        <v>0</v>
      </c>
      <c r="O344">
        <f t="shared" si="79"/>
        <v>0</v>
      </c>
      <c r="P344">
        <f t="shared" si="80"/>
        <v>0</v>
      </c>
      <c r="Q344">
        <f t="shared" si="81"/>
        <v>0</v>
      </c>
      <c r="R344">
        <f t="shared" si="82"/>
        <v>0</v>
      </c>
      <c r="S344">
        <f t="shared" si="83"/>
        <v>0</v>
      </c>
    </row>
    <row r="345" spans="1:19" x14ac:dyDescent="0.3">
      <c r="A345" s="1">
        <v>41797</v>
      </c>
      <c r="B345" s="1">
        <v>41817</v>
      </c>
      <c r="C345">
        <v>16.55</v>
      </c>
      <c r="D345">
        <v>0.44</v>
      </c>
      <c r="E345">
        <v>4</v>
      </c>
      <c r="F345">
        <f t="shared" si="70"/>
        <v>16.990000000000002</v>
      </c>
      <c r="G345">
        <f t="shared" si="71"/>
        <v>6</v>
      </c>
      <c r="H345">
        <f t="shared" si="72"/>
        <v>0</v>
      </c>
      <c r="I345">
        <f t="shared" si="73"/>
        <v>0</v>
      </c>
      <c r="J345">
        <f t="shared" si="74"/>
        <v>0</v>
      </c>
      <c r="K345">
        <f t="shared" si="75"/>
        <v>0</v>
      </c>
      <c r="L345">
        <f t="shared" si="76"/>
        <v>0</v>
      </c>
      <c r="M345">
        <f t="shared" si="77"/>
        <v>16.990000000000002</v>
      </c>
      <c r="N345">
        <f t="shared" si="78"/>
        <v>0</v>
      </c>
      <c r="O345">
        <f t="shared" si="79"/>
        <v>0</v>
      </c>
      <c r="P345">
        <f t="shared" si="80"/>
        <v>0</v>
      </c>
      <c r="Q345">
        <f t="shared" si="81"/>
        <v>0</v>
      </c>
      <c r="R345">
        <f t="shared" si="82"/>
        <v>0</v>
      </c>
      <c r="S345">
        <f t="shared" si="83"/>
        <v>0</v>
      </c>
    </row>
    <row r="346" spans="1:19" x14ac:dyDescent="0.3">
      <c r="A346" s="1">
        <v>41797</v>
      </c>
      <c r="B346" s="1">
        <v>41804</v>
      </c>
      <c r="C346">
        <v>9.1300000000000008</v>
      </c>
      <c r="D346">
        <v>0.24</v>
      </c>
      <c r="E346">
        <v>3</v>
      </c>
      <c r="F346">
        <f t="shared" si="70"/>
        <v>9.370000000000001</v>
      </c>
      <c r="G346">
        <f t="shared" si="71"/>
        <v>6</v>
      </c>
      <c r="H346">
        <f t="shared" si="72"/>
        <v>0</v>
      </c>
      <c r="I346">
        <f t="shared" si="73"/>
        <v>0</v>
      </c>
      <c r="J346">
        <f t="shared" si="74"/>
        <v>0</v>
      </c>
      <c r="K346">
        <f t="shared" si="75"/>
        <v>0</v>
      </c>
      <c r="L346">
        <f t="shared" si="76"/>
        <v>0</v>
      </c>
      <c r="M346">
        <f t="shared" si="77"/>
        <v>9.370000000000001</v>
      </c>
      <c r="N346">
        <f t="shared" si="78"/>
        <v>0</v>
      </c>
      <c r="O346">
        <f t="shared" si="79"/>
        <v>0</v>
      </c>
      <c r="P346">
        <f t="shared" si="80"/>
        <v>0</v>
      </c>
      <c r="Q346">
        <f t="shared" si="81"/>
        <v>0</v>
      </c>
      <c r="R346">
        <f t="shared" si="82"/>
        <v>0</v>
      </c>
      <c r="S346">
        <f t="shared" si="83"/>
        <v>0</v>
      </c>
    </row>
    <row r="347" spans="1:19" x14ac:dyDescent="0.3">
      <c r="A347" s="1">
        <v>41797</v>
      </c>
      <c r="B347" s="1">
        <v>41816</v>
      </c>
      <c r="C347">
        <v>10.199999999999999</v>
      </c>
      <c r="D347">
        <v>0.27</v>
      </c>
      <c r="E347">
        <v>5</v>
      </c>
      <c r="F347">
        <f t="shared" si="70"/>
        <v>10.469999999999999</v>
      </c>
      <c r="G347">
        <f t="shared" si="71"/>
        <v>6</v>
      </c>
      <c r="H347">
        <f t="shared" si="72"/>
        <v>0</v>
      </c>
      <c r="I347">
        <f t="shared" si="73"/>
        <v>0</v>
      </c>
      <c r="J347">
        <f t="shared" si="74"/>
        <v>0</v>
      </c>
      <c r="K347">
        <f t="shared" si="75"/>
        <v>0</v>
      </c>
      <c r="L347">
        <f t="shared" si="76"/>
        <v>0</v>
      </c>
      <c r="M347">
        <f t="shared" si="77"/>
        <v>10.469999999999999</v>
      </c>
      <c r="N347">
        <f t="shared" si="78"/>
        <v>0</v>
      </c>
      <c r="O347">
        <f t="shared" si="79"/>
        <v>0</v>
      </c>
      <c r="P347">
        <f t="shared" si="80"/>
        <v>0</v>
      </c>
      <c r="Q347">
        <f t="shared" si="81"/>
        <v>0</v>
      </c>
      <c r="R347">
        <f t="shared" si="82"/>
        <v>0</v>
      </c>
      <c r="S347">
        <f t="shared" si="83"/>
        <v>0</v>
      </c>
    </row>
    <row r="348" spans="1:19" x14ac:dyDescent="0.3">
      <c r="A348" s="1">
        <v>41799</v>
      </c>
      <c r="B348" s="1">
        <v>41823</v>
      </c>
      <c r="C348">
        <v>6.23</v>
      </c>
      <c r="D348">
        <v>0.16</v>
      </c>
      <c r="E348">
        <v>2</v>
      </c>
      <c r="F348">
        <f t="shared" si="70"/>
        <v>6.3900000000000006</v>
      </c>
      <c r="G348">
        <f t="shared" si="71"/>
        <v>6</v>
      </c>
      <c r="H348">
        <f t="shared" si="72"/>
        <v>0</v>
      </c>
      <c r="I348">
        <f t="shared" si="73"/>
        <v>0</v>
      </c>
      <c r="J348">
        <f t="shared" si="74"/>
        <v>0</v>
      </c>
      <c r="K348">
        <f t="shared" si="75"/>
        <v>0</v>
      </c>
      <c r="L348">
        <f t="shared" si="76"/>
        <v>0</v>
      </c>
      <c r="M348">
        <f t="shared" si="77"/>
        <v>6.3900000000000006</v>
      </c>
      <c r="N348">
        <f t="shared" si="78"/>
        <v>0</v>
      </c>
      <c r="O348">
        <f t="shared" si="79"/>
        <v>0</v>
      </c>
      <c r="P348">
        <f t="shared" si="80"/>
        <v>0</v>
      </c>
      <c r="Q348">
        <f t="shared" si="81"/>
        <v>0</v>
      </c>
      <c r="R348">
        <f t="shared" si="82"/>
        <v>0</v>
      </c>
      <c r="S348">
        <f t="shared" si="83"/>
        <v>0</v>
      </c>
    </row>
    <row r="349" spans="1:19" x14ac:dyDescent="0.3">
      <c r="A349" s="1">
        <v>41803</v>
      </c>
      <c r="B349" s="1">
        <v>41827</v>
      </c>
      <c r="C349">
        <v>8.51</v>
      </c>
      <c r="D349">
        <v>0.22</v>
      </c>
      <c r="E349">
        <v>3</v>
      </c>
      <c r="F349">
        <f t="shared" si="70"/>
        <v>8.73</v>
      </c>
      <c r="G349">
        <f t="shared" si="71"/>
        <v>6</v>
      </c>
      <c r="H349">
        <f t="shared" si="72"/>
        <v>0</v>
      </c>
      <c r="I349">
        <f t="shared" si="73"/>
        <v>0</v>
      </c>
      <c r="J349">
        <f t="shared" si="74"/>
        <v>0</v>
      </c>
      <c r="K349">
        <f t="shared" si="75"/>
        <v>0</v>
      </c>
      <c r="L349">
        <f t="shared" si="76"/>
        <v>0</v>
      </c>
      <c r="M349">
        <f t="shared" si="77"/>
        <v>8.73</v>
      </c>
      <c r="N349">
        <f t="shared" si="78"/>
        <v>0</v>
      </c>
      <c r="O349">
        <f t="shared" si="79"/>
        <v>0</v>
      </c>
      <c r="P349">
        <f t="shared" si="80"/>
        <v>0</v>
      </c>
      <c r="Q349">
        <f t="shared" si="81"/>
        <v>0</v>
      </c>
      <c r="R349">
        <f t="shared" si="82"/>
        <v>0</v>
      </c>
      <c r="S349">
        <f t="shared" si="83"/>
        <v>0</v>
      </c>
    </row>
    <row r="350" spans="1:19" x14ac:dyDescent="0.3">
      <c r="A350" s="1">
        <v>41803</v>
      </c>
      <c r="B350" s="1">
        <v>41811</v>
      </c>
      <c r="C350">
        <v>13.82</v>
      </c>
      <c r="D350">
        <v>0.36</v>
      </c>
      <c r="E350">
        <v>4</v>
      </c>
      <c r="F350">
        <f t="shared" si="70"/>
        <v>14.18</v>
      </c>
      <c r="G350">
        <f t="shared" si="71"/>
        <v>6</v>
      </c>
      <c r="H350">
        <f t="shared" si="72"/>
        <v>0</v>
      </c>
      <c r="I350">
        <f t="shared" si="73"/>
        <v>0</v>
      </c>
      <c r="J350">
        <f t="shared" si="74"/>
        <v>0</v>
      </c>
      <c r="K350">
        <f t="shared" si="75"/>
        <v>0</v>
      </c>
      <c r="L350">
        <f t="shared" si="76"/>
        <v>0</v>
      </c>
      <c r="M350">
        <f t="shared" si="77"/>
        <v>14.18</v>
      </c>
      <c r="N350">
        <f t="shared" si="78"/>
        <v>0</v>
      </c>
      <c r="O350">
        <f t="shared" si="79"/>
        <v>0</v>
      </c>
      <c r="P350">
        <f t="shared" si="80"/>
        <v>0</v>
      </c>
      <c r="Q350">
        <f t="shared" si="81"/>
        <v>0</v>
      </c>
      <c r="R350">
        <f t="shared" si="82"/>
        <v>0</v>
      </c>
      <c r="S350">
        <f t="shared" si="83"/>
        <v>0</v>
      </c>
    </row>
    <row r="351" spans="1:19" x14ac:dyDescent="0.3">
      <c r="A351" s="1">
        <v>41803</v>
      </c>
      <c r="B351" s="1">
        <v>41825</v>
      </c>
      <c r="C351">
        <v>6.34</v>
      </c>
      <c r="D351">
        <v>0.17</v>
      </c>
      <c r="E351">
        <v>6</v>
      </c>
      <c r="F351">
        <f t="shared" si="70"/>
        <v>6.51</v>
      </c>
      <c r="G351">
        <f t="shared" si="71"/>
        <v>6</v>
      </c>
      <c r="H351">
        <f t="shared" si="72"/>
        <v>0</v>
      </c>
      <c r="I351">
        <f t="shared" si="73"/>
        <v>0</v>
      </c>
      <c r="J351">
        <f t="shared" si="74"/>
        <v>0</v>
      </c>
      <c r="K351">
        <f t="shared" si="75"/>
        <v>0</v>
      </c>
      <c r="L351">
        <f t="shared" si="76"/>
        <v>0</v>
      </c>
      <c r="M351">
        <f t="shared" si="77"/>
        <v>6.51</v>
      </c>
      <c r="N351">
        <f t="shared" si="78"/>
        <v>0</v>
      </c>
      <c r="O351">
        <f t="shared" si="79"/>
        <v>0</v>
      </c>
      <c r="P351">
        <f t="shared" si="80"/>
        <v>0</v>
      </c>
      <c r="Q351">
        <f t="shared" si="81"/>
        <v>0</v>
      </c>
      <c r="R351">
        <f t="shared" si="82"/>
        <v>0</v>
      </c>
      <c r="S351">
        <f t="shared" si="83"/>
        <v>0</v>
      </c>
    </row>
    <row r="352" spans="1:19" x14ac:dyDescent="0.3">
      <c r="A352" s="1">
        <v>41803</v>
      </c>
      <c r="B352" s="1">
        <v>41829</v>
      </c>
      <c r="C352">
        <v>10.19</v>
      </c>
      <c r="D352">
        <v>0.27</v>
      </c>
      <c r="E352">
        <v>6</v>
      </c>
      <c r="F352">
        <f t="shared" si="70"/>
        <v>10.459999999999999</v>
      </c>
      <c r="G352">
        <f t="shared" si="71"/>
        <v>6</v>
      </c>
      <c r="H352">
        <f t="shared" si="72"/>
        <v>0</v>
      </c>
      <c r="I352">
        <f t="shared" si="73"/>
        <v>0</v>
      </c>
      <c r="J352">
        <f t="shared" si="74"/>
        <v>0</v>
      </c>
      <c r="K352">
        <f t="shared" si="75"/>
        <v>0</v>
      </c>
      <c r="L352">
        <f t="shared" si="76"/>
        <v>0</v>
      </c>
      <c r="M352">
        <f t="shared" si="77"/>
        <v>10.459999999999999</v>
      </c>
      <c r="N352">
        <f t="shared" si="78"/>
        <v>0</v>
      </c>
      <c r="O352">
        <f t="shared" si="79"/>
        <v>0</v>
      </c>
      <c r="P352">
        <f t="shared" si="80"/>
        <v>0</v>
      </c>
      <c r="Q352">
        <f t="shared" si="81"/>
        <v>0</v>
      </c>
      <c r="R352">
        <f t="shared" si="82"/>
        <v>0</v>
      </c>
      <c r="S352">
        <f t="shared" si="83"/>
        <v>0</v>
      </c>
    </row>
    <row r="353" spans="1:19" x14ac:dyDescent="0.3">
      <c r="A353" s="1">
        <v>41803</v>
      </c>
      <c r="B353" s="1">
        <v>41805</v>
      </c>
      <c r="C353">
        <v>14</v>
      </c>
      <c r="D353">
        <v>0.37</v>
      </c>
      <c r="E353">
        <v>3</v>
      </c>
      <c r="F353">
        <f t="shared" si="70"/>
        <v>14.37</v>
      </c>
      <c r="G353">
        <f t="shared" si="71"/>
        <v>6</v>
      </c>
      <c r="H353">
        <f t="shared" si="72"/>
        <v>0</v>
      </c>
      <c r="I353">
        <f t="shared" si="73"/>
        <v>0</v>
      </c>
      <c r="J353">
        <f t="shared" si="74"/>
        <v>0</v>
      </c>
      <c r="K353">
        <f t="shared" si="75"/>
        <v>0</v>
      </c>
      <c r="L353">
        <f t="shared" si="76"/>
        <v>0</v>
      </c>
      <c r="M353">
        <f t="shared" si="77"/>
        <v>14.37</v>
      </c>
      <c r="N353">
        <f t="shared" si="78"/>
        <v>0</v>
      </c>
      <c r="O353">
        <f t="shared" si="79"/>
        <v>0</v>
      </c>
      <c r="P353">
        <f t="shared" si="80"/>
        <v>0</v>
      </c>
      <c r="Q353">
        <f t="shared" si="81"/>
        <v>0</v>
      </c>
      <c r="R353">
        <f t="shared" si="82"/>
        <v>0</v>
      </c>
      <c r="S353">
        <f t="shared" si="83"/>
        <v>0</v>
      </c>
    </row>
    <row r="354" spans="1:19" x14ac:dyDescent="0.3">
      <c r="A354" s="1">
        <v>41803</v>
      </c>
      <c r="B354" s="1">
        <v>41814</v>
      </c>
      <c r="C354">
        <v>14</v>
      </c>
      <c r="D354">
        <v>0.37</v>
      </c>
      <c r="E354">
        <v>4</v>
      </c>
      <c r="F354">
        <f t="shared" si="70"/>
        <v>14.37</v>
      </c>
      <c r="G354">
        <f t="shared" si="71"/>
        <v>6</v>
      </c>
      <c r="H354">
        <f t="shared" si="72"/>
        <v>0</v>
      </c>
      <c r="I354">
        <f t="shared" si="73"/>
        <v>0</v>
      </c>
      <c r="J354">
        <f t="shared" si="74"/>
        <v>0</v>
      </c>
      <c r="K354">
        <f t="shared" si="75"/>
        <v>0</v>
      </c>
      <c r="L354">
        <f t="shared" si="76"/>
        <v>0</v>
      </c>
      <c r="M354">
        <f t="shared" si="77"/>
        <v>14.37</v>
      </c>
      <c r="N354">
        <f t="shared" si="78"/>
        <v>0</v>
      </c>
      <c r="O354">
        <f t="shared" si="79"/>
        <v>0</v>
      </c>
      <c r="P354">
        <f t="shared" si="80"/>
        <v>0</v>
      </c>
      <c r="Q354">
        <f t="shared" si="81"/>
        <v>0</v>
      </c>
      <c r="R354">
        <f t="shared" si="82"/>
        <v>0</v>
      </c>
      <c r="S354">
        <f t="shared" si="83"/>
        <v>0</v>
      </c>
    </row>
    <row r="355" spans="1:19" x14ac:dyDescent="0.3">
      <c r="A355" s="1">
        <v>41803</v>
      </c>
      <c r="B355" s="1">
        <v>41816</v>
      </c>
      <c r="C355">
        <v>10.19</v>
      </c>
      <c r="D355">
        <v>0.27</v>
      </c>
      <c r="E355">
        <v>2</v>
      </c>
      <c r="F355">
        <f t="shared" si="70"/>
        <v>10.459999999999999</v>
      </c>
      <c r="G355">
        <f t="shared" si="71"/>
        <v>6</v>
      </c>
      <c r="H355">
        <f t="shared" si="72"/>
        <v>0</v>
      </c>
      <c r="I355">
        <f t="shared" si="73"/>
        <v>0</v>
      </c>
      <c r="J355">
        <f t="shared" si="74"/>
        <v>0</v>
      </c>
      <c r="K355">
        <f t="shared" si="75"/>
        <v>0</v>
      </c>
      <c r="L355">
        <f t="shared" si="76"/>
        <v>0</v>
      </c>
      <c r="M355">
        <f t="shared" si="77"/>
        <v>10.459999999999999</v>
      </c>
      <c r="N355">
        <f t="shared" si="78"/>
        <v>0</v>
      </c>
      <c r="O355">
        <f t="shared" si="79"/>
        <v>0</v>
      </c>
      <c r="P355">
        <f t="shared" si="80"/>
        <v>0</v>
      </c>
      <c r="Q355">
        <f t="shared" si="81"/>
        <v>0</v>
      </c>
      <c r="R355">
        <f t="shared" si="82"/>
        <v>0</v>
      </c>
      <c r="S355">
        <f t="shared" si="83"/>
        <v>0</v>
      </c>
    </row>
    <row r="356" spans="1:19" x14ac:dyDescent="0.3">
      <c r="A356" s="1">
        <v>41803</v>
      </c>
      <c r="B356" s="1">
        <v>41818</v>
      </c>
      <c r="C356">
        <v>8.89</v>
      </c>
      <c r="D356">
        <v>0.23</v>
      </c>
      <c r="E356">
        <v>5</v>
      </c>
      <c r="F356">
        <f t="shared" si="70"/>
        <v>9.120000000000001</v>
      </c>
      <c r="G356">
        <f t="shared" si="71"/>
        <v>6</v>
      </c>
      <c r="H356">
        <f t="shared" si="72"/>
        <v>0</v>
      </c>
      <c r="I356">
        <f t="shared" si="73"/>
        <v>0</v>
      </c>
      <c r="J356">
        <f t="shared" si="74"/>
        <v>0</v>
      </c>
      <c r="K356">
        <f t="shared" si="75"/>
        <v>0</v>
      </c>
      <c r="L356">
        <f t="shared" si="76"/>
        <v>0</v>
      </c>
      <c r="M356">
        <f t="shared" si="77"/>
        <v>9.120000000000001</v>
      </c>
      <c r="N356">
        <f t="shared" si="78"/>
        <v>0</v>
      </c>
      <c r="O356">
        <f t="shared" si="79"/>
        <v>0</v>
      </c>
      <c r="P356">
        <f t="shared" si="80"/>
        <v>0</v>
      </c>
      <c r="Q356">
        <f t="shared" si="81"/>
        <v>0</v>
      </c>
      <c r="R356">
        <f t="shared" si="82"/>
        <v>0</v>
      </c>
      <c r="S356">
        <f t="shared" si="83"/>
        <v>0</v>
      </c>
    </row>
    <row r="357" spans="1:19" x14ac:dyDescent="0.3">
      <c r="A357" s="1">
        <v>41803</v>
      </c>
      <c r="B357" s="1">
        <v>41814</v>
      </c>
      <c r="C357">
        <v>11.44</v>
      </c>
      <c r="D357">
        <v>0.3</v>
      </c>
      <c r="E357">
        <v>6</v>
      </c>
      <c r="F357">
        <f t="shared" si="70"/>
        <v>11.74</v>
      </c>
      <c r="G357">
        <f t="shared" si="71"/>
        <v>6</v>
      </c>
      <c r="H357">
        <f t="shared" si="72"/>
        <v>0</v>
      </c>
      <c r="I357">
        <f t="shared" si="73"/>
        <v>0</v>
      </c>
      <c r="J357">
        <f t="shared" si="74"/>
        <v>0</v>
      </c>
      <c r="K357">
        <f t="shared" si="75"/>
        <v>0</v>
      </c>
      <c r="L357">
        <f t="shared" si="76"/>
        <v>0</v>
      </c>
      <c r="M357">
        <f t="shared" si="77"/>
        <v>11.74</v>
      </c>
      <c r="N357">
        <f t="shared" si="78"/>
        <v>0</v>
      </c>
      <c r="O357">
        <f t="shared" si="79"/>
        <v>0</v>
      </c>
      <c r="P357">
        <f t="shared" si="80"/>
        <v>0</v>
      </c>
      <c r="Q357">
        <f t="shared" si="81"/>
        <v>0</v>
      </c>
      <c r="R357">
        <f t="shared" si="82"/>
        <v>0</v>
      </c>
      <c r="S357">
        <f t="shared" si="83"/>
        <v>0</v>
      </c>
    </row>
    <row r="358" spans="1:19" x14ac:dyDescent="0.3">
      <c r="A358" s="1">
        <v>41803</v>
      </c>
      <c r="B358" s="1">
        <v>41827</v>
      </c>
      <c r="C358">
        <v>10.93</v>
      </c>
      <c r="D358">
        <v>0.28999999999999998</v>
      </c>
      <c r="E358">
        <v>2</v>
      </c>
      <c r="F358">
        <f t="shared" si="70"/>
        <v>11.219999999999999</v>
      </c>
      <c r="G358">
        <f t="shared" si="71"/>
        <v>6</v>
      </c>
      <c r="H358">
        <f t="shared" si="72"/>
        <v>0</v>
      </c>
      <c r="I358">
        <f t="shared" si="73"/>
        <v>0</v>
      </c>
      <c r="J358">
        <f t="shared" si="74"/>
        <v>0</v>
      </c>
      <c r="K358">
        <f t="shared" si="75"/>
        <v>0</v>
      </c>
      <c r="L358">
        <f t="shared" si="76"/>
        <v>0</v>
      </c>
      <c r="M358">
        <f t="shared" si="77"/>
        <v>11.219999999999999</v>
      </c>
      <c r="N358">
        <f t="shared" si="78"/>
        <v>0</v>
      </c>
      <c r="O358">
        <f t="shared" si="79"/>
        <v>0</v>
      </c>
      <c r="P358">
        <f t="shared" si="80"/>
        <v>0</v>
      </c>
      <c r="Q358">
        <f t="shared" si="81"/>
        <v>0</v>
      </c>
      <c r="R358">
        <f t="shared" si="82"/>
        <v>0</v>
      </c>
      <c r="S358">
        <f t="shared" si="83"/>
        <v>0</v>
      </c>
    </row>
    <row r="359" spans="1:19" x14ac:dyDescent="0.3">
      <c r="A359" s="1">
        <v>41803</v>
      </c>
      <c r="B359" s="1">
        <v>41822</v>
      </c>
      <c r="C359">
        <v>6.34</v>
      </c>
      <c r="D359">
        <v>0.17</v>
      </c>
      <c r="E359">
        <v>4</v>
      </c>
      <c r="F359">
        <f t="shared" si="70"/>
        <v>6.51</v>
      </c>
      <c r="G359">
        <f t="shared" si="71"/>
        <v>6</v>
      </c>
      <c r="H359">
        <f t="shared" si="72"/>
        <v>0</v>
      </c>
      <c r="I359">
        <f t="shared" si="73"/>
        <v>0</v>
      </c>
      <c r="J359">
        <f t="shared" si="74"/>
        <v>0</v>
      </c>
      <c r="K359">
        <f t="shared" si="75"/>
        <v>0</v>
      </c>
      <c r="L359">
        <f t="shared" si="76"/>
        <v>0</v>
      </c>
      <c r="M359">
        <f t="shared" si="77"/>
        <v>6.51</v>
      </c>
      <c r="N359">
        <f t="shared" si="78"/>
        <v>0</v>
      </c>
      <c r="O359">
        <f t="shared" si="79"/>
        <v>0</v>
      </c>
      <c r="P359">
        <f t="shared" si="80"/>
        <v>0</v>
      </c>
      <c r="Q359">
        <f t="shared" si="81"/>
        <v>0</v>
      </c>
      <c r="R359">
        <f t="shared" si="82"/>
        <v>0</v>
      </c>
      <c r="S359">
        <f t="shared" si="83"/>
        <v>0</v>
      </c>
    </row>
    <row r="360" spans="1:19" x14ac:dyDescent="0.3">
      <c r="A360" s="1">
        <v>41803</v>
      </c>
      <c r="B360" s="1">
        <v>41813</v>
      </c>
      <c r="C360">
        <v>5.67</v>
      </c>
      <c r="D360">
        <v>0.15</v>
      </c>
      <c r="E360">
        <v>5</v>
      </c>
      <c r="F360">
        <f t="shared" si="70"/>
        <v>5.82</v>
      </c>
      <c r="G360">
        <f t="shared" si="71"/>
        <v>6</v>
      </c>
      <c r="H360">
        <f t="shared" si="72"/>
        <v>0</v>
      </c>
      <c r="I360">
        <f t="shared" si="73"/>
        <v>0</v>
      </c>
      <c r="J360">
        <f t="shared" si="74"/>
        <v>0</v>
      </c>
      <c r="K360">
        <f t="shared" si="75"/>
        <v>0</v>
      </c>
      <c r="L360">
        <f t="shared" si="76"/>
        <v>0</v>
      </c>
      <c r="M360">
        <f t="shared" si="77"/>
        <v>5.82</v>
      </c>
      <c r="N360">
        <f t="shared" si="78"/>
        <v>0</v>
      </c>
      <c r="O360">
        <f t="shared" si="79"/>
        <v>0</v>
      </c>
      <c r="P360">
        <f t="shared" si="80"/>
        <v>0</v>
      </c>
      <c r="Q360">
        <f t="shared" si="81"/>
        <v>0</v>
      </c>
      <c r="R360">
        <f t="shared" si="82"/>
        <v>0</v>
      </c>
      <c r="S360">
        <f t="shared" si="83"/>
        <v>0</v>
      </c>
    </row>
    <row r="361" spans="1:19" x14ac:dyDescent="0.3">
      <c r="A361" s="1">
        <v>41803</v>
      </c>
      <c r="B361" s="1">
        <v>41821</v>
      </c>
      <c r="C361">
        <v>8.51</v>
      </c>
      <c r="D361">
        <v>0.22</v>
      </c>
      <c r="E361">
        <v>6</v>
      </c>
      <c r="F361">
        <f t="shared" si="70"/>
        <v>8.73</v>
      </c>
      <c r="G361">
        <f t="shared" si="71"/>
        <v>6</v>
      </c>
      <c r="H361">
        <f t="shared" si="72"/>
        <v>0</v>
      </c>
      <c r="I361">
        <f t="shared" si="73"/>
        <v>0</v>
      </c>
      <c r="J361">
        <f t="shared" si="74"/>
        <v>0</v>
      </c>
      <c r="K361">
        <f t="shared" si="75"/>
        <v>0</v>
      </c>
      <c r="L361">
        <f t="shared" si="76"/>
        <v>0</v>
      </c>
      <c r="M361">
        <f t="shared" si="77"/>
        <v>8.73</v>
      </c>
      <c r="N361">
        <f t="shared" si="78"/>
        <v>0</v>
      </c>
      <c r="O361">
        <f t="shared" si="79"/>
        <v>0</v>
      </c>
      <c r="P361">
        <f t="shared" si="80"/>
        <v>0</v>
      </c>
      <c r="Q361">
        <f t="shared" si="81"/>
        <v>0</v>
      </c>
      <c r="R361">
        <f t="shared" si="82"/>
        <v>0</v>
      </c>
      <c r="S361">
        <f t="shared" si="83"/>
        <v>0</v>
      </c>
    </row>
    <row r="362" spans="1:19" x14ac:dyDescent="0.3">
      <c r="A362" s="1">
        <v>41803</v>
      </c>
      <c r="B362" s="1">
        <v>41817</v>
      </c>
      <c r="C362">
        <v>16.829999999999998</v>
      </c>
      <c r="D362">
        <v>0.44</v>
      </c>
      <c r="E362">
        <v>5</v>
      </c>
      <c r="F362">
        <f t="shared" si="70"/>
        <v>17.27</v>
      </c>
      <c r="G362">
        <f t="shared" si="71"/>
        <v>6</v>
      </c>
      <c r="H362">
        <f t="shared" si="72"/>
        <v>0</v>
      </c>
      <c r="I362">
        <f t="shared" si="73"/>
        <v>0</v>
      </c>
      <c r="J362">
        <f t="shared" si="74"/>
        <v>0</v>
      </c>
      <c r="K362">
        <f t="shared" si="75"/>
        <v>0</v>
      </c>
      <c r="L362">
        <f t="shared" si="76"/>
        <v>0</v>
      </c>
      <c r="M362">
        <f t="shared" si="77"/>
        <v>17.27</v>
      </c>
      <c r="N362">
        <f t="shared" si="78"/>
        <v>0</v>
      </c>
      <c r="O362">
        <f t="shared" si="79"/>
        <v>0</v>
      </c>
      <c r="P362">
        <f t="shared" si="80"/>
        <v>0</v>
      </c>
      <c r="Q362">
        <f t="shared" si="81"/>
        <v>0</v>
      </c>
      <c r="R362">
        <f t="shared" si="82"/>
        <v>0</v>
      </c>
      <c r="S362">
        <f t="shared" si="83"/>
        <v>0</v>
      </c>
    </row>
    <row r="363" spans="1:19" x14ac:dyDescent="0.3">
      <c r="A363" s="1">
        <v>41803</v>
      </c>
      <c r="B363" s="1">
        <v>41814</v>
      </c>
      <c r="C363">
        <v>11.69</v>
      </c>
      <c r="D363">
        <v>0.31</v>
      </c>
      <c r="E363">
        <v>5</v>
      </c>
      <c r="F363">
        <f t="shared" si="70"/>
        <v>12</v>
      </c>
      <c r="G363">
        <f t="shared" si="71"/>
        <v>6</v>
      </c>
      <c r="H363">
        <f t="shared" si="72"/>
        <v>0</v>
      </c>
      <c r="I363">
        <f t="shared" si="73"/>
        <v>0</v>
      </c>
      <c r="J363">
        <f t="shared" si="74"/>
        <v>0</v>
      </c>
      <c r="K363">
        <f t="shared" si="75"/>
        <v>0</v>
      </c>
      <c r="L363">
        <f t="shared" si="76"/>
        <v>0</v>
      </c>
      <c r="M363">
        <f t="shared" si="77"/>
        <v>12</v>
      </c>
      <c r="N363">
        <f t="shared" si="78"/>
        <v>0</v>
      </c>
      <c r="O363">
        <f t="shared" si="79"/>
        <v>0</v>
      </c>
      <c r="P363">
        <f t="shared" si="80"/>
        <v>0</v>
      </c>
      <c r="Q363">
        <f t="shared" si="81"/>
        <v>0</v>
      </c>
      <c r="R363">
        <f t="shared" si="82"/>
        <v>0</v>
      </c>
      <c r="S363">
        <f t="shared" si="83"/>
        <v>0</v>
      </c>
    </row>
    <row r="364" spans="1:19" x14ac:dyDescent="0.3">
      <c r="A364" s="1">
        <v>41806</v>
      </c>
      <c r="B364" s="1">
        <v>41808</v>
      </c>
      <c r="C364">
        <v>7.71</v>
      </c>
      <c r="D364">
        <v>0.2</v>
      </c>
      <c r="E364">
        <v>3</v>
      </c>
      <c r="F364">
        <f t="shared" si="70"/>
        <v>7.91</v>
      </c>
      <c r="G364">
        <f t="shared" si="71"/>
        <v>6</v>
      </c>
      <c r="H364">
        <f t="shared" si="72"/>
        <v>0</v>
      </c>
      <c r="I364">
        <f t="shared" si="73"/>
        <v>0</v>
      </c>
      <c r="J364">
        <f t="shared" si="74"/>
        <v>0</v>
      </c>
      <c r="K364">
        <f t="shared" si="75"/>
        <v>0</v>
      </c>
      <c r="L364">
        <f t="shared" si="76"/>
        <v>0</v>
      </c>
      <c r="M364">
        <f t="shared" si="77"/>
        <v>7.91</v>
      </c>
      <c r="N364">
        <f t="shared" si="78"/>
        <v>0</v>
      </c>
      <c r="O364">
        <f t="shared" si="79"/>
        <v>0</v>
      </c>
      <c r="P364">
        <f t="shared" si="80"/>
        <v>0</v>
      </c>
      <c r="Q364">
        <f t="shared" si="81"/>
        <v>0</v>
      </c>
      <c r="R364">
        <f t="shared" si="82"/>
        <v>0</v>
      </c>
      <c r="S364">
        <f t="shared" si="83"/>
        <v>0</v>
      </c>
    </row>
    <row r="365" spans="1:19" x14ac:dyDescent="0.3">
      <c r="A365" s="1">
        <v>41806</v>
      </c>
      <c r="B365" s="1">
        <v>41834</v>
      </c>
      <c r="C365">
        <v>5.67</v>
      </c>
      <c r="D365">
        <v>0.15</v>
      </c>
      <c r="E365">
        <v>5</v>
      </c>
      <c r="F365">
        <f t="shared" si="70"/>
        <v>5.82</v>
      </c>
      <c r="G365">
        <f t="shared" si="71"/>
        <v>6</v>
      </c>
      <c r="H365">
        <f t="shared" si="72"/>
        <v>0</v>
      </c>
      <c r="I365">
        <f t="shared" si="73"/>
        <v>0</v>
      </c>
      <c r="J365">
        <f t="shared" si="74"/>
        <v>0</v>
      </c>
      <c r="K365">
        <f t="shared" si="75"/>
        <v>0</v>
      </c>
      <c r="L365">
        <f t="shared" si="76"/>
        <v>0</v>
      </c>
      <c r="M365">
        <f t="shared" si="77"/>
        <v>5.82</v>
      </c>
      <c r="N365">
        <f t="shared" si="78"/>
        <v>0</v>
      </c>
      <c r="O365">
        <f t="shared" si="79"/>
        <v>0</v>
      </c>
      <c r="P365">
        <f t="shared" si="80"/>
        <v>0</v>
      </c>
      <c r="Q365">
        <f t="shared" si="81"/>
        <v>0</v>
      </c>
      <c r="R365">
        <f t="shared" si="82"/>
        <v>0</v>
      </c>
      <c r="S365">
        <f t="shared" si="83"/>
        <v>0</v>
      </c>
    </row>
    <row r="366" spans="1:19" x14ac:dyDescent="0.3">
      <c r="A366" s="1">
        <v>41809</v>
      </c>
      <c r="B366" s="1">
        <v>41837</v>
      </c>
      <c r="C366">
        <v>7.3</v>
      </c>
      <c r="D366">
        <v>0.19</v>
      </c>
      <c r="E366">
        <v>6</v>
      </c>
      <c r="F366">
        <f t="shared" si="70"/>
        <v>7.49</v>
      </c>
      <c r="G366">
        <f t="shared" si="71"/>
        <v>6</v>
      </c>
      <c r="H366">
        <f t="shared" si="72"/>
        <v>0</v>
      </c>
      <c r="I366">
        <f t="shared" si="73"/>
        <v>0</v>
      </c>
      <c r="J366">
        <f t="shared" si="74"/>
        <v>0</v>
      </c>
      <c r="K366">
        <f t="shared" si="75"/>
        <v>0</v>
      </c>
      <c r="L366">
        <f t="shared" si="76"/>
        <v>0</v>
      </c>
      <c r="M366">
        <f t="shared" si="77"/>
        <v>7.49</v>
      </c>
      <c r="N366">
        <f t="shared" si="78"/>
        <v>0</v>
      </c>
      <c r="O366">
        <f t="shared" si="79"/>
        <v>0</v>
      </c>
      <c r="P366">
        <f t="shared" si="80"/>
        <v>0</v>
      </c>
      <c r="Q366">
        <f t="shared" si="81"/>
        <v>0</v>
      </c>
      <c r="R366">
        <f t="shared" si="82"/>
        <v>0</v>
      </c>
      <c r="S366">
        <f t="shared" si="83"/>
        <v>0</v>
      </c>
    </row>
    <row r="367" spans="1:19" x14ac:dyDescent="0.3">
      <c r="A367" s="1">
        <v>41809</v>
      </c>
      <c r="B367" s="1">
        <v>41813</v>
      </c>
      <c r="C367">
        <v>5.64</v>
      </c>
      <c r="D367">
        <v>0.15</v>
      </c>
      <c r="E367">
        <v>5</v>
      </c>
      <c r="F367">
        <f t="shared" si="70"/>
        <v>5.79</v>
      </c>
      <c r="G367">
        <f t="shared" si="71"/>
        <v>6</v>
      </c>
      <c r="H367">
        <f t="shared" si="72"/>
        <v>0</v>
      </c>
      <c r="I367">
        <f t="shared" si="73"/>
        <v>0</v>
      </c>
      <c r="J367">
        <f t="shared" si="74"/>
        <v>0</v>
      </c>
      <c r="K367">
        <f t="shared" si="75"/>
        <v>0</v>
      </c>
      <c r="L367">
        <f t="shared" si="76"/>
        <v>0</v>
      </c>
      <c r="M367">
        <f t="shared" si="77"/>
        <v>5.79</v>
      </c>
      <c r="N367">
        <f t="shared" si="78"/>
        <v>0</v>
      </c>
      <c r="O367">
        <f t="shared" si="79"/>
        <v>0</v>
      </c>
      <c r="P367">
        <f t="shared" si="80"/>
        <v>0</v>
      </c>
      <c r="Q367">
        <f t="shared" si="81"/>
        <v>0</v>
      </c>
      <c r="R367">
        <f t="shared" si="82"/>
        <v>0</v>
      </c>
      <c r="S367">
        <f t="shared" si="83"/>
        <v>0</v>
      </c>
    </row>
    <row r="368" spans="1:19" x14ac:dyDescent="0.3">
      <c r="A368" s="1">
        <v>41809</v>
      </c>
      <c r="B368" s="1">
        <v>41815</v>
      </c>
      <c r="C368">
        <v>10.79</v>
      </c>
      <c r="D368">
        <v>0.28000000000000003</v>
      </c>
      <c r="E368">
        <v>5</v>
      </c>
      <c r="F368">
        <f t="shared" si="70"/>
        <v>11.069999999999999</v>
      </c>
      <c r="G368">
        <f t="shared" si="71"/>
        <v>6</v>
      </c>
      <c r="H368">
        <f t="shared" si="72"/>
        <v>0</v>
      </c>
      <c r="I368">
        <f t="shared" si="73"/>
        <v>0</v>
      </c>
      <c r="J368">
        <f t="shared" si="74"/>
        <v>0</v>
      </c>
      <c r="K368">
        <f t="shared" si="75"/>
        <v>0</v>
      </c>
      <c r="L368">
        <f t="shared" si="76"/>
        <v>0</v>
      </c>
      <c r="M368">
        <f t="shared" si="77"/>
        <v>11.069999999999999</v>
      </c>
      <c r="N368">
        <f t="shared" si="78"/>
        <v>0</v>
      </c>
      <c r="O368">
        <f t="shared" si="79"/>
        <v>0</v>
      </c>
      <c r="P368">
        <f t="shared" si="80"/>
        <v>0</v>
      </c>
      <c r="Q368">
        <f t="shared" si="81"/>
        <v>0</v>
      </c>
      <c r="R368">
        <f t="shared" si="82"/>
        <v>0</v>
      </c>
      <c r="S368">
        <f t="shared" si="83"/>
        <v>0</v>
      </c>
    </row>
    <row r="369" spans="1:19" x14ac:dyDescent="0.3">
      <c r="A369" s="1">
        <v>41809</v>
      </c>
      <c r="B369" s="1">
        <v>41830</v>
      </c>
      <c r="C369">
        <v>10.199999999999999</v>
      </c>
      <c r="D369">
        <v>0.27</v>
      </c>
      <c r="E369">
        <v>6</v>
      </c>
      <c r="F369">
        <f t="shared" si="70"/>
        <v>10.469999999999999</v>
      </c>
      <c r="G369">
        <f t="shared" si="71"/>
        <v>6</v>
      </c>
      <c r="H369">
        <f t="shared" si="72"/>
        <v>0</v>
      </c>
      <c r="I369">
        <f t="shared" si="73"/>
        <v>0</v>
      </c>
      <c r="J369">
        <f t="shared" si="74"/>
        <v>0</v>
      </c>
      <c r="K369">
        <f t="shared" si="75"/>
        <v>0</v>
      </c>
      <c r="L369">
        <f t="shared" si="76"/>
        <v>0</v>
      </c>
      <c r="M369">
        <f t="shared" si="77"/>
        <v>10.469999999999999</v>
      </c>
      <c r="N369">
        <f t="shared" si="78"/>
        <v>0</v>
      </c>
      <c r="O369">
        <f t="shared" si="79"/>
        <v>0</v>
      </c>
      <c r="P369">
        <f t="shared" si="80"/>
        <v>0</v>
      </c>
      <c r="Q369">
        <f t="shared" si="81"/>
        <v>0</v>
      </c>
      <c r="R369">
        <f t="shared" si="82"/>
        <v>0</v>
      </c>
      <c r="S369">
        <f t="shared" si="83"/>
        <v>0</v>
      </c>
    </row>
    <row r="370" spans="1:19" x14ac:dyDescent="0.3">
      <c r="A370" s="1">
        <v>41809</v>
      </c>
      <c r="B370" s="1">
        <v>41821</v>
      </c>
      <c r="C370">
        <v>16.55</v>
      </c>
      <c r="D370">
        <v>0.44</v>
      </c>
      <c r="E370">
        <v>3</v>
      </c>
      <c r="F370">
        <f t="shared" si="70"/>
        <v>16.990000000000002</v>
      </c>
      <c r="G370">
        <f t="shared" si="71"/>
        <v>6</v>
      </c>
      <c r="H370">
        <f t="shared" si="72"/>
        <v>0</v>
      </c>
      <c r="I370">
        <f t="shared" si="73"/>
        <v>0</v>
      </c>
      <c r="J370">
        <f t="shared" si="74"/>
        <v>0</v>
      </c>
      <c r="K370">
        <f t="shared" si="75"/>
        <v>0</v>
      </c>
      <c r="L370">
        <f t="shared" si="76"/>
        <v>0</v>
      </c>
      <c r="M370">
        <f t="shared" si="77"/>
        <v>16.990000000000002</v>
      </c>
      <c r="N370">
        <f t="shared" si="78"/>
        <v>0</v>
      </c>
      <c r="O370">
        <f t="shared" si="79"/>
        <v>0</v>
      </c>
      <c r="P370">
        <f t="shared" si="80"/>
        <v>0</v>
      </c>
      <c r="Q370">
        <f t="shared" si="81"/>
        <v>0</v>
      </c>
      <c r="R370">
        <f t="shared" si="82"/>
        <v>0</v>
      </c>
      <c r="S370">
        <f t="shared" si="83"/>
        <v>0</v>
      </c>
    </row>
    <row r="371" spans="1:19" x14ac:dyDescent="0.3">
      <c r="A371" s="1">
        <v>41809</v>
      </c>
      <c r="B371" s="1">
        <v>41829</v>
      </c>
      <c r="C371">
        <v>8.9499999999999993</v>
      </c>
      <c r="D371">
        <v>0.24</v>
      </c>
      <c r="E371">
        <v>6</v>
      </c>
      <c r="F371">
        <f t="shared" si="70"/>
        <v>9.19</v>
      </c>
      <c r="G371">
        <f t="shared" si="71"/>
        <v>6</v>
      </c>
      <c r="H371">
        <f t="shared" si="72"/>
        <v>0</v>
      </c>
      <c r="I371">
        <f t="shared" si="73"/>
        <v>0</v>
      </c>
      <c r="J371">
        <f t="shared" si="74"/>
        <v>0</v>
      </c>
      <c r="K371">
        <f t="shared" si="75"/>
        <v>0</v>
      </c>
      <c r="L371">
        <f t="shared" si="76"/>
        <v>0</v>
      </c>
      <c r="M371">
        <f t="shared" si="77"/>
        <v>9.19</v>
      </c>
      <c r="N371">
        <f t="shared" si="78"/>
        <v>0</v>
      </c>
      <c r="O371">
        <f t="shared" si="79"/>
        <v>0</v>
      </c>
      <c r="P371">
        <f t="shared" si="80"/>
        <v>0</v>
      </c>
      <c r="Q371">
        <f t="shared" si="81"/>
        <v>0</v>
      </c>
      <c r="R371">
        <f t="shared" si="82"/>
        <v>0</v>
      </c>
      <c r="S371">
        <f t="shared" si="83"/>
        <v>0</v>
      </c>
    </row>
    <row r="372" spans="1:19" x14ac:dyDescent="0.3">
      <c r="A372" s="1">
        <v>41815</v>
      </c>
      <c r="B372" s="1">
        <v>41825</v>
      </c>
      <c r="C372">
        <v>5.64</v>
      </c>
      <c r="D372">
        <v>0.15</v>
      </c>
      <c r="E372">
        <v>4</v>
      </c>
      <c r="F372">
        <f t="shared" si="70"/>
        <v>5.79</v>
      </c>
      <c r="G372">
        <f t="shared" si="71"/>
        <v>6</v>
      </c>
      <c r="H372">
        <f t="shared" si="72"/>
        <v>0</v>
      </c>
      <c r="I372">
        <f t="shared" si="73"/>
        <v>0</v>
      </c>
      <c r="J372">
        <f t="shared" si="74"/>
        <v>0</v>
      </c>
      <c r="K372">
        <f t="shared" si="75"/>
        <v>0</v>
      </c>
      <c r="L372">
        <f t="shared" si="76"/>
        <v>0</v>
      </c>
      <c r="M372">
        <f t="shared" si="77"/>
        <v>5.79</v>
      </c>
      <c r="N372">
        <f t="shared" si="78"/>
        <v>0</v>
      </c>
      <c r="O372">
        <f t="shared" si="79"/>
        <v>0</v>
      </c>
      <c r="P372">
        <f t="shared" si="80"/>
        <v>0</v>
      </c>
      <c r="Q372">
        <f t="shared" si="81"/>
        <v>0</v>
      </c>
      <c r="R372">
        <f t="shared" si="82"/>
        <v>0</v>
      </c>
      <c r="S372">
        <f t="shared" si="83"/>
        <v>0</v>
      </c>
    </row>
    <row r="373" spans="1:19" x14ac:dyDescent="0.3">
      <c r="A373" s="1">
        <v>41815</v>
      </c>
      <c r="B373" s="1">
        <v>41840</v>
      </c>
      <c r="C373">
        <v>6.34</v>
      </c>
      <c r="D373">
        <v>0.17</v>
      </c>
      <c r="E373">
        <v>3</v>
      </c>
      <c r="F373">
        <f t="shared" si="70"/>
        <v>6.51</v>
      </c>
      <c r="G373">
        <f t="shared" si="71"/>
        <v>6</v>
      </c>
      <c r="H373">
        <f t="shared" si="72"/>
        <v>0</v>
      </c>
      <c r="I373">
        <f t="shared" si="73"/>
        <v>0</v>
      </c>
      <c r="J373">
        <f t="shared" si="74"/>
        <v>0</v>
      </c>
      <c r="K373">
        <f t="shared" si="75"/>
        <v>0</v>
      </c>
      <c r="L373">
        <f t="shared" si="76"/>
        <v>0</v>
      </c>
      <c r="M373">
        <f t="shared" si="77"/>
        <v>6.51</v>
      </c>
      <c r="N373">
        <f t="shared" si="78"/>
        <v>0</v>
      </c>
      <c r="O373">
        <f t="shared" si="79"/>
        <v>0</v>
      </c>
      <c r="P373">
        <f t="shared" si="80"/>
        <v>0</v>
      </c>
      <c r="Q373">
        <f t="shared" si="81"/>
        <v>0</v>
      </c>
      <c r="R373">
        <f t="shared" si="82"/>
        <v>0</v>
      </c>
      <c r="S373">
        <f t="shared" si="83"/>
        <v>0</v>
      </c>
    </row>
    <row r="374" spans="1:19" x14ac:dyDescent="0.3">
      <c r="A374" s="1">
        <v>41815</v>
      </c>
      <c r="B374" s="1">
        <v>41832</v>
      </c>
      <c r="C374">
        <v>11.69</v>
      </c>
      <c r="D374">
        <v>0.31</v>
      </c>
      <c r="E374">
        <v>6</v>
      </c>
      <c r="F374">
        <f t="shared" si="70"/>
        <v>12</v>
      </c>
      <c r="G374">
        <f t="shared" si="71"/>
        <v>6</v>
      </c>
      <c r="H374">
        <f t="shared" si="72"/>
        <v>0</v>
      </c>
      <c r="I374">
        <f t="shared" si="73"/>
        <v>0</v>
      </c>
      <c r="J374">
        <f t="shared" si="74"/>
        <v>0</v>
      </c>
      <c r="K374">
        <f t="shared" si="75"/>
        <v>0</v>
      </c>
      <c r="L374">
        <f t="shared" si="76"/>
        <v>0</v>
      </c>
      <c r="M374">
        <f t="shared" si="77"/>
        <v>12</v>
      </c>
      <c r="N374">
        <f t="shared" si="78"/>
        <v>0</v>
      </c>
      <c r="O374">
        <f t="shared" si="79"/>
        <v>0</v>
      </c>
      <c r="P374">
        <f t="shared" si="80"/>
        <v>0</v>
      </c>
      <c r="Q374">
        <f t="shared" si="81"/>
        <v>0</v>
      </c>
      <c r="R374">
        <f t="shared" si="82"/>
        <v>0</v>
      </c>
      <c r="S374">
        <f t="shared" si="83"/>
        <v>0</v>
      </c>
    </row>
    <row r="375" spans="1:19" x14ac:dyDescent="0.3">
      <c r="A375" s="1">
        <v>41815</v>
      </c>
      <c r="B375" s="1">
        <v>41839</v>
      </c>
      <c r="C375">
        <v>11.42</v>
      </c>
      <c r="D375">
        <v>0.3</v>
      </c>
      <c r="E375">
        <v>5</v>
      </c>
      <c r="F375">
        <f t="shared" si="70"/>
        <v>11.72</v>
      </c>
      <c r="G375">
        <f t="shared" si="71"/>
        <v>6</v>
      </c>
      <c r="H375">
        <f t="shared" si="72"/>
        <v>0</v>
      </c>
      <c r="I375">
        <f t="shared" si="73"/>
        <v>0</v>
      </c>
      <c r="J375">
        <f t="shared" si="74"/>
        <v>0</v>
      </c>
      <c r="K375">
        <f t="shared" si="75"/>
        <v>0</v>
      </c>
      <c r="L375">
        <f t="shared" si="76"/>
        <v>0</v>
      </c>
      <c r="M375">
        <f t="shared" si="77"/>
        <v>11.72</v>
      </c>
      <c r="N375">
        <f t="shared" si="78"/>
        <v>0</v>
      </c>
      <c r="O375">
        <f t="shared" si="79"/>
        <v>0</v>
      </c>
      <c r="P375">
        <f t="shared" si="80"/>
        <v>0</v>
      </c>
      <c r="Q375">
        <f t="shared" si="81"/>
        <v>0</v>
      </c>
      <c r="R375">
        <f t="shared" si="82"/>
        <v>0</v>
      </c>
      <c r="S375">
        <f t="shared" si="83"/>
        <v>0</v>
      </c>
    </row>
    <row r="376" spans="1:19" x14ac:dyDescent="0.3">
      <c r="A376" s="1">
        <v>41815</v>
      </c>
      <c r="B376" s="1">
        <v>41822</v>
      </c>
      <c r="C376">
        <v>8.5399999999999991</v>
      </c>
      <c r="D376">
        <v>0.22</v>
      </c>
      <c r="E376">
        <v>6</v>
      </c>
      <c r="F376">
        <f t="shared" si="70"/>
        <v>8.76</v>
      </c>
      <c r="G376">
        <f t="shared" si="71"/>
        <v>6</v>
      </c>
      <c r="H376">
        <f t="shared" si="72"/>
        <v>0</v>
      </c>
      <c r="I376">
        <f t="shared" si="73"/>
        <v>0</v>
      </c>
      <c r="J376">
        <f t="shared" si="74"/>
        <v>0</v>
      </c>
      <c r="K376">
        <f t="shared" si="75"/>
        <v>0</v>
      </c>
      <c r="L376">
        <f t="shared" si="76"/>
        <v>0</v>
      </c>
      <c r="M376">
        <f t="shared" si="77"/>
        <v>8.76</v>
      </c>
      <c r="N376">
        <f t="shared" si="78"/>
        <v>0</v>
      </c>
      <c r="O376">
        <f t="shared" si="79"/>
        <v>0</v>
      </c>
      <c r="P376">
        <f t="shared" si="80"/>
        <v>0</v>
      </c>
      <c r="Q376">
        <f t="shared" si="81"/>
        <v>0</v>
      </c>
      <c r="R376">
        <f t="shared" si="82"/>
        <v>0</v>
      </c>
      <c r="S376">
        <f t="shared" si="83"/>
        <v>0</v>
      </c>
    </row>
    <row r="377" spans="1:19" x14ac:dyDescent="0.3">
      <c r="A377" s="1">
        <v>41815</v>
      </c>
      <c r="B377" s="1">
        <v>41831</v>
      </c>
      <c r="C377">
        <v>10.199999999999999</v>
      </c>
      <c r="D377">
        <v>0.27</v>
      </c>
      <c r="E377">
        <v>3</v>
      </c>
      <c r="F377">
        <f t="shared" si="70"/>
        <v>10.469999999999999</v>
      </c>
      <c r="G377">
        <f t="shared" si="71"/>
        <v>6</v>
      </c>
      <c r="H377">
        <f t="shared" si="72"/>
        <v>0</v>
      </c>
      <c r="I377">
        <f t="shared" si="73"/>
        <v>0</v>
      </c>
      <c r="J377">
        <f t="shared" si="74"/>
        <v>0</v>
      </c>
      <c r="K377">
        <f t="shared" si="75"/>
        <v>0</v>
      </c>
      <c r="L377">
        <f t="shared" si="76"/>
        <v>0</v>
      </c>
      <c r="M377">
        <f t="shared" si="77"/>
        <v>10.469999999999999</v>
      </c>
      <c r="N377">
        <f t="shared" si="78"/>
        <v>0</v>
      </c>
      <c r="O377">
        <f t="shared" si="79"/>
        <v>0</v>
      </c>
      <c r="P377">
        <f t="shared" si="80"/>
        <v>0</v>
      </c>
      <c r="Q377">
        <f t="shared" si="81"/>
        <v>0</v>
      </c>
      <c r="R377">
        <f t="shared" si="82"/>
        <v>0</v>
      </c>
      <c r="S377">
        <f t="shared" si="83"/>
        <v>0</v>
      </c>
    </row>
    <row r="378" spans="1:19" x14ac:dyDescent="0.3">
      <c r="A378" s="1">
        <v>41815</v>
      </c>
      <c r="B378" s="1">
        <v>41833</v>
      </c>
      <c r="C378">
        <v>8.39</v>
      </c>
      <c r="D378">
        <v>0.22</v>
      </c>
      <c r="E378">
        <v>6</v>
      </c>
      <c r="F378">
        <f t="shared" si="70"/>
        <v>8.6100000000000012</v>
      </c>
      <c r="G378">
        <f t="shared" si="71"/>
        <v>6</v>
      </c>
      <c r="H378">
        <f t="shared" si="72"/>
        <v>0</v>
      </c>
      <c r="I378">
        <f t="shared" si="73"/>
        <v>0</v>
      </c>
      <c r="J378">
        <f t="shared" si="74"/>
        <v>0</v>
      </c>
      <c r="K378">
        <f t="shared" si="75"/>
        <v>0</v>
      </c>
      <c r="L378">
        <f t="shared" si="76"/>
        <v>0</v>
      </c>
      <c r="M378">
        <f t="shared" si="77"/>
        <v>8.6100000000000012</v>
      </c>
      <c r="N378">
        <f t="shared" si="78"/>
        <v>0</v>
      </c>
      <c r="O378">
        <f t="shared" si="79"/>
        <v>0</v>
      </c>
      <c r="P378">
        <f t="shared" si="80"/>
        <v>0</v>
      </c>
      <c r="Q378">
        <f t="shared" si="81"/>
        <v>0</v>
      </c>
      <c r="R378">
        <f t="shared" si="82"/>
        <v>0</v>
      </c>
      <c r="S378">
        <f t="shared" si="83"/>
        <v>0</v>
      </c>
    </row>
    <row r="379" spans="1:19" x14ac:dyDescent="0.3">
      <c r="A379" s="1">
        <v>41815</v>
      </c>
      <c r="B379" s="1">
        <v>41826</v>
      </c>
      <c r="C379">
        <v>9.4600000000000009</v>
      </c>
      <c r="D379">
        <v>0.25</v>
      </c>
      <c r="E379">
        <v>4</v>
      </c>
      <c r="F379">
        <f t="shared" si="70"/>
        <v>9.7100000000000009</v>
      </c>
      <c r="G379">
        <f t="shared" si="71"/>
        <v>6</v>
      </c>
      <c r="H379">
        <f t="shared" si="72"/>
        <v>0</v>
      </c>
      <c r="I379">
        <f t="shared" si="73"/>
        <v>0</v>
      </c>
      <c r="J379">
        <f t="shared" si="74"/>
        <v>0</v>
      </c>
      <c r="K379">
        <f t="shared" si="75"/>
        <v>0</v>
      </c>
      <c r="L379">
        <f t="shared" si="76"/>
        <v>0</v>
      </c>
      <c r="M379">
        <f t="shared" si="77"/>
        <v>9.7100000000000009</v>
      </c>
      <c r="N379">
        <f t="shared" si="78"/>
        <v>0</v>
      </c>
      <c r="O379">
        <f t="shared" si="79"/>
        <v>0</v>
      </c>
      <c r="P379">
        <f t="shared" si="80"/>
        <v>0</v>
      </c>
      <c r="Q379">
        <f t="shared" si="81"/>
        <v>0</v>
      </c>
      <c r="R379">
        <f t="shared" si="82"/>
        <v>0</v>
      </c>
      <c r="S379">
        <f t="shared" si="83"/>
        <v>0</v>
      </c>
    </row>
    <row r="380" spans="1:19" x14ac:dyDescent="0.3">
      <c r="A380" s="1">
        <v>41815</v>
      </c>
      <c r="B380" s="1">
        <v>41843</v>
      </c>
      <c r="C380">
        <v>11.37</v>
      </c>
      <c r="D380">
        <v>0.3</v>
      </c>
      <c r="E380">
        <v>5</v>
      </c>
      <c r="F380">
        <f t="shared" si="70"/>
        <v>11.67</v>
      </c>
      <c r="G380">
        <f t="shared" si="71"/>
        <v>6</v>
      </c>
      <c r="H380">
        <f t="shared" si="72"/>
        <v>0</v>
      </c>
      <c r="I380">
        <f t="shared" si="73"/>
        <v>0</v>
      </c>
      <c r="J380">
        <f t="shared" si="74"/>
        <v>0</v>
      </c>
      <c r="K380">
        <f t="shared" si="75"/>
        <v>0</v>
      </c>
      <c r="L380">
        <f t="shared" si="76"/>
        <v>0</v>
      </c>
      <c r="M380">
        <f t="shared" si="77"/>
        <v>11.67</v>
      </c>
      <c r="N380">
        <f t="shared" si="78"/>
        <v>0</v>
      </c>
      <c r="O380">
        <f t="shared" si="79"/>
        <v>0</v>
      </c>
      <c r="P380">
        <f t="shared" si="80"/>
        <v>0</v>
      </c>
      <c r="Q380">
        <f t="shared" si="81"/>
        <v>0</v>
      </c>
      <c r="R380">
        <f t="shared" si="82"/>
        <v>0</v>
      </c>
      <c r="S380">
        <f t="shared" si="83"/>
        <v>0</v>
      </c>
    </row>
    <row r="381" spans="1:19" x14ac:dyDescent="0.3">
      <c r="A381" s="1">
        <v>41815</v>
      </c>
      <c r="B381" s="1">
        <v>41841</v>
      </c>
      <c r="C381">
        <v>3.79</v>
      </c>
      <c r="D381">
        <v>0.1</v>
      </c>
      <c r="E381">
        <v>5</v>
      </c>
      <c r="F381">
        <f t="shared" si="70"/>
        <v>3.89</v>
      </c>
      <c r="G381">
        <f t="shared" si="71"/>
        <v>6</v>
      </c>
      <c r="H381">
        <f t="shared" si="72"/>
        <v>0</v>
      </c>
      <c r="I381">
        <f t="shared" si="73"/>
        <v>0</v>
      </c>
      <c r="J381">
        <f t="shared" si="74"/>
        <v>0</v>
      </c>
      <c r="K381">
        <f t="shared" si="75"/>
        <v>0</v>
      </c>
      <c r="L381">
        <f t="shared" si="76"/>
        <v>0</v>
      </c>
      <c r="M381">
        <f t="shared" si="77"/>
        <v>3.89</v>
      </c>
      <c r="N381">
        <f t="shared" si="78"/>
        <v>0</v>
      </c>
      <c r="O381">
        <f t="shared" si="79"/>
        <v>0</v>
      </c>
      <c r="P381">
        <f t="shared" si="80"/>
        <v>0</v>
      </c>
      <c r="Q381">
        <f t="shared" si="81"/>
        <v>0</v>
      </c>
      <c r="R381">
        <f t="shared" si="82"/>
        <v>0</v>
      </c>
      <c r="S381">
        <f t="shared" si="83"/>
        <v>0</v>
      </c>
    </row>
    <row r="382" spans="1:19" x14ac:dyDescent="0.3">
      <c r="A382" s="1">
        <v>41815</v>
      </c>
      <c r="B382" s="1">
        <v>41835</v>
      </c>
      <c r="C382">
        <v>8.84</v>
      </c>
      <c r="D382">
        <v>0.23</v>
      </c>
      <c r="E382">
        <v>2</v>
      </c>
      <c r="F382">
        <f t="shared" si="70"/>
        <v>9.07</v>
      </c>
      <c r="G382">
        <f t="shared" si="71"/>
        <v>6</v>
      </c>
      <c r="H382">
        <f t="shared" si="72"/>
        <v>0</v>
      </c>
      <c r="I382">
        <f t="shared" si="73"/>
        <v>0</v>
      </c>
      <c r="J382">
        <f t="shared" si="74"/>
        <v>0</v>
      </c>
      <c r="K382">
        <f t="shared" si="75"/>
        <v>0</v>
      </c>
      <c r="L382">
        <f t="shared" si="76"/>
        <v>0</v>
      </c>
      <c r="M382">
        <f t="shared" si="77"/>
        <v>9.07</v>
      </c>
      <c r="N382">
        <f t="shared" si="78"/>
        <v>0</v>
      </c>
      <c r="O382">
        <f t="shared" si="79"/>
        <v>0</v>
      </c>
      <c r="P382">
        <f t="shared" si="80"/>
        <v>0</v>
      </c>
      <c r="Q382">
        <f t="shared" si="81"/>
        <v>0</v>
      </c>
      <c r="R382">
        <f t="shared" si="82"/>
        <v>0</v>
      </c>
      <c r="S382">
        <f t="shared" si="83"/>
        <v>0</v>
      </c>
    </row>
    <row r="383" spans="1:19" x14ac:dyDescent="0.3">
      <c r="A383" s="1">
        <v>41815</v>
      </c>
      <c r="B383" s="1">
        <v>41825</v>
      </c>
      <c r="C383">
        <v>19.54</v>
      </c>
      <c r="D383">
        <v>0.51</v>
      </c>
      <c r="E383">
        <v>4</v>
      </c>
      <c r="F383">
        <f t="shared" si="70"/>
        <v>20.05</v>
      </c>
      <c r="G383">
        <f t="shared" si="71"/>
        <v>6</v>
      </c>
      <c r="H383">
        <f t="shared" si="72"/>
        <v>0</v>
      </c>
      <c r="I383">
        <f t="shared" si="73"/>
        <v>0</v>
      </c>
      <c r="J383">
        <f t="shared" si="74"/>
        <v>0</v>
      </c>
      <c r="K383">
        <f t="shared" si="75"/>
        <v>0</v>
      </c>
      <c r="L383">
        <f t="shared" si="76"/>
        <v>0</v>
      </c>
      <c r="M383">
        <f t="shared" si="77"/>
        <v>20.05</v>
      </c>
      <c r="N383">
        <f t="shared" si="78"/>
        <v>0</v>
      </c>
      <c r="O383">
        <f t="shared" si="79"/>
        <v>0</v>
      </c>
      <c r="P383">
        <f t="shared" si="80"/>
        <v>0</v>
      </c>
      <c r="Q383">
        <f t="shared" si="81"/>
        <v>0</v>
      </c>
      <c r="R383">
        <f t="shared" si="82"/>
        <v>0</v>
      </c>
      <c r="S383">
        <f t="shared" si="83"/>
        <v>0</v>
      </c>
    </row>
    <row r="384" spans="1:19" x14ac:dyDescent="0.3">
      <c r="A384" s="1">
        <v>41815</v>
      </c>
      <c r="B384" s="1">
        <v>41821</v>
      </c>
      <c r="C384">
        <v>3.79</v>
      </c>
      <c r="D384">
        <v>0.1</v>
      </c>
      <c r="E384">
        <v>5</v>
      </c>
      <c r="F384">
        <f t="shared" si="70"/>
        <v>3.89</v>
      </c>
      <c r="G384">
        <f t="shared" si="71"/>
        <v>6</v>
      </c>
      <c r="H384">
        <f t="shared" si="72"/>
        <v>0</v>
      </c>
      <c r="I384">
        <f t="shared" si="73"/>
        <v>0</v>
      </c>
      <c r="J384">
        <f t="shared" si="74"/>
        <v>0</v>
      </c>
      <c r="K384">
        <f t="shared" si="75"/>
        <v>0</v>
      </c>
      <c r="L384">
        <f t="shared" si="76"/>
        <v>0</v>
      </c>
      <c r="M384">
        <f t="shared" si="77"/>
        <v>3.89</v>
      </c>
      <c r="N384">
        <f t="shared" si="78"/>
        <v>0</v>
      </c>
      <c r="O384">
        <f t="shared" si="79"/>
        <v>0</v>
      </c>
      <c r="P384">
        <f t="shared" si="80"/>
        <v>0</v>
      </c>
      <c r="Q384">
        <f t="shared" si="81"/>
        <v>0</v>
      </c>
      <c r="R384">
        <f t="shared" si="82"/>
        <v>0</v>
      </c>
      <c r="S384">
        <f t="shared" si="83"/>
        <v>0</v>
      </c>
    </row>
    <row r="385" spans="1:19" x14ac:dyDescent="0.3">
      <c r="A385" s="1">
        <v>41815</v>
      </c>
      <c r="B385" s="1">
        <v>41828</v>
      </c>
      <c r="C385">
        <v>9.74</v>
      </c>
      <c r="D385">
        <v>0.26</v>
      </c>
      <c r="E385">
        <v>6</v>
      </c>
      <c r="F385">
        <f t="shared" si="70"/>
        <v>10</v>
      </c>
      <c r="G385">
        <f t="shared" si="71"/>
        <v>6</v>
      </c>
      <c r="H385">
        <f t="shared" si="72"/>
        <v>0</v>
      </c>
      <c r="I385">
        <f t="shared" si="73"/>
        <v>0</v>
      </c>
      <c r="J385">
        <f t="shared" si="74"/>
        <v>0</v>
      </c>
      <c r="K385">
        <f t="shared" si="75"/>
        <v>0</v>
      </c>
      <c r="L385">
        <f t="shared" si="76"/>
        <v>0</v>
      </c>
      <c r="M385">
        <f t="shared" si="77"/>
        <v>10</v>
      </c>
      <c r="N385">
        <f t="shared" si="78"/>
        <v>0</v>
      </c>
      <c r="O385">
        <f t="shared" si="79"/>
        <v>0</v>
      </c>
      <c r="P385">
        <f t="shared" si="80"/>
        <v>0</v>
      </c>
      <c r="Q385">
        <f t="shared" si="81"/>
        <v>0</v>
      </c>
      <c r="R385">
        <f t="shared" si="82"/>
        <v>0</v>
      </c>
      <c r="S385">
        <f t="shared" si="83"/>
        <v>0</v>
      </c>
    </row>
    <row r="386" spans="1:19" x14ac:dyDescent="0.3">
      <c r="A386" s="1">
        <v>41815</v>
      </c>
      <c r="B386" s="1">
        <v>41837</v>
      </c>
      <c r="C386">
        <v>10.199999999999999</v>
      </c>
      <c r="D386">
        <v>0.27</v>
      </c>
      <c r="E386">
        <v>2</v>
      </c>
      <c r="F386">
        <f t="shared" si="70"/>
        <v>10.469999999999999</v>
      </c>
      <c r="G386">
        <f t="shared" si="71"/>
        <v>6</v>
      </c>
      <c r="H386">
        <f t="shared" si="72"/>
        <v>0</v>
      </c>
      <c r="I386">
        <f t="shared" si="73"/>
        <v>0</v>
      </c>
      <c r="J386">
        <f t="shared" si="74"/>
        <v>0</v>
      </c>
      <c r="K386">
        <f t="shared" si="75"/>
        <v>0</v>
      </c>
      <c r="L386">
        <f t="shared" si="76"/>
        <v>0</v>
      </c>
      <c r="M386">
        <f t="shared" si="77"/>
        <v>10.469999999999999</v>
      </c>
      <c r="N386">
        <f t="shared" si="78"/>
        <v>0</v>
      </c>
      <c r="O386">
        <f t="shared" si="79"/>
        <v>0</v>
      </c>
      <c r="P386">
        <f t="shared" si="80"/>
        <v>0</v>
      </c>
      <c r="Q386">
        <f t="shared" si="81"/>
        <v>0</v>
      </c>
      <c r="R386">
        <f t="shared" si="82"/>
        <v>0</v>
      </c>
      <c r="S386">
        <f t="shared" si="83"/>
        <v>0</v>
      </c>
    </row>
    <row r="387" spans="1:19" x14ac:dyDescent="0.3">
      <c r="A387" s="1">
        <v>41815</v>
      </c>
      <c r="B387" s="1">
        <v>41836</v>
      </c>
      <c r="C387">
        <v>3.88</v>
      </c>
      <c r="D387">
        <v>0.1</v>
      </c>
      <c r="E387">
        <v>4</v>
      </c>
      <c r="F387">
        <f t="shared" ref="F387:F450" si="84">C387+D387</f>
        <v>3.98</v>
      </c>
      <c r="G387">
        <f t="shared" ref="G387:G450" si="85">MONTH(A387)</f>
        <v>6</v>
      </c>
      <c r="H387">
        <f t="shared" ref="H387:H450" si="86">IF(EXACT(G387,1),F387,0)</f>
        <v>0</v>
      </c>
      <c r="I387">
        <f t="shared" ref="I387:I450" si="87">IF(EXACT(G387,2),F387,0)</f>
        <v>0</v>
      </c>
      <c r="J387">
        <f t="shared" ref="J387:J450" si="88">IF(EXACT(G387,3),F387,0)</f>
        <v>0</v>
      </c>
      <c r="K387">
        <f t="shared" ref="K387:K450" si="89">IF(EXACT(G387,4),F387,0)</f>
        <v>0</v>
      </c>
      <c r="L387">
        <f t="shared" ref="L387:L450" si="90">IF(EXACT(G387,5),F387,0)</f>
        <v>0</v>
      </c>
      <c r="M387">
        <f t="shared" ref="M387:M450" si="91">IF(EXACT(G387,6),F387,0)</f>
        <v>3.98</v>
      </c>
      <c r="N387">
        <f t="shared" ref="N387:N450" si="92">IF(EXACT(G387,7),F387,0)</f>
        <v>0</v>
      </c>
      <c r="O387">
        <f t="shared" ref="O387:O450" si="93">IF(EXACT(G387,8),F387,0)</f>
        <v>0</v>
      </c>
      <c r="P387">
        <f t="shared" ref="P387:P450" si="94">IF(EXACT(G387,9),F387,0)</f>
        <v>0</v>
      </c>
      <c r="Q387">
        <f t="shared" ref="Q387:Q450" si="95">IF(EXACT(G387,10),F387,0)</f>
        <v>0</v>
      </c>
      <c r="R387">
        <f t="shared" ref="R387:R450" si="96">IF(EXACT(G387,11),F387,0)</f>
        <v>0</v>
      </c>
      <c r="S387">
        <f t="shared" ref="S387:S450" si="97">IF(EXACT(G387,12),F387,0)</f>
        <v>0</v>
      </c>
    </row>
    <row r="388" spans="1:19" x14ac:dyDescent="0.3">
      <c r="A388" s="1">
        <v>41818</v>
      </c>
      <c r="B388" s="1">
        <v>41835</v>
      </c>
      <c r="C388">
        <v>4.66</v>
      </c>
      <c r="D388">
        <v>0.12</v>
      </c>
      <c r="E388">
        <v>4</v>
      </c>
      <c r="F388">
        <f t="shared" si="84"/>
        <v>4.78</v>
      </c>
      <c r="G388">
        <f t="shared" si="85"/>
        <v>6</v>
      </c>
      <c r="H388">
        <f t="shared" si="86"/>
        <v>0</v>
      </c>
      <c r="I388">
        <f t="shared" si="87"/>
        <v>0</v>
      </c>
      <c r="J388">
        <f t="shared" si="88"/>
        <v>0</v>
      </c>
      <c r="K388">
        <f t="shared" si="89"/>
        <v>0</v>
      </c>
      <c r="L388">
        <f t="shared" si="90"/>
        <v>0</v>
      </c>
      <c r="M388">
        <f t="shared" si="91"/>
        <v>4.78</v>
      </c>
      <c r="N388">
        <f t="shared" si="92"/>
        <v>0</v>
      </c>
      <c r="O388">
        <f t="shared" si="93"/>
        <v>0</v>
      </c>
      <c r="P388">
        <f t="shared" si="94"/>
        <v>0</v>
      </c>
      <c r="Q388">
        <f t="shared" si="95"/>
        <v>0</v>
      </c>
      <c r="R388">
        <f t="shared" si="96"/>
        <v>0</v>
      </c>
      <c r="S388">
        <f t="shared" si="97"/>
        <v>0</v>
      </c>
    </row>
    <row r="389" spans="1:19" x14ac:dyDescent="0.3">
      <c r="A389" s="1">
        <v>41821</v>
      </c>
      <c r="B389" s="1">
        <v>41840</v>
      </c>
      <c r="C389">
        <v>16.55</v>
      </c>
      <c r="D389">
        <v>0.44</v>
      </c>
      <c r="E389">
        <v>6</v>
      </c>
      <c r="F389">
        <f t="shared" si="84"/>
        <v>16.990000000000002</v>
      </c>
      <c r="G389">
        <f t="shared" si="85"/>
        <v>7</v>
      </c>
      <c r="H389">
        <f t="shared" si="86"/>
        <v>0</v>
      </c>
      <c r="I389">
        <f t="shared" si="87"/>
        <v>0</v>
      </c>
      <c r="J389">
        <f t="shared" si="88"/>
        <v>0</v>
      </c>
      <c r="K389">
        <f t="shared" si="89"/>
        <v>0</v>
      </c>
      <c r="L389">
        <f t="shared" si="90"/>
        <v>0</v>
      </c>
      <c r="M389">
        <f t="shared" si="91"/>
        <v>0</v>
      </c>
      <c r="N389">
        <f t="shared" si="92"/>
        <v>16.990000000000002</v>
      </c>
      <c r="O389">
        <f t="shared" si="93"/>
        <v>0</v>
      </c>
      <c r="P389">
        <f t="shared" si="94"/>
        <v>0</v>
      </c>
      <c r="Q389">
        <f t="shared" si="95"/>
        <v>0</v>
      </c>
      <c r="R389">
        <f t="shared" si="96"/>
        <v>0</v>
      </c>
      <c r="S389">
        <f t="shared" si="97"/>
        <v>0</v>
      </c>
    </row>
    <row r="390" spans="1:19" x14ac:dyDescent="0.3">
      <c r="A390" s="1">
        <v>41821</v>
      </c>
      <c r="B390" s="1">
        <v>41835</v>
      </c>
      <c r="C390">
        <v>13.81</v>
      </c>
      <c r="D390">
        <v>0.36</v>
      </c>
      <c r="E390">
        <v>3</v>
      </c>
      <c r="F390">
        <f t="shared" si="84"/>
        <v>14.17</v>
      </c>
      <c r="G390">
        <f t="shared" si="85"/>
        <v>7</v>
      </c>
      <c r="H390">
        <f t="shared" si="86"/>
        <v>0</v>
      </c>
      <c r="I390">
        <f t="shared" si="87"/>
        <v>0</v>
      </c>
      <c r="J390">
        <f t="shared" si="88"/>
        <v>0</v>
      </c>
      <c r="K390">
        <f t="shared" si="89"/>
        <v>0</v>
      </c>
      <c r="L390">
        <f t="shared" si="90"/>
        <v>0</v>
      </c>
      <c r="M390">
        <f t="shared" si="91"/>
        <v>0</v>
      </c>
      <c r="N390">
        <f t="shared" si="92"/>
        <v>14.17</v>
      </c>
      <c r="O390">
        <f t="shared" si="93"/>
        <v>0</v>
      </c>
      <c r="P390">
        <f t="shared" si="94"/>
        <v>0</v>
      </c>
      <c r="Q390">
        <f t="shared" si="95"/>
        <v>0</v>
      </c>
      <c r="R390">
        <f t="shared" si="96"/>
        <v>0</v>
      </c>
      <c r="S390">
        <f t="shared" si="97"/>
        <v>0</v>
      </c>
    </row>
    <row r="391" spans="1:19" x14ac:dyDescent="0.3">
      <c r="A391" s="1">
        <v>41821</v>
      </c>
      <c r="B391" s="1">
        <v>41837</v>
      </c>
      <c r="C391">
        <v>8.51</v>
      </c>
      <c r="D391">
        <v>0.22</v>
      </c>
      <c r="E391">
        <v>5</v>
      </c>
      <c r="F391">
        <f t="shared" si="84"/>
        <v>8.73</v>
      </c>
      <c r="G391">
        <f t="shared" si="85"/>
        <v>7</v>
      </c>
      <c r="H391">
        <f t="shared" si="86"/>
        <v>0</v>
      </c>
      <c r="I391">
        <f t="shared" si="87"/>
        <v>0</v>
      </c>
      <c r="J391">
        <f t="shared" si="88"/>
        <v>0</v>
      </c>
      <c r="K391">
        <f t="shared" si="89"/>
        <v>0</v>
      </c>
      <c r="L391">
        <f t="shared" si="90"/>
        <v>0</v>
      </c>
      <c r="M391">
        <f t="shared" si="91"/>
        <v>0</v>
      </c>
      <c r="N391">
        <f t="shared" si="92"/>
        <v>8.73</v>
      </c>
      <c r="O391">
        <f t="shared" si="93"/>
        <v>0</v>
      </c>
      <c r="P391">
        <f t="shared" si="94"/>
        <v>0</v>
      </c>
      <c r="Q391">
        <f t="shared" si="95"/>
        <v>0</v>
      </c>
      <c r="R391">
        <f t="shared" si="96"/>
        <v>0</v>
      </c>
      <c r="S391">
        <f t="shared" si="97"/>
        <v>0</v>
      </c>
    </row>
    <row r="392" spans="1:19" x14ac:dyDescent="0.3">
      <c r="A392" s="1">
        <v>41821</v>
      </c>
      <c r="B392" s="1">
        <v>41827</v>
      </c>
      <c r="C392">
        <v>8.65</v>
      </c>
      <c r="D392">
        <v>0.23</v>
      </c>
      <c r="E392">
        <v>2</v>
      </c>
      <c r="F392">
        <f t="shared" si="84"/>
        <v>8.8800000000000008</v>
      </c>
      <c r="G392">
        <f t="shared" si="85"/>
        <v>7</v>
      </c>
      <c r="H392">
        <f t="shared" si="86"/>
        <v>0</v>
      </c>
      <c r="I392">
        <f t="shared" si="87"/>
        <v>0</v>
      </c>
      <c r="J392">
        <f t="shared" si="88"/>
        <v>0</v>
      </c>
      <c r="K392">
        <f t="shared" si="89"/>
        <v>0</v>
      </c>
      <c r="L392">
        <f t="shared" si="90"/>
        <v>0</v>
      </c>
      <c r="M392">
        <f t="shared" si="91"/>
        <v>0</v>
      </c>
      <c r="N392">
        <f t="shared" si="92"/>
        <v>8.8800000000000008</v>
      </c>
      <c r="O392">
        <f t="shared" si="93"/>
        <v>0</v>
      </c>
      <c r="P392">
        <f t="shared" si="94"/>
        <v>0</v>
      </c>
      <c r="Q392">
        <f t="shared" si="95"/>
        <v>0</v>
      </c>
      <c r="R392">
        <f t="shared" si="96"/>
        <v>0</v>
      </c>
      <c r="S392">
        <f t="shared" si="97"/>
        <v>0</v>
      </c>
    </row>
    <row r="393" spans="1:19" x14ac:dyDescent="0.3">
      <c r="A393" s="1">
        <v>41821</v>
      </c>
      <c r="B393" s="1">
        <v>41832</v>
      </c>
      <c r="C393">
        <v>11.69</v>
      </c>
      <c r="D393">
        <v>0.31</v>
      </c>
      <c r="E393">
        <v>4</v>
      </c>
      <c r="F393">
        <f t="shared" si="84"/>
        <v>12</v>
      </c>
      <c r="G393">
        <f t="shared" si="85"/>
        <v>7</v>
      </c>
      <c r="H393">
        <f t="shared" si="86"/>
        <v>0</v>
      </c>
      <c r="I393">
        <f t="shared" si="87"/>
        <v>0</v>
      </c>
      <c r="J393">
        <f t="shared" si="88"/>
        <v>0</v>
      </c>
      <c r="K393">
        <f t="shared" si="89"/>
        <v>0</v>
      </c>
      <c r="L393">
        <f t="shared" si="90"/>
        <v>0</v>
      </c>
      <c r="M393">
        <f t="shared" si="91"/>
        <v>0</v>
      </c>
      <c r="N393">
        <f t="shared" si="92"/>
        <v>12</v>
      </c>
      <c r="O393">
        <f t="shared" si="93"/>
        <v>0</v>
      </c>
      <c r="P393">
        <f t="shared" si="94"/>
        <v>0</v>
      </c>
      <c r="Q393">
        <f t="shared" si="95"/>
        <v>0</v>
      </c>
      <c r="R393">
        <f t="shared" si="96"/>
        <v>0</v>
      </c>
      <c r="S393">
        <f t="shared" si="97"/>
        <v>0</v>
      </c>
    </row>
    <row r="394" spans="1:19" x14ac:dyDescent="0.3">
      <c r="A394" s="1">
        <v>41821</v>
      </c>
      <c r="B394" s="1">
        <v>41828</v>
      </c>
      <c r="C394">
        <v>7.06</v>
      </c>
      <c r="D394">
        <v>0.19</v>
      </c>
      <c r="E394">
        <v>3</v>
      </c>
      <c r="F394">
        <f t="shared" si="84"/>
        <v>7.25</v>
      </c>
      <c r="G394">
        <f t="shared" si="85"/>
        <v>7</v>
      </c>
      <c r="H394">
        <f t="shared" si="86"/>
        <v>0</v>
      </c>
      <c r="I394">
        <f t="shared" si="87"/>
        <v>0</v>
      </c>
      <c r="J394">
        <f t="shared" si="88"/>
        <v>0</v>
      </c>
      <c r="K394">
        <f t="shared" si="89"/>
        <v>0</v>
      </c>
      <c r="L394">
        <f t="shared" si="90"/>
        <v>0</v>
      </c>
      <c r="M394">
        <f t="shared" si="91"/>
        <v>0</v>
      </c>
      <c r="N394">
        <f t="shared" si="92"/>
        <v>7.25</v>
      </c>
      <c r="O394">
        <f t="shared" si="93"/>
        <v>0</v>
      </c>
      <c r="P394">
        <f t="shared" si="94"/>
        <v>0</v>
      </c>
      <c r="Q394">
        <f t="shared" si="95"/>
        <v>0</v>
      </c>
      <c r="R394">
        <f t="shared" si="96"/>
        <v>0</v>
      </c>
      <c r="S394">
        <f t="shared" si="97"/>
        <v>0</v>
      </c>
    </row>
    <row r="395" spans="1:19" x14ac:dyDescent="0.3">
      <c r="A395" s="1">
        <v>41827</v>
      </c>
      <c r="B395" s="1">
        <v>41837</v>
      </c>
      <c r="C395">
        <v>11.44</v>
      </c>
      <c r="D395">
        <v>0.3</v>
      </c>
      <c r="E395">
        <v>5</v>
      </c>
      <c r="F395">
        <f t="shared" si="84"/>
        <v>11.74</v>
      </c>
      <c r="G395">
        <f t="shared" si="85"/>
        <v>7</v>
      </c>
      <c r="H395">
        <f t="shared" si="86"/>
        <v>0</v>
      </c>
      <c r="I395">
        <f t="shared" si="87"/>
        <v>0</v>
      </c>
      <c r="J395">
        <f t="shared" si="88"/>
        <v>0</v>
      </c>
      <c r="K395">
        <f t="shared" si="89"/>
        <v>0</v>
      </c>
      <c r="L395">
        <f t="shared" si="90"/>
        <v>0</v>
      </c>
      <c r="M395">
        <f t="shared" si="91"/>
        <v>0</v>
      </c>
      <c r="N395">
        <f t="shared" si="92"/>
        <v>11.74</v>
      </c>
      <c r="O395">
        <f t="shared" si="93"/>
        <v>0</v>
      </c>
      <c r="P395">
        <f t="shared" si="94"/>
        <v>0</v>
      </c>
      <c r="Q395">
        <f t="shared" si="95"/>
        <v>0</v>
      </c>
      <c r="R395">
        <f t="shared" si="96"/>
        <v>0</v>
      </c>
      <c r="S395">
        <f t="shared" si="97"/>
        <v>0</v>
      </c>
    </row>
    <row r="396" spans="1:19" x14ac:dyDescent="0.3">
      <c r="A396" s="1">
        <v>41827</v>
      </c>
      <c r="B396" s="1">
        <v>41831</v>
      </c>
      <c r="C396">
        <v>8.9499999999999993</v>
      </c>
      <c r="D396">
        <v>0.24</v>
      </c>
      <c r="E396">
        <v>4</v>
      </c>
      <c r="F396">
        <f t="shared" si="84"/>
        <v>9.19</v>
      </c>
      <c r="G396">
        <f t="shared" si="85"/>
        <v>7</v>
      </c>
      <c r="H396">
        <f t="shared" si="86"/>
        <v>0</v>
      </c>
      <c r="I396">
        <f t="shared" si="87"/>
        <v>0</v>
      </c>
      <c r="J396">
        <f t="shared" si="88"/>
        <v>0</v>
      </c>
      <c r="K396">
        <f t="shared" si="89"/>
        <v>0</v>
      </c>
      <c r="L396">
        <f t="shared" si="90"/>
        <v>0</v>
      </c>
      <c r="M396">
        <f t="shared" si="91"/>
        <v>0</v>
      </c>
      <c r="N396">
        <f t="shared" si="92"/>
        <v>9.19</v>
      </c>
      <c r="O396">
        <f t="shared" si="93"/>
        <v>0</v>
      </c>
      <c r="P396">
        <f t="shared" si="94"/>
        <v>0</v>
      </c>
      <c r="Q396">
        <f t="shared" si="95"/>
        <v>0</v>
      </c>
      <c r="R396">
        <f t="shared" si="96"/>
        <v>0</v>
      </c>
      <c r="S396">
        <f t="shared" si="97"/>
        <v>0</v>
      </c>
    </row>
    <row r="397" spans="1:19" x14ac:dyDescent="0.3">
      <c r="A397" s="1">
        <v>41827</v>
      </c>
      <c r="B397" s="1">
        <v>41847</v>
      </c>
      <c r="C397">
        <v>9.4600000000000009</v>
      </c>
      <c r="D397">
        <v>0.25</v>
      </c>
      <c r="E397">
        <v>6</v>
      </c>
      <c r="F397">
        <f t="shared" si="84"/>
        <v>9.7100000000000009</v>
      </c>
      <c r="G397">
        <f t="shared" si="85"/>
        <v>7</v>
      </c>
      <c r="H397">
        <f t="shared" si="86"/>
        <v>0</v>
      </c>
      <c r="I397">
        <f t="shared" si="87"/>
        <v>0</v>
      </c>
      <c r="J397">
        <f t="shared" si="88"/>
        <v>0</v>
      </c>
      <c r="K397">
        <f t="shared" si="89"/>
        <v>0</v>
      </c>
      <c r="L397">
        <f t="shared" si="90"/>
        <v>0</v>
      </c>
      <c r="M397">
        <f t="shared" si="91"/>
        <v>0</v>
      </c>
      <c r="N397">
        <f t="shared" si="92"/>
        <v>9.7100000000000009</v>
      </c>
      <c r="O397">
        <f t="shared" si="93"/>
        <v>0</v>
      </c>
      <c r="P397">
        <f t="shared" si="94"/>
        <v>0</v>
      </c>
      <c r="Q397">
        <f t="shared" si="95"/>
        <v>0</v>
      </c>
      <c r="R397">
        <f t="shared" si="96"/>
        <v>0</v>
      </c>
      <c r="S397">
        <f t="shared" si="97"/>
        <v>0</v>
      </c>
    </row>
    <row r="398" spans="1:19" x14ac:dyDescent="0.3">
      <c r="A398" s="1">
        <v>41827</v>
      </c>
      <c r="B398" s="1">
        <v>41841</v>
      </c>
      <c r="C398">
        <v>5.23</v>
      </c>
      <c r="D398">
        <v>0.14000000000000001</v>
      </c>
      <c r="E398">
        <v>3</v>
      </c>
      <c r="F398">
        <f t="shared" si="84"/>
        <v>5.37</v>
      </c>
      <c r="G398">
        <f t="shared" si="85"/>
        <v>7</v>
      </c>
      <c r="H398">
        <f t="shared" si="86"/>
        <v>0</v>
      </c>
      <c r="I398">
        <f t="shared" si="87"/>
        <v>0</v>
      </c>
      <c r="J398">
        <f t="shared" si="88"/>
        <v>0</v>
      </c>
      <c r="K398">
        <f t="shared" si="89"/>
        <v>0</v>
      </c>
      <c r="L398">
        <f t="shared" si="90"/>
        <v>0</v>
      </c>
      <c r="M398">
        <f t="shared" si="91"/>
        <v>0</v>
      </c>
      <c r="N398">
        <f t="shared" si="92"/>
        <v>5.37</v>
      </c>
      <c r="O398">
        <f t="shared" si="93"/>
        <v>0</v>
      </c>
      <c r="P398">
        <f t="shared" si="94"/>
        <v>0</v>
      </c>
      <c r="Q398">
        <f t="shared" si="95"/>
        <v>0</v>
      </c>
      <c r="R398">
        <f t="shared" si="96"/>
        <v>0</v>
      </c>
      <c r="S398">
        <f t="shared" si="97"/>
        <v>0</v>
      </c>
    </row>
    <row r="399" spans="1:19" x14ac:dyDescent="0.3">
      <c r="A399" s="1">
        <v>41827</v>
      </c>
      <c r="B399" s="1">
        <v>41847</v>
      </c>
      <c r="C399">
        <v>11.78</v>
      </c>
      <c r="D399">
        <v>0.31</v>
      </c>
      <c r="E399">
        <v>4</v>
      </c>
      <c r="F399">
        <f t="shared" si="84"/>
        <v>12.09</v>
      </c>
      <c r="G399">
        <f t="shared" si="85"/>
        <v>7</v>
      </c>
      <c r="H399">
        <f t="shared" si="86"/>
        <v>0</v>
      </c>
      <c r="I399">
        <f t="shared" si="87"/>
        <v>0</v>
      </c>
      <c r="J399">
        <f t="shared" si="88"/>
        <v>0</v>
      </c>
      <c r="K399">
        <f t="shared" si="89"/>
        <v>0</v>
      </c>
      <c r="L399">
        <f t="shared" si="90"/>
        <v>0</v>
      </c>
      <c r="M399">
        <f t="shared" si="91"/>
        <v>0</v>
      </c>
      <c r="N399">
        <f t="shared" si="92"/>
        <v>12.09</v>
      </c>
      <c r="O399">
        <f t="shared" si="93"/>
        <v>0</v>
      </c>
      <c r="P399">
        <f t="shared" si="94"/>
        <v>0</v>
      </c>
      <c r="Q399">
        <f t="shared" si="95"/>
        <v>0</v>
      </c>
      <c r="R399">
        <f t="shared" si="96"/>
        <v>0</v>
      </c>
      <c r="S399">
        <f t="shared" si="97"/>
        <v>0</v>
      </c>
    </row>
    <row r="400" spans="1:19" x14ac:dyDescent="0.3">
      <c r="A400" s="1">
        <v>41827</v>
      </c>
      <c r="B400" s="1">
        <v>41836</v>
      </c>
      <c r="C400">
        <v>5.64</v>
      </c>
      <c r="D400">
        <v>0.15</v>
      </c>
      <c r="E400">
        <v>3</v>
      </c>
      <c r="F400">
        <f t="shared" si="84"/>
        <v>5.79</v>
      </c>
      <c r="G400">
        <f t="shared" si="85"/>
        <v>7</v>
      </c>
      <c r="H400">
        <f t="shared" si="86"/>
        <v>0</v>
      </c>
      <c r="I400">
        <f t="shared" si="87"/>
        <v>0</v>
      </c>
      <c r="J400">
        <f t="shared" si="88"/>
        <v>0</v>
      </c>
      <c r="K400">
        <f t="shared" si="89"/>
        <v>0</v>
      </c>
      <c r="L400">
        <f t="shared" si="90"/>
        <v>0</v>
      </c>
      <c r="M400">
        <f t="shared" si="91"/>
        <v>0</v>
      </c>
      <c r="N400">
        <f t="shared" si="92"/>
        <v>5.79</v>
      </c>
      <c r="O400">
        <f t="shared" si="93"/>
        <v>0</v>
      </c>
      <c r="P400">
        <f t="shared" si="94"/>
        <v>0</v>
      </c>
      <c r="Q400">
        <f t="shared" si="95"/>
        <v>0</v>
      </c>
      <c r="R400">
        <f t="shared" si="96"/>
        <v>0</v>
      </c>
      <c r="S400">
        <f t="shared" si="97"/>
        <v>0</v>
      </c>
    </row>
    <row r="401" spans="1:19" x14ac:dyDescent="0.3">
      <c r="A401" s="1">
        <v>41827</v>
      </c>
      <c r="B401" s="1">
        <v>41839</v>
      </c>
      <c r="C401">
        <v>10.199999999999999</v>
      </c>
      <c r="D401">
        <v>0.27</v>
      </c>
      <c r="E401">
        <v>2</v>
      </c>
      <c r="F401">
        <f t="shared" si="84"/>
        <v>10.469999999999999</v>
      </c>
      <c r="G401">
        <f t="shared" si="85"/>
        <v>7</v>
      </c>
      <c r="H401">
        <f t="shared" si="86"/>
        <v>0</v>
      </c>
      <c r="I401">
        <f t="shared" si="87"/>
        <v>0</v>
      </c>
      <c r="J401">
        <f t="shared" si="88"/>
        <v>0</v>
      </c>
      <c r="K401">
        <f t="shared" si="89"/>
        <v>0</v>
      </c>
      <c r="L401">
        <f t="shared" si="90"/>
        <v>0</v>
      </c>
      <c r="M401">
        <f t="shared" si="91"/>
        <v>0</v>
      </c>
      <c r="N401">
        <f t="shared" si="92"/>
        <v>10.469999999999999</v>
      </c>
      <c r="O401">
        <f t="shared" si="93"/>
        <v>0</v>
      </c>
      <c r="P401">
        <f t="shared" si="94"/>
        <v>0</v>
      </c>
      <c r="Q401">
        <f t="shared" si="95"/>
        <v>0</v>
      </c>
      <c r="R401">
        <f t="shared" si="96"/>
        <v>0</v>
      </c>
      <c r="S401">
        <f t="shared" si="97"/>
        <v>0</v>
      </c>
    </row>
    <row r="402" spans="1:19" x14ac:dyDescent="0.3">
      <c r="A402" s="1">
        <v>41827</v>
      </c>
      <c r="B402" s="1">
        <v>41852</v>
      </c>
      <c r="C402">
        <v>3.88</v>
      </c>
      <c r="D402">
        <v>0.1</v>
      </c>
      <c r="E402">
        <v>5</v>
      </c>
      <c r="F402">
        <f t="shared" si="84"/>
        <v>3.98</v>
      </c>
      <c r="G402">
        <f t="shared" si="85"/>
        <v>7</v>
      </c>
      <c r="H402">
        <f t="shared" si="86"/>
        <v>0</v>
      </c>
      <c r="I402">
        <f t="shared" si="87"/>
        <v>0</v>
      </c>
      <c r="J402">
        <f t="shared" si="88"/>
        <v>0</v>
      </c>
      <c r="K402">
        <f t="shared" si="89"/>
        <v>0</v>
      </c>
      <c r="L402">
        <f t="shared" si="90"/>
        <v>0</v>
      </c>
      <c r="M402">
        <f t="shared" si="91"/>
        <v>0</v>
      </c>
      <c r="N402">
        <f t="shared" si="92"/>
        <v>3.98</v>
      </c>
      <c r="O402">
        <f t="shared" si="93"/>
        <v>0</v>
      </c>
      <c r="P402">
        <f t="shared" si="94"/>
        <v>0</v>
      </c>
      <c r="Q402">
        <f t="shared" si="95"/>
        <v>0</v>
      </c>
      <c r="R402">
        <f t="shared" si="96"/>
        <v>0</v>
      </c>
      <c r="S402">
        <f t="shared" si="97"/>
        <v>0</v>
      </c>
    </row>
    <row r="403" spans="1:19" x14ac:dyDescent="0.3">
      <c r="A403" s="1">
        <v>41827</v>
      </c>
      <c r="B403" s="1">
        <v>41835</v>
      </c>
      <c r="C403">
        <v>4.66</v>
      </c>
      <c r="D403">
        <v>0.12</v>
      </c>
      <c r="E403">
        <v>4</v>
      </c>
      <c r="F403">
        <f t="shared" si="84"/>
        <v>4.78</v>
      </c>
      <c r="G403">
        <f t="shared" si="85"/>
        <v>7</v>
      </c>
      <c r="H403">
        <f t="shared" si="86"/>
        <v>0</v>
      </c>
      <c r="I403">
        <f t="shared" si="87"/>
        <v>0</v>
      </c>
      <c r="J403">
        <f t="shared" si="88"/>
        <v>0</v>
      </c>
      <c r="K403">
        <f t="shared" si="89"/>
        <v>0</v>
      </c>
      <c r="L403">
        <f t="shared" si="90"/>
        <v>0</v>
      </c>
      <c r="M403">
        <f t="shared" si="91"/>
        <v>0</v>
      </c>
      <c r="N403">
        <f t="shared" si="92"/>
        <v>4.78</v>
      </c>
      <c r="O403">
        <f t="shared" si="93"/>
        <v>0</v>
      </c>
      <c r="P403">
        <f t="shared" si="94"/>
        <v>0</v>
      </c>
      <c r="Q403">
        <f t="shared" si="95"/>
        <v>0</v>
      </c>
      <c r="R403">
        <f t="shared" si="96"/>
        <v>0</v>
      </c>
      <c r="S403">
        <f t="shared" si="97"/>
        <v>0</v>
      </c>
    </row>
    <row r="404" spans="1:19" x14ac:dyDescent="0.3">
      <c r="A404" s="1">
        <v>41827</v>
      </c>
      <c r="B404" s="1">
        <v>41838</v>
      </c>
      <c r="C404">
        <v>10.19</v>
      </c>
      <c r="D404">
        <v>0.27</v>
      </c>
      <c r="E404">
        <v>6</v>
      </c>
      <c r="F404">
        <f t="shared" si="84"/>
        <v>10.459999999999999</v>
      </c>
      <c r="G404">
        <f t="shared" si="85"/>
        <v>7</v>
      </c>
      <c r="H404">
        <f t="shared" si="86"/>
        <v>0</v>
      </c>
      <c r="I404">
        <f t="shared" si="87"/>
        <v>0</v>
      </c>
      <c r="J404">
        <f t="shared" si="88"/>
        <v>0</v>
      </c>
      <c r="K404">
        <f t="shared" si="89"/>
        <v>0</v>
      </c>
      <c r="L404">
        <f t="shared" si="90"/>
        <v>0</v>
      </c>
      <c r="M404">
        <f t="shared" si="91"/>
        <v>0</v>
      </c>
      <c r="N404">
        <f t="shared" si="92"/>
        <v>10.459999999999999</v>
      </c>
      <c r="O404">
        <f t="shared" si="93"/>
        <v>0</v>
      </c>
      <c r="P404">
        <f t="shared" si="94"/>
        <v>0</v>
      </c>
      <c r="Q404">
        <f t="shared" si="95"/>
        <v>0</v>
      </c>
      <c r="R404">
        <f t="shared" si="96"/>
        <v>0</v>
      </c>
      <c r="S404">
        <f t="shared" si="97"/>
        <v>0</v>
      </c>
    </row>
    <row r="405" spans="1:19" x14ac:dyDescent="0.3">
      <c r="A405" s="1">
        <v>41827</v>
      </c>
      <c r="B405" s="1">
        <v>41844</v>
      </c>
      <c r="C405">
        <v>10.19</v>
      </c>
      <c r="D405">
        <v>0.27</v>
      </c>
      <c r="E405">
        <v>6</v>
      </c>
      <c r="F405">
        <f t="shared" si="84"/>
        <v>10.459999999999999</v>
      </c>
      <c r="G405">
        <f t="shared" si="85"/>
        <v>7</v>
      </c>
      <c r="H405">
        <f t="shared" si="86"/>
        <v>0</v>
      </c>
      <c r="I405">
        <f t="shared" si="87"/>
        <v>0</v>
      </c>
      <c r="J405">
        <f t="shared" si="88"/>
        <v>0</v>
      </c>
      <c r="K405">
        <f t="shared" si="89"/>
        <v>0</v>
      </c>
      <c r="L405">
        <f t="shared" si="90"/>
        <v>0</v>
      </c>
      <c r="M405">
        <f t="shared" si="91"/>
        <v>0</v>
      </c>
      <c r="N405">
        <f t="shared" si="92"/>
        <v>10.459999999999999</v>
      </c>
      <c r="O405">
        <f t="shared" si="93"/>
        <v>0</v>
      </c>
      <c r="P405">
        <f t="shared" si="94"/>
        <v>0</v>
      </c>
      <c r="Q405">
        <f t="shared" si="95"/>
        <v>0</v>
      </c>
      <c r="R405">
        <f t="shared" si="96"/>
        <v>0</v>
      </c>
      <c r="S405">
        <f t="shared" si="97"/>
        <v>0</v>
      </c>
    </row>
    <row r="406" spans="1:19" x14ac:dyDescent="0.3">
      <c r="A406" s="1">
        <v>41827</v>
      </c>
      <c r="B406" s="1">
        <v>41848</v>
      </c>
      <c r="C406">
        <v>3.79</v>
      </c>
      <c r="D406">
        <v>0.1</v>
      </c>
      <c r="E406">
        <v>6</v>
      </c>
      <c r="F406">
        <f t="shared" si="84"/>
        <v>3.89</v>
      </c>
      <c r="G406">
        <f t="shared" si="85"/>
        <v>7</v>
      </c>
      <c r="H406">
        <f t="shared" si="86"/>
        <v>0</v>
      </c>
      <c r="I406">
        <f t="shared" si="87"/>
        <v>0</v>
      </c>
      <c r="J406">
        <f t="shared" si="88"/>
        <v>0</v>
      </c>
      <c r="K406">
        <f t="shared" si="89"/>
        <v>0</v>
      </c>
      <c r="L406">
        <f t="shared" si="90"/>
        <v>0</v>
      </c>
      <c r="M406">
        <f t="shared" si="91"/>
        <v>0</v>
      </c>
      <c r="N406">
        <f t="shared" si="92"/>
        <v>3.89</v>
      </c>
      <c r="O406">
        <f t="shared" si="93"/>
        <v>0</v>
      </c>
      <c r="P406">
        <f t="shared" si="94"/>
        <v>0</v>
      </c>
      <c r="Q406">
        <f t="shared" si="95"/>
        <v>0</v>
      </c>
      <c r="R406">
        <f t="shared" si="96"/>
        <v>0</v>
      </c>
      <c r="S406">
        <f t="shared" si="97"/>
        <v>0</v>
      </c>
    </row>
    <row r="407" spans="1:19" x14ac:dyDescent="0.3">
      <c r="A407" s="1">
        <v>41827</v>
      </c>
      <c r="B407" s="1">
        <v>41847</v>
      </c>
      <c r="C407">
        <v>9.06</v>
      </c>
      <c r="D407">
        <v>0.24</v>
      </c>
      <c r="E407">
        <v>2</v>
      </c>
      <c r="F407">
        <f t="shared" si="84"/>
        <v>9.3000000000000007</v>
      </c>
      <c r="G407">
        <f t="shared" si="85"/>
        <v>7</v>
      </c>
      <c r="H407">
        <f t="shared" si="86"/>
        <v>0</v>
      </c>
      <c r="I407">
        <f t="shared" si="87"/>
        <v>0</v>
      </c>
      <c r="J407">
        <f t="shared" si="88"/>
        <v>0</v>
      </c>
      <c r="K407">
        <f t="shared" si="89"/>
        <v>0</v>
      </c>
      <c r="L407">
        <f t="shared" si="90"/>
        <v>0</v>
      </c>
      <c r="M407">
        <f t="shared" si="91"/>
        <v>0</v>
      </c>
      <c r="N407">
        <f t="shared" si="92"/>
        <v>9.3000000000000007</v>
      </c>
      <c r="O407">
        <f t="shared" si="93"/>
        <v>0</v>
      </c>
      <c r="P407">
        <f t="shared" si="94"/>
        <v>0</v>
      </c>
      <c r="Q407">
        <f t="shared" si="95"/>
        <v>0</v>
      </c>
      <c r="R407">
        <f t="shared" si="96"/>
        <v>0</v>
      </c>
      <c r="S407">
        <f t="shared" si="97"/>
        <v>0</v>
      </c>
    </row>
    <row r="408" spans="1:19" x14ac:dyDescent="0.3">
      <c r="A408" s="1">
        <v>41827</v>
      </c>
      <c r="B408" s="1">
        <v>41831</v>
      </c>
      <c r="C408">
        <v>6.23</v>
      </c>
      <c r="D408">
        <v>0.16</v>
      </c>
      <c r="E408">
        <v>3</v>
      </c>
      <c r="F408">
        <f t="shared" si="84"/>
        <v>6.3900000000000006</v>
      </c>
      <c r="G408">
        <f t="shared" si="85"/>
        <v>7</v>
      </c>
      <c r="H408">
        <f t="shared" si="86"/>
        <v>0</v>
      </c>
      <c r="I408">
        <f t="shared" si="87"/>
        <v>0</v>
      </c>
      <c r="J408">
        <f t="shared" si="88"/>
        <v>0</v>
      </c>
      <c r="K408">
        <f t="shared" si="89"/>
        <v>0</v>
      </c>
      <c r="L408">
        <f t="shared" si="90"/>
        <v>0</v>
      </c>
      <c r="M408">
        <f t="shared" si="91"/>
        <v>0</v>
      </c>
      <c r="N408">
        <f t="shared" si="92"/>
        <v>6.3900000000000006</v>
      </c>
      <c r="O408">
        <f t="shared" si="93"/>
        <v>0</v>
      </c>
      <c r="P408">
        <f t="shared" si="94"/>
        <v>0</v>
      </c>
      <c r="Q408">
        <f t="shared" si="95"/>
        <v>0</v>
      </c>
      <c r="R408">
        <f t="shared" si="96"/>
        <v>0</v>
      </c>
      <c r="S408">
        <f t="shared" si="97"/>
        <v>0</v>
      </c>
    </row>
    <row r="409" spans="1:19" x14ac:dyDescent="0.3">
      <c r="A409" s="1">
        <v>41827</v>
      </c>
      <c r="B409" s="1">
        <v>41852</v>
      </c>
      <c r="C409">
        <v>10.79</v>
      </c>
      <c r="D409">
        <v>0.28000000000000003</v>
      </c>
      <c r="E409">
        <v>3</v>
      </c>
      <c r="F409">
        <f t="shared" si="84"/>
        <v>11.069999999999999</v>
      </c>
      <c r="G409">
        <f t="shared" si="85"/>
        <v>7</v>
      </c>
      <c r="H409">
        <f t="shared" si="86"/>
        <v>0</v>
      </c>
      <c r="I409">
        <f t="shared" si="87"/>
        <v>0</v>
      </c>
      <c r="J409">
        <f t="shared" si="88"/>
        <v>0</v>
      </c>
      <c r="K409">
        <f t="shared" si="89"/>
        <v>0</v>
      </c>
      <c r="L409">
        <f t="shared" si="90"/>
        <v>0</v>
      </c>
      <c r="M409">
        <f t="shared" si="91"/>
        <v>0</v>
      </c>
      <c r="N409">
        <f t="shared" si="92"/>
        <v>11.069999999999999</v>
      </c>
      <c r="O409">
        <f t="shared" si="93"/>
        <v>0</v>
      </c>
      <c r="P409">
        <f t="shared" si="94"/>
        <v>0</v>
      </c>
      <c r="Q409">
        <f t="shared" si="95"/>
        <v>0</v>
      </c>
      <c r="R409">
        <f t="shared" si="96"/>
        <v>0</v>
      </c>
      <c r="S409">
        <f t="shared" si="97"/>
        <v>0</v>
      </c>
    </row>
    <row r="410" spans="1:19" x14ac:dyDescent="0.3">
      <c r="A410" s="1">
        <v>41830</v>
      </c>
      <c r="B410" s="1">
        <v>41847</v>
      </c>
      <c r="C410">
        <v>5.67</v>
      </c>
      <c r="D410">
        <v>0.15</v>
      </c>
      <c r="E410">
        <v>5</v>
      </c>
      <c r="F410">
        <f t="shared" si="84"/>
        <v>5.82</v>
      </c>
      <c r="G410">
        <f t="shared" si="85"/>
        <v>7</v>
      </c>
      <c r="H410">
        <f t="shared" si="86"/>
        <v>0</v>
      </c>
      <c r="I410">
        <f t="shared" si="87"/>
        <v>0</v>
      </c>
      <c r="J410">
        <f t="shared" si="88"/>
        <v>0</v>
      </c>
      <c r="K410">
        <f t="shared" si="89"/>
        <v>0</v>
      </c>
      <c r="L410">
        <f t="shared" si="90"/>
        <v>0</v>
      </c>
      <c r="M410">
        <f t="shared" si="91"/>
        <v>0</v>
      </c>
      <c r="N410">
        <f t="shared" si="92"/>
        <v>5.82</v>
      </c>
      <c r="O410">
        <f t="shared" si="93"/>
        <v>0</v>
      </c>
      <c r="P410">
        <f t="shared" si="94"/>
        <v>0</v>
      </c>
      <c r="Q410">
        <f t="shared" si="95"/>
        <v>0</v>
      </c>
      <c r="R410">
        <f t="shared" si="96"/>
        <v>0</v>
      </c>
      <c r="S410">
        <f t="shared" si="97"/>
        <v>0</v>
      </c>
    </row>
    <row r="411" spans="1:19" x14ac:dyDescent="0.3">
      <c r="A411" s="1">
        <v>41831</v>
      </c>
      <c r="B411" s="1">
        <v>41855</v>
      </c>
      <c r="C411">
        <v>2.29</v>
      </c>
      <c r="D411">
        <v>0.06</v>
      </c>
      <c r="E411">
        <v>3</v>
      </c>
      <c r="F411">
        <f t="shared" si="84"/>
        <v>2.35</v>
      </c>
      <c r="G411">
        <f t="shared" si="85"/>
        <v>7</v>
      </c>
      <c r="H411">
        <f t="shared" si="86"/>
        <v>0</v>
      </c>
      <c r="I411">
        <f t="shared" si="87"/>
        <v>0</v>
      </c>
      <c r="J411">
        <f t="shared" si="88"/>
        <v>0</v>
      </c>
      <c r="K411">
        <f t="shared" si="89"/>
        <v>0</v>
      </c>
      <c r="L411">
        <f t="shared" si="90"/>
        <v>0</v>
      </c>
      <c r="M411">
        <f t="shared" si="91"/>
        <v>0</v>
      </c>
      <c r="N411">
        <f t="shared" si="92"/>
        <v>2.35</v>
      </c>
      <c r="O411">
        <f t="shared" si="93"/>
        <v>0</v>
      </c>
      <c r="P411">
        <f t="shared" si="94"/>
        <v>0</v>
      </c>
      <c r="Q411">
        <f t="shared" si="95"/>
        <v>0</v>
      </c>
      <c r="R411">
        <f t="shared" si="96"/>
        <v>0</v>
      </c>
      <c r="S411">
        <f t="shared" si="97"/>
        <v>0</v>
      </c>
    </row>
    <row r="412" spans="1:19" x14ac:dyDescent="0.3">
      <c r="A412" s="1">
        <v>41833</v>
      </c>
      <c r="B412" s="1">
        <v>41853</v>
      </c>
      <c r="C412">
        <v>10.93</v>
      </c>
      <c r="D412">
        <v>0.28999999999999998</v>
      </c>
      <c r="E412">
        <v>2</v>
      </c>
      <c r="F412">
        <f t="shared" si="84"/>
        <v>11.219999999999999</v>
      </c>
      <c r="G412">
        <f t="shared" si="85"/>
        <v>7</v>
      </c>
      <c r="H412">
        <f t="shared" si="86"/>
        <v>0</v>
      </c>
      <c r="I412">
        <f t="shared" si="87"/>
        <v>0</v>
      </c>
      <c r="J412">
        <f t="shared" si="88"/>
        <v>0</v>
      </c>
      <c r="K412">
        <f t="shared" si="89"/>
        <v>0</v>
      </c>
      <c r="L412">
        <f t="shared" si="90"/>
        <v>0</v>
      </c>
      <c r="M412">
        <f t="shared" si="91"/>
        <v>0</v>
      </c>
      <c r="N412">
        <f t="shared" si="92"/>
        <v>11.219999999999999</v>
      </c>
      <c r="O412">
        <f t="shared" si="93"/>
        <v>0</v>
      </c>
      <c r="P412">
        <f t="shared" si="94"/>
        <v>0</v>
      </c>
      <c r="Q412">
        <f t="shared" si="95"/>
        <v>0</v>
      </c>
      <c r="R412">
        <f t="shared" si="96"/>
        <v>0</v>
      </c>
      <c r="S412">
        <f t="shared" si="97"/>
        <v>0</v>
      </c>
    </row>
    <row r="413" spans="1:19" x14ac:dyDescent="0.3">
      <c r="A413" s="1">
        <v>41833</v>
      </c>
      <c r="B413" s="1">
        <v>41841</v>
      </c>
      <c r="C413">
        <v>16.55</v>
      </c>
      <c r="D413">
        <v>0.44</v>
      </c>
      <c r="E413">
        <v>4</v>
      </c>
      <c r="F413">
        <f t="shared" si="84"/>
        <v>16.990000000000002</v>
      </c>
      <c r="G413">
        <f t="shared" si="85"/>
        <v>7</v>
      </c>
      <c r="H413">
        <f t="shared" si="86"/>
        <v>0</v>
      </c>
      <c r="I413">
        <f t="shared" si="87"/>
        <v>0</v>
      </c>
      <c r="J413">
        <f t="shared" si="88"/>
        <v>0</v>
      </c>
      <c r="K413">
        <f t="shared" si="89"/>
        <v>0</v>
      </c>
      <c r="L413">
        <f t="shared" si="90"/>
        <v>0</v>
      </c>
      <c r="M413">
        <f t="shared" si="91"/>
        <v>0</v>
      </c>
      <c r="N413">
        <f t="shared" si="92"/>
        <v>16.990000000000002</v>
      </c>
      <c r="O413">
        <f t="shared" si="93"/>
        <v>0</v>
      </c>
      <c r="P413">
        <f t="shared" si="94"/>
        <v>0</v>
      </c>
      <c r="Q413">
        <f t="shared" si="95"/>
        <v>0</v>
      </c>
      <c r="R413">
        <f t="shared" si="96"/>
        <v>0</v>
      </c>
      <c r="S413">
        <f t="shared" si="97"/>
        <v>0</v>
      </c>
    </row>
    <row r="414" spans="1:19" x14ac:dyDescent="0.3">
      <c r="A414" s="1">
        <v>41834</v>
      </c>
      <c r="B414" s="1">
        <v>41836</v>
      </c>
      <c r="C414">
        <v>6.43</v>
      </c>
      <c r="D414">
        <v>0.17</v>
      </c>
      <c r="E414">
        <v>6</v>
      </c>
      <c r="F414">
        <f t="shared" si="84"/>
        <v>6.6</v>
      </c>
      <c r="G414">
        <f t="shared" si="85"/>
        <v>7</v>
      </c>
      <c r="H414">
        <f t="shared" si="86"/>
        <v>0</v>
      </c>
      <c r="I414">
        <f t="shared" si="87"/>
        <v>0</v>
      </c>
      <c r="J414">
        <f t="shared" si="88"/>
        <v>0</v>
      </c>
      <c r="K414">
        <f t="shared" si="89"/>
        <v>0</v>
      </c>
      <c r="L414">
        <f t="shared" si="90"/>
        <v>0</v>
      </c>
      <c r="M414">
        <f t="shared" si="91"/>
        <v>0</v>
      </c>
      <c r="N414">
        <f t="shared" si="92"/>
        <v>6.6</v>
      </c>
      <c r="O414">
        <f t="shared" si="93"/>
        <v>0</v>
      </c>
      <c r="P414">
        <f t="shared" si="94"/>
        <v>0</v>
      </c>
      <c r="Q414">
        <f t="shared" si="95"/>
        <v>0</v>
      </c>
      <c r="R414">
        <f t="shared" si="96"/>
        <v>0</v>
      </c>
      <c r="S414">
        <f t="shared" si="97"/>
        <v>0</v>
      </c>
    </row>
    <row r="415" spans="1:19" x14ac:dyDescent="0.3">
      <c r="A415" s="1">
        <v>41835</v>
      </c>
      <c r="B415" s="1">
        <v>41863</v>
      </c>
      <c r="C415">
        <v>3.94</v>
      </c>
      <c r="D415">
        <v>0.1</v>
      </c>
      <c r="E415">
        <v>6</v>
      </c>
      <c r="F415">
        <f t="shared" si="84"/>
        <v>4.04</v>
      </c>
      <c r="G415">
        <f t="shared" si="85"/>
        <v>7</v>
      </c>
      <c r="H415">
        <f t="shared" si="86"/>
        <v>0</v>
      </c>
      <c r="I415">
        <f t="shared" si="87"/>
        <v>0</v>
      </c>
      <c r="J415">
        <f t="shared" si="88"/>
        <v>0</v>
      </c>
      <c r="K415">
        <f t="shared" si="89"/>
        <v>0</v>
      </c>
      <c r="L415">
        <f t="shared" si="90"/>
        <v>0</v>
      </c>
      <c r="M415">
        <f t="shared" si="91"/>
        <v>0</v>
      </c>
      <c r="N415">
        <f t="shared" si="92"/>
        <v>4.04</v>
      </c>
      <c r="O415">
        <f t="shared" si="93"/>
        <v>0</v>
      </c>
      <c r="P415">
        <f t="shared" si="94"/>
        <v>0</v>
      </c>
      <c r="Q415">
        <f t="shared" si="95"/>
        <v>0</v>
      </c>
      <c r="R415">
        <f t="shared" si="96"/>
        <v>0</v>
      </c>
      <c r="S415">
        <f t="shared" si="97"/>
        <v>0</v>
      </c>
    </row>
    <row r="416" spans="1:19" x14ac:dyDescent="0.3">
      <c r="A416" s="1">
        <v>41835</v>
      </c>
      <c r="B416" s="1">
        <v>41847</v>
      </c>
      <c r="C416">
        <v>3.79</v>
      </c>
      <c r="D416">
        <v>0.1</v>
      </c>
      <c r="E416">
        <v>3</v>
      </c>
      <c r="F416">
        <f t="shared" si="84"/>
        <v>3.89</v>
      </c>
      <c r="G416">
        <f t="shared" si="85"/>
        <v>7</v>
      </c>
      <c r="H416">
        <f t="shared" si="86"/>
        <v>0</v>
      </c>
      <c r="I416">
        <f t="shared" si="87"/>
        <v>0</v>
      </c>
      <c r="J416">
        <f t="shared" si="88"/>
        <v>0</v>
      </c>
      <c r="K416">
        <f t="shared" si="89"/>
        <v>0</v>
      </c>
      <c r="L416">
        <f t="shared" si="90"/>
        <v>0</v>
      </c>
      <c r="M416">
        <f t="shared" si="91"/>
        <v>0</v>
      </c>
      <c r="N416">
        <f t="shared" si="92"/>
        <v>3.89</v>
      </c>
      <c r="O416">
        <f t="shared" si="93"/>
        <v>0</v>
      </c>
      <c r="P416">
        <f t="shared" si="94"/>
        <v>0</v>
      </c>
      <c r="Q416">
        <f t="shared" si="95"/>
        <v>0</v>
      </c>
      <c r="R416">
        <f t="shared" si="96"/>
        <v>0</v>
      </c>
      <c r="S416">
        <f t="shared" si="97"/>
        <v>0</v>
      </c>
    </row>
    <row r="417" spans="1:19" x14ac:dyDescent="0.3">
      <c r="A417" s="1">
        <v>41835</v>
      </c>
      <c r="B417" s="1">
        <v>41856</v>
      </c>
      <c r="C417">
        <v>6.58</v>
      </c>
      <c r="D417">
        <v>0.17</v>
      </c>
      <c r="E417">
        <v>3</v>
      </c>
      <c r="F417">
        <f t="shared" si="84"/>
        <v>6.75</v>
      </c>
      <c r="G417">
        <f t="shared" si="85"/>
        <v>7</v>
      </c>
      <c r="H417">
        <f t="shared" si="86"/>
        <v>0</v>
      </c>
      <c r="I417">
        <f t="shared" si="87"/>
        <v>0</v>
      </c>
      <c r="J417">
        <f t="shared" si="88"/>
        <v>0</v>
      </c>
      <c r="K417">
        <f t="shared" si="89"/>
        <v>0</v>
      </c>
      <c r="L417">
        <f t="shared" si="90"/>
        <v>0</v>
      </c>
      <c r="M417">
        <f t="shared" si="91"/>
        <v>0</v>
      </c>
      <c r="N417">
        <f t="shared" si="92"/>
        <v>6.75</v>
      </c>
      <c r="O417">
        <f t="shared" si="93"/>
        <v>0</v>
      </c>
      <c r="P417">
        <f t="shared" si="94"/>
        <v>0</v>
      </c>
      <c r="Q417">
        <f t="shared" si="95"/>
        <v>0</v>
      </c>
      <c r="R417">
        <f t="shared" si="96"/>
        <v>0</v>
      </c>
      <c r="S417">
        <f t="shared" si="97"/>
        <v>0</v>
      </c>
    </row>
    <row r="418" spans="1:19" x14ac:dyDescent="0.3">
      <c r="A418" s="1">
        <v>41837</v>
      </c>
      <c r="B418" s="1">
        <v>41853</v>
      </c>
      <c r="C418">
        <v>5.67</v>
      </c>
      <c r="D418">
        <v>0.15</v>
      </c>
      <c r="E418">
        <v>2</v>
      </c>
      <c r="F418">
        <f t="shared" si="84"/>
        <v>5.82</v>
      </c>
      <c r="G418">
        <f t="shared" si="85"/>
        <v>7</v>
      </c>
      <c r="H418">
        <f t="shared" si="86"/>
        <v>0</v>
      </c>
      <c r="I418">
        <f t="shared" si="87"/>
        <v>0</v>
      </c>
      <c r="J418">
        <f t="shared" si="88"/>
        <v>0</v>
      </c>
      <c r="K418">
        <f t="shared" si="89"/>
        <v>0</v>
      </c>
      <c r="L418">
        <f t="shared" si="90"/>
        <v>0</v>
      </c>
      <c r="M418">
        <f t="shared" si="91"/>
        <v>0</v>
      </c>
      <c r="N418">
        <f t="shared" si="92"/>
        <v>5.82</v>
      </c>
      <c r="O418">
        <f t="shared" si="93"/>
        <v>0</v>
      </c>
      <c r="P418">
        <f t="shared" si="94"/>
        <v>0</v>
      </c>
      <c r="Q418">
        <f t="shared" si="95"/>
        <v>0</v>
      </c>
      <c r="R418">
        <f t="shared" si="96"/>
        <v>0</v>
      </c>
      <c r="S418">
        <f t="shared" si="97"/>
        <v>0</v>
      </c>
    </row>
    <row r="419" spans="1:19" x14ac:dyDescent="0.3">
      <c r="A419" s="1">
        <v>41839</v>
      </c>
      <c r="B419" s="1">
        <v>41857</v>
      </c>
      <c r="C419">
        <v>10.19</v>
      </c>
      <c r="D419">
        <v>0.27</v>
      </c>
      <c r="E419">
        <v>6</v>
      </c>
      <c r="F419">
        <f t="shared" si="84"/>
        <v>10.459999999999999</v>
      </c>
      <c r="G419">
        <f t="shared" si="85"/>
        <v>7</v>
      </c>
      <c r="H419">
        <f t="shared" si="86"/>
        <v>0</v>
      </c>
      <c r="I419">
        <f t="shared" si="87"/>
        <v>0</v>
      </c>
      <c r="J419">
        <f t="shared" si="88"/>
        <v>0</v>
      </c>
      <c r="K419">
        <f t="shared" si="89"/>
        <v>0</v>
      </c>
      <c r="L419">
        <f t="shared" si="90"/>
        <v>0</v>
      </c>
      <c r="M419">
        <f t="shared" si="91"/>
        <v>0</v>
      </c>
      <c r="N419">
        <f t="shared" si="92"/>
        <v>10.459999999999999</v>
      </c>
      <c r="O419">
        <f t="shared" si="93"/>
        <v>0</v>
      </c>
      <c r="P419">
        <f t="shared" si="94"/>
        <v>0</v>
      </c>
      <c r="Q419">
        <f t="shared" si="95"/>
        <v>0</v>
      </c>
      <c r="R419">
        <f t="shared" si="96"/>
        <v>0</v>
      </c>
      <c r="S419">
        <f t="shared" si="97"/>
        <v>0</v>
      </c>
    </row>
    <row r="420" spans="1:19" x14ac:dyDescent="0.3">
      <c r="A420" s="1">
        <v>41839</v>
      </c>
      <c r="B420" s="1">
        <v>41848</v>
      </c>
      <c r="C420">
        <v>7.06</v>
      </c>
      <c r="D420">
        <v>0.19</v>
      </c>
      <c r="E420">
        <v>2</v>
      </c>
      <c r="F420">
        <f t="shared" si="84"/>
        <v>7.25</v>
      </c>
      <c r="G420">
        <f t="shared" si="85"/>
        <v>7</v>
      </c>
      <c r="H420">
        <f t="shared" si="86"/>
        <v>0</v>
      </c>
      <c r="I420">
        <f t="shared" si="87"/>
        <v>0</v>
      </c>
      <c r="J420">
        <f t="shared" si="88"/>
        <v>0</v>
      </c>
      <c r="K420">
        <f t="shared" si="89"/>
        <v>0</v>
      </c>
      <c r="L420">
        <f t="shared" si="90"/>
        <v>0</v>
      </c>
      <c r="M420">
        <f t="shared" si="91"/>
        <v>0</v>
      </c>
      <c r="N420">
        <f t="shared" si="92"/>
        <v>7.25</v>
      </c>
      <c r="O420">
        <f t="shared" si="93"/>
        <v>0</v>
      </c>
      <c r="P420">
        <f t="shared" si="94"/>
        <v>0</v>
      </c>
      <c r="Q420">
        <f t="shared" si="95"/>
        <v>0</v>
      </c>
      <c r="R420">
        <f t="shared" si="96"/>
        <v>0</v>
      </c>
      <c r="S420">
        <f t="shared" si="97"/>
        <v>0</v>
      </c>
    </row>
    <row r="421" spans="1:19" x14ac:dyDescent="0.3">
      <c r="A421" s="1">
        <v>41839</v>
      </c>
      <c r="B421" s="1">
        <v>41860</v>
      </c>
      <c r="C421">
        <v>6.75</v>
      </c>
      <c r="D421">
        <v>0.18</v>
      </c>
      <c r="E421">
        <v>5</v>
      </c>
      <c r="F421">
        <f t="shared" si="84"/>
        <v>6.93</v>
      </c>
      <c r="G421">
        <f t="shared" si="85"/>
        <v>7</v>
      </c>
      <c r="H421">
        <f t="shared" si="86"/>
        <v>0</v>
      </c>
      <c r="I421">
        <f t="shared" si="87"/>
        <v>0</v>
      </c>
      <c r="J421">
        <f t="shared" si="88"/>
        <v>0</v>
      </c>
      <c r="K421">
        <f t="shared" si="89"/>
        <v>0</v>
      </c>
      <c r="L421">
        <f t="shared" si="90"/>
        <v>0</v>
      </c>
      <c r="M421">
        <f t="shared" si="91"/>
        <v>0</v>
      </c>
      <c r="N421">
        <f t="shared" si="92"/>
        <v>6.93</v>
      </c>
      <c r="O421">
        <f t="shared" si="93"/>
        <v>0</v>
      </c>
      <c r="P421">
        <f t="shared" si="94"/>
        <v>0</v>
      </c>
      <c r="Q421">
        <f t="shared" si="95"/>
        <v>0</v>
      </c>
      <c r="R421">
        <f t="shared" si="96"/>
        <v>0</v>
      </c>
      <c r="S421">
        <f t="shared" si="97"/>
        <v>0</v>
      </c>
    </row>
    <row r="422" spans="1:19" x14ac:dyDescent="0.3">
      <c r="A422" s="1">
        <v>41839</v>
      </c>
      <c r="B422" s="1">
        <v>41861</v>
      </c>
      <c r="C422">
        <v>8.83</v>
      </c>
      <c r="D422">
        <v>0.23</v>
      </c>
      <c r="E422">
        <v>6</v>
      </c>
      <c r="F422">
        <f t="shared" si="84"/>
        <v>9.06</v>
      </c>
      <c r="G422">
        <f t="shared" si="85"/>
        <v>7</v>
      </c>
      <c r="H422">
        <f t="shared" si="86"/>
        <v>0</v>
      </c>
      <c r="I422">
        <f t="shared" si="87"/>
        <v>0</v>
      </c>
      <c r="J422">
        <f t="shared" si="88"/>
        <v>0</v>
      </c>
      <c r="K422">
        <f t="shared" si="89"/>
        <v>0</v>
      </c>
      <c r="L422">
        <f t="shared" si="90"/>
        <v>0</v>
      </c>
      <c r="M422">
        <f t="shared" si="91"/>
        <v>0</v>
      </c>
      <c r="N422">
        <f t="shared" si="92"/>
        <v>9.06</v>
      </c>
      <c r="O422">
        <f t="shared" si="93"/>
        <v>0</v>
      </c>
      <c r="P422">
        <f t="shared" si="94"/>
        <v>0</v>
      </c>
      <c r="Q422">
        <f t="shared" si="95"/>
        <v>0</v>
      </c>
      <c r="R422">
        <f t="shared" si="96"/>
        <v>0</v>
      </c>
      <c r="S422">
        <f t="shared" si="97"/>
        <v>0</v>
      </c>
    </row>
    <row r="423" spans="1:19" x14ac:dyDescent="0.3">
      <c r="A423" s="1">
        <v>41839</v>
      </c>
      <c r="B423" s="1">
        <v>41860</v>
      </c>
      <c r="C423">
        <v>8.39</v>
      </c>
      <c r="D423">
        <v>0.22</v>
      </c>
      <c r="E423">
        <v>2</v>
      </c>
      <c r="F423">
        <f t="shared" si="84"/>
        <v>8.6100000000000012</v>
      </c>
      <c r="G423">
        <f t="shared" si="85"/>
        <v>7</v>
      </c>
      <c r="H423">
        <f t="shared" si="86"/>
        <v>0</v>
      </c>
      <c r="I423">
        <f t="shared" si="87"/>
        <v>0</v>
      </c>
      <c r="J423">
        <f t="shared" si="88"/>
        <v>0</v>
      </c>
      <c r="K423">
        <f t="shared" si="89"/>
        <v>0</v>
      </c>
      <c r="L423">
        <f t="shared" si="90"/>
        <v>0</v>
      </c>
      <c r="M423">
        <f t="shared" si="91"/>
        <v>0</v>
      </c>
      <c r="N423">
        <f t="shared" si="92"/>
        <v>8.6100000000000012</v>
      </c>
      <c r="O423">
        <f t="shared" si="93"/>
        <v>0</v>
      </c>
      <c r="P423">
        <f t="shared" si="94"/>
        <v>0</v>
      </c>
      <c r="Q423">
        <f t="shared" si="95"/>
        <v>0</v>
      </c>
      <c r="R423">
        <f t="shared" si="96"/>
        <v>0</v>
      </c>
      <c r="S423">
        <f t="shared" si="97"/>
        <v>0</v>
      </c>
    </row>
    <row r="424" spans="1:19" x14ac:dyDescent="0.3">
      <c r="A424" s="1">
        <v>41839</v>
      </c>
      <c r="B424" s="1">
        <v>41853</v>
      </c>
      <c r="C424">
        <v>6.23</v>
      </c>
      <c r="D424">
        <v>0.16</v>
      </c>
      <c r="E424">
        <v>3</v>
      </c>
      <c r="F424">
        <f t="shared" si="84"/>
        <v>6.3900000000000006</v>
      </c>
      <c r="G424">
        <f t="shared" si="85"/>
        <v>7</v>
      </c>
      <c r="H424">
        <f t="shared" si="86"/>
        <v>0</v>
      </c>
      <c r="I424">
        <f t="shared" si="87"/>
        <v>0</v>
      </c>
      <c r="J424">
        <f t="shared" si="88"/>
        <v>0</v>
      </c>
      <c r="K424">
        <f t="shared" si="89"/>
        <v>0</v>
      </c>
      <c r="L424">
        <f t="shared" si="90"/>
        <v>0</v>
      </c>
      <c r="M424">
        <f t="shared" si="91"/>
        <v>0</v>
      </c>
      <c r="N424">
        <f t="shared" si="92"/>
        <v>6.3900000000000006</v>
      </c>
      <c r="O424">
        <f t="shared" si="93"/>
        <v>0</v>
      </c>
      <c r="P424">
        <f t="shared" si="94"/>
        <v>0</v>
      </c>
      <c r="Q424">
        <f t="shared" si="95"/>
        <v>0</v>
      </c>
      <c r="R424">
        <f t="shared" si="96"/>
        <v>0</v>
      </c>
      <c r="S424">
        <f t="shared" si="97"/>
        <v>0</v>
      </c>
    </row>
    <row r="425" spans="1:19" x14ac:dyDescent="0.3">
      <c r="A425" s="1">
        <v>41839</v>
      </c>
      <c r="B425" s="1">
        <v>41859</v>
      </c>
      <c r="C425">
        <v>3.79</v>
      </c>
      <c r="D425">
        <v>0.1</v>
      </c>
      <c r="E425">
        <v>4</v>
      </c>
      <c r="F425">
        <f t="shared" si="84"/>
        <v>3.89</v>
      </c>
      <c r="G425">
        <f t="shared" si="85"/>
        <v>7</v>
      </c>
      <c r="H425">
        <f t="shared" si="86"/>
        <v>0</v>
      </c>
      <c r="I425">
        <f t="shared" si="87"/>
        <v>0</v>
      </c>
      <c r="J425">
        <f t="shared" si="88"/>
        <v>0</v>
      </c>
      <c r="K425">
        <f t="shared" si="89"/>
        <v>0</v>
      </c>
      <c r="L425">
        <f t="shared" si="90"/>
        <v>0</v>
      </c>
      <c r="M425">
        <f t="shared" si="91"/>
        <v>0</v>
      </c>
      <c r="N425">
        <f t="shared" si="92"/>
        <v>3.89</v>
      </c>
      <c r="O425">
        <f t="shared" si="93"/>
        <v>0</v>
      </c>
      <c r="P425">
        <f t="shared" si="94"/>
        <v>0</v>
      </c>
      <c r="Q425">
        <f t="shared" si="95"/>
        <v>0</v>
      </c>
      <c r="R425">
        <f t="shared" si="96"/>
        <v>0</v>
      </c>
      <c r="S425">
        <f t="shared" si="97"/>
        <v>0</v>
      </c>
    </row>
    <row r="426" spans="1:19" x14ac:dyDescent="0.3">
      <c r="A426" s="1">
        <v>41839</v>
      </c>
      <c r="B426" s="1">
        <v>41866</v>
      </c>
      <c r="C426">
        <v>11.37</v>
      </c>
      <c r="D426">
        <v>0.3</v>
      </c>
      <c r="E426">
        <v>5</v>
      </c>
      <c r="F426">
        <f t="shared" si="84"/>
        <v>11.67</v>
      </c>
      <c r="G426">
        <f t="shared" si="85"/>
        <v>7</v>
      </c>
      <c r="H426">
        <f t="shared" si="86"/>
        <v>0</v>
      </c>
      <c r="I426">
        <f t="shared" si="87"/>
        <v>0</v>
      </c>
      <c r="J426">
        <f t="shared" si="88"/>
        <v>0</v>
      </c>
      <c r="K426">
        <f t="shared" si="89"/>
        <v>0</v>
      </c>
      <c r="L426">
        <f t="shared" si="90"/>
        <v>0</v>
      </c>
      <c r="M426">
        <f t="shared" si="91"/>
        <v>0</v>
      </c>
      <c r="N426">
        <f t="shared" si="92"/>
        <v>11.67</v>
      </c>
      <c r="O426">
        <f t="shared" si="93"/>
        <v>0</v>
      </c>
      <c r="P426">
        <f t="shared" si="94"/>
        <v>0</v>
      </c>
      <c r="Q426">
        <f t="shared" si="95"/>
        <v>0</v>
      </c>
      <c r="R426">
        <f t="shared" si="96"/>
        <v>0</v>
      </c>
      <c r="S426">
        <f t="shared" si="97"/>
        <v>0</v>
      </c>
    </row>
    <row r="427" spans="1:19" x14ac:dyDescent="0.3">
      <c r="A427" s="1">
        <v>41839</v>
      </c>
      <c r="B427" s="1">
        <v>41847</v>
      </c>
      <c r="C427">
        <v>5.64</v>
      </c>
      <c r="D427">
        <v>0.15</v>
      </c>
      <c r="E427">
        <v>5</v>
      </c>
      <c r="F427">
        <f t="shared" si="84"/>
        <v>5.79</v>
      </c>
      <c r="G427">
        <f t="shared" si="85"/>
        <v>7</v>
      </c>
      <c r="H427">
        <f t="shared" si="86"/>
        <v>0</v>
      </c>
      <c r="I427">
        <f t="shared" si="87"/>
        <v>0</v>
      </c>
      <c r="J427">
        <f t="shared" si="88"/>
        <v>0</v>
      </c>
      <c r="K427">
        <f t="shared" si="89"/>
        <v>0</v>
      </c>
      <c r="L427">
        <f t="shared" si="90"/>
        <v>0</v>
      </c>
      <c r="M427">
        <f t="shared" si="91"/>
        <v>0</v>
      </c>
      <c r="N427">
        <f t="shared" si="92"/>
        <v>5.79</v>
      </c>
      <c r="O427">
        <f t="shared" si="93"/>
        <v>0</v>
      </c>
      <c r="P427">
        <f t="shared" si="94"/>
        <v>0</v>
      </c>
      <c r="Q427">
        <f t="shared" si="95"/>
        <v>0</v>
      </c>
      <c r="R427">
        <f t="shared" si="96"/>
        <v>0</v>
      </c>
      <c r="S427">
        <f t="shared" si="97"/>
        <v>0</v>
      </c>
    </row>
    <row r="428" spans="1:19" x14ac:dyDescent="0.3">
      <c r="A428" s="1">
        <v>41839</v>
      </c>
      <c r="B428" s="1">
        <v>41858</v>
      </c>
      <c r="C428">
        <v>7.55</v>
      </c>
      <c r="D428">
        <v>0.2</v>
      </c>
      <c r="E428">
        <v>2</v>
      </c>
      <c r="F428">
        <f t="shared" si="84"/>
        <v>7.75</v>
      </c>
      <c r="G428">
        <f t="shared" si="85"/>
        <v>7</v>
      </c>
      <c r="H428">
        <f t="shared" si="86"/>
        <v>0</v>
      </c>
      <c r="I428">
        <f t="shared" si="87"/>
        <v>0</v>
      </c>
      <c r="J428">
        <f t="shared" si="88"/>
        <v>0</v>
      </c>
      <c r="K428">
        <f t="shared" si="89"/>
        <v>0</v>
      </c>
      <c r="L428">
        <f t="shared" si="90"/>
        <v>0</v>
      </c>
      <c r="M428">
        <f t="shared" si="91"/>
        <v>0</v>
      </c>
      <c r="N428">
        <f t="shared" si="92"/>
        <v>7.75</v>
      </c>
      <c r="O428">
        <f t="shared" si="93"/>
        <v>0</v>
      </c>
      <c r="P428">
        <f t="shared" si="94"/>
        <v>0</v>
      </c>
      <c r="Q428">
        <f t="shared" si="95"/>
        <v>0</v>
      </c>
      <c r="R428">
        <f t="shared" si="96"/>
        <v>0</v>
      </c>
      <c r="S428">
        <f t="shared" si="97"/>
        <v>0</v>
      </c>
    </row>
    <row r="429" spans="1:19" x14ac:dyDescent="0.3">
      <c r="A429" s="1">
        <v>41839</v>
      </c>
      <c r="B429" s="1">
        <v>41853</v>
      </c>
      <c r="C429">
        <v>10.199999999999999</v>
      </c>
      <c r="D429">
        <v>0.27</v>
      </c>
      <c r="E429">
        <v>4</v>
      </c>
      <c r="F429">
        <f t="shared" si="84"/>
        <v>10.469999999999999</v>
      </c>
      <c r="G429">
        <f t="shared" si="85"/>
        <v>7</v>
      </c>
      <c r="H429">
        <f t="shared" si="86"/>
        <v>0</v>
      </c>
      <c r="I429">
        <f t="shared" si="87"/>
        <v>0</v>
      </c>
      <c r="J429">
        <f t="shared" si="88"/>
        <v>0</v>
      </c>
      <c r="K429">
        <f t="shared" si="89"/>
        <v>0</v>
      </c>
      <c r="L429">
        <f t="shared" si="90"/>
        <v>0</v>
      </c>
      <c r="M429">
        <f t="shared" si="91"/>
        <v>0</v>
      </c>
      <c r="N429">
        <f t="shared" si="92"/>
        <v>10.469999999999999</v>
      </c>
      <c r="O429">
        <f t="shared" si="93"/>
        <v>0</v>
      </c>
      <c r="P429">
        <f t="shared" si="94"/>
        <v>0</v>
      </c>
      <c r="Q429">
        <f t="shared" si="95"/>
        <v>0</v>
      </c>
      <c r="R429">
        <f t="shared" si="96"/>
        <v>0</v>
      </c>
      <c r="S429">
        <f t="shared" si="97"/>
        <v>0</v>
      </c>
    </row>
    <row r="430" spans="1:19" x14ac:dyDescent="0.3">
      <c r="A430" s="1">
        <v>41839</v>
      </c>
      <c r="B430" s="1">
        <v>41862</v>
      </c>
      <c r="C430">
        <v>2.0099999999999998</v>
      </c>
      <c r="D430">
        <v>0.05</v>
      </c>
      <c r="E430">
        <v>6</v>
      </c>
      <c r="F430">
        <f t="shared" si="84"/>
        <v>2.0599999999999996</v>
      </c>
      <c r="G430">
        <f t="shared" si="85"/>
        <v>7</v>
      </c>
      <c r="H430">
        <f t="shared" si="86"/>
        <v>0</v>
      </c>
      <c r="I430">
        <f t="shared" si="87"/>
        <v>0</v>
      </c>
      <c r="J430">
        <f t="shared" si="88"/>
        <v>0</v>
      </c>
      <c r="K430">
        <f t="shared" si="89"/>
        <v>0</v>
      </c>
      <c r="L430">
        <f t="shared" si="90"/>
        <v>0</v>
      </c>
      <c r="M430">
        <f t="shared" si="91"/>
        <v>0</v>
      </c>
      <c r="N430">
        <f t="shared" si="92"/>
        <v>2.0599999999999996</v>
      </c>
      <c r="O430">
        <f t="shared" si="93"/>
        <v>0</v>
      </c>
      <c r="P430">
        <f t="shared" si="94"/>
        <v>0</v>
      </c>
      <c r="Q430">
        <f t="shared" si="95"/>
        <v>0</v>
      </c>
      <c r="R430">
        <f t="shared" si="96"/>
        <v>0</v>
      </c>
      <c r="S430">
        <f t="shared" si="97"/>
        <v>0</v>
      </c>
    </row>
    <row r="431" spans="1:19" x14ac:dyDescent="0.3">
      <c r="A431" s="1">
        <v>41839</v>
      </c>
      <c r="B431" s="1">
        <v>41862</v>
      </c>
      <c r="C431">
        <v>13.81</v>
      </c>
      <c r="D431">
        <v>0.36</v>
      </c>
      <c r="E431">
        <v>3</v>
      </c>
      <c r="F431">
        <f t="shared" si="84"/>
        <v>14.17</v>
      </c>
      <c r="G431">
        <f t="shared" si="85"/>
        <v>7</v>
      </c>
      <c r="H431">
        <f t="shared" si="86"/>
        <v>0</v>
      </c>
      <c r="I431">
        <f t="shared" si="87"/>
        <v>0</v>
      </c>
      <c r="J431">
        <f t="shared" si="88"/>
        <v>0</v>
      </c>
      <c r="K431">
        <f t="shared" si="89"/>
        <v>0</v>
      </c>
      <c r="L431">
        <f t="shared" si="90"/>
        <v>0</v>
      </c>
      <c r="M431">
        <f t="shared" si="91"/>
        <v>0</v>
      </c>
      <c r="N431">
        <f t="shared" si="92"/>
        <v>14.17</v>
      </c>
      <c r="O431">
        <f t="shared" si="93"/>
        <v>0</v>
      </c>
      <c r="P431">
        <f t="shared" si="94"/>
        <v>0</v>
      </c>
      <c r="Q431">
        <f t="shared" si="95"/>
        <v>0</v>
      </c>
      <c r="R431">
        <f t="shared" si="96"/>
        <v>0</v>
      </c>
      <c r="S431">
        <f t="shared" si="97"/>
        <v>0</v>
      </c>
    </row>
    <row r="432" spans="1:19" x14ac:dyDescent="0.3">
      <c r="A432" s="1">
        <v>41841</v>
      </c>
      <c r="B432" s="1">
        <v>41868</v>
      </c>
      <c r="C432">
        <v>8.7200000000000006</v>
      </c>
      <c r="D432">
        <v>0.23</v>
      </c>
      <c r="E432">
        <v>2</v>
      </c>
      <c r="F432">
        <f t="shared" si="84"/>
        <v>8.9500000000000011</v>
      </c>
      <c r="G432">
        <f t="shared" si="85"/>
        <v>7</v>
      </c>
      <c r="H432">
        <f t="shared" si="86"/>
        <v>0</v>
      </c>
      <c r="I432">
        <f t="shared" si="87"/>
        <v>0</v>
      </c>
      <c r="J432">
        <f t="shared" si="88"/>
        <v>0</v>
      </c>
      <c r="K432">
        <f t="shared" si="89"/>
        <v>0</v>
      </c>
      <c r="L432">
        <f t="shared" si="90"/>
        <v>0</v>
      </c>
      <c r="M432">
        <f t="shared" si="91"/>
        <v>0</v>
      </c>
      <c r="N432">
        <f t="shared" si="92"/>
        <v>8.9500000000000011</v>
      </c>
      <c r="O432">
        <f t="shared" si="93"/>
        <v>0</v>
      </c>
      <c r="P432">
        <f t="shared" si="94"/>
        <v>0</v>
      </c>
      <c r="Q432">
        <f t="shared" si="95"/>
        <v>0</v>
      </c>
      <c r="R432">
        <f t="shared" si="96"/>
        <v>0</v>
      </c>
      <c r="S432">
        <f t="shared" si="97"/>
        <v>0</v>
      </c>
    </row>
    <row r="433" spans="1:19" x14ac:dyDescent="0.3">
      <c r="A433" s="1">
        <v>41841</v>
      </c>
      <c r="B433" s="1">
        <v>41859</v>
      </c>
      <c r="C433">
        <v>11.44</v>
      </c>
      <c r="D433">
        <v>0.3</v>
      </c>
      <c r="E433">
        <v>3</v>
      </c>
      <c r="F433">
        <f t="shared" si="84"/>
        <v>11.74</v>
      </c>
      <c r="G433">
        <f t="shared" si="85"/>
        <v>7</v>
      </c>
      <c r="H433">
        <f t="shared" si="86"/>
        <v>0</v>
      </c>
      <c r="I433">
        <f t="shared" si="87"/>
        <v>0</v>
      </c>
      <c r="J433">
        <f t="shared" si="88"/>
        <v>0</v>
      </c>
      <c r="K433">
        <f t="shared" si="89"/>
        <v>0</v>
      </c>
      <c r="L433">
        <f t="shared" si="90"/>
        <v>0</v>
      </c>
      <c r="M433">
        <f t="shared" si="91"/>
        <v>0</v>
      </c>
      <c r="N433">
        <f t="shared" si="92"/>
        <v>11.74</v>
      </c>
      <c r="O433">
        <f t="shared" si="93"/>
        <v>0</v>
      </c>
      <c r="P433">
        <f t="shared" si="94"/>
        <v>0</v>
      </c>
      <c r="Q433">
        <f t="shared" si="95"/>
        <v>0</v>
      </c>
      <c r="R433">
        <f t="shared" si="96"/>
        <v>0</v>
      </c>
      <c r="S433">
        <f t="shared" si="97"/>
        <v>0</v>
      </c>
    </row>
    <row r="434" spans="1:19" x14ac:dyDescent="0.3">
      <c r="A434" s="1">
        <v>41841</v>
      </c>
      <c r="B434" s="1">
        <v>41854</v>
      </c>
      <c r="C434">
        <v>3.94</v>
      </c>
      <c r="D434">
        <v>0.1</v>
      </c>
      <c r="E434">
        <v>2</v>
      </c>
      <c r="F434">
        <f t="shared" si="84"/>
        <v>4.04</v>
      </c>
      <c r="G434">
        <f t="shared" si="85"/>
        <v>7</v>
      </c>
      <c r="H434">
        <f t="shared" si="86"/>
        <v>0</v>
      </c>
      <c r="I434">
        <f t="shared" si="87"/>
        <v>0</v>
      </c>
      <c r="J434">
        <f t="shared" si="88"/>
        <v>0</v>
      </c>
      <c r="K434">
        <f t="shared" si="89"/>
        <v>0</v>
      </c>
      <c r="L434">
        <f t="shared" si="90"/>
        <v>0</v>
      </c>
      <c r="M434">
        <f t="shared" si="91"/>
        <v>0</v>
      </c>
      <c r="N434">
        <f t="shared" si="92"/>
        <v>4.04</v>
      </c>
      <c r="O434">
        <f t="shared" si="93"/>
        <v>0</v>
      </c>
      <c r="P434">
        <f t="shared" si="94"/>
        <v>0</v>
      </c>
      <c r="Q434">
        <f t="shared" si="95"/>
        <v>0</v>
      </c>
      <c r="R434">
        <f t="shared" si="96"/>
        <v>0</v>
      </c>
      <c r="S434">
        <f t="shared" si="97"/>
        <v>0</v>
      </c>
    </row>
    <row r="435" spans="1:19" x14ac:dyDescent="0.3">
      <c r="A435" s="1">
        <v>41845</v>
      </c>
      <c r="B435" s="1">
        <v>41871</v>
      </c>
      <c r="C435">
        <v>9.4600000000000009</v>
      </c>
      <c r="D435">
        <v>0.25</v>
      </c>
      <c r="E435">
        <v>3</v>
      </c>
      <c r="F435">
        <f t="shared" si="84"/>
        <v>9.7100000000000009</v>
      </c>
      <c r="G435">
        <f t="shared" si="85"/>
        <v>7</v>
      </c>
      <c r="H435">
        <f t="shared" si="86"/>
        <v>0</v>
      </c>
      <c r="I435">
        <f t="shared" si="87"/>
        <v>0</v>
      </c>
      <c r="J435">
        <f t="shared" si="88"/>
        <v>0</v>
      </c>
      <c r="K435">
        <f t="shared" si="89"/>
        <v>0</v>
      </c>
      <c r="L435">
        <f t="shared" si="90"/>
        <v>0</v>
      </c>
      <c r="M435">
        <f t="shared" si="91"/>
        <v>0</v>
      </c>
      <c r="N435">
        <f t="shared" si="92"/>
        <v>9.7100000000000009</v>
      </c>
      <c r="O435">
        <f t="shared" si="93"/>
        <v>0</v>
      </c>
      <c r="P435">
        <f t="shared" si="94"/>
        <v>0</v>
      </c>
      <c r="Q435">
        <f t="shared" si="95"/>
        <v>0</v>
      </c>
      <c r="R435">
        <f t="shared" si="96"/>
        <v>0</v>
      </c>
      <c r="S435">
        <f t="shared" si="97"/>
        <v>0</v>
      </c>
    </row>
    <row r="436" spans="1:19" x14ac:dyDescent="0.3">
      <c r="A436" s="1">
        <v>41845</v>
      </c>
      <c r="B436" s="1">
        <v>41853</v>
      </c>
      <c r="C436">
        <v>11.69</v>
      </c>
      <c r="D436">
        <v>0.31</v>
      </c>
      <c r="E436">
        <v>4</v>
      </c>
      <c r="F436">
        <f t="shared" si="84"/>
        <v>12</v>
      </c>
      <c r="G436">
        <f t="shared" si="85"/>
        <v>7</v>
      </c>
      <c r="H436">
        <f t="shared" si="86"/>
        <v>0</v>
      </c>
      <c r="I436">
        <f t="shared" si="87"/>
        <v>0</v>
      </c>
      <c r="J436">
        <f t="shared" si="88"/>
        <v>0</v>
      </c>
      <c r="K436">
        <f t="shared" si="89"/>
        <v>0</v>
      </c>
      <c r="L436">
        <f t="shared" si="90"/>
        <v>0</v>
      </c>
      <c r="M436">
        <f t="shared" si="91"/>
        <v>0</v>
      </c>
      <c r="N436">
        <f t="shared" si="92"/>
        <v>12</v>
      </c>
      <c r="O436">
        <f t="shared" si="93"/>
        <v>0</v>
      </c>
      <c r="P436">
        <f t="shared" si="94"/>
        <v>0</v>
      </c>
      <c r="Q436">
        <f t="shared" si="95"/>
        <v>0</v>
      </c>
      <c r="R436">
        <f t="shared" si="96"/>
        <v>0</v>
      </c>
      <c r="S436">
        <f t="shared" si="97"/>
        <v>0</v>
      </c>
    </row>
    <row r="437" spans="1:19" x14ac:dyDescent="0.3">
      <c r="A437" s="1">
        <v>41845</v>
      </c>
      <c r="B437" s="1">
        <v>41870</v>
      </c>
      <c r="C437">
        <v>8.83</v>
      </c>
      <c r="D437">
        <v>0.23</v>
      </c>
      <c r="E437">
        <v>2</v>
      </c>
      <c r="F437">
        <f t="shared" si="84"/>
        <v>9.06</v>
      </c>
      <c r="G437">
        <f t="shared" si="85"/>
        <v>7</v>
      </c>
      <c r="H437">
        <f t="shared" si="86"/>
        <v>0</v>
      </c>
      <c r="I437">
        <f t="shared" si="87"/>
        <v>0</v>
      </c>
      <c r="J437">
        <f t="shared" si="88"/>
        <v>0</v>
      </c>
      <c r="K437">
        <f t="shared" si="89"/>
        <v>0</v>
      </c>
      <c r="L437">
        <f t="shared" si="90"/>
        <v>0</v>
      </c>
      <c r="M437">
        <f t="shared" si="91"/>
        <v>0</v>
      </c>
      <c r="N437">
        <f t="shared" si="92"/>
        <v>9.06</v>
      </c>
      <c r="O437">
        <f t="shared" si="93"/>
        <v>0</v>
      </c>
      <c r="P437">
        <f t="shared" si="94"/>
        <v>0</v>
      </c>
      <c r="Q437">
        <f t="shared" si="95"/>
        <v>0</v>
      </c>
      <c r="R437">
        <f t="shared" si="96"/>
        <v>0</v>
      </c>
      <c r="S437">
        <f t="shared" si="97"/>
        <v>0</v>
      </c>
    </row>
    <row r="438" spans="1:19" x14ac:dyDescent="0.3">
      <c r="A438" s="1">
        <v>41845</v>
      </c>
      <c r="B438" s="1">
        <v>41866</v>
      </c>
      <c r="C438">
        <v>8.83</v>
      </c>
      <c r="D438">
        <v>0.23</v>
      </c>
      <c r="E438">
        <v>6</v>
      </c>
      <c r="F438">
        <f t="shared" si="84"/>
        <v>9.06</v>
      </c>
      <c r="G438">
        <f t="shared" si="85"/>
        <v>7</v>
      </c>
      <c r="H438">
        <f t="shared" si="86"/>
        <v>0</v>
      </c>
      <c r="I438">
        <f t="shared" si="87"/>
        <v>0</v>
      </c>
      <c r="J438">
        <f t="shared" si="88"/>
        <v>0</v>
      </c>
      <c r="K438">
        <f t="shared" si="89"/>
        <v>0</v>
      </c>
      <c r="L438">
        <f t="shared" si="90"/>
        <v>0</v>
      </c>
      <c r="M438">
        <f t="shared" si="91"/>
        <v>0</v>
      </c>
      <c r="N438">
        <f t="shared" si="92"/>
        <v>9.06</v>
      </c>
      <c r="O438">
        <f t="shared" si="93"/>
        <v>0</v>
      </c>
      <c r="P438">
        <f t="shared" si="94"/>
        <v>0</v>
      </c>
      <c r="Q438">
        <f t="shared" si="95"/>
        <v>0</v>
      </c>
      <c r="R438">
        <f t="shared" si="96"/>
        <v>0</v>
      </c>
      <c r="S438">
        <f t="shared" si="97"/>
        <v>0</v>
      </c>
    </row>
    <row r="439" spans="1:19" x14ac:dyDescent="0.3">
      <c r="A439" s="1">
        <v>41845</v>
      </c>
      <c r="B439" s="1">
        <v>41866</v>
      </c>
      <c r="C439">
        <v>9.1300000000000008</v>
      </c>
      <c r="D439">
        <v>0.24</v>
      </c>
      <c r="E439">
        <v>4</v>
      </c>
      <c r="F439">
        <f t="shared" si="84"/>
        <v>9.370000000000001</v>
      </c>
      <c r="G439">
        <f t="shared" si="85"/>
        <v>7</v>
      </c>
      <c r="H439">
        <f t="shared" si="86"/>
        <v>0</v>
      </c>
      <c r="I439">
        <f t="shared" si="87"/>
        <v>0</v>
      </c>
      <c r="J439">
        <f t="shared" si="88"/>
        <v>0</v>
      </c>
      <c r="K439">
        <f t="shared" si="89"/>
        <v>0</v>
      </c>
      <c r="L439">
        <f t="shared" si="90"/>
        <v>0</v>
      </c>
      <c r="M439">
        <f t="shared" si="91"/>
        <v>0</v>
      </c>
      <c r="N439">
        <f t="shared" si="92"/>
        <v>9.370000000000001</v>
      </c>
      <c r="O439">
        <f t="shared" si="93"/>
        <v>0</v>
      </c>
      <c r="P439">
        <f t="shared" si="94"/>
        <v>0</v>
      </c>
      <c r="Q439">
        <f t="shared" si="95"/>
        <v>0</v>
      </c>
      <c r="R439">
        <f t="shared" si="96"/>
        <v>0</v>
      </c>
      <c r="S439">
        <f t="shared" si="97"/>
        <v>0</v>
      </c>
    </row>
    <row r="440" spans="1:19" x14ac:dyDescent="0.3">
      <c r="A440" s="1">
        <v>41845</v>
      </c>
      <c r="B440" s="1">
        <v>41873</v>
      </c>
      <c r="C440">
        <v>9.06</v>
      </c>
      <c r="D440">
        <v>0.24</v>
      </c>
      <c r="E440">
        <v>5</v>
      </c>
      <c r="F440">
        <f t="shared" si="84"/>
        <v>9.3000000000000007</v>
      </c>
      <c r="G440">
        <f t="shared" si="85"/>
        <v>7</v>
      </c>
      <c r="H440">
        <f t="shared" si="86"/>
        <v>0</v>
      </c>
      <c r="I440">
        <f t="shared" si="87"/>
        <v>0</v>
      </c>
      <c r="J440">
        <f t="shared" si="88"/>
        <v>0</v>
      </c>
      <c r="K440">
        <f t="shared" si="89"/>
        <v>0</v>
      </c>
      <c r="L440">
        <f t="shared" si="90"/>
        <v>0</v>
      </c>
      <c r="M440">
        <f t="shared" si="91"/>
        <v>0</v>
      </c>
      <c r="N440">
        <f t="shared" si="92"/>
        <v>9.3000000000000007</v>
      </c>
      <c r="O440">
        <f t="shared" si="93"/>
        <v>0</v>
      </c>
      <c r="P440">
        <f t="shared" si="94"/>
        <v>0</v>
      </c>
      <c r="Q440">
        <f t="shared" si="95"/>
        <v>0</v>
      </c>
      <c r="R440">
        <f t="shared" si="96"/>
        <v>0</v>
      </c>
      <c r="S440">
        <f t="shared" si="97"/>
        <v>0</v>
      </c>
    </row>
    <row r="441" spans="1:19" x14ac:dyDescent="0.3">
      <c r="A441" s="1">
        <v>41851</v>
      </c>
      <c r="B441" s="1">
        <v>41873</v>
      </c>
      <c r="C441">
        <v>10.19</v>
      </c>
      <c r="D441">
        <v>0.27</v>
      </c>
      <c r="E441">
        <v>5</v>
      </c>
      <c r="F441">
        <f t="shared" si="84"/>
        <v>10.459999999999999</v>
      </c>
      <c r="G441">
        <f t="shared" si="85"/>
        <v>7</v>
      </c>
      <c r="H441">
        <f t="shared" si="86"/>
        <v>0</v>
      </c>
      <c r="I441">
        <f t="shared" si="87"/>
        <v>0</v>
      </c>
      <c r="J441">
        <f t="shared" si="88"/>
        <v>0</v>
      </c>
      <c r="K441">
        <f t="shared" si="89"/>
        <v>0</v>
      </c>
      <c r="L441">
        <f t="shared" si="90"/>
        <v>0</v>
      </c>
      <c r="M441">
        <f t="shared" si="91"/>
        <v>0</v>
      </c>
      <c r="N441">
        <f t="shared" si="92"/>
        <v>10.459999999999999</v>
      </c>
      <c r="O441">
        <f t="shared" si="93"/>
        <v>0</v>
      </c>
      <c r="P441">
        <f t="shared" si="94"/>
        <v>0</v>
      </c>
      <c r="Q441">
        <f t="shared" si="95"/>
        <v>0</v>
      </c>
      <c r="R441">
        <f t="shared" si="96"/>
        <v>0</v>
      </c>
      <c r="S441">
        <f t="shared" si="97"/>
        <v>0</v>
      </c>
    </row>
    <row r="442" spans="1:19" x14ac:dyDescent="0.3">
      <c r="A442" s="1">
        <v>41851</v>
      </c>
      <c r="B442" s="1">
        <v>41872</v>
      </c>
      <c r="C442">
        <v>14</v>
      </c>
      <c r="D442">
        <v>0.37</v>
      </c>
      <c r="E442">
        <v>4</v>
      </c>
      <c r="F442">
        <f t="shared" si="84"/>
        <v>14.37</v>
      </c>
      <c r="G442">
        <f t="shared" si="85"/>
        <v>7</v>
      </c>
      <c r="H442">
        <f t="shared" si="86"/>
        <v>0</v>
      </c>
      <c r="I442">
        <f t="shared" si="87"/>
        <v>0</v>
      </c>
      <c r="J442">
        <f t="shared" si="88"/>
        <v>0</v>
      </c>
      <c r="K442">
        <f t="shared" si="89"/>
        <v>0</v>
      </c>
      <c r="L442">
        <f t="shared" si="90"/>
        <v>0</v>
      </c>
      <c r="M442">
        <f t="shared" si="91"/>
        <v>0</v>
      </c>
      <c r="N442">
        <f t="shared" si="92"/>
        <v>14.37</v>
      </c>
      <c r="O442">
        <f t="shared" si="93"/>
        <v>0</v>
      </c>
      <c r="P442">
        <f t="shared" si="94"/>
        <v>0</v>
      </c>
      <c r="Q442">
        <f t="shared" si="95"/>
        <v>0</v>
      </c>
      <c r="R442">
        <f t="shared" si="96"/>
        <v>0</v>
      </c>
      <c r="S442">
        <f t="shared" si="97"/>
        <v>0</v>
      </c>
    </row>
    <row r="443" spans="1:19" x14ac:dyDescent="0.3">
      <c r="A443" s="1">
        <v>41851</v>
      </c>
      <c r="B443" s="1">
        <v>41858</v>
      </c>
      <c r="C443">
        <v>11.44</v>
      </c>
      <c r="D443">
        <v>0.3</v>
      </c>
      <c r="E443">
        <v>5</v>
      </c>
      <c r="F443">
        <f t="shared" si="84"/>
        <v>11.74</v>
      </c>
      <c r="G443">
        <f t="shared" si="85"/>
        <v>7</v>
      </c>
      <c r="H443">
        <f t="shared" si="86"/>
        <v>0</v>
      </c>
      <c r="I443">
        <f t="shared" si="87"/>
        <v>0</v>
      </c>
      <c r="J443">
        <f t="shared" si="88"/>
        <v>0</v>
      </c>
      <c r="K443">
        <f t="shared" si="89"/>
        <v>0</v>
      </c>
      <c r="L443">
        <f t="shared" si="90"/>
        <v>0</v>
      </c>
      <c r="M443">
        <f t="shared" si="91"/>
        <v>0</v>
      </c>
      <c r="N443">
        <f t="shared" si="92"/>
        <v>11.74</v>
      </c>
      <c r="O443">
        <f t="shared" si="93"/>
        <v>0</v>
      </c>
      <c r="P443">
        <f t="shared" si="94"/>
        <v>0</v>
      </c>
      <c r="Q443">
        <f t="shared" si="95"/>
        <v>0</v>
      </c>
      <c r="R443">
        <f t="shared" si="96"/>
        <v>0</v>
      </c>
      <c r="S443">
        <f t="shared" si="97"/>
        <v>0</v>
      </c>
    </row>
    <row r="444" spans="1:19" x14ac:dyDescent="0.3">
      <c r="A444" s="1">
        <v>41851</v>
      </c>
      <c r="B444" s="1">
        <v>41871</v>
      </c>
      <c r="C444">
        <v>7.31</v>
      </c>
      <c r="D444">
        <v>0.19</v>
      </c>
      <c r="E444">
        <v>2</v>
      </c>
      <c r="F444">
        <f t="shared" si="84"/>
        <v>7.5</v>
      </c>
      <c r="G444">
        <f t="shared" si="85"/>
        <v>7</v>
      </c>
      <c r="H444">
        <f t="shared" si="86"/>
        <v>0</v>
      </c>
      <c r="I444">
        <f t="shared" si="87"/>
        <v>0</v>
      </c>
      <c r="J444">
        <f t="shared" si="88"/>
        <v>0</v>
      </c>
      <c r="K444">
        <f t="shared" si="89"/>
        <v>0</v>
      </c>
      <c r="L444">
        <f t="shared" si="90"/>
        <v>0</v>
      </c>
      <c r="M444">
        <f t="shared" si="91"/>
        <v>0</v>
      </c>
      <c r="N444">
        <f t="shared" si="92"/>
        <v>7.5</v>
      </c>
      <c r="O444">
        <f t="shared" si="93"/>
        <v>0</v>
      </c>
      <c r="P444">
        <f t="shared" si="94"/>
        <v>0</v>
      </c>
      <c r="Q444">
        <f t="shared" si="95"/>
        <v>0</v>
      </c>
      <c r="R444">
        <f t="shared" si="96"/>
        <v>0</v>
      </c>
      <c r="S444">
        <f t="shared" si="97"/>
        <v>0</v>
      </c>
    </row>
    <row r="445" spans="1:19" x14ac:dyDescent="0.3">
      <c r="A445" s="1">
        <v>41851</v>
      </c>
      <c r="B445" s="1">
        <v>41863</v>
      </c>
      <c r="C445">
        <v>9.4600000000000009</v>
      </c>
      <c r="D445">
        <v>0.25</v>
      </c>
      <c r="E445">
        <v>2</v>
      </c>
      <c r="F445">
        <f t="shared" si="84"/>
        <v>9.7100000000000009</v>
      </c>
      <c r="G445">
        <f t="shared" si="85"/>
        <v>7</v>
      </c>
      <c r="H445">
        <f t="shared" si="86"/>
        <v>0</v>
      </c>
      <c r="I445">
        <f t="shared" si="87"/>
        <v>0</v>
      </c>
      <c r="J445">
        <f t="shared" si="88"/>
        <v>0</v>
      </c>
      <c r="K445">
        <f t="shared" si="89"/>
        <v>0</v>
      </c>
      <c r="L445">
        <f t="shared" si="90"/>
        <v>0</v>
      </c>
      <c r="M445">
        <f t="shared" si="91"/>
        <v>0</v>
      </c>
      <c r="N445">
        <f t="shared" si="92"/>
        <v>9.7100000000000009</v>
      </c>
      <c r="O445">
        <f t="shared" si="93"/>
        <v>0</v>
      </c>
      <c r="P445">
        <f t="shared" si="94"/>
        <v>0</v>
      </c>
      <c r="Q445">
        <f t="shared" si="95"/>
        <v>0</v>
      </c>
      <c r="R445">
        <f t="shared" si="96"/>
        <v>0</v>
      </c>
      <c r="S445">
        <f t="shared" si="97"/>
        <v>0</v>
      </c>
    </row>
    <row r="446" spans="1:19" x14ac:dyDescent="0.3">
      <c r="A446" s="1">
        <v>41851</v>
      </c>
      <c r="B446" s="1">
        <v>41856</v>
      </c>
      <c r="C446">
        <v>8.83</v>
      </c>
      <c r="D446">
        <v>0.23</v>
      </c>
      <c r="E446">
        <v>3</v>
      </c>
      <c r="F446">
        <f t="shared" si="84"/>
        <v>9.06</v>
      </c>
      <c r="G446">
        <f t="shared" si="85"/>
        <v>7</v>
      </c>
      <c r="H446">
        <f t="shared" si="86"/>
        <v>0</v>
      </c>
      <c r="I446">
        <f t="shared" si="87"/>
        <v>0</v>
      </c>
      <c r="J446">
        <f t="shared" si="88"/>
        <v>0</v>
      </c>
      <c r="K446">
        <f t="shared" si="89"/>
        <v>0</v>
      </c>
      <c r="L446">
        <f t="shared" si="90"/>
        <v>0</v>
      </c>
      <c r="M446">
        <f t="shared" si="91"/>
        <v>0</v>
      </c>
      <c r="N446">
        <f t="shared" si="92"/>
        <v>9.06</v>
      </c>
      <c r="O446">
        <f t="shared" si="93"/>
        <v>0</v>
      </c>
      <c r="P446">
        <f t="shared" si="94"/>
        <v>0</v>
      </c>
      <c r="Q446">
        <f t="shared" si="95"/>
        <v>0</v>
      </c>
      <c r="R446">
        <f t="shared" si="96"/>
        <v>0</v>
      </c>
      <c r="S446">
        <f t="shared" si="97"/>
        <v>0</v>
      </c>
    </row>
    <row r="447" spans="1:19" x14ac:dyDescent="0.3">
      <c r="A447" s="1">
        <v>41851</v>
      </c>
      <c r="B447" s="1">
        <v>41855</v>
      </c>
      <c r="C447">
        <v>6.88</v>
      </c>
      <c r="D447">
        <v>0.18</v>
      </c>
      <c r="E447">
        <v>2</v>
      </c>
      <c r="F447">
        <f t="shared" si="84"/>
        <v>7.06</v>
      </c>
      <c r="G447">
        <f t="shared" si="85"/>
        <v>7</v>
      </c>
      <c r="H447">
        <f t="shared" si="86"/>
        <v>0</v>
      </c>
      <c r="I447">
        <f t="shared" si="87"/>
        <v>0</v>
      </c>
      <c r="J447">
        <f t="shared" si="88"/>
        <v>0</v>
      </c>
      <c r="K447">
        <f t="shared" si="89"/>
        <v>0</v>
      </c>
      <c r="L447">
        <f t="shared" si="90"/>
        <v>0</v>
      </c>
      <c r="M447">
        <f t="shared" si="91"/>
        <v>0</v>
      </c>
      <c r="N447">
        <f t="shared" si="92"/>
        <v>7.06</v>
      </c>
      <c r="O447">
        <f t="shared" si="93"/>
        <v>0</v>
      </c>
      <c r="P447">
        <f t="shared" si="94"/>
        <v>0</v>
      </c>
      <c r="Q447">
        <f t="shared" si="95"/>
        <v>0</v>
      </c>
      <c r="R447">
        <f t="shared" si="96"/>
        <v>0</v>
      </c>
      <c r="S447">
        <f t="shared" si="97"/>
        <v>0</v>
      </c>
    </row>
    <row r="448" spans="1:19" x14ac:dyDescent="0.3">
      <c r="A448" s="1">
        <v>41851</v>
      </c>
      <c r="B448" s="1">
        <v>41853</v>
      </c>
      <c r="C448">
        <v>6.75</v>
      </c>
      <c r="D448">
        <v>0.18</v>
      </c>
      <c r="E448">
        <v>3</v>
      </c>
      <c r="F448">
        <f t="shared" si="84"/>
        <v>6.93</v>
      </c>
      <c r="G448">
        <f t="shared" si="85"/>
        <v>7</v>
      </c>
      <c r="H448">
        <f t="shared" si="86"/>
        <v>0</v>
      </c>
      <c r="I448">
        <f t="shared" si="87"/>
        <v>0</v>
      </c>
      <c r="J448">
        <f t="shared" si="88"/>
        <v>0</v>
      </c>
      <c r="K448">
        <f t="shared" si="89"/>
        <v>0</v>
      </c>
      <c r="L448">
        <f t="shared" si="90"/>
        <v>0</v>
      </c>
      <c r="M448">
        <f t="shared" si="91"/>
        <v>0</v>
      </c>
      <c r="N448">
        <f t="shared" si="92"/>
        <v>6.93</v>
      </c>
      <c r="O448">
        <f t="shared" si="93"/>
        <v>0</v>
      </c>
      <c r="P448">
        <f t="shared" si="94"/>
        <v>0</v>
      </c>
      <c r="Q448">
        <f t="shared" si="95"/>
        <v>0</v>
      </c>
      <c r="R448">
        <f t="shared" si="96"/>
        <v>0</v>
      </c>
      <c r="S448">
        <f t="shared" si="97"/>
        <v>0</v>
      </c>
    </row>
    <row r="449" spans="1:19" x14ac:dyDescent="0.3">
      <c r="A449" s="1">
        <v>41851</v>
      </c>
      <c r="B449" s="1">
        <v>41869</v>
      </c>
      <c r="C449">
        <v>19.54</v>
      </c>
      <c r="D449">
        <v>0.51</v>
      </c>
      <c r="E449">
        <v>3</v>
      </c>
      <c r="F449">
        <f t="shared" si="84"/>
        <v>20.05</v>
      </c>
      <c r="G449">
        <f t="shared" si="85"/>
        <v>7</v>
      </c>
      <c r="H449">
        <f t="shared" si="86"/>
        <v>0</v>
      </c>
      <c r="I449">
        <f t="shared" si="87"/>
        <v>0</v>
      </c>
      <c r="J449">
        <f t="shared" si="88"/>
        <v>0</v>
      </c>
      <c r="K449">
        <f t="shared" si="89"/>
        <v>0</v>
      </c>
      <c r="L449">
        <f t="shared" si="90"/>
        <v>0</v>
      </c>
      <c r="M449">
        <f t="shared" si="91"/>
        <v>0</v>
      </c>
      <c r="N449">
        <f t="shared" si="92"/>
        <v>20.05</v>
      </c>
      <c r="O449">
        <f t="shared" si="93"/>
        <v>0</v>
      </c>
      <c r="P449">
        <f t="shared" si="94"/>
        <v>0</v>
      </c>
      <c r="Q449">
        <f t="shared" si="95"/>
        <v>0</v>
      </c>
      <c r="R449">
        <f t="shared" si="96"/>
        <v>0</v>
      </c>
      <c r="S449">
        <f t="shared" si="97"/>
        <v>0</v>
      </c>
    </row>
    <row r="450" spans="1:19" x14ac:dyDescent="0.3">
      <c r="A450" s="1">
        <v>41851</v>
      </c>
      <c r="B450" s="1">
        <v>41856</v>
      </c>
      <c r="C450">
        <v>14.31</v>
      </c>
      <c r="D450">
        <v>0.38</v>
      </c>
      <c r="E450">
        <v>6</v>
      </c>
      <c r="F450">
        <f t="shared" si="84"/>
        <v>14.690000000000001</v>
      </c>
      <c r="G450">
        <f t="shared" si="85"/>
        <v>7</v>
      </c>
      <c r="H450">
        <f t="shared" si="86"/>
        <v>0</v>
      </c>
      <c r="I450">
        <f t="shared" si="87"/>
        <v>0</v>
      </c>
      <c r="J450">
        <f t="shared" si="88"/>
        <v>0</v>
      </c>
      <c r="K450">
        <f t="shared" si="89"/>
        <v>0</v>
      </c>
      <c r="L450">
        <f t="shared" si="90"/>
        <v>0</v>
      </c>
      <c r="M450">
        <f t="shared" si="91"/>
        <v>0</v>
      </c>
      <c r="N450">
        <f t="shared" si="92"/>
        <v>14.690000000000001</v>
      </c>
      <c r="O450">
        <f t="shared" si="93"/>
        <v>0</v>
      </c>
      <c r="P450">
        <f t="shared" si="94"/>
        <v>0</v>
      </c>
      <c r="Q450">
        <f t="shared" si="95"/>
        <v>0</v>
      </c>
      <c r="R450">
        <f t="shared" si="96"/>
        <v>0</v>
      </c>
      <c r="S450">
        <f t="shared" si="97"/>
        <v>0</v>
      </c>
    </row>
    <row r="451" spans="1:19" x14ac:dyDescent="0.3">
      <c r="A451" s="1">
        <v>41851</v>
      </c>
      <c r="B451" s="1">
        <v>41870</v>
      </c>
      <c r="C451">
        <v>3.79</v>
      </c>
      <c r="D451">
        <v>0.1</v>
      </c>
      <c r="E451">
        <v>2</v>
      </c>
      <c r="F451">
        <f t="shared" ref="F451:F514" si="98">C451+D451</f>
        <v>3.89</v>
      </c>
      <c r="G451">
        <f t="shared" ref="G451:G514" si="99">MONTH(A451)</f>
        <v>7</v>
      </c>
      <c r="H451">
        <f t="shared" ref="H451:H514" si="100">IF(EXACT(G451,1),F451,0)</f>
        <v>0</v>
      </c>
      <c r="I451">
        <f t="shared" ref="I451:I514" si="101">IF(EXACT(G451,2),F451,0)</f>
        <v>0</v>
      </c>
      <c r="J451">
        <f t="shared" ref="J451:J514" si="102">IF(EXACT(G451,3),F451,0)</f>
        <v>0</v>
      </c>
      <c r="K451">
        <f t="shared" ref="K451:K514" si="103">IF(EXACT(G451,4),F451,0)</f>
        <v>0</v>
      </c>
      <c r="L451">
        <f t="shared" ref="L451:L514" si="104">IF(EXACT(G451,5),F451,0)</f>
        <v>0</v>
      </c>
      <c r="M451">
        <f t="shared" ref="M451:M514" si="105">IF(EXACT(G451,6),F451,0)</f>
        <v>0</v>
      </c>
      <c r="N451">
        <f t="shared" ref="N451:N514" si="106">IF(EXACT(G451,7),F451,0)</f>
        <v>3.89</v>
      </c>
      <c r="O451">
        <f t="shared" ref="O451:O514" si="107">IF(EXACT(G451,8),F451,0)</f>
        <v>0</v>
      </c>
      <c r="P451">
        <f t="shared" ref="P451:P514" si="108">IF(EXACT(G451,9),F451,0)</f>
        <v>0</v>
      </c>
      <c r="Q451">
        <f t="shared" ref="Q451:Q514" si="109">IF(EXACT(G451,10),F451,0)</f>
        <v>0</v>
      </c>
      <c r="R451">
        <f t="shared" ref="R451:R514" si="110">IF(EXACT(G451,11),F451,0)</f>
        <v>0</v>
      </c>
      <c r="S451">
        <f t="shared" ref="S451:S514" si="111">IF(EXACT(G451,12),F451,0)</f>
        <v>0</v>
      </c>
    </row>
    <row r="452" spans="1:19" x14ac:dyDescent="0.3">
      <c r="A452" s="1">
        <v>41851</v>
      </c>
      <c r="B452" s="1">
        <v>41868</v>
      </c>
      <c r="C452">
        <v>8.89</v>
      </c>
      <c r="D452">
        <v>0.23</v>
      </c>
      <c r="E452">
        <v>5</v>
      </c>
      <c r="F452">
        <f t="shared" si="98"/>
        <v>9.120000000000001</v>
      </c>
      <c r="G452">
        <f t="shared" si="99"/>
        <v>7</v>
      </c>
      <c r="H452">
        <f t="shared" si="100"/>
        <v>0</v>
      </c>
      <c r="I452">
        <f t="shared" si="101"/>
        <v>0</v>
      </c>
      <c r="J452">
        <f t="shared" si="102"/>
        <v>0</v>
      </c>
      <c r="K452">
        <f t="shared" si="103"/>
        <v>0</v>
      </c>
      <c r="L452">
        <f t="shared" si="104"/>
        <v>0</v>
      </c>
      <c r="M452">
        <f t="shared" si="105"/>
        <v>0</v>
      </c>
      <c r="N452">
        <f t="shared" si="106"/>
        <v>9.120000000000001</v>
      </c>
      <c r="O452">
        <f t="shared" si="107"/>
        <v>0</v>
      </c>
      <c r="P452">
        <f t="shared" si="108"/>
        <v>0</v>
      </c>
      <c r="Q452">
        <f t="shared" si="109"/>
        <v>0</v>
      </c>
      <c r="R452">
        <f t="shared" si="110"/>
        <v>0</v>
      </c>
      <c r="S452">
        <f t="shared" si="111"/>
        <v>0</v>
      </c>
    </row>
    <row r="453" spans="1:19" x14ac:dyDescent="0.3">
      <c r="A453" s="1">
        <v>41851</v>
      </c>
      <c r="B453" s="1">
        <v>41867</v>
      </c>
      <c r="C453">
        <v>7.71</v>
      </c>
      <c r="D453">
        <v>0.2</v>
      </c>
      <c r="E453">
        <v>5</v>
      </c>
      <c r="F453">
        <f t="shared" si="98"/>
        <v>7.91</v>
      </c>
      <c r="G453">
        <f t="shared" si="99"/>
        <v>7</v>
      </c>
      <c r="H453">
        <f t="shared" si="100"/>
        <v>0</v>
      </c>
      <c r="I453">
        <f t="shared" si="101"/>
        <v>0</v>
      </c>
      <c r="J453">
        <f t="shared" si="102"/>
        <v>0</v>
      </c>
      <c r="K453">
        <f t="shared" si="103"/>
        <v>0</v>
      </c>
      <c r="L453">
        <f t="shared" si="104"/>
        <v>0</v>
      </c>
      <c r="M453">
        <f t="shared" si="105"/>
        <v>0</v>
      </c>
      <c r="N453">
        <f t="shared" si="106"/>
        <v>7.91</v>
      </c>
      <c r="O453">
        <f t="shared" si="107"/>
        <v>0</v>
      </c>
      <c r="P453">
        <f t="shared" si="108"/>
        <v>0</v>
      </c>
      <c r="Q453">
        <f t="shared" si="109"/>
        <v>0</v>
      </c>
      <c r="R453">
        <f t="shared" si="110"/>
        <v>0</v>
      </c>
      <c r="S453">
        <f t="shared" si="111"/>
        <v>0</v>
      </c>
    </row>
    <row r="454" spans="1:19" x14ac:dyDescent="0.3">
      <c r="A454" s="1">
        <v>41851</v>
      </c>
      <c r="B454" s="1">
        <v>41864</v>
      </c>
      <c r="C454">
        <v>16.829999999999998</v>
      </c>
      <c r="D454">
        <v>0.44</v>
      </c>
      <c r="E454">
        <v>6</v>
      </c>
      <c r="F454">
        <f t="shared" si="98"/>
        <v>17.27</v>
      </c>
      <c r="G454">
        <f t="shared" si="99"/>
        <v>7</v>
      </c>
      <c r="H454">
        <f t="shared" si="100"/>
        <v>0</v>
      </c>
      <c r="I454">
        <f t="shared" si="101"/>
        <v>0</v>
      </c>
      <c r="J454">
        <f t="shared" si="102"/>
        <v>0</v>
      </c>
      <c r="K454">
        <f t="shared" si="103"/>
        <v>0</v>
      </c>
      <c r="L454">
        <f t="shared" si="104"/>
        <v>0</v>
      </c>
      <c r="M454">
        <f t="shared" si="105"/>
        <v>0</v>
      </c>
      <c r="N454">
        <f t="shared" si="106"/>
        <v>17.27</v>
      </c>
      <c r="O454">
        <f t="shared" si="107"/>
        <v>0</v>
      </c>
      <c r="P454">
        <f t="shared" si="108"/>
        <v>0</v>
      </c>
      <c r="Q454">
        <f t="shared" si="109"/>
        <v>0</v>
      </c>
      <c r="R454">
        <f t="shared" si="110"/>
        <v>0</v>
      </c>
      <c r="S454">
        <f t="shared" si="111"/>
        <v>0</v>
      </c>
    </row>
    <row r="455" spans="1:19" x14ac:dyDescent="0.3">
      <c r="A455" s="1">
        <v>41851</v>
      </c>
      <c r="B455" s="1">
        <v>41857</v>
      </c>
      <c r="C455">
        <v>5.23</v>
      </c>
      <c r="D455">
        <v>0.14000000000000001</v>
      </c>
      <c r="E455">
        <v>6</v>
      </c>
      <c r="F455">
        <f t="shared" si="98"/>
        <v>5.37</v>
      </c>
      <c r="G455">
        <f t="shared" si="99"/>
        <v>7</v>
      </c>
      <c r="H455">
        <f t="shared" si="100"/>
        <v>0</v>
      </c>
      <c r="I455">
        <f t="shared" si="101"/>
        <v>0</v>
      </c>
      <c r="J455">
        <f t="shared" si="102"/>
        <v>0</v>
      </c>
      <c r="K455">
        <f t="shared" si="103"/>
        <v>0</v>
      </c>
      <c r="L455">
        <f t="shared" si="104"/>
        <v>0</v>
      </c>
      <c r="M455">
        <f t="shared" si="105"/>
        <v>0</v>
      </c>
      <c r="N455">
        <f t="shared" si="106"/>
        <v>5.37</v>
      </c>
      <c r="O455">
        <f t="shared" si="107"/>
        <v>0</v>
      </c>
      <c r="P455">
        <f t="shared" si="108"/>
        <v>0</v>
      </c>
      <c r="Q455">
        <f t="shared" si="109"/>
        <v>0</v>
      </c>
      <c r="R455">
        <f t="shared" si="110"/>
        <v>0</v>
      </c>
      <c r="S455">
        <f t="shared" si="111"/>
        <v>0</v>
      </c>
    </row>
    <row r="456" spans="1:19" x14ac:dyDescent="0.3">
      <c r="A456" s="1">
        <v>41851</v>
      </c>
      <c r="B456" s="1">
        <v>41853</v>
      </c>
      <c r="C456">
        <v>10.79</v>
      </c>
      <c r="D456">
        <v>0.28000000000000003</v>
      </c>
      <c r="E456">
        <v>5</v>
      </c>
      <c r="F456">
        <f t="shared" si="98"/>
        <v>11.069999999999999</v>
      </c>
      <c r="G456">
        <f t="shared" si="99"/>
        <v>7</v>
      </c>
      <c r="H456">
        <f t="shared" si="100"/>
        <v>0</v>
      </c>
      <c r="I456">
        <f t="shared" si="101"/>
        <v>0</v>
      </c>
      <c r="J456">
        <f t="shared" si="102"/>
        <v>0</v>
      </c>
      <c r="K456">
        <f t="shared" si="103"/>
        <v>0</v>
      </c>
      <c r="L456">
        <f t="shared" si="104"/>
        <v>0</v>
      </c>
      <c r="M456">
        <f t="shared" si="105"/>
        <v>0</v>
      </c>
      <c r="N456">
        <f t="shared" si="106"/>
        <v>11.069999999999999</v>
      </c>
      <c r="O456">
        <f t="shared" si="107"/>
        <v>0</v>
      </c>
      <c r="P456">
        <f t="shared" si="108"/>
        <v>0</v>
      </c>
      <c r="Q456">
        <f t="shared" si="109"/>
        <v>0</v>
      </c>
      <c r="R456">
        <f t="shared" si="110"/>
        <v>0</v>
      </c>
      <c r="S456">
        <f t="shared" si="111"/>
        <v>0</v>
      </c>
    </row>
    <row r="457" spans="1:19" x14ac:dyDescent="0.3">
      <c r="A457" s="1">
        <v>41851</v>
      </c>
      <c r="B457" s="1">
        <v>41868</v>
      </c>
      <c r="C457">
        <v>12.23</v>
      </c>
      <c r="D457">
        <v>0.32</v>
      </c>
      <c r="E457">
        <v>2</v>
      </c>
      <c r="F457">
        <f t="shared" si="98"/>
        <v>12.55</v>
      </c>
      <c r="G457">
        <f t="shared" si="99"/>
        <v>7</v>
      </c>
      <c r="H457">
        <f t="shared" si="100"/>
        <v>0</v>
      </c>
      <c r="I457">
        <f t="shared" si="101"/>
        <v>0</v>
      </c>
      <c r="J457">
        <f t="shared" si="102"/>
        <v>0</v>
      </c>
      <c r="K457">
        <f t="shared" si="103"/>
        <v>0</v>
      </c>
      <c r="L457">
        <f t="shared" si="104"/>
        <v>0</v>
      </c>
      <c r="M457">
        <f t="shared" si="105"/>
        <v>0</v>
      </c>
      <c r="N457">
        <f t="shared" si="106"/>
        <v>12.55</v>
      </c>
      <c r="O457">
        <f t="shared" si="107"/>
        <v>0</v>
      </c>
      <c r="P457">
        <f t="shared" si="108"/>
        <v>0</v>
      </c>
      <c r="Q457">
        <f t="shared" si="109"/>
        <v>0</v>
      </c>
      <c r="R457">
        <f t="shared" si="110"/>
        <v>0</v>
      </c>
      <c r="S457">
        <f t="shared" si="111"/>
        <v>0</v>
      </c>
    </row>
    <row r="458" spans="1:19" x14ac:dyDescent="0.3">
      <c r="A458" s="1">
        <v>41851</v>
      </c>
      <c r="B458" s="1">
        <v>41870</v>
      </c>
      <c r="C458">
        <v>5.78</v>
      </c>
      <c r="D458">
        <v>0.15</v>
      </c>
      <c r="E458">
        <v>6</v>
      </c>
      <c r="F458">
        <f t="shared" si="98"/>
        <v>5.9300000000000006</v>
      </c>
      <c r="G458">
        <f t="shared" si="99"/>
        <v>7</v>
      </c>
      <c r="H458">
        <f t="shared" si="100"/>
        <v>0</v>
      </c>
      <c r="I458">
        <f t="shared" si="101"/>
        <v>0</v>
      </c>
      <c r="J458">
        <f t="shared" si="102"/>
        <v>0</v>
      </c>
      <c r="K458">
        <f t="shared" si="103"/>
        <v>0</v>
      </c>
      <c r="L458">
        <f t="shared" si="104"/>
        <v>0</v>
      </c>
      <c r="M458">
        <f t="shared" si="105"/>
        <v>0</v>
      </c>
      <c r="N458">
        <f t="shared" si="106"/>
        <v>5.9300000000000006</v>
      </c>
      <c r="O458">
        <f t="shared" si="107"/>
        <v>0</v>
      </c>
      <c r="P458">
        <f t="shared" si="108"/>
        <v>0</v>
      </c>
      <c r="Q458">
        <f t="shared" si="109"/>
        <v>0</v>
      </c>
      <c r="R458">
        <f t="shared" si="110"/>
        <v>0</v>
      </c>
      <c r="S458">
        <f t="shared" si="111"/>
        <v>0</v>
      </c>
    </row>
    <row r="459" spans="1:19" x14ac:dyDescent="0.3">
      <c r="A459" s="1">
        <v>41857</v>
      </c>
      <c r="B459" s="1">
        <v>41865</v>
      </c>
      <c r="C459">
        <v>5.23</v>
      </c>
      <c r="D459">
        <v>0.14000000000000001</v>
      </c>
      <c r="E459">
        <v>3</v>
      </c>
      <c r="F459">
        <f t="shared" si="98"/>
        <v>5.37</v>
      </c>
      <c r="G459">
        <f t="shared" si="99"/>
        <v>8</v>
      </c>
      <c r="H459">
        <f t="shared" si="100"/>
        <v>0</v>
      </c>
      <c r="I459">
        <f t="shared" si="101"/>
        <v>0</v>
      </c>
      <c r="J459">
        <f t="shared" si="102"/>
        <v>0</v>
      </c>
      <c r="K459">
        <f t="shared" si="103"/>
        <v>0</v>
      </c>
      <c r="L459">
        <f t="shared" si="104"/>
        <v>0</v>
      </c>
      <c r="M459">
        <f t="shared" si="105"/>
        <v>0</v>
      </c>
      <c r="N459">
        <f t="shared" si="106"/>
        <v>0</v>
      </c>
      <c r="O459">
        <f t="shared" si="107"/>
        <v>5.37</v>
      </c>
      <c r="P459">
        <f t="shared" si="108"/>
        <v>0</v>
      </c>
      <c r="Q459">
        <f t="shared" si="109"/>
        <v>0</v>
      </c>
      <c r="R459">
        <f t="shared" si="110"/>
        <v>0</v>
      </c>
      <c r="S459">
        <f t="shared" si="111"/>
        <v>0</v>
      </c>
    </row>
    <row r="460" spans="1:19" x14ac:dyDescent="0.3">
      <c r="A460" s="1">
        <v>41857</v>
      </c>
      <c r="B460" s="1">
        <v>41868</v>
      </c>
      <c r="C460">
        <v>9.06</v>
      </c>
      <c r="D460">
        <v>0.24</v>
      </c>
      <c r="E460">
        <v>2</v>
      </c>
      <c r="F460">
        <f t="shared" si="98"/>
        <v>9.3000000000000007</v>
      </c>
      <c r="G460">
        <f t="shared" si="99"/>
        <v>8</v>
      </c>
      <c r="H460">
        <f t="shared" si="100"/>
        <v>0</v>
      </c>
      <c r="I460">
        <f t="shared" si="101"/>
        <v>0</v>
      </c>
      <c r="J460">
        <f t="shared" si="102"/>
        <v>0</v>
      </c>
      <c r="K460">
        <f t="shared" si="103"/>
        <v>0</v>
      </c>
      <c r="L460">
        <f t="shared" si="104"/>
        <v>0</v>
      </c>
      <c r="M460">
        <f t="shared" si="105"/>
        <v>0</v>
      </c>
      <c r="N460">
        <f t="shared" si="106"/>
        <v>0</v>
      </c>
      <c r="O460">
        <f t="shared" si="107"/>
        <v>9.3000000000000007</v>
      </c>
      <c r="P460">
        <f t="shared" si="108"/>
        <v>0</v>
      </c>
      <c r="Q460">
        <f t="shared" si="109"/>
        <v>0</v>
      </c>
      <c r="R460">
        <f t="shared" si="110"/>
        <v>0</v>
      </c>
      <c r="S460">
        <f t="shared" si="111"/>
        <v>0</v>
      </c>
    </row>
    <row r="461" spans="1:19" x14ac:dyDescent="0.3">
      <c r="A461" s="1">
        <v>41857</v>
      </c>
      <c r="B461" s="1">
        <v>41885</v>
      </c>
      <c r="C461">
        <v>12.23</v>
      </c>
      <c r="D461">
        <v>0.32</v>
      </c>
      <c r="E461">
        <v>4</v>
      </c>
      <c r="F461">
        <f t="shared" si="98"/>
        <v>12.55</v>
      </c>
      <c r="G461">
        <f t="shared" si="99"/>
        <v>8</v>
      </c>
      <c r="H461">
        <f t="shared" si="100"/>
        <v>0</v>
      </c>
      <c r="I461">
        <f t="shared" si="101"/>
        <v>0</v>
      </c>
      <c r="J461">
        <f t="shared" si="102"/>
        <v>0</v>
      </c>
      <c r="K461">
        <f t="shared" si="103"/>
        <v>0</v>
      </c>
      <c r="L461">
        <f t="shared" si="104"/>
        <v>0</v>
      </c>
      <c r="M461">
        <f t="shared" si="105"/>
        <v>0</v>
      </c>
      <c r="N461">
        <f t="shared" si="106"/>
        <v>0</v>
      </c>
      <c r="O461">
        <f t="shared" si="107"/>
        <v>12.55</v>
      </c>
      <c r="P461">
        <f t="shared" si="108"/>
        <v>0</v>
      </c>
      <c r="Q461">
        <f t="shared" si="109"/>
        <v>0</v>
      </c>
      <c r="R461">
        <f t="shared" si="110"/>
        <v>0</v>
      </c>
      <c r="S461">
        <f t="shared" si="111"/>
        <v>0</v>
      </c>
    </row>
    <row r="462" spans="1:19" x14ac:dyDescent="0.3">
      <c r="A462" s="1">
        <v>41857</v>
      </c>
      <c r="B462" s="1">
        <v>41881</v>
      </c>
      <c r="C462">
        <v>8.83</v>
      </c>
      <c r="D462">
        <v>0.23</v>
      </c>
      <c r="E462">
        <v>4</v>
      </c>
      <c r="F462">
        <f t="shared" si="98"/>
        <v>9.06</v>
      </c>
      <c r="G462">
        <f t="shared" si="99"/>
        <v>8</v>
      </c>
      <c r="H462">
        <f t="shared" si="100"/>
        <v>0</v>
      </c>
      <c r="I462">
        <f t="shared" si="101"/>
        <v>0</v>
      </c>
      <c r="J462">
        <f t="shared" si="102"/>
        <v>0</v>
      </c>
      <c r="K462">
        <f t="shared" si="103"/>
        <v>0</v>
      </c>
      <c r="L462">
        <f t="shared" si="104"/>
        <v>0</v>
      </c>
      <c r="M462">
        <f t="shared" si="105"/>
        <v>0</v>
      </c>
      <c r="N462">
        <f t="shared" si="106"/>
        <v>0</v>
      </c>
      <c r="O462">
        <f t="shared" si="107"/>
        <v>9.06</v>
      </c>
      <c r="P462">
        <f t="shared" si="108"/>
        <v>0</v>
      </c>
      <c r="Q462">
        <f t="shared" si="109"/>
        <v>0</v>
      </c>
      <c r="R462">
        <f t="shared" si="110"/>
        <v>0</v>
      </c>
      <c r="S462">
        <f t="shared" si="111"/>
        <v>0</v>
      </c>
    </row>
    <row r="463" spans="1:19" x14ac:dyDescent="0.3">
      <c r="A463" s="1">
        <v>41857</v>
      </c>
      <c r="B463" s="1">
        <v>41876</v>
      </c>
      <c r="C463">
        <v>10.93</v>
      </c>
      <c r="D463">
        <v>0.28999999999999998</v>
      </c>
      <c r="E463">
        <v>5</v>
      </c>
      <c r="F463">
        <f t="shared" si="98"/>
        <v>11.219999999999999</v>
      </c>
      <c r="G463">
        <f t="shared" si="99"/>
        <v>8</v>
      </c>
      <c r="H463">
        <f t="shared" si="100"/>
        <v>0</v>
      </c>
      <c r="I463">
        <f t="shared" si="101"/>
        <v>0</v>
      </c>
      <c r="J463">
        <f t="shared" si="102"/>
        <v>0</v>
      </c>
      <c r="K463">
        <f t="shared" si="103"/>
        <v>0</v>
      </c>
      <c r="L463">
        <f t="shared" si="104"/>
        <v>0</v>
      </c>
      <c r="M463">
        <f t="shared" si="105"/>
        <v>0</v>
      </c>
      <c r="N463">
        <f t="shared" si="106"/>
        <v>0</v>
      </c>
      <c r="O463">
        <f t="shared" si="107"/>
        <v>11.219999999999999</v>
      </c>
      <c r="P463">
        <f t="shared" si="108"/>
        <v>0</v>
      </c>
      <c r="Q463">
        <f t="shared" si="109"/>
        <v>0</v>
      </c>
      <c r="R463">
        <f t="shared" si="110"/>
        <v>0</v>
      </c>
      <c r="S463">
        <f t="shared" si="111"/>
        <v>0</v>
      </c>
    </row>
    <row r="464" spans="1:19" x14ac:dyDescent="0.3">
      <c r="A464" s="1">
        <v>41860</v>
      </c>
      <c r="B464" s="1">
        <v>41874</v>
      </c>
      <c r="C464">
        <v>3.94</v>
      </c>
      <c r="D464">
        <v>0.1</v>
      </c>
      <c r="E464">
        <v>2</v>
      </c>
      <c r="F464">
        <f t="shared" si="98"/>
        <v>4.04</v>
      </c>
      <c r="G464">
        <f t="shared" si="99"/>
        <v>8</v>
      </c>
      <c r="H464">
        <f t="shared" si="100"/>
        <v>0</v>
      </c>
      <c r="I464">
        <f t="shared" si="101"/>
        <v>0</v>
      </c>
      <c r="J464">
        <f t="shared" si="102"/>
        <v>0</v>
      </c>
      <c r="K464">
        <f t="shared" si="103"/>
        <v>0</v>
      </c>
      <c r="L464">
        <f t="shared" si="104"/>
        <v>0</v>
      </c>
      <c r="M464">
        <f t="shared" si="105"/>
        <v>0</v>
      </c>
      <c r="N464">
        <f t="shared" si="106"/>
        <v>0</v>
      </c>
      <c r="O464">
        <f t="shared" si="107"/>
        <v>4.04</v>
      </c>
      <c r="P464">
        <f t="shared" si="108"/>
        <v>0</v>
      </c>
      <c r="Q464">
        <f t="shared" si="109"/>
        <v>0</v>
      </c>
      <c r="R464">
        <f t="shared" si="110"/>
        <v>0</v>
      </c>
      <c r="S464">
        <f t="shared" si="111"/>
        <v>0</v>
      </c>
    </row>
    <row r="465" spans="1:19" x14ac:dyDescent="0.3">
      <c r="A465" s="1">
        <v>41863</v>
      </c>
      <c r="B465" s="1">
        <v>41885</v>
      </c>
      <c r="C465">
        <v>19.54</v>
      </c>
      <c r="D465">
        <v>0.51</v>
      </c>
      <c r="E465">
        <v>6</v>
      </c>
      <c r="F465">
        <f t="shared" si="98"/>
        <v>20.05</v>
      </c>
      <c r="G465">
        <f t="shared" si="99"/>
        <v>8</v>
      </c>
      <c r="H465">
        <f t="shared" si="100"/>
        <v>0</v>
      </c>
      <c r="I465">
        <f t="shared" si="101"/>
        <v>0</v>
      </c>
      <c r="J465">
        <f t="shared" si="102"/>
        <v>0</v>
      </c>
      <c r="K465">
        <f t="shared" si="103"/>
        <v>0</v>
      </c>
      <c r="L465">
        <f t="shared" si="104"/>
        <v>0</v>
      </c>
      <c r="M465">
        <f t="shared" si="105"/>
        <v>0</v>
      </c>
      <c r="N465">
        <f t="shared" si="106"/>
        <v>0</v>
      </c>
      <c r="O465">
        <f t="shared" si="107"/>
        <v>20.05</v>
      </c>
      <c r="P465">
        <f t="shared" si="108"/>
        <v>0</v>
      </c>
      <c r="Q465">
        <f t="shared" si="109"/>
        <v>0</v>
      </c>
      <c r="R465">
        <f t="shared" si="110"/>
        <v>0</v>
      </c>
      <c r="S465">
        <f t="shared" si="111"/>
        <v>0</v>
      </c>
    </row>
    <row r="466" spans="1:19" x14ac:dyDescent="0.3">
      <c r="A466" s="1">
        <v>41863</v>
      </c>
      <c r="B466" s="1">
        <v>41872</v>
      </c>
      <c r="C466">
        <v>6.75</v>
      </c>
      <c r="D466">
        <v>0.18</v>
      </c>
      <c r="E466">
        <v>2</v>
      </c>
      <c r="F466">
        <f t="shared" si="98"/>
        <v>6.93</v>
      </c>
      <c r="G466">
        <f t="shared" si="99"/>
        <v>8</v>
      </c>
      <c r="H466">
        <f t="shared" si="100"/>
        <v>0</v>
      </c>
      <c r="I466">
        <f t="shared" si="101"/>
        <v>0</v>
      </c>
      <c r="J466">
        <f t="shared" si="102"/>
        <v>0</v>
      </c>
      <c r="K466">
        <f t="shared" si="103"/>
        <v>0</v>
      </c>
      <c r="L466">
        <f t="shared" si="104"/>
        <v>0</v>
      </c>
      <c r="M466">
        <f t="shared" si="105"/>
        <v>0</v>
      </c>
      <c r="N466">
        <f t="shared" si="106"/>
        <v>0</v>
      </c>
      <c r="O466">
        <f t="shared" si="107"/>
        <v>6.93</v>
      </c>
      <c r="P466">
        <f t="shared" si="108"/>
        <v>0</v>
      </c>
      <c r="Q466">
        <f t="shared" si="109"/>
        <v>0</v>
      </c>
      <c r="R466">
        <f t="shared" si="110"/>
        <v>0</v>
      </c>
      <c r="S466">
        <f t="shared" si="111"/>
        <v>0</v>
      </c>
    </row>
    <row r="467" spans="1:19" x14ac:dyDescent="0.3">
      <c r="A467" s="1">
        <v>41863</v>
      </c>
      <c r="B467" s="1">
        <v>41888</v>
      </c>
      <c r="C467">
        <v>7.55</v>
      </c>
      <c r="D467">
        <v>0.2</v>
      </c>
      <c r="E467">
        <v>5</v>
      </c>
      <c r="F467">
        <f t="shared" si="98"/>
        <v>7.75</v>
      </c>
      <c r="G467">
        <f t="shared" si="99"/>
        <v>8</v>
      </c>
      <c r="H467">
        <f t="shared" si="100"/>
        <v>0</v>
      </c>
      <c r="I467">
        <f t="shared" si="101"/>
        <v>0</v>
      </c>
      <c r="J467">
        <f t="shared" si="102"/>
        <v>0</v>
      </c>
      <c r="K467">
        <f t="shared" si="103"/>
        <v>0</v>
      </c>
      <c r="L467">
        <f t="shared" si="104"/>
        <v>0</v>
      </c>
      <c r="M467">
        <f t="shared" si="105"/>
        <v>0</v>
      </c>
      <c r="N467">
        <f t="shared" si="106"/>
        <v>0</v>
      </c>
      <c r="O467">
        <f t="shared" si="107"/>
        <v>7.75</v>
      </c>
      <c r="P467">
        <f t="shared" si="108"/>
        <v>0</v>
      </c>
      <c r="Q467">
        <f t="shared" si="109"/>
        <v>0</v>
      </c>
      <c r="R467">
        <f t="shared" si="110"/>
        <v>0</v>
      </c>
      <c r="S467">
        <f t="shared" si="111"/>
        <v>0</v>
      </c>
    </row>
    <row r="468" spans="1:19" x14ac:dyDescent="0.3">
      <c r="A468" s="1">
        <v>41863</v>
      </c>
      <c r="B468" s="1">
        <v>41886</v>
      </c>
      <c r="C468">
        <v>3.73</v>
      </c>
      <c r="D468">
        <v>0.1</v>
      </c>
      <c r="E468">
        <v>5</v>
      </c>
      <c r="F468">
        <f t="shared" si="98"/>
        <v>3.83</v>
      </c>
      <c r="G468">
        <f t="shared" si="99"/>
        <v>8</v>
      </c>
      <c r="H468">
        <f t="shared" si="100"/>
        <v>0</v>
      </c>
      <c r="I468">
        <f t="shared" si="101"/>
        <v>0</v>
      </c>
      <c r="J468">
        <f t="shared" si="102"/>
        <v>0</v>
      </c>
      <c r="K468">
        <f t="shared" si="103"/>
        <v>0</v>
      </c>
      <c r="L468">
        <f t="shared" si="104"/>
        <v>0</v>
      </c>
      <c r="M468">
        <f t="shared" si="105"/>
        <v>0</v>
      </c>
      <c r="N468">
        <f t="shared" si="106"/>
        <v>0</v>
      </c>
      <c r="O468">
        <f t="shared" si="107"/>
        <v>3.83</v>
      </c>
      <c r="P468">
        <f t="shared" si="108"/>
        <v>0</v>
      </c>
      <c r="Q468">
        <f t="shared" si="109"/>
        <v>0</v>
      </c>
      <c r="R468">
        <f t="shared" si="110"/>
        <v>0</v>
      </c>
      <c r="S468">
        <f t="shared" si="111"/>
        <v>0</v>
      </c>
    </row>
    <row r="469" spans="1:19" x14ac:dyDescent="0.3">
      <c r="A469" s="1">
        <v>41863</v>
      </c>
      <c r="B469" s="1">
        <v>41874</v>
      </c>
      <c r="C469">
        <v>8.51</v>
      </c>
      <c r="D469">
        <v>0.22</v>
      </c>
      <c r="E469">
        <v>2</v>
      </c>
      <c r="F469">
        <f t="shared" si="98"/>
        <v>8.73</v>
      </c>
      <c r="G469">
        <f t="shared" si="99"/>
        <v>8</v>
      </c>
      <c r="H469">
        <f t="shared" si="100"/>
        <v>0</v>
      </c>
      <c r="I469">
        <f t="shared" si="101"/>
        <v>0</v>
      </c>
      <c r="J469">
        <f t="shared" si="102"/>
        <v>0</v>
      </c>
      <c r="K469">
        <f t="shared" si="103"/>
        <v>0</v>
      </c>
      <c r="L469">
        <f t="shared" si="104"/>
        <v>0</v>
      </c>
      <c r="M469">
        <f t="shared" si="105"/>
        <v>0</v>
      </c>
      <c r="N469">
        <f t="shared" si="106"/>
        <v>0</v>
      </c>
      <c r="O469">
        <f t="shared" si="107"/>
        <v>8.73</v>
      </c>
      <c r="P469">
        <f t="shared" si="108"/>
        <v>0</v>
      </c>
      <c r="Q469">
        <f t="shared" si="109"/>
        <v>0</v>
      </c>
      <c r="R469">
        <f t="shared" si="110"/>
        <v>0</v>
      </c>
      <c r="S469">
        <f t="shared" si="111"/>
        <v>0</v>
      </c>
    </row>
    <row r="470" spans="1:19" x14ac:dyDescent="0.3">
      <c r="A470" s="1">
        <v>41863</v>
      </c>
      <c r="B470" s="1">
        <v>41878</v>
      </c>
      <c r="C470">
        <v>6.88</v>
      </c>
      <c r="D470">
        <v>0.18</v>
      </c>
      <c r="E470">
        <v>3</v>
      </c>
      <c r="F470">
        <f t="shared" si="98"/>
        <v>7.06</v>
      </c>
      <c r="G470">
        <f t="shared" si="99"/>
        <v>8</v>
      </c>
      <c r="H470">
        <f t="shared" si="100"/>
        <v>0</v>
      </c>
      <c r="I470">
        <f t="shared" si="101"/>
        <v>0</v>
      </c>
      <c r="J470">
        <f t="shared" si="102"/>
        <v>0</v>
      </c>
      <c r="K470">
        <f t="shared" si="103"/>
        <v>0</v>
      </c>
      <c r="L470">
        <f t="shared" si="104"/>
        <v>0</v>
      </c>
      <c r="M470">
        <f t="shared" si="105"/>
        <v>0</v>
      </c>
      <c r="N470">
        <f t="shared" si="106"/>
        <v>0</v>
      </c>
      <c r="O470">
        <f t="shared" si="107"/>
        <v>7.06</v>
      </c>
      <c r="P470">
        <f t="shared" si="108"/>
        <v>0</v>
      </c>
      <c r="Q470">
        <f t="shared" si="109"/>
        <v>0</v>
      </c>
      <c r="R470">
        <f t="shared" si="110"/>
        <v>0</v>
      </c>
      <c r="S470">
        <f t="shared" si="111"/>
        <v>0</v>
      </c>
    </row>
    <row r="471" spans="1:19" x14ac:dyDescent="0.3">
      <c r="A471" s="1">
        <v>41863</v>
      </c>
      <c r="B471" s="1">
        <v>41874</v>
      </c>
      <c r="C471">
        <v>6.75</v>
      </c>
      <c r="D471">
        <v>0.18</v>
      </c>
      <c r="E471">
        <v>4</v>
      </c>
      <c r="F471">
        <f t="shared" si="98"/>
        <v>6.93</v>
      </c>
      <c r="G471">
        <f t="shared" si="99"/>
        <v>8</v>
      </c>
      <c r="H471">
        <f t="shared" si="100"/>
        <v>0</v>
      </c>
      <c r="I471">
        <f t="shared" si="101"/>
        <v>0</v>
      </c>
      <c r="J471">
        <f t="shared" si="102"/>
        <v>0</v>
      </c>
      <c r="K471">
        <f t="shared" si="103"/>
        <v>0</v>
      </c>
      <c r="L471">
        <f t="shared" si="104"/>
        <v>0</v>
      </c>
      <c r="M471">
        <f t="shared" si="105"/>
        <v>0</v>
      </c>
      <c r="N471">
        <f t="shared" si="106"/>
        <v>0</v>
      </c>
      <c r="O471">
        <f t="shared" si="107"/>
        <v>6.93</v>
      </c>
      <c r="P471">
        <f t="shared" si="108"/>
        <v>0</v>
      </c>
      <c r="Q471">
        <f t="shared" si="109"/>
        <v>0</v>
      </c>
      <c r="R471">
        <f t="shared" si="110"/>
        <v>0</v>
      </c>
      <c r="S471">
        <f t="shared" si="111"/>
        <v>0</v>
      </c>
    </row>
    <row r="472" spans="1:19" x14ac:dyDescent="0.3">
      <c r="A472" s="1">
        <v>41863</v>
      </c>
      <c r="B472" s="1">
        <v>41875</v>
      </c>
      <c r="C472">
        <v>11.42</v>
      </c>
      <c r="D472">
        <v>0.3</v>
      </c>
      <c r="E472">
        <v>5</v>
      </c>
      <c r="F472">
        <f t="shared" si="98"/>
        <v>11.72</v>
      </c>
      <c r="G472">
        <f t="shared" si="99"/>
        <v>8</v>
      </c>
      <c r="H472">
        <f t="shared" si="100"/>
        <v>0</v>
      </c>
      <c r="I472">
        <f t="shared" si="101"/>
        <v>0</v>
      </c>
      <c r="J472">
        <f t="shared" si="102"/>
        <v>0</v>
      </c>
      <c r="K472">
        <f t="shared" si="103"/>
        <v>0</v>
      </c>
      <c r="L472">
        <f t="shared" si="104"/>
        <v>0</v>
      </c>
      <c r="M472">
        <f t="shared" si="105"/>
        <v>0</v>
      </c>
      <c r="N472">
        <f t="shared" si="106"/>
        <v>0</v>
      </c>
      <c r="O472">
        <f t="shared" si="107"/>
        <v>11.72</v>
      </c>
      <c r="P472">
        <f t="shared" si="108"/>
        <v>0</v>
      </c>
      <c r="Q472">
        <f t="shared" si="109"/>
        <v>0</v>
      </c>
      <c r="R472">
        <f t="shared" si="110"/>
        <v>0</v>
      </c>
      <c r="S472">
        <f t="shared" si="111"/>
        <v>0</v>
      </c>
    </row>
    <row r="473" spans="1:19" x14ac:dyDescent="0.3">
      <c r="A473" s="1">
        <v>41863</v>
      </c>
      <c r="B473" s="1">
        <v>41866</v>
      </c>
      <c r="C473">
        <v>16.940000000000001</v>
      </c>
      <c r="D473">
        <v>0.45</v>
      </c>
      <c r="E473">
        <v>3</v>
      </c>
      <c r="F473">
        <f t="shared" si="98"/>
        <v>17.39</v>
      </c>
      <c r="G473">
        <f t="shared" si="99"/>
        <v>8</v>
      </c>
      <c r="H473">
        <f t="shared" si="100"/>
        <v>0</v>
      </c>
      <c r="I473">
        <f t="shared" si="101"/>
        <v>0</v>
      </c>
      <c r="J473">
        <f t="shared" si="102"/>
        <v>0</v>
      </c>
      <c r="K473">
        <f t="shared" si="103"/>
        <v>0</v>
      </c>
      <c r="L473">
        <f t="shared" si="104"/>
        <v>0</v>
      </c>
      <c r="M473">
        <f t="shared" si="105"/>
        <v>0</v>
      </c>
      <c r="N473">
        <f t="shared" si="106"/>
        <v>0</v>
      </c>
      <c r="O473">
        <f t="shared" si="107"/>
        <v>17.39</v>
      </c>
      <c r="P473">
        <f t="shared" si="108"/>
        <v>0</v>
      </c>
      <c r="Q473">
        <f t="shared" si="109"/>
        <v>0</v>
      </c>
      <c r="R473">
        <f t="shared" si="110"/>
        <v>0</v>
      </c>
      <c r="S473">
        <f t="shared" si="111"/>
        <v>0</v>
      </c>
    </row>
    <row r="474" spans="1:19" x14ac:dyDescent="0.3">
      <c r="A474" s="1">
        <v>41863</v>
      </c>
      <c r="B474" s="1">
        <v>41867</v>
      </c>
      <c r="C474">
        <v>6.34</v>
      </c>
      <c r="D474">
        <v>0.17</v>
      </c>
      <c r="E474">
        <v>6</v>
      </c>
      <c r="F474">
        <f t="shared" si="98"/>
        <v>6.51</v>
      </c>
      <c r="G474">
        <f t="shared" si="99"/>
        <v>8</v>
      </c>
      <c r="H474">
        <f t="shared" si="100"/>
        <v>0</v>
      </c>
      <c r="I474">
        <f t="shared" si="101"/>
        <v>0</v>
      </c>
      <c r="J474">
        <f t="shared" si="102"/>
        <v>0</v>
      </c>
      <c r="K474">
        <f t="shared" si="103"/>
        <v>0</v>
      </c>
      <c r="L474">
        <f t="shared" si="104"/>
        <v>0</v>
      </c>
      <c r="M474">
        <f t="shared" si="105"/>
        <v>0</v>
      </c>
      <c r="N474">
        <f t="shared" si="106"/>
        <v>0</v>
      </c>
      <c r="O474">
        <f t="shared" si="107"/>
        <v>6.51</v>
      </c>
      <c r="P474">
        <f t="shared" si="108"/>
        <v>0</v>
      </c>
      <c r="Q474">
        <f t="shared" si="109"/>
        <v>0</v>
      </c>
      <c r="R474">
        <f t="shared" si="110"/>
        <v>0</v>
      </c>
      <c r="S474">
        <f t="shared" si="111"/>
        <v>0</v>
      </c>
    </row>
    <row r="475" spans="1:19" x14ac:dyDescent="0.3">
      <c r="A475" s="1">
        <v>41863</v>
      </c>
      <c r="B475" s="1">
        <v>41870</v>
      </c>
      <c r="C475">
        <v>8.83</v>
      </c>
      <c r="D475">
        <v>0.23</v>
      </c>
      <c r="E475">
        <v>4</v>
      </c>
      <c r="F475">
        <f t="shared" si="98"/>
        <v>9.06</v>
      </c>
      <c r="G475">
        <f t="shared" si="99"/>
        <v>8</v>
      </c>
      <c r="H475">
        <f t="shared" si="100"/>
        <v>0</v>
      </c>
      <c r="I475">
        <f t="shared" si="101"/>
        <v>0</v>
      </c>
      <c r="J475">
        <f t="shared" si="102"/>
        <v>0</v>
      </c>
      <c r="K475">
        <f t="shared" si="103"/>
        <v>0</v>
      </c>
      <c r="L475">
        <f t="shared" si="104"/>
        <v>0</v>
      </c>
      <c r="M475">
        <f t="shared" si="105"/>
        <v>0</v>
      </c>
      <c r="N475">
        <f t="shared" si="106"/>
        <v>0</v>
      </c>
      <c r="O475">
        <f t="shared" si="107"/>
        <v>9.06</v>
      </c>
      <c r="P475">
        <f t="shared" si="108"/>
        <v>0</v>
      </c>
      <c r="Q475">
        <f t="shared" si="109"/>
        <v>0</v>
      </c>
      <c r="R475">
        <f t="shared" si="110"/>
        <v>0</v>
      </c>
      <c r="S475">
        <f t="shared" si="111"/>
        <v>0</v>
      </c>
    </row>
    <row r="476" spans="1:19" x14ac:dyDescent="0.3">
      <c r="A476" s="1">
        <v>41863</v>
      </c>
      <c r="B476" s="1">
        <v>41876</v>
      </c>
      <c r="C476">
        <v>6.34</v>
      </c>
      <c r="D476">
        <v>0.17</v>
      </c>
      <c r="E476">
        <v>3</v>
      </c>
      <c r="F476">
        <f t="shared" si="98"/>
        <v>6.51</v>
      </c>
      <c r="G476">
        <f t="shared" si="99"/>
        <v>8</v>
      </c>
      <c r="H476">
        <f t="shared" si="100"/>
        <v>0</v>
      </c>
      <c r="I476">
        <f t="shared" si="101"/>
        <v>0</v>
      </c>
      <c r="J476">
        <f t="shared" si="102"/>
        <v>0</v>
      </c>
      <c r="K476">
        <f t="shared" si="103"/>
        <v>0</v>
      </c>
      <c r="L476">
        <f t="shared" si="104"/>
        <v>0</v>
      </c>
      <c r="M476">
        <f t="shared" si="105"/>
        <v>0</v>
      </c>
      <c r="N476">
        <f t="shared" si="106"/>
        <v>0</v>
      </c>
      <c r="O476">
        <f t="shared" si="107"/>
        <v>6.51</v>
      </c>
      <c r="P476">
        <f t="shared" si="108"/>
        <v>0</v>
      </c>
      <c r="Q476">
        <f t="shared" si="109"/>
        <v>0</v>
      </c>
      <c r="R476">
        <f t="shared" si="110"/>
        <v>0</v>
      </c>
      <c r="S476">
        <f t="shared" si="111"/>
        <v>0</v>
      </c>
    </row>
    <row r="477" spans="1:19" x14ac:dyDescent="0.3">
      <c r="A477" s="1">
        <v>41863</v>
      </c>
      <c r="B477" s="1">
        <v>41880</v>
      </c>
      <c r="C477">
        <v>8.84</v>
      </c>
      <c r="D477">
        <v>0.23</v>
      </c>
      <c r="E477">
        <v>3</v>
      </c>
      <c r="F477">
        <f t="shared" si="98"/>
        <v>9.07</v>
      </c>
      <c r="G477">
        <f t="shared" si="99"/>
        <v>8</v>
      </c>
      <c r="H477">
        <f t="shared" si="100"/>
        <v>0</v>
      </c>
      <c r="I477">
        <f t="shared" si="101"/>
        <v>0</v>
      </c>
      <c r="J477">
        <f t="shared" si="102"/>
        <v>0</v>
      </c>
      <c r="K477">
        <f t="shared" si="103"/>
        <v>0</v>
      </c>
      <c r="L477">
        <f t="shared" si="104"/>
        <v>0</v>
      </c>
      <c r="M477">
        <f t="shared" si="105"/>
        <v>0</v>
      </c>
      <c r="N477">
        <f t="shared" si="106"/>
        <v>0</v>
      </c>
      <c r="O477">
        <f t="shared" si="107"/>
        <v>9.07</v>
      </c>
      <c r="P477">
        <f t="shared" si="108"/>
        <v>0</v>
      </c>
      <c r="Q477">
        <f t="shared" si="109"/>
        <v>0</v>
      </c>
      <c r="R477">
        <f t="shared" si="110"/>
        <v>0</v>
      </c>
      <c r="S477">
        <f t="shared" si="111"/>
        <v>0</v>
      </c>
    </row>
    <row r="478" spans="1:19" x14ac:dyDescent="0.3">
      <c r="A478" s="1">
        <v>41863</v>
      </c>
      <c r="B478" s="1">
        <v>41869</v>
      </c>
      <c r="C478">
        <v>8.65</v>
      </c>
      <c r="D478">
        <v>0.23</v>
      </c>
      <c r="E478">
        <v>2</v>
      </c>
      <c r="F478">
        <f t="shared" si="98"/>
        <v>8.8800000000000008</v>
      </c>
      <c r="G478">
        <f t="shared" si="99"/>
        <v>8</v>
      </c>
      <c r="H478">
        <f t="shared" si="100"/>
        <v>0</v>
      </c>
      <c r="I478">
        <f t="shared" si="101"/>
        <v>0</v>
      </c>
      <c r="J478">
        <f t="shared" si="102"/>
        <v>0</v>
      </c>
      <c r="K478">
        <f t="shared" si="103"/>
        <v>0</v>
      </c>
      <c r="L478">
        <f t="shared" si="104"/>
        <v>0</v>
      </c>
      <c r="M478">
        <f t="shared" si="105"/>
        <v>0</v>
      </c>
      <c r="N478">
        <f t="shared" si="106"/>
        <v>0</v>
      </c>
      <c r="O478">
        <f t="shared" si="107"/>
        <v>8.8800000000000008</v>
      </c>
      <c r="P478">
        <f t="shared" si="108"/>
        <v>0</v>
      </c>
      <c r="Q478">
        <f t="shared" si="109"/>
        <v>0</v>
      </c>
      <c r="R478">
        <f t="shared" si="110"/>
        <v>0</v>
      </c>
      <c r="S478">
        <f t="shared" si="111"/>
        <v>0</v>
      </c>
    </row>
    <row r="479" spans="1:19" x14ac:dyDescent="0.3">
      <c r="A479" s="1">
        <v>41863</v>
      </c>
      <c r="B479" s="1">
        <v>41887</v>
      </c>
      <c r="C479">
        <v>8.51</v>
      </c>
      <c r="D479">
        <v>0.22</v>
      </c>
      <c r="E479">
        <v>4</v>
      </c>
      <c r="F479">
        <f t="shared" si="98"/>
        <v>8.73</v>
      </c>
      <c r="G479">
        <f t="shared" si="99"/>
        <v>8</v>
      </c>
      <c r="H479">
        <f t="shared" si="100"/>
        <v>0</v>
      </c>
      <c r="I479">
        <f t="shared" si="101"/>
        <v>0</v>
      </c>
      <c r="J479">
        <f t="shared" si="102"/>
        <v>0</v>
      </c>
      <c r="K479">
        <f t="shared" si="103"/>
        <v>0</v>
      </c>
      <c r="L479">
        <f t="shared" si="104"/>
        <v>0</v>
      </c>
      <c r="M479">
        <f t="shared" si="105"/>
        <v>0</v>
      </c>
      <c r="N479">
        <f t="shared" si="106"/>
        <v>0</v>
      </c>
      <c r="O479">
        <f t="shared" si="107"/>
        <v>8.73</v>
      </c>
      <c r="P479">
        <f t="shared" si="108"/>
        <v>0</v>
      </c>
      <c r="Q479">
        <f t="shared" si="109"/>
        <v>0</v>
      </c>
      <c r="R479">
        <f t="shared" si="110"/>
        <v>0</v>
      </c>
      <c r="S479">
        <f t="shared" si="111"/>
        <v>0</v>
      </c>
    </row>
    <row r="480" spans="1:19" x14ac:dyDescent="0.3">
      <c r="A480" s="1">
        <v>41863</v>
      </c>
      <c r="B480" s="1">
        <v>41890</v>
      </c>
      <c r="C480">
        <v>9.74</v>
      </c>
      <c r="D480">
        <v>0.26</v>
      </c>
      <c r="E480">
        <v>5</v>
      </c>
      <c r="F480">
        <f t="shared" si="98"/>
        <v>10</v>
      </c>
      <c r="G480">
        <f t="shared" si="99"/>
        <v>8</v>
      </c>
      <c r="H480">
        <f t="shared" si="100"/>
        <v>0</v>
      </c>
      <c r="I480">
        <f t="shared" si="101"/>
        <v>0</v>
      </c>
      <c r="J480">
        <f t="shared" si="102"/>
        <v>0</v>
      </c>
      <c r="K480">
        <f t="shared" si="103"/>
        <v>0</v>
      </c>
      <c r="L480">
        <f t="shared" si="104"/>
        <v>0</v>
      </c>
      <c r="M480">
        <f t="shared" si="105"/>
        <v>0</v>
      </c>
      <c r="N480">
        <f t="shared" si="106"/>
        <v>0</v>
      </c>
      <c r="O480">
        <f t="shared" si="107"/>
        <v>10</v>
      </c>
      <c r="P480">
        <f t="shared" si="108"/>
        <v>0</v>
      </c>
      <c r="Q480">
        <f t="shared" si="109"/>
        <v>0</v>
      </c>
      <c r="R480">
        <f t="shared" si="110"/>
        <v>0</v>
      </c>
      <c r="S480">
        <f t="shared" si="111"/>
        <v>0</v>
      </c>
    </row>
    <row r="481" spans="1:19" x14ac:dyDescent="0.3">
      <c r="A481" s="1">
        <v>41863</v>
      </c>
      <c r="B481" s="1">
        <v>41887</v>
      </c>
      <c r="C481">
        <v>13.02</v>
      </c>
      <c r="D481">
        <v>0.34</v>
      </c>
      <c r="E481">
        <v>2</v>
      </c>
      <c r="F481">
        <f t="shared" si="98"/>
        <v>13.36</v>
      </c>
      <c r="G481">
        <f t="shared" si="99"/>
        <v>8</v>
      </c>
      <c r="H481">
        <f t="shared" si="100"/>
        <v>0</v>
      </c>
      <c r="I481">
        <f t="shared" si="101"/>
        <v>0</v>
      </c>
      <c r="J481">
        <f t="shared" si="102"/>
        <v>0</v>
      </c>
      <c r="K481">
        <f t="shared" si="103"/>
        <v>0</v>
      </c>
      <c r="L481">
        <f t="shared" si="104"/>
        <v>0</v>
      </c>
      <c r="M481">
        <f t="shared" si="105"/>
        <v>0</v>
      </c>
      <c r="N481">
        <f t="shared" si="106"/>
        <v>0</v>
      </c>
      <c r="O481">
        <f t="shared" si="107"/>
        <v>13.36</v>
      </c>
      <c r="P481">
        <f t="shared" si="108"/>
        <v>0</v>
      </c>
      <c r="Q481">
        <f t="shared" si="109"/>
        <v>0</v>
      </c>
      <c r="R481">
        <f t="shared" si="110"/>
        <v>0</v>
      </c>
      <c r="S481">
        <f t="shared" si="111"/>
        <v>0</v>
      </c>
    </row>
    <row r="482" spans="1:19" x14ac:dyDescent="0.3">
      <c r="A482" s="1">
        <v>41865</v>
      </c>
      <c r="B482" s="1">
        <v>41869</v>
      </c>
      <c r="C482">
        <v>4.66</v>
      </c>
      <c r="D482">
        <v>0.12</v>
      </c>
      <c r="E482">
        <v>3</v>
      </c>
      <c r="F482">
        <f t="shared" si="98"/>
        <v>4.78</v>
      </c>
      <c r="G482">
        <f t="shared" si="99"/>
        <v>8</v>
      </c>
      <c r="H482">
        <f t="shared" si="100"/>
        <v>0</v>
      </c>
      <c r="I482">
        <f t="shared" si="101"/>
        <v>0</v>
      </c>
      <c r="J482">
        <f t="shared" si="102"/>
        <v>0</v>
      </c>
      <c r="K482">
        <f t="shared" si="103"/>
        <v>0</v>
      </c>
      <c r="L482">
        <f t="shared" si="104"/>
        <v>0</v>
      </c>
      <c r="M482">
        <f t="shared" si="105"/>
        <v>0</v>
      </c>
      <c r="N482">
        <f t="shared" si="106"/>
        <v>0</v>
      </c>
      <c r="O482">
        <f t="shared" si="107"/>
        <v>4.78</v>
      </c>
      <c r="P482">
        <f t="shared" si="108"/>
        <v>0</v>
      </c>
      <c r="Q482">
        <f t="shared" si="109"/>
        <v>0</v>
      </c>
      <c r="R482">
        <f t="shared" si="110"/>
        <v>0</v>
      </c>
      <c r="S482">
        <f t="shared" si="111"/>
        <v>0</v>
      </c>
    </row>
    <row r="483" spans="1:19" x14ac:dyDescent="0.3">
      <c r="A483" s="1">
        <v>41869</v>
      </c>
      <c r="B483" s="1">
        <v>41884</v>
      </c>
      <c r="C483">
        <v>14.13</v>
      </c>
      <c r="D483">
        <v>0.37</v>
      </c>
      <c r="E483">
        <v>4</v>
      </c>
      <c r="F483">
        <f t="shared" si="98"/>
        <v>14.5</v>
      </c>
      <c r="G483">
        <f t="shared" si="99"/>
        <v>8</v>
      </c>
      <c r="H483">
        <f t="shared" si="100"/>
        <v>0</v>
      </c>
      <c r="I483">
        <f t="shared" si="101"/>
        <v>0</v>
      </c>
      <c r="J483">
        <f t="shared" si="102"/>
        <v>0</v>
      </c>
      <c r="K483">
        <f t="shared" si="103"/>
        <v>0</v>
      </c>
      <c r="L483">
        <f t="shared" si="104"/>
        <v>0</v>
      </c>
      <c r="M483">
        <f t="shared" si="105"/>
        <v>0</v>
      </c>
      <c r="N483">
        <f t="shared" si="106"/>
        <v>0</v>
      </c>
      <c r="O483">
        <f t="shared" si="107"/>
        <v>14.5</v>
      </c>
      <c r="P483">
        <f t="shared" si="108"/>
        <v>0</v>
      </c>
      <c r="Q483">
        <f t="shared" si="109"/>
        <v>0</v>
      </c>
      <c r="R483">
        <f t="shared" si="110"/>
        <v>0</v>
      </c>
      <c r="S483">
        <f t="shared" si="111"/>
        <v>0</v>
      </c>
    </row>
    <row r="484" spans="1:19" x14ac:dyDescent="0.3">
      <c r="A484" s="1">
        <v>41869</v>
      </c>
      <c r="B484" s="1">
        <v>41892</v>
      </c>
      <c r="C484">
        <v>11.37</v>
      </c>
      <c r="D484">
        <v>0.3</v>
      </c>
      <c r="E484">
        <v>2</v>
      </c>
      <c r="F484">
        <f t="shared" si="98"/>
        <v>11.67</v>
      </c>
      <c r="G484">
        <f t="shared" si="99"/>
        <v>8</v>
      </c>
      <c r="H484">
        <f t="shared" si="100"/>
        <v>0</v>
      </c>
      <c r="I484">
        <f t="shared" si="101"/>
        <v>0</v>
      </c>
      <c r="J484">
        <f t="shared" si="102"/>
        <v>0</v>
      </c>
      <c r="K484">
        <f t="shared" si="103"/>
        <v>0</v>
      </c>
      <c r="L484">
        <f t="shared" si="104"/>
        <v>0</v>
      </c>
      <c r="M484">
        <f t="shared" si="105"/>
        <v>0</v>
      </c>
      <c r="N484">
        <f t="shared" si="106"/>
        <v>0</v>
      </c>
      <c r="O484">
        <f t="shared" si="107"/>
        <v>11.67</v>
      </c>
      <c r="P484">
        <f t="shared" si="108"/>
        <v>0</v>
      </c>
      <c r="Q484">
        <f t="shared" si="109"/>
        <v>0</v>
      </c>
      <c r="R484">
        <f t="shared" si="110"/>
        <v>0</v>
      </c>
      <c r="S484">
        <f t="shared" si="111"/>
        <v>0</v>
      </c>
    </row>
    <row r="485" spans="1:19" x14ac:dyDescent="0.3">
      <c r="A485" s="1">
        <v>41869</v>
      </c>
      <c r="B485" s="1">
        <v>41890</v>
      </c>
      <c r="C485">
        <v>3.79</v>
      </c>
      <c r="D485">
        <v>0.1</v>
      </c>
      <c r="E485">
        <v>3</v>
      </c>
      <c r="F485">
        <f t="shared" si="98"/>
        <v>3.89</v>
      </c>
      <c r="G485">
        <f t="shared" si="99"/>
        <v>8</v>
      </c>
      <c r="H485">
        <f t="shared" si="100"/>
        <v>0</v>
      </c>
      <c r="I485">
        <f t="shared" si="101"/>
        <v>0</v>
      </c>
      <c r="J485">
        <f t="shared" si="102"/>
        <v>0</v>
      </c>
      <c r="K485">
        <f t="shared" si="103"/>
        <v>0</v>
      </c>
      <c r="L485">
        <f t="shared" si="104"/>
        <v>0</v>
      </c>
      <c r="M485">
        <f t="shared" si="105"/>
        <v>0</v>
      </c>
      <c r="N485">
        <f t="shared" si="106"/>
        <v>0</v>
      </c>
      <c r="O485">
        <f t="shared" si="107"/>
        <v>3.89</v>
      </c>
      <c r="P485">
        <f t="shared" si="108"/>
        <v>0</v>
      </c>
      <c r="Q485">
        <f t="shared" si="109"/>
        <v>0</v>
      </c>
      <c r="R485">
        <f t="shared" si="110"/>
        <v>0</v>
      </c>
      <c r="S485">
        <f t="shared" si="111"/>
        <v>0</v>
      </c>
    </row>
    <row r="486" spans="1:19" x14ac:dyDescent="0.3">
      <c r="A486" s="1">
        <v>41869</v>
      </c>
      <c r="B486" s="1">
        <v>41875</v>
      </c>
      <c r="C486">
        <v>11.42</v>
      </c>
      <c r="D486">
        <v>0.3</v>
      </c>
      <c r="E486">
        <v>6</v>
      </c>
      <c r="F486">
        <f t="shared" si="98"/>
        <v>11.72</v>
      </c>
      <c r="G486">
        <f t="shared" si="99"/>
        <v>8</v>
      </c>
      <c r="H486">
        <f t="shared" si="100"/>
        <v>0</v>
      </c>
      <c r="I486">
        <f t="shared" si="101"/>
        <v>0</v>
      </c>
      <c r="J486">
        <f t="shared" si="102"/>
        <v>0</v>
      </c>
      <c r="K486">
        <f t="shared" si="103"/>
        <v>0</v>
      </c>
      <c r="L486">
        <f t="shared" si="104"/>
        <v>0</v>
      </c>
      <c r="M486">
        <f t="shared" si="105"/>
        <v>0</v>
      </c>
      <c r="N486">
        <f t="shared" si="106"/>
        <v>0</v>
      </c>
      <c r="O486">
        <f t="shared" si="107"/>
        <v>11.72</v>
      </c>
      <c r="P486">
        <f t="shared" si="108"/>
        <v>0</v>
      </c>
      <c r="Q486">
        <f t="shared" si="109"/>
        <v>0</v>
      </c>
      <c r="R486">
        <f t="shared" si="110"/>
        <v>0</v>
      </c>
      <c r="S486">
        <f t="shared" si="111"/>
        <v>0</v>
      </c>
    </row>
    <row r="487" spans="1:19" x14ac:dyDescent="0.3">
      <c r="A487" s="1">
        <v>41869</v>
      </c>
      <c r="B487" s="1">
        <v>41892</v>
      </c>
      <c r="C487">
        <v>8.84</v>
      </c>
      <c r="D487">
        <v>0.23</v>
      </c>
      <c r="E487">
        <v>3</v>
      </c>
      <c r="F487">
        <f t="shared" si="98"/>
        <v>9.07</v>
      </c>
      <c r="G487">
        <f t="shared" si="99"/>
        <v>8</v>
      </c>
      <c r="H487">
        <f t="shared" si="100"/>
        <v>0</v>
      </c>
      <c r="I487">
        <f t="shared" si="101"/>
        <v>0</v>
      </c>
      <c r="J487">
        <f t="shared" si="102"/>
        <v>0</v>
      </c>
      <c r="K487">
        <f t="shared" si="103"/>
        <v>0</v>
      </c>
      <c r="L487">
        <f t="shared" si="104"/>
        <v>0</v>
      </c>
      <c r="M487">
        <f t="shared" si="105"/>
        <v>0</v>
      </c>
      <c r="N487">
        <f t="shared" si="106"/>
        <v>0</v>
      </c>
      <c r="O487">
        <f t="shared" si="107"/>
        <v>9.07</v>
      </c>
      <c r="P487">
        <f t="shared" si="108"/>
        <v>0</v>
      </c>
      <c r="Q487">
        <f t="shared" si="109"/>
        <v>0</v>
      </c>
      <c r="R487">
        <f t="shared" si="110"/>
        <v>0</v>
      </c>
      <c r="S487">
        <f t="shared" si="111"/>
        <v>0</v>
      </c>
    </row>
    <row r="488" spans="1:19" x14ac:dyDescent="0.3">
      <c r="A488" s="1">
        <v>41869</v>
      </c>
      <c r="B488" s="1">
        <v>41875</v>
      </c>
      <c r="C488">
        <v>11.69</v>
      </c>
      <c r="D488">
        <v>0.31</v>
      </c>
      <c r="E488">
        <v>6</v>
      </c>
      <c r="F488">
        <f t="shared" si="98"/>
        <v>12</v>
      </c>
      <c r="G488">
        <f t="shared" si="99"/>
        <v>8</v>
      </c>
      <c r="H488">
        <f t="shared" si="100"/>
        <v>0</v>
      </c>
      <c r="I488">
        <f t="shared" si="101"/>
        <v>0</v>
      </c>
      <c r="J488">
        <f t="shared" si="102"/>
        <v>0</v>
      </c>
      <c r="K488">
        <f t="shared" si="103"/>
        <v>0</v>
      </c>
      <c r="L488">
        <f t="shared" si="104"/>
        <v>0</v>
      </c>
      <c r="M488">
        <f t="shared" si="105"/>
        <v>0</v>
      </c>
      <c r="N488">
        <f t="shared" si="106"/>
        <v>0</v>
      </c>
      <c r="O488">
        <f t="shared" si="107"/>
        <v>12</v>
      </c>
      <c r="P488">
        <f t="shared" si="108"/>
        <v>0</v>
      </c>
      <c r="Q488">
        <f t="shared" si="109"/>
        <v>0</v>
      </c>
      <c r="R488">
        <f t="shared" si="110"/>
        <v>0</v>
      </c>
      <c r="S488">
        <f t="shared" si="111"/>
        <v>0</v>
      </c>
    </row>
    <row r="489" spans="1:19" x14ac:dyDescent="0.3">
      <c r="A489" s="1">
        <v>41875</v>
      </c>
      <c r="B489" s="1">
        <v>41879</v>
      </c>
      <c r="C489">
        <v>5.78</v>
      </c>
      <c r="D489">
        <v>0.15</v>
      </c>
      <c r="E489">
        <v>4</v>
      </c>
      <c r="F489">
        <f t="shared" si="98"/>
        <v>5.9300000000000006</v>
      </c>
      <c r="G489">
        <f t="shared" si="99"/>
        <v>8</v>
      </c>
      <c r="H489">
        <f t="shared" si="100"/>
        <v>0</v>
      </c>
      <c r="I489">
        <f t="shared" si="101"/>
        <v>0</v>
      </c>
      <c r="J489">
        <f t="shared" si="102"/>
        <v>0</v>
      </c>
      <c r="K489">
        <f t="shared" si="103"/>
        <v>0</v>
      </c>
      <c r="L489">
        <f t="shared" si="104"/>
        <v>0</v>
      </c>
      <c r="M489">
        <f t="shared" si="105"/>
        <v>0</v>
      </c>
      <c r="N489">
        <f t="shared" si="106"/>
        <v>0</v>
      </c>
      <c r="O489">
        <f t="shared" si="107"/>
        <v>5.9300000000000006</v>
      </c>
      <c r="P489">
        <f t="shared" si="108"/>
        <v>0</v>
      </c>
      <c r="Q489">
        <f t="shared" si="109"/>
        <v>0</v>
      </c>
      <c r="R489">
        <f t="shared" si="110"/>
        <v>0</v>
      </c>
      <c r="S489">
        <f t="shared" si="111"/>
        <v>0</v>
      </c>
    </row>
    <row r="490" spans="1:19" x14ac:dyDescent="0.3">
      <c r="A490" s="1">
        <v>41875</v>
      </c>
      <c r="B490" s="1">
        <v>41877</v>
      </c>
      <c r="C490">
        <v>19.54</v>
      </c>
      <c r="D490">
        <v>0.51</v>
      </c>
      <c r="E490">
        <v>5</v>
      </c>
      <c r="F490">
        <f t="shared" si="98"/>
        <v>20.05</v>
      </c>
      <c r="G490">
        <f t="shared" si="99"/>
        <v>8</v>
      </c>
      <c r="H490">
        <f t="shared" si="100"/>
        <v>0</v>
      </c>
      <c r="I490">
        <f t="shared" si="101"/>
        <v>0</v>
      </c>
      <c r="J490">
        <f t="shared" si="102"/>
        <v>0</v>
      </c>
      <c r="K490">
        <f t="shared" si="103"/>
        <v>0</v>
      </c>
      <c r="L490">
        <f t="shared" si="104"/>
        <v>0</v>
      </c>
      <c r="M490">
        <f t="shared" si="105"/>
        <v>0</v>
      </c>
      <c r="N490">
        <f t="shared" si="106"/>
        <v>0</v>
      </c>
      <c r="O490">
        <f t="shared" si="107"/>
        <v>20.05</v>
      </c>
      <c r="P490">
        <f t="shared" si="108"/>
        <v>0</v>
      </c>
      <c r="Q490">
        <f t="shared" si="109"/>
        <v>0</v>
      </c>
      <c r="R490">
        <f t="shared" si="110"/>
        <v>0</v>
      </c>
      <c r="S490">
        <f t="shared" si="111"/>
        <v>0</v>
      </c>
    </row>
    <row r="491" spans="1:19" x14ac:dyDescent="0.3">
      <c r="A491" s="1">
        <v>41875</v>
      </c>
      <c r="B491" s="1">
        <v>41891</v>
      </c>
      <c r="C491">
        <v>9.06</v>
      </c>
      <c r="D491">
        <v>0.24</v>
      </c>
      <c r="E491">
        <v>2</v>
      </c>
      <c r="F491">
        <f t="shared" si="98"/>
        <v>9.3000000000000007</v>
      </c>
      <c r="G491">
        <f t="shared" si="99"/>
        <v>8</v>
      </c>
      <c r="H491">
        <f t="shared" si="100"/>
        <v>0</v>
      </c>
      <c r="I491">
        <f t="shared" si="101"/>
        <v>0</v>
      </c>
      <c r="J491">
        <f t="shared" si="102"/>
        <v>0</v>
      </c>
      <c r="K491">
        <f t="shared" si="103"/>
        <v>0</v>
      </c>
      <c r="L491">
        <f t="shared" si="104"/>
        <v>0</v>
      </c>
      <c r="M491">
        <f t="shared" si="105"/>
        <v>0</v>
      </c>
      <c r="N491">
        <f t="shared" si="106"/>
        <v>0</v>
      </c>
      <c r="O491">
        <f t="shared" si="107"/>
        <v>9.3000000000000007</v>
      </c>
      <c r="P491">
        <f t="shared" si="108"/>
        <v>0</v>
      </c>
      <c r="Q491">
        <f t="shared" si="109"/>
        <v>0</v>
      </c>
      <c r="R491">
        <f t="shared" si="110"/>
        <v>0</v>
      </c>
      <c r="S491">
        <f t="shared" si="111"/>
        <v>0</v>
      </c>
    </row>
    <row r="492" spans="1:19" x14ac:dyDescent="0.3">
      <c r="A492" s="1">
        <v>41875</v>
      </c>
      <c r="B492" s="1">
        <v>41890</v>
      </c>
      <c r="C492">
        <v>13.81</v>
      </c>
      <c r="D492">
        <v>0.36</v>
      </c>
      <c r="E492">
        <v>6</v>
      </c>
      <c r="F492">
        <f t="shared" si="98"/>
        <v>14.17</v>
      </c>
      <c r="G492">
        <f t="shared" si="99"/>
        <v>8</v>
      </c>
      <c r="H492">
        <f t="shared" si="100"/>
        <v>0</v>
      </c>
      <c r="I492">
        <f t="shared" si="101"/>
        <v>0</v>
      </c>
      <c r="J492">
        <f t="shared" si="102"/>
        <v>0</v>
      </c>
      <c r="K492">
        <f t="shared" si="103"/>
        <v>0</v>
      </c>
      <c r="L492">
        <f t="shared" si="104"/>
        <v>0</v>
      </c>
      <c r="M492">
        <f t="shared" si="105"/>
        <v>0</v>
      </c>
      <c r="N492">
        <f t="shared" si="106"/>
        <v>0</v>
      </c>
      <c r="O492">
        <f t="shared" si="107"/>
        <v>14.17</v>
      </c>
      <c r="P492">
        <f t="shared" si="108"/>
        <v>0</v>
      </c>
      <c r="Q492">
        <f t="shared" si="109"/>
        <v>0</v>
      </c>
      <c r="R492">
        <f t="shared" si="110"/>
        <v>0</v>
      </c>
      <c r="S492">
        <f t="shared" si="111"/>
        <v>0</v>
      </c>
    </row>
    <row r="493" spans="1:19" x14ac:dyDescent="0.3">
      <c r="A493" s="1">
        <v>41875</v>
      </c>
      <c r="B493" s="1">
        <v>41886</v>
      </c>
      <c r="C493">
        <v>11.42</v>
      </c>
      <c r="D493">
        <v>0.3</v>
      </c>
      <c r="E493">
        <v>5</v>
      </c>
      <c r="F493">
        <f t="shared" si="98"/>
        <v>11.72</v>
      </c>
      <c r="G493">
        <f t="shared" si="99"/>
        <v>8</v>
      </c>
      <c r="H493">
        <f t="shared" si="100"/>
        <v>0</v>
      </c>
      <c r="I493">
        <f t="shared" si="101"/>
        <v>0</v>
      </c>
      <c r="J493">
        <f t="shared" si="102"/>
        <v>0</v>
      </c>
      <c r="K493">
        <f t="shared" si="103"/>
        <v>0</v>
      </c>
      <c r="L493">
        <f t="shared" si="104"/>
        <v>0</v>
      </c>
      <c r="M493">
        <f t="shared" si="105"/>
        <v>0</v>
      </c>
      <c r="N493">
        <f t="shared" si="106"/>
        <v>0</v>
      </c>
      <c r="O493">
        <f t="shared" si="107"/>
        <v>11.72</v>
      </c>
      <c r="P493">
        <f t="shared" si="108"/>
        <v>0</v>
      </c>
      <c r="Q493">
        <f t="shared" si="109"/>
        <v>0</v>
      </c>
      <c r="R493">
        <f t="shared" si="110"/>
        <v>0</v>
      </c>
      <c r="S493">
        <f t="shared" si="111"/>
        <v>0</v>
      </c>
    </row>
    <row r="494" spans="1:19" x14ac:dyDescent="0.3">
      <c r="A494" s="1">
        <v>41875</v>
      </c>
      <c r="B494" s="1">
        <v>41881</v>
      </c>
      <c r="C494">
        <v>14.31</v>
      </c>
      <c r="D494">
        <v>0.38</v>
      </c>
      <c r="E494">
        <v>2</v>
      </c>
      <c r="F494">
        <f t="shared" si="98"/>
        <v>14.690000000000001</v>
      </c>
      <c r="G494">
        <f t="shared" si="99"/>
        <v>8</v>
      </c>
      <c r="H494">
        <f t="shared" si="100"/>
        <v>0</v>
      </c>
      <c r="I494">
        <f t="shared" si="101"/>
        <v>0</v>
      </c>
      <c r="J494">
        <f t="shared" si="102"/>
        <v>0</v>
      </c>
      <c r="K494">
        <f t="shared" si="103"/>
        <v>0</v>
      </c>
      <c r="L494">
        <f t="shared" si="104"/>
        <v>0</v>
      </c>
      <c r="M494">
        <f t="shared" si="105"/>
        <v>0</v>
      </c>
      <c r="N494">
        <f t="shared" si="106"/>
        <v>0</v>
      </c>
      <c r="O494">
        <f t="shared" si="107"/>
        <v>14.690000000000001</v>
      </c>
      <c r="P494">
        <f t="shared" si="108"/>
        <v>0</v>
      </c>
      <c r="Q494">
        <f t="shared" si="109"/>
        <v>0</v>
      </c>
      <c r="R494">
        <f t="shared" si="110"/>
        <v>0</v>
      </c>
      <c r="S494">
        <f t="shared" si="111"/>
        <v>0</v>
      </c>
    </row>
    <row r="495" spans="1:19" x14ac:dyDescent="0.3">
      <c r="A495" s="1">
        <v>41875</v>
      </c>
      <c r="B495" s="1">
        <v>41894</v>
      </c>
      <c r="C495">
        <v>8.83</v>
      </c>
      <c r="D495">
        <v>0.23</v>
      </c>
      <c r="E495">
        <v>3</v>
      </c>
      <c r="F495">
        <f t="shared" si="98"/>
        <v>9.06</v>
      </c>
      <c r="G495">
        <f t="shared" si="99"/>
        <v>8</v>
      </c>
      <c r="H495">
        <f t="shared" si="100"/>
        <v>0</v>
      </c>
      <c r="I495">
        <f t="shared" si="101"/>
        <v>0</v>
      </c>
      <c r="J495">
        <f t="shared" si="102"/>
        <v>0</v>
      </c>
      <c r="K495">
        <f t="shared" si="103"/>
        <v>0</v>
      </c>
      <c r="L495">
        <f t="shared" si="104"/>
        <v>0</v>
      </c>
      <c r="M495">
        <f t="shared" si="105"/>
        <v>0</v>
      </c>
      <c r="N495">
        <f t="shared" si="106"/>
        <v>0</v>
      </c>
      <c r="O495">
        <f t="shared" si="107"/>
        <v>9.06</v>
      </c>
      <c r="P495">
        <f t="shared" si="108"/>
        <v>0</v>
      </c>
      <c r="Q495">
        <f t="shared" si="109"/>
        <v>0</v>
      </c>
      <c r="R495">
        <f t="shared" si="110"/>
        <v>0</v>
      </c>
      <c r="S495">
        <f t="shared" si="111"/>
        <v>0</v>
      </c>
    </row>
    <row r="496" spans="1:19" x14ac:dyDescent="0.3">
      <c r="A496" s="1">
        <v>41875</v>
      </c>
      <c r="B496" s="1">
        <v>41885</v>
      </c>
      <c r="C496">
        <v>14.31</v>
      </c>
      <c r="D496">
        <v>0.38</v>
      </c>
      <c r="E496">
        <v>3</v>
      </c>
      <c r="F496">
        <f t="shared" si="98"/>
        <v>14.690000000000001</v>
      </c>
      <c r="G496">
        <f t="shared" si="99"/>
        <v>8</v>
      </c>
      <c r="H496">
        <f t="shared" si="100"/>
        <v>0</v>
      </c>
      <c r="I496">
        <f t="shared" si="101"/>
        <v>0</v>
      </c>
      <c r="J496">
        <f t="shared" si="102"/>
        <v>0</v>
      </c>
      <c r="K496">
        <f t="shared" si="103"/>
        <v>0</v>
      </c>
      <c r="L496">
        <f t="shared" si="104"/>
        <v>0</v>
      </c>
      <c r="M496">
        <f t="shared" si="105"/>
        <v>0</v>
      </c>
      <c r="N496">
        <f t="shared" si="106"/>
        <v>0</v>
      </c>
      <c r="O496">
        <f t="shared" si="107"/>
        <v>14.690000000000001</v>
      </c>
      <c r="P496">
        <f t="shared" si="108"/>
        <v>0</v>
      </c>
      <c r="Q496">
        <f t="shared" si="109"/>
        <v>0</v>
      </c>
      <c r="R496">
        <f t="shared" si="110"/>
        <v>0</v>
      </c>
      <c r="S496">
        <f t="shared" si="111"/>
        <v>0</v>
      </c>
    </row>
    <row r="497" spans="1:19" x14ac:dyDescent="0.3">
      <c r="A497" s="1">
        <v>41875</v>
      </c>
      <c r="B497" s="1">
        <v>41895</v>
      </c>
      <c r="C497">
        <v>11.37</v>
      </c>
      <c r="D497">
        <v>0.3</v>
      </c>
      <c r="E497">
        <v>2</v>
      </c>
      <c r="F497">
        <f t="shared" si="98"/>
        <v>11.67</v>
      </c>
      <c r="G497">
        <f t="shared" si="99"/>
        <v>8</v>
      </c>
      <c r="H497">
        <f t="shared" si="100"/>
        <v>0</v>
      </c>
      <c r="I497">
        <f t="shared" si="101"/>
        <v>0</v>
      </c>
      <c r="J497">
        <f t="shared" si="102"/>
        <v>0</v>
      </c>
      <c r="K497">
        <f t="shared" si="103"/>
        <v>0</v>
      </c>
      <c r="L497">
        <f t="shared" si="104"/>
        <v>0</v>
      </c>
      <c r="M497">
        <f t="shared" si="105"/>
        <v>0</v>
      </c>
      <c r="N497">
        <f t="shared" si="106"/>
        <v>0</v>
      </c>
      <c r="O497">
        <f t="shared" si="107"/>
        <v>11.67</v>
      </c>
      <c r="P497">
        <f t="shared" si="108"/>
        <v>0</v>
      </c>
      <c r="Q497">
        <f t="shared" si="109"/>
        <v>0</v>
      </c>
      <c r="R497">
        <f t="shared" si="110"/>
        <v>0</v>
      </c>
      <c r="S497">
        <f t="shared" si="111"/>
        <v>0</v>
      </c>
    </row>
    <row r="498" spans="1:19" x14ac:dyDescent="0.3">
      <c r="A498" s="1">
        <v>41875</v>
      </c>
      <c r="B498" s="1">
        <v>41894</v>
      </c>
      <c r="C498">
        <v>11.44</v>
      </c>
      <c r="D498">
        <v>0.3</v>
      </c>
      <c r="E498">
        <v>2</v>
      </c>
      <c r="F498">
        <f t="shared" si="98"/>
        <v>11.74</v>
      </c>
      <c r="G498">
        <f t="shared" si="99"/>
        <v>8</v>
      </c>
      <c r="H498">
        <f t="shared" si="100"/>
        <v>0</v>
      </c>
      <c r="I498">
        <f t="shared" si="101"/>
        <v>0</v>
      </c>
      <c r="J498">
        <f t="shared" si="102"/>
        <v>0</v>
      </c>
      <c r="K498">
        <f t="shared" si="103"/>
        <v>0</v>
      </c>
      <c r="L498">
        <f t="shared" si="104"/>
        <v>0</v>
      </c>
      <c r="M498">
        <f t="shared" si="105"/>
        <v>0</v>
      </c>
      <c r="N498">
        <f t="shared" si="106"/>
        <v>0</v>
      </c>
      <c r="O498">
        <f t="shared" si="107"/>
        <v>11.74</v>
      </c>
      <c r="P498">
        <f t="shared" si="108"/>
        <v>0</v>
      </c>
      <c r="Q498">
        <f t="shared" si="109"/>
        <v>0</v>
      </c>
      <c r="R498">
        <f t="shared" si="110"/>
        <v>0</v>
      </c>
      <c r="S498">
        <f t="shared" si="111"/>
        <v>0</v>
      </c>
    </row>
    <row r="499" spans="1:19" x14ac:dyDescent="0.3">
      <c r="A499" s="1">
        <v>41875</v>
      </c>
      <c r="B499" s="1">
        <v>41902</v>
      </c>
      <c r="C499">
        <v>8.65</v>
      </c>
      <c r="D499">
        <v>0.23</v>
      </c>
      <c r="E499">
        <v>4</v>
      </c>
      <c r="F499">
        <f t="shared" si="98"/>
        <v>8.8800000000000008</v>
      </c>
      <c r="G499">
        <f t="shared" si="99"/>
        <v>8</v>
      </c>
      <c r="H499">
        <f t="shared" si="100"/>
        <v>0</v>
      </c>
      <c r="I499">
        <f t="shared" si="101"/>
        <v>0</v>
      </c>
      <c r="J499">
        <f t="shared" si="102"/>
        <v>0</v>
      </c>
      <c r="K499">
        <f t="shared" si="103"/>
        <v>0</v>
      </c>
      <c r="L499">
        <f t="shared" si="104"/>
        <v>0</v>
      </c>
      <c r="M499">
        <f t="shared" si="105"/>
        <v>0</v>
      </c>
      <c r="N499">
        <f t="shared" si="106"/>
        <v>0</v>
      </c>
      <c r="O499">
        <f t="shared" si="107"/>
        <v>8.8800000000000008</v>
      </c>
      <c r="P499">
        <f t="shared" si="108"/>
        <v>0</v>
      </c>
      <c r="Q499">
        <f t="shared" si="109"/>
        <v>0</v>
      </c>
      <c r="R499">
        <f t="shared" si="110"/>
        <v>0</v>
      </c>
      <c r="S499">
        <f t="shared" si="111"/>
        <v>0</v>
      </c>
    </row>
    <row r="500" spans="1:19" x14ac:dyDescent="0.3">
      <c r="A500" s="1">
        <v>41876</v>
      </c>
      <c r="B500" s="1">
        <v>41886</v>
      </c>
      <c r="C500">
        <v>11.42</v>
      </c>
      <c r="D500">
        <v>0.3</v>
      </c>
      <c r="E500">
        <v>5</v>
      </c>
      <c r="F500">
        <f t="shared" si="98"/>
        <v>11.72</v>
      </c>
      <c r="G500">
        <f t="shared" si="99"/>
        <v>8</v>
      </c>
      <c r="H500">
        <f t="shared" si="100"/>
        <v>0</v>
      </c>
      <c r="I500">
        <f t="shared" si="101"/>
        <v>0</v>
      </c>
      <c r="J500">
        <f t="shared" si="102"/>
        <v>0</v>
      </c>
      <c r="K500">
        <f t="shared" si="103"/>
        <v>0</v>
      </c>
      <c r="L500">
        <f t="shared" si="104"/>
        <v>0</v>
      </c>
      <c r="M500">
        <f t="shared" si="105"/>
        <v>0</v>
      </c>
      <c r="N500">
        <f t="shared" si="106"/>
        <v>0</v>
      </c>
      <c r="O500">
        <f t="shared" si="107"/>
        <v>11.72</v>
      </c>
      <c r="P500">
        <f t="shared" si="108"/>
        <v>0</v>
      </c>
      <c r="Q500">
        <f t="shared" si="109"/>
        <v>0</v>
      </c>
      <c r="R500">
        <f t="shared" si="110"/>
        <v>0</v>
      </c>
      <c r="S500">
        <f t="shared" si="111"/>
        <v>0</v>
      </c>
    </row>
    <row r="501" spans="1:19" x14ac:dyDescent="0.3">
      <c r="A501" s="1">
        <v>41876</v>
      </c>
      <c r="B501" s="1">
        <v>41886</v>
      </c>
      <c r="C501">
        <v>8.39</v>
      </c>
      <c r="D501">
        <v>0.22</v>
      </c>
      <c r="E501">
        <v>2</v>
      </c>
      <c r="F501">
        <f t="shared" si="98"/>
        <v>8.6100000000000012</v>
      </c>
      <c r="G501">
        <f t="shared" si="99"/>
        <v>8</v>
      </c>
      <c r="H501">
        <f t="shared" si="100"/>
        <v>0</v>
      </c>
      <c r="I501">
        <f t="shared" si="101"/>
        <v>0</v>
      </c>
      <c r="J501">
        <f t="shared" si="102"/>
        <v>0</v>
      </c>
      <c r="K501">
        <f t="shared" si="103"/>
        <v>0</v>
      </c>
      <c r="L501">
        <f t="shared" si="104"/>
        <v>0</v>
      </c>
      <c r="M501">
        <f t="shared" si="105"/>
        <v>0</v>
      </c>
      <c r="N501">
        <f t="shared" si="106"/>
        <v>0</v>
      </c>
      <c r="O501">
        <f t="shared" si="107"/>
        <v>8.6100000000000012</v>
      </c>
      <c r="P501">
        <f t="shared" si="108"/>
        <v>0</v>
      </c>
      <c r="Q501">
        <f t="shared" si="109"/>
        <v>0</v>
      </c>
      <c r="R501">
        <f t="shared" si="110"/>
        <v>0</v>
      </c>
      <c r="S501">
        <f t="shared" si="111"/>
        <v>0</v>
      </c>
    </row>
    <row r="502" spans="1:19" x14ac:dyDescent="0.3">
      <c r="A502" s="1">
        <v>41876</v>
      </c>
      <c r="B502" s="1">
        <v>41887</v>
      </c>
      <c r="C502">
        <v>9.74</v>
      </c>
      <c r="D502">
        <v>0.26</v>
      </c>
      <c r="E502">
        <v>4</v>
      </c>
      <c r="F502">
        <f t="shared" si="98"/>
        <v>10</v>
      </c>
      <c r="G502">
        <f t="shared" si="99"/>
        <v>8</v>
      </c>
      <c r="H502">
        <f t="shared" si="100"/>
        <v>0</v>
      </c>
      <c r="I502">
        <f t="shared" si="101"/>
        <v>0</v>
      </c>
      <c r="J502">
        <f t="shared" si="102"/>
        <v>0</v>
      </c>
      <c r="K502">
        <f t="shared" si="103"/>
        <v>0</v>
      </c>
      <c r="L502">
        <f t="shared" si="104"/>
        <v>0</v>
      </c>
      <c r="M502">
        <f t="shared" si="105"/>
        <v>0</v>
      </c>
      <c r="N502">
        <f t="shared" si="106"/>
        <v>0</v>
      </c>
      <c r="O502">
        <f t="shared" si="107"/>
        <v>10</v>
      </c>
      <c r="P502">
        <f t="shared" si="108"/>
        <v>0</v>
      </c>
      <c r="Q502">
        <f t="shared" si="109"/>
        <v>0</v>
      </c>
      <c r="R502">
        <f t="shared" si="110"/>
        <v>0</v>
      </c>
      <c r="S502">
        <f t="shared" si="111"/>
        <v>0</v>
      </c>
    </row>
    <row r="503" spans="1:19" x14ac:dyDescent="0.3">
      <c r="A503" s="1">
        <v>41876</v>
      </c>
      <c r="B503" s="1">
        <v>41903</v>
      </c>
      <c r="C503">
        <v>5.23</v>
      </c>
      <c r="D503">
        <v>0.14000000000000001</v>
      </c>
      <c r="E503">
        <v>6</v>
      </c>
      <c r="F503">
        <f t="shared" si="98"/>
        <v>5.37</v>
      </c>
      <c r="G503">
        <f t="shared" si="99"/>
        <v>8</v>
      </c>
      <c r="H503">
        <f t="shared" si="100"/>
        <v>0</v>
      </c>
      <c r="I503">
        <f t="shared" si="101"/>
        <v>0</v>
      </c>
      <c r="J503">
        <f t="shared" si="102"/>
        <v>0</v>
      </c>
      <c r="K503">
        <f t="shared" si="103"/>
        <v>0</v>
      </c>
      <c r="L503">
        <f t="shared" si="104"/>
        <v>0</v>
      </c>
      <c r="M503">
        <f t="shared" si="105"/>
        <v>0</v>
      </c>
      <c r="N503">
        <f t="shared" si="106"/>
        <v>0</v>
      </c>
      <c r="O503">
        <f t="shared" si="107"/>
        <v>5.37</v>
      </c>
      <c r="P503">
        <f t="shared" si="108"/>
        <v>0</v>
      </c>
      <c r="Q503">
        <f t="shared" si="109"/>
        <v>0</v>
      </c>
      <c r="R503">
        <f t="shared" si="110"/>
        <v>0</v>
      </c>
      <c r="S503">
        <f t="shared" si="111"/>
        <v>0</v>
      </c>
    </row>
    <row r="504" spans="1:19" x14ac:dyDescent="0.3">
      <c r="A504" s="1">
        <v>41876</v>
      </c>
      <c r="B504" s="1">
        <v>41894</v>
      </c>
      <c r="C504">
        <v>8.39</v>
      </c>
      <c r="D504">
        <v>0.22</v>
      </c>
      <c r="E504">
        <v>3</v>
      </c>
      <c r="F504">
        <f t="shared" si="98"/>
        <v>8.6100000000000012</v>
      </c>
      <c r="G504">
        <f t="shared" si="99"/>
        <v>8</v>
      </c>
      <c r="H504">
        <f t="shared" si="100"/>
        <v>0</v>
      </c>
      <c r="I504">
        <f t="shared" si="101"/>
        <v>0</v>
      </c>
      <c r="J504">
        <f t="shared" si="102"/>
        <v>0</v>
      </c>
      <c r="K504">
        <f t="shared" si="103"/>
        <v>0</v>
      </c>
      <c r="L504">
        <f t="shared" si="104"/>
        <v>0</v>
      </c>
      <c r="M504">
        <f t="shared" si="105"/>
        <v>0</v>
      </c>
      <c r="N504">
        <f t="shared" si="106"/>
        <v>0</v>
      </c>
      <c r="O504">
        <f t="shared" si="107"/>
        <v>8.6100000000000012</v>
      </c>
      <c r="P504">
        <f t="shared" si="108"/>
        <v>0</v>
      </c>
      <c r="Q504">
        <f t="shared" si="109"/>
        <v>0</v>
      </c>
      <c r="R504">
        <f t="shared" si="110"/>
        <v>0</v>
      </c>
      <c r="S504">
        <f t="shared" si="111"/>
        <v>0</v>
      </c>
    </row>
    <row r="505" spans="1:19" x14ac:dyDescent="0.3">
      <c r="A505" s="1">
        <v>41877</v>
      </c>
      <c r="B505" s="1">
        <v>41896</v>
      </c>
      <c r="C505">
        <v>5.23</v>
      </c>
      <c r="D505">
        <v>0.14000000000000001</v>
      </c>
      <c r="E505">
        <v>4</v>
      </c>
      <c r="F505">
        <f t="shared" si="98"/>
        <v>5.37</v>
      </c>
      <c r="G505">
        <f t="shared" si="99"/>
        <v>8</v>
      </c>
      <c r="H505">
        <f t="shared" si="100"/>
        <v>0</v>
      </c>
      <c r="I505">
        <f t="shared" si="101"/>
        <v>0</v>
      </c>
      <c r="J505">
        <f t="shared" si="102"/>
        <v>0</v>
      </c>
      <c r="K505">
        <f t="shared" si="103"/>
        <v>0</v>
      </c>
      <c r="L505">
        <f t="shared" si="104"/>
        <v>0</v>
      </c>
      <c r="M505">
        <f t="shared" si="105"/>
        <v>0</v>
      </c>
      <c r="N505">
        <f t="shared" si="106"/>
        <v>0</v>
      </c>
      <c r="O505">
        <f t="shared" si="107"/>
        <v>5.37</v>
      </c>
      <c r="P505">
        <f t="shared" si="108"/>
        <v>0</v>
      </c>
      <c r="Q505">
        <f t="shared" si="109"/>
        <v>0</v>
      </c>
      <c r="R505">
        <f t="shared" si="110"/>
        <v>0</v>
      </c>
      <c r="S505">
        <f t="shared" si="111"/>
        <v>0</v>
      </c>
    </row>
    <row r="506" spans="1:19" x14ac:dyDescent="0.3">
      <c r="A506" s="1">
        <v>41878</v>
      </c>
      <c r="B506" s="1">
        <v>41884</v>
      </c>
      <c r="C506">
        <v>6.34</v>
      </c>
      <c r="D506">
        <v>0.17</v>
      </c>
      <c r="E506">
        <v>4</v>
      </c>
      <c r="F506">
        <f t="shared" si="98"/>
        <v>6.51</v>
      </c>
      <c r="G506">
        <f t="shared" si="99"/>
        <v>8</v>
      </c>
      <c r="H506">
        <f t="shared" si="100"/>
        <v>0</v>
      </c>
      <c r="I506">
        <f t="shared" si="101"/>
        <v>0</v>
      </c>
      <c r="J506">
        <f t="shared" si="102"/>
        <v>0</v>
      </c>
      <c r="K506">
        <f t="shared" si="103"/>
        <v>0</v>
      </c>
      <c r="L506">
        <f t="shared" si="104"/>
        <v>0</v>
      </c>
      <c r="M506">
        <f t="shared" si="105"/>
        <v>0</v>
      </c>
      <c r="N506">
        <f t="shared" si="106"/>
        <v>0</v>
      </c>
      <c r="O506">
        <f t="shared" si="107"/>
        <v>6.51</v>
      </c>
      <c r="P506">
        <f t="shared" si="108"/>
        <v>0</v>
      </c>
      <c r="Q506">
        <f t="shared" si="109"/>
        <v>0</v>
      </c>
      <c r="R506">
        <f t="shared" si="110"/>
        <v>0</v>
      </c>
      <c r="S506">
        <f t="shared" si="111"/>
        <v>0</v>
      </c>
    </row>
    <row r="507" spans="1:19" x14ac:dyDescent="0.3">
      <c r="A507" s="1">
        <v>41881</v>
      </c>
      <c r="B507" s="1">
        <v>41908</v>
      </c>
      <c r="C507">
        <v>10.93</v>
      </c>
      <c r="D507">
        <v>0.28999999999999998</v>
      </c>
      <c r="E507">
        <v>4</v>
      </c>
      <c r="F507">
        <f t="shared" si="98"/>
        <v>11.219999999999999</v>
      </c>
      <c r="G507">
        <f t="shared" si="99"/>
        <v>8</v>
      </c>
      <c r="H507">
        <f t="shared" si="100"/>
        <v>0</v>
      </c>
      <c r="I507">
        <f t="shared" si="101"/>
        <v>0</v>
      </c>
      <c r="J507">
        <f t="shared" si="102"/>
        <v>0</v>
      </c>
      <c r="K507">
        <f t="shared" si="103"/>
        <v>0</v>
      </c>
      <c r="L507">
        <f t="shared" si="104"/>
        <v>0</v>
      </c>
      <c r="M507">
        <f t="shared" si="105"/>
        <v>0</v>
      </c>
      <c r="N507">
        <f t="shared" si="106"/>
        <v>0</v>
      </c>
      <c r="O507">
        <f t="shared" si="107"/>
        <v>11.219999999999999</v>
      </c>
      <c r="P507">
        <f t="shared" si="108"/>
        <v>0</v>
      </c>
      <c r="Q507">
        <f t="shared" si="109"/>
        <v>0</v>
      </c>
      <c r="R507">
        <f t="shared" si="110"/>
        <v>0</v>
      </c>
      <c r="S507">
        <f t="shared" si="111"/>
        <v>0</v>
      </c>
    </row>
    <row r="508" spans="1:19" x14ac:dyDescent="0.3">
      <c r="A508" s="1">
        <v>41881</v>
      </c>
      <c r="B508" s="1">
        <v>41894</v>
      </c>
      <c r="C508">
        <v>8.89</v>
      </c>
      <c r="D508">
        <v>0.23</v>
      </c>
      <c r="E508">
        <v>2</v>
      </c>
      <c r="F508">
        <f t="shared" si="98"/>
        <v>9.120000000000001</v>
      </c>
      <c r="G508">
        <f t="shared" si="99"/>
        <v>8</v>
      </c>
      <c r="H508">
        <f t="shared" si="100"/>
        <v>0</v>
      </c>
      <c r="I508">
        <f t="shared" si="101"/>
        <v>0</v>
      </c>
      <c r="J508">
        <f t="shared" si="102"/>
        <v>0</v>
      </c>
      <c r="K508">
        <f t="shared" si="103"/>
        <v>0</v>
      </c>
      <c r="L508">
        <f t="shared" si="104"/>
        <v>0</v>
      </c>
      <c r="M508">
        <f t="shared" si="105"/>
        <v>0</v>
      </c>
      <c r="N508">
        <f t="shared" si="106"/>
        <v>0</v>
      </c>
      <c r="O508">
        <f t="shared" si="107"/>
        <v>9.120000000000001</v>
      </c>
      <c r="P508">
        <f t="shared" si="108"/>
        <v>0</v>
      </c>
      <c r="Q508">
        <f t="shared" si="109"/>
        <v>0</v>
      </c>
      <c r="R508">
        <f t="shared" si="110"/>
        <v>0</v>
      </c>
      <c r="S508">
        <f t="shared" si="111"/>
        <v>0</v>
      </c>
    </row>
    <row r="509" spans="1:19" x14ac:dyDescent="0.3">
      <c r="A509" s="1">
        <v>41881</v>
      </c>
      <c r="B509" s="1">
        <v>41883</v>
      </c>
      <c r="C509">
        <v>5.57</v>
      </c>
      <c r="D509">
        <v>0.15</v>
      </c>
      <c r="E509">
        <v>2</v>
      </c>
      <c r="F509">
        <f t="shared" si="98"/>
        <v>5.7200000000000006</v>
      </c>
      <c r="G509">
        <f t="shared" si="99"/>
        <v>8</v>
      </c>
      <c r="H509">
        <f t="shared" si="100"/>
        <v>0</v>
      </c>
      <c r="I509">
        <f t="shared" si="101"/>
        <v>0</v>
      </c>
      <c r="J509">
        <f t="shared" si="102"/>
        <v>0</v>
      </c>
      <c r="K509">
        <f t="shared" si="103"/>
        <v>0</v>
      </c>
      <c r="L509">
        <f t="shared" si="104"/>
        <v>0</v>
      </c>
      <c r="M509">
        <f t="shared" si="105"/>
        <v>0</v>
      </c>
      <c r="N509">
        <f t="shared" si="106"/>
        <v>0</v>
      </c>
      <c r="O509">
        <f t="shared" si="107"/>
        <v>5.7200000000000006</v>
      </c>
      <c r="P509">
        <f t="shared" si="108"/>
        <v>0</v>
      </c>
      <c r="Q509">
        <f t="shared" si="109"/>
        <v>0</v>
      </c>
      <c r="R509">
        <f t="shared" si="110"/>
        <v>0</v>
      </c>
      <c r="S509">
        <f t="shared" si="111"/>
        <v>0</v>
      </c>
    </row>
    <row r="510" spans="1:19" x14ac:dyDescent="0.3">
      <c r="A510" s="1">
        <v>41881</v>
      </c>
      <c r="B510" s="1">
        <v>41907</v>
      </c>
      <c r="C510">
        <v>6.23</v>
      </c>
      <c r="D510">
        <v>0.16</v>
      </c>
      <c r="E510">
        <v>3</v>
      </c>
      <c r="F510">
        <f t="shared" si="98"/>
        <v>6.3900000000000006</v>
      </c>
      <c r="G510">
        <f t="shared" si="99"/>
        <v>8</v>
      </c>
      <c r="H510">
        <f t="shared" si="100"/>
        <v>0</v>
      </c>
      <c r="I510">
        <f t="shared" si="101"/>
        <v>0</v>
      </c>
      <c r="J510">
        <f t="shared" si="102"/>
        <v>0</v>
      </c>
      <c r="K510">
        <f t="shared" si="103"/>
        <v>0</v>
      </c>
      <c r="L510">
        <f t="shared" si="104"/>
        <v>0</v>
      </c>
      <c r="M510">
        <f t="shared" si="105"/>
        <v>0</v>
      </c>
      <c r="N510">
        <f t="shared" si="106"/>
        <v>0</v>
      </c>
      <c r="O510">
        <f t="shared" si="107"/>
        <v>6.3900000000000006</v>
      </c>
      <c r="P510">
        <f t="shared" si="108"/>
        <v>0</v>
      </c>
      <c r="Q510">
        <f t="shared" si="109"/>
        <v>0</v>
      </c>
      <c r="R510">
        <f t="shared" si="110"/>
        <v>0</v>
      </c>
      <c r="S510">
        <f t="shared" si="111"/>
        <v>0</v>
      </c>
    </row>
    <row r="511" spans="1:19" x14ac:dyDescent="0.3">
      <c r="A511" s="1">
        <v>41881</v>
      </c>
      <c r="B511" s="1">
        <v>41896</v>
      </c>
      <c r="C511">
        <v>11.42</v>
      </c>
      <c r="D511">
        <v>0.3</v>
      </c>
      <c r="E511">
        <v>4</v>
      </c>
      <c r="F511">
        <f t="shared" si="98"/>
        <v>11.72</v>
      </c>
      <c r="G511">
        <f t="shared" si="99"/>
        <v>8</v>
      </c>
      <c r="H511">
        <f t="shared" si="100"/>
        <v>0</v>
      </c>
      <c r="I511">
        <f t="shared" si="101"/>
        <v>0</v>
      </c>
      <c r="J511">
        <f t="shared" si="102"/>
        <v>0</v>
      </c>
      <c r="K511">
        <f t="shared" si="103"/>
        <v>0</v>
      </c>
      <c r="L511">
        <f t="shared" si="104"/>
        <v>0</v>
      </c>
      <c r="M511">
        <f t="shared" si="105"/>
        <v>0</v>
      </c>
      <c r="N511">
        <f t="shared" si="106"/>
        <v>0</v>
      </c>
      <c r="O511">
        <f t="shared" si="107"/>
        <v>11.72</v>
      </c>
      <c r="P511">
        <f t="shared" si="108"/>
        <v>0</v>
      </c>
      <c r="Q511">
        <f t="shared" si="109"/>
        <v>0</v>
      </c>
      <c r="R511">
        <f t="shared" si="110"/>
        <v>0</v>
      </c>
      <c r="S511">
        <f t="shared" si="111"/>
        <v>0</v>
      </c>
    </row>
    <row r="512" spans="1:19" x14ac:dyDescent="0.3">
      <c r="A512" s="1">
        <v>41881</v>
      </c>
      <c r="B512" s="1">
        <v>41903</v>
      </c>
      <c r="C512">
        <v>16.940000000000001</v>
      </c>
      <c r="D512">
        <v>0.45</v>
      </c>
      <c r="E512">
        <v>3</v>
      </c>
      <c r="F512">
        <f t="shared" si="98"/>
        <v>17.39</v>
      </c>
      <c r="G512">
        <f t="shared" si="99"/>
        <v>8</v>
      </c>
      <c r="H512">
        <f t="shared" si="100"/>
        <v>0</v>
      </c>
      <c r="I512">
        <f t="shared" si="101"/>
        <v>0</v>
      </c>
      <c r="J512">
        <f t="shared" si="102"/>
        <v>0</v>
      </c>
      <c r="K512">
        <f t="shared" si="103"/>
        <v>0</v>
      </c>
      <c r="L512">
        <f t="shared" si="104"/>
        <v>0</v>
      </c>
      <c r="M512">
        <f t="shared" si="105"/>
        <v>0</v>
      </c>
      <c r="N512">
        <f t="shared" si="106"/>
        <v>0</v>
      </c>
      <c r="O512">
        <f t="shared" si="107"/>
        <v>17.39</v>
      </c>
      <c r="P512">
        <f t="shared" si="108"/>
        <v>0</v>
      </c>
      <c r="Q512">
        <f t="shared" si="109"/>
        <v>0</v>
      </c>
      <c r="R512">
        <f t="shared" si="110"/>
        <v>0</v>
      </c>
      <c r="S512">
        <f t="shared" si="111"/>
        <v>0</v>
      </c>
    </row>
    <row r="513" spans="1:19" x14ac:dyDescent="0.3">
      <c r="A513" s="1">
        <v>41885</v>
      </c>
      <c r="B513" s="1">
        <v>41901</v>
      </c>
      <c r="C513">
        <v>7.06</v>
      </c>
      <c r="D513">
        <v>0.19</v>
      </c>
      <c r="E513">
        <v>4</v>
      </c>
      <c r="F513">
        <f t="shared" si="98"/>
        <v>7.25</v>
      </c>
      <c r="G513">
        <f t="shared" si="99"/>
        <v>9</v>
      </c>
      <c r="H513">
        <f t="shared" si="100"/>
        <v>0</v>
      </c>
      <c r="I513">
        <f t="shared" si="101"/>
        <v>0</v>
      </c>
      <c r="J513">
        <f t="shared" si="102"/>
        <v>0</v>
      </c>
      <c r="K513">
        <f t="shared" si="103"/>
        <v>0</v>
      </c>
      <c r="L513">
        <f t="shared" si="104"/>
        <v>0</v>
      </c>
      <c r="M513">
        <f t="shared" si="105"/>
        <v>0</v>
      </c>
      <c r="N513">
        <f t="shared" si="106"/>
        <v>0</v>
      </c>
      <c r="O513">
        <f t="shared" si="107"/>
        <v>0</v>
      </c>
      <c r="P513">
        <f t="shared" si="108"/>
        <v>7.25</v>
      </c>
      <c r="Q513">
        <f t="shared" si="109"/>
        <v>0</v>
      </c>
      <c r="R513">
        <f t="shared" si="110"/>
        <v>0</v>
      </c>
      <c r="S513">
        <f t="shared" si="111"/>
        <v>0</v>
      </c>
    </row>
    <row r="514" spans="1:19" x14ac:dyDescent="0.3">
      <c r="A514" s="1">
        <v>41886</v>
      </c>
      <c r="B514" s="1">
        <v>41899</v>
      </c>
      <c r="C514">
        <v>5.64</v>
      </c>
      <c r="D514">
        <v>0.15</v>
      </c>
      <c r="E514">
        <v>4</v>
      </c>
      <c r="F514">
        <f t="shared" si="98"/>
        <v>5.79</v>
      </c>
      <c r="G514">
        <f t="shared" si="99"/>
        <v>9</v>
      </c>
      <c r="H514">
        <f t="shared" si="100"/>
        <v>0</v>
      </c>
      <c r="I514">
        <f t="shared" si="101"/>
        <v>0</v>
      </c>
      <c r="J514">
        <f t="shared" si="102"/>
        <v>0</v>
      </c>
      <c r="K514">
        <f t="shared" si="103"/>
        <v>0</v>
      </c>
      <c r="L514">
        <f t="shared" si="104"/>
        <v>0</v>
      </c>
      <c r="M514">
        <f t="shared" si="105"/>
        <v>0</v>
      </c>
      <c r="N514">
        <f t="shared" si="106"/>
        <v>0</v>
      </c>
      <c r="O514">
        <f t="shared" si="107"/>
        <v>0</v>
      </c>
      <c r="P514">
        <f t="shared" si="108"/>
        <v>5.79</v>
      </c>
      <c r="Q514">
        <f t="shared" si="109"/>
        <v>0</v>
      </c>
      <c r="R514">
        <f t="shared" si="110"/>
        <v>0</v>
      </c>
      <c r="S514">
        <f t="shared" si="111"/>
        <v>0</v>
      </c>
    </row>
    <row r="515" spans="1:19" x14ac:dyDescent="0.3">
      <c r="A515" s="1">
        <v>41886</v>
      </c>
      <c r="B515" s="1">
        <v>41898</v>
      </c>
      <c r="C515">
        <v>7.3</v>
      </c>
      <c r="D515">
        <v>0.19</v>
      </c>
      <c r="E515">
        <v>3</v>
      </c>
      <c r="F515">
        <f t="shared" ref="F515:F578" si="112">C515+D515</f>
        <v>7.49</v>
      </c>
      <c r="G515">
        <f t="shared" ref="G515:G578" si="113">MONTH(A515)</f>
        <v>9</v>
      </c>
      <c r="H515">
        <f t="shared" ref="H515:H578" si="114">IF(EXACT(G515,1),F515,0)</f>
        <v>0</v>
      </c>
      <c r="I515">
        <f t="shared" ref="I515:I578" si="115">IF(EXACT(G515,2),F515,0)</f>
        <v>0</v>
      </c>
      <c r="J515">
        <f t="shared" ref="J515:J578" si="116">IF(EXACT(G515,3),F515,0)</f>
        <v>0</v>
      </c>
      <c r="K515">
        <f t="shared" ref="K515:K578" si="117">IF(EXACT(G515,4),F515,0)</f>
        <v>0</v>
      </c>
      <c r="L515">
        <f t="shared" ref="L515:L578" si="118">IF(EXACT(G515,5),F515,0)</f>
        <v>0</v>
      </c>
      <c r="M515">
        <f t="shared" ref="M515:M578" si="119">IF(EXACT(G515,6),F515,0)</f>
        <v>0</v>
      </c>
      <c r="N515">
        <f t="shared" ref="N515:N578" si="120">IF(EXACT(G515,7),F515,0)</f>
        <v>0</v>
      </c>
      <c r="O515">
        <f t="shared" ref="O515:O578" si="121">IF(EXACT(G515,8),F515,0)</f>
        <v>0</v>
      </c>
      <c r="P515">
        <f t="shared" ref="P515:P578" si="122">IF(EXACT(G515,9),F515,0)</f>
        <v>7.49</v>
      </c>
      <c r="Q515">
        <f t="shared" ref="Q515:Q578" si="123">IF(EXACT(G515,10),F515,0)</f>
        <v>0</v>
      </c>
      <c r="R515">
        <f t="shared" ref="R515:R578" si="124">IF(EXACT(G515,11),F515,0)</f>
        <v>0</v>
      </c>
      <c r="S515">
        <f t="shared" ref="S515:S578" si="125">IF(EXACT(G515,12),F515,0)</f>
        <v>0</v>
      </c>
    </row>
    <row r="516" spans="1:19" x14ac:dyDescent="0.3">
      <c r="A516" s="1">
        <v>41886</v>
      </c>
      <c r="B516" s="1">
        <v>41896</v>
      </c>
      <c r="C516">
        <v>7.06</v>
      </c>
      <c r="D516">
        <v>0.19</v>
      </c>
      <c r="E516">
        <v>3</v>
      </c>
      <c r="F516">
        <f t="shared" si="112"/>
        <v>7.25</v>
      </c>
      <c r="G516">
        <f t="shared" si="113"/>
        <v>9</v>
      </c>
      <c r="H516">
        <f t="shared" si="114"/>
        <v>0</v>
      </c>
      <c r="I516">
        <f t="shared" si="115"/>
        <v>0</v>
      </c>
      <c r="J516">
        <f t="shared" si="116"/>
        <v>0</v>
      </c>
      <c r="K516">
        <f t="shared" si="117"/>
        <v>0</v>
      </c>
      <c r="L516">
        <f t="shared" si="118"/>
        <v>0</v>
      </c>
      <c r="M516">
        <f t="shared" si="119"/>
        <v>0</v>
      </c>
      <c r="N516">
        <f t="shared" si="120"/>
        <v>0</v>
      </c>
      <c r="O516">
        <f t="shared" si="121"/>
        <v>0</v>
      </c>
      <c r="P516">
        <f t="shared" si="122"/>
        <v>7.25</v>
      </c>
      <c r="Q516">
        <f t="shared" si="123"/>
        <v>0</v>
      </c>
      <c r="R516">
        <f t="shared" si="124"/>
        <v>0</v>
      </c>
      <c r="S516">
        <f t="shared" si="125"/>
        <v>0</v>
      </c>
    </row>
    <row r="517" spans="1:19" x14ac:dyDescent="0.3">
      <c r="A517" s="1">
        <v>41886</v>
      </c>
      <c r="B517" s="1">
        <v>41896</v>
      </c>
      <c r="C517">
        <v>5.64</v>
      </c>
      <c r="D517">
        <v>0.15</v>
      </c>
      <c r="E517">
        <v>5</v>
      </c>
      <c r="F517">
        <f t="shared" si="112"/>
        <v>5.79</v>
      </c>
      <c r="G517">
        <f t="shared" si="113"/>
        <v>9</v>
      </c>
      <c r="H517">
        <f t="shared" si="114"/>
        <v>0</v>
      </c>
      <c r="I517">
        <f t="shared" si="115"/>
        <v>0</v>
      </c>
      <c r="J517">
        <f t="shared" si="116"/>
        <v>0</v>
      </c>
      <c r="K517">
        <f t="shared" si="117"/>
        <v>0</v>
      </c>
      <c r="L517">
        <f t="shared" si="118"/>
        <v>0</v>
      </c>
      <c r="M517">
        <f t="shared" si="119"/>
        <v>0</v>
      </c>
      <c r="N517">
        <f t="shared" si="120"/>
        <v>0</v>
      </c>
      <c r="O517">
        <f t="shared" si="121"/>
        <v>0</v>
      </c>
      <c r="P517">
        <f t="shared" si="122"/>
        <v>5.79</v>
      </c>
      <c r="Q517">
        <f t="shared" si="123"/>
        <v>0</v>
      </c>
      <c r="R517">
        <f t="shared" si="124"/>
        <v>0</v>
      </c>
      <c r="S517">
        <f t="shared" si="125"/>
        <v>0</v>
      </c>
    </row>
    <row r="518" spans="1:19" x14ac:dyDescent="0.3">
      <c r="A518" s="1">
        <v>41886</v>
      </c>
      <c r="B518" s="1">
        <v>41889</v>
      </c>
      <c r="C518">
        <v>3.73</v>
      </c>
      <c r="D518">
        <v>0.1</v>
      </c>
      <c r="E518">
        <v>6</v>
      </c>
      <c r="F518">
        <f t="shared" si="112"/>
        <v>3.83</v>
      </c>
      <c r="G518">
        <f t="shared" si="113"/>
        <v>9</v>
      </c>
      <c r="H518">
        <f t="shared" si="114"/>
        <v>0</v>
      </c>
      <c r="I518">
        <f t="shared" si="115"/>
        <v>0</v>
      </c>
      <c r="J518">
        <f t="shared" si="116"/>
        <v>0</v>
      </c>
      <c r="K518">
        <f t="shared" si="117"/>
        <v>0</v>
      </c>
      <c r="L518">
        <f t="shared" si="118"/>
        <v>0</v>
      </c>
      <c r="M518">
        <f t="shared" si="119"/>
        <v>0</v>
      </c>
      <c r="N518">
        <f t="shared" si="120"/>
        <v>0</v>
      </c>
      <c r="O518">
        <f t="shared" si="121"/>
        <v>0</v>
      </c>
      <c r="P518">
        <f t="shared" si="122"/>
        <v>3.83</v>
      </c>
      <c r="Q518">
        <f t="shared" si="123"/>
        <v>0</v>
      </c>
      <c r="R518">
        <f t="shared" si="124"/>
        <v>0</v>
      </c>
      <c r="S518">
        <f t="shared" si="125"/>
        <v>0</v>
      </c>
    </row>
    <row r="519" spans="1:19" x14ac:dyDescent="0.3">
      <c r="A519" s="1">
        <v>41886</v>
      </c>
      <c r="B519" s="1">
        <v>41908</v>
      </c>
      <c r="C519">
        <v>13.81</v>
      </c>
      <c r="D519">
        <v>0.36</v>
      </c>
      <c r="E519">
        <v>6</v>
      </c>
      <c r="F519">
        <f t="shared" si="112"/>
        <v>14.17</v>
      </c>
      <c r="G519">
        <f t="shared" si="113"/>
        <v>9</v>
      </c>
      <c r="H519">
        <f t="shared" si="114"/>
        <v>0</v>
      </c>
      <c r="I519">
        <f t="shared" si="115"/>
        <v>0</v>
      </c>
      <c r="J519">
        <f t="shared" si="116"/>
        <v>0</v>
      </c>
      <c r="K519">
        <f t="shared" si="117"/>
        <v>0</v>
      </c>
      <c r="L519">
        <f t="shared" si="118"/>
        <v>0</v>
      </c>
      <c r="M519">
        <f t="shared" si="119"/>
        <v>0</v>
      </c>
      <c r="N519">
        <f t="shared" si="120"/>
        <v>0</v>
      </c>
      <c r="O519">
        <f t="shared" si="121"/>
        <v>0</v>
      </c>
      <c r="P519">
        <f t="shared" si="122"/>
        <v>14.17</v>
      </c>
      <c r="Q519">
        <f t="shared" si="123"/>
        <v>0</v>
      </c>
      <c r="R519">
        <f t="shared" si="124"/>
        <v>0</v>
      </c>
      <c r="S519">
        <f t="shared" si="125"/>
        <v>0</v>
      </c>
    </row>
    <row r="520" spans="1:19" x14ac:dyDescent="0.3">
      <c r="A520" s="1">
        <v>41886</v>
      </c>
      <c r="B520" s="1">
        <v>41896</v>
      </c>
      <c r="C520">
        <v>5.47</v>
      </c>
      <c r="D520">
        <v>0.14000000000000001</v>
      </c>
      <c r="E520">
        <v>2</v>
      </c>
      <c r="F520">
        <f t="shared" si="112"/>
        <v>5.6099999999999994</v>
      </c>
      <c r="G520">
        <f t="shared" si="113"/>
        <v>9</v>
      </c>
      <c r="H520">
        <f t="shared" si="114"/>
        <v>0</v>
      </c>
      <c r="I520">
        <f t="shared" si="115"/>
        <v>0</v>
      </c>
      <c r="J520">
        <f t="shared" si="116"/>
        <v>0</v>
      </c>
      <c r="K520">
        <f t="shared" si="117"/>
        <v>0</v>
      </c>
      <c r="L520">
        <f t="shared" si="118"/>
        <v>0</v>
      </c>
      <c r="M520">
        <f t="shared" si="119"/>
        <v>0</v>
      </c>
      <c r="N520">
        <f t="shared" si="120"/>
        <v>0</v>
      </c>
      <c r="O520">
        <f t="shared" si="121"/>
        <v>0</v>
      </c>
      <c r="P520">
        <f t="shared" si="122"/>
        <v>5.6099999999999994</v>
      </c>
      <c r="Q520">
        <f t="shared" si="123"/>
        <v>0</v>
      </c>
      <c r="R520">
        <f t="shared" si="124"/>
        <v>0</v>
      </c>
      <c r="S520">
        <f t="shared" si="125"/>
        <v>0</v>
      </c>
    </row>
    <row r="521" spans="1:19" x14ac:dyDescent="0.3">
      <c r="A521" s="1">
        <v>41886</v>
      </c>
      <c r="B521" s="1">
        <v>41914</v>
      </c>
      <c r="C521">
        <v>7.31</v>
      </c>
      <c r="D521">
        <v>0.19</v>
      </c>
      <c r="E521">
        <v>6</v>
      </c>
      <c r="F521">
        <f t="shared" si="112"/>
        <v>7.5</v>
      </c>
      <c r="G521">
        <f t="shared" si="113"/>
        <v>9</v>
      </c>
      <c r="H521">
        <f t="shared" si="114"/>
        <v>0</v>
      </c>
      <c r="I521">
        <f t="shared" si="115"/>
        <v>0</v>
      </c>
      <c r="J521">
        <f t="shared" si="116"/>
        <v>0</v>
      </c>
      <c r="K521">
        <f t="shared" si="117"/>
        <v>0</v>
      </c>
      <c r="L521">
        <f t="shared" si="118"/>
        <v>0</v>
      </c>
      <c r="M521">
        <f t="shared" si="119"/>
        <v>0</v>
      </c>
      <c r="N521">
        <f t="shared" si="120"/>
        <v>0</v>
      </c>
      <c r="O521">
        <f t="shared" si="121"/>
        <v>0</v>
      </c>
      <c r="P521">
        <f t="shared" si="122"/>
        <v>7.5</v>
      </c>
      <c r="Q521">
        <f t="shared" si="123"/>
        <v>0</v>
      </c>
      <c r="R521">
        <f t="shared" si="124"/>
        <v>0</v>
      </c>
      <c r="S521">
        <f t="shared" si="125"/>
        <v>0</v>
      </c>
    </row>
    <row r="522" spans="1:19" x14ac:dyDescent="0.3">
      <c r="A522" s="1">
        <v>41886</v>
      </c>
      <c r="B522" s="1">
        <v>41888</v>
      </c>
      <c r="C522">
        <v>3.73</v>
      </c>
      <c r="D522">
        <v>0.1</v>
      </c>
      <c r="E522">
        <v>3</v>
      </c>
      <c r="F522">
        <f t="shared" si="112"/>
        <v>3.83</v>
      </c>
      <c r="G522">
        <f t="shared" si="113"/>
        <v>9</v>
      </c>
      <c r="H522">
        <f t="shared" si="114"/>
        <v>0</v>
      </c>
      <c r="I522">
        <f t="shared" si="115"/>
        <v>0</v>
      </c>
      <c r="J522">
        <f t="shared" si="116"/>
        <v>0</v>
      </c>
      <c r="K522">
        <f t="shared" si="117"/>
        <v>0</v>
      </c>
      <c r="L522">
        <f t="shared" si="118"/>
        <v>0</v>
      </c>
      <c r="M522">
        <f t="shared" si="119"/>
        <v>0</v>
      </c>
      <c r="N522">
        <f t="shared" si="120"/>
        <v>0</v>
      </c>
      <c r="O522">
        <f t="shared" si="121"/>
        <v>0</v>
      </c>
      <c r="P522">
        <f t="shared" si="122"/>
        <v>3.83</v>
      </c>
      <c r="Q522">
        <f t="shared" si="123"/>
        <v>0</v>
      </c>
      <c r="R522">
        <f t="shared" si="124"/>
        <v>0</v>
      </c>
      <c r="S522">
        <f t="shared" si="125"/>
        <v>0</v>
      </c>
    </row>
    <row r="523" spans="1:19" x14ac:dyDescent="0.3">
      <c r="A523" s="1">
        <v>41886</v>
      </c>
      <c r="B523" s="1">
        <v>41907</v>
      </c>
      <c r="C523">
        <v>8.39</v>
      </c>
      <c r="D523">
        <v>0.22</v>
      </c>
      <c r="E523">
        <v>4</v>
      </c>
      <c r="F523">
        <f t="shared" si="112"/>
        <v>8.6100000000000012</v>
      </c>
      <c r="G523">
        <f t="shared" si="113"/>
        <v>9</v>
      </c>
      <c r="H523">
        <f t="shared" si="114"/>
        <v>0</v>
      </c>
      <c r="I523">
        <f t="shared" si="115"/>
        <v>0</v>
      </c>
      <c r="J523">
        <f t="shared" si="116"/>
        <v>0</v>
      </c>
      <c r="K523">
        <f t="shared" si="117"/>
        <v>0</v>
      </c>
      <c r="L523">
        <f t="shared" si="118"/>
        <v>0</v>
      </c>
      <c r="M523">
        <f t="shared" si="119"/>
        <v>0</v>
      </c>
      <c r="N523">
        <f t="shared" si="120"/>
        <v>0</v>
      </c>
      <c r="O523">
        <f t="shared" si="121"/>
        <v>0</v>
      </c>
      <c r="P523">
        <f t="shared" si="122"/>
        <v>8.6100000000000012</v>
      </c>
      <c r="Q523">
        <f t="shared" si="123"/>
        <v>0</v>
      </c>
      <c r="R523">
        <f t="shared" si="124"/>
        <v>0</v>
      </c>
      <c r="S523">
        <f t="shared" si="125"/>
        <v>0</v>
      </c>
    </row>
    <row r="524" spans="1:19" x14ac:dyDescent="0.3">
      <c r="A524" s="1">
        <v>41886</v>
      </c>
      <c r="B524" s="1">
        <v>41897</v>
      </c>
      <c r="C524">
        <v>13.07</v>
      </c>
      <c r="D524">
        <v>0.34</v>
      </c>
      <c r="E524">
        <v>2</v>
      </c>
      <c r="F524">
        <f t="shared" si="112"/>
        <v>13.41</v>
      </c>
      <c r="G524">
        <f t="shared" si="113"/>
        <v>9</v>
      </c>
      <c r="H524">
        <f t="shared" si="114"/>
        <v>0</v>
      </c>
      <c r="I524">
        <f t="shared" si="115"/>
        <v>0</v>
      </c>
      <c r="J524">
        <f t="shared" si="116"/>
        <v>0</v>
      </c>
      <c r="K524">
        <f t="shared" si="117"/>
        <v>0</v>
      </c>
      <c r="L524">
        <f t="shared" si="118"/>
        <v>0</v>
      </c>
      <c r="M524">
        <f t="shared" si="119"/>
        <v>0</v>
      </c>
      <c r="N524">
        <f t="shared" si="120"/>
        <v>0</v>
      </c>
      <c r="O524">
        <f t="shared" si="121"/>
        <v>0</v>
      </c>
      <c r="P524">
        <f t="shared" si="122"/>
        <v>13.41</v>
      </c>
      <c r="Q524">
        <f t="shared" si="123"/>
        <v>0</v>
      </c>
      <c r="R524">
        <f t="shared" si="124"/>
        <v>0</v>
      </c>
      <c r="S524">
        <f t="shared" si="125"/>
        <v>0</v>
      </c>
    </row>
    <row r="525" spans="1:19" x14ac:dyDescent="0.3">
      <c r="A525" s="1">
        <v>41886</v>
      </c>
      <c r="B525" s="1">
        <v>41891</v>
      </c>
      <c r="C525">
        <v>7.35</v>
      </c>
      <c r="D525">
        <v>0.19</v>
      </c>
      <c r="E525">
        <v>3</v>
      </c>
      <c r="F525">
        <f t="shared" si="112"/>
        <v>7.54</v>
      </c>
      <c r="G525">
        <f t="shared" si="113"/>
        <v>9</v>
      </c>
      <c r="H525">
        <f t="shared" si="114"/>
        <v>0</v>
      </c>
      <c r="I525">
        <f t="shared" si="115"/>
        <v>0</v>
      </c>
      <c r="J525">
        <f t="shared" si="116"/>
        <v>0</v>
      </c>
      <c r="K525">
        <f t="shared" si="117"/>
        <v>0</v>
      </c>
      <c r="L525">
        <f t="shared" si="118"/>
        <v>0</v>
      </c>
      <c r="M525">
        <f t="shared" si="119"/>
        <v>0</v>
      </c>
      <c r="N525">
        <f t="shared" si="120"/>
        <v>0</v>
      </c>
      <c r="O525">
        <f t="shared" si="121"/>
        <v>0</v>
      </c>
      <c r="P525">
        <f t="shared" si="122"/>
        <v>7.54</v>
      </c>
      <c r="Q525">
        <f t="shared" si="123"/>
        <v>0</v>
      </c>
      <c r="R525">
        <f t="shared" si="124"/>
        <v>0</v>
      </c>
      <c r="S525">
        <f t="shared" si="125"/>
        <v>0</v>
      </c>
    </row>
    <row r="526" spans="1:19" x14ac:dyDescent="0.3">
      <c r="A526" s="1">
        <v>41886</v>
      </c>
      <c r="B526" s="1">
        <v>41896</v>
      </c>
      <c r="C526">
        <v>14.31</v>
      </c>
      <c r="D526">
        <v>0.38</v>
      </c>
      <c r="E526">
        <v>5</v>
      </c>
      <c r="F526">
        <f t="shared" si="112"/>
        <v>14.690000000000001</v>
      </c>
      <c r="G526">
        <f t="shared" si="113"/>
        <v>9</v>
      </c>
      <c r="H526">
        <f t="shared" si="114"/>
        <v>0</v>
      </c>
      <c r="I526">
        <f t="shared" si="115"/>
        <v>0</v>
      </c>
      <c r="J526">
        <f t="shared" si="116"/>
        <v>0</v>
      </c>
      <c r="K526">
        <f t="shared" si="117"/>
        <v>0</v>
      </c>
      <c r="L526">
        <f t="shared" si="118"/>
        <v>0</v>
      </c>
      <c r="M526">
        <f t="shared" si="119"/>
        <v>0</v>
      </c>
      <c r="N526">
        <f t="shared" si="120"/>
        <v>0</v>
      </c>
      <c r="O526">
        <f t="shared" si="121"/>
        <v>0</v>
      </c>
      <c r="P526">
        <f t="shared" si="122"/>
        <v>14.690000000000001</v>
      </c>
      <c r="Q526">
        <f t="shared" si="123"/>
        <v>0</v>
      </c>
      <c r="R526">
        <f t="shared" si="124"/>
        <v>0</v>
      </c>
      <c r="S526">
        <f t="shared" si="125"/>
        <v>0</v>
      </c>
    </row>
    <row r="527" spans="1:19" x14ac:dyDescent="0.3">
      <c r="A527" s="1">
        <v>41886</v>
      </c>
      <c r="B527" s="1">
        <v>41914</v>
      </c>
      <c r="C527">
        <v>5.57</v>
      </c>
      <c r="D527">
        <v>0.15</v>
      </c>
      <c r="E527">
        <v>4</v>
      </c>
      <c r="F527">
        <f t="shared" si="112"/>
        <v>5.7200000000000006</v>
      </c>
      <c r="G527">
        <f t="shared" si="113"/>
        <v>9</v>
      </c>
      <c r="H527">
        <f t="shared" si="114"/>
        <v>0</v>
      </c>
      <c r="I527">
        <f t="shared" si="115"/>
        <v>0</v>
      </c>
      <c r="J527">
        <f t="shared" si="116"/>
        <v>0</v>
      </c>
      <c r="K527">
        <f t="shared" si="117"/>
        <v>0</v>
      </c>
      <c r="L527">
        <f t="shared" si="118"/>
        <v>0</v>
      </c>
      <c r="M527">
        <f t="shared" si="119"/>
        <v>0</v>
      </c>
      <c r="N527">
        <f t="shared" si="120"/>
        <v>0</v>
      </c>
      <c r="O527">
        <f t="shared" si="121"/>
        <v>0</v>
      </c>
      <c r="P527">
        <f t="shared" si="122"/>
        <v>5.7200000000000006</v>
      </c>
      <c r="Q527">
        <f t="shared" si="123"/>
        <v>0</v>
      </c>
      <c r="R527">
        <f t="shared" si="124"/>
        <v>0</v>
      </c>
      <c r="S527">
        <f t="shared" si="125"/>
        <v>0</v>
      </c>
    </row>
    <row r="528" spans="1:19" x14ac:dyDescent="0.3">
      <c r="A528" s="1">
        <v>41886</v>
      </c>
      <c r="B528" s="1">
        <v>41888</v>
      </c>
      <c r="C528">
        <v>5.23</v>
      </c>
      <c r="D528">
        <v>0.14000000000000001</v>
      </c>
      <c r="E528">
        <v>2</v>
      </c>
      <c r="F528">
        <f t="shared" si="112"/>
        <v>5.37</v>
      </c>
      <c r="G528">
        <f t="shared" si="113"/>
        <v>9</v>
      </c>
      <c r="H528">
        <f t="shared" si="114"/>
        <v>0</v>
      </c>
      <c r="I528">
        <f t="shared" si="115"/>
        <v>0</v>
      </c>
      <c r="J528">
        <f t="shared" si="116"/>
        <v>0</v>
      </c>
      <c r="K528">
        <f t="shared" si="117"/>
        <v>0</v>
      </c>
      <c r="L528">
        <f t="shared" si="118"/>
        <v>0</v>
      </c>
      <c r="M528">
        <f t="shared" si="119"/>
        <v>0</v>
      </c>
      <c r="N528">
        <f t="shared" si="120"/>
        <v>0</v>
      </c>
      <c r="O528">
        <f t="shared" si="121"/>
        <v>0</v>
      </c>
      <c r="P528">
        <f t="shared" si="122"/>
        <v>5.37</v>
      </c>
      <c r="Q528">
        <f t="shared" si="123"/>
        <v>0</v>
      </c>
      <c r="R528">
        <f t="shared" si="124"/>
        <v>0</v>
      </c>
      <c r="S528">
        <f t="shared" si="125"/>
        <v>0</v>
      </c>
    </row>
    <row r="529" spans="1:19" x14ac:dyDescent="0.3">
      <c r="A529" s="1">
        <v>41886</v>
      </c>
      <c r="B529" s="1">
        <v>41900</v>
      </c>
      <c r="C529">
        <v>10.79</v>
      </c>
      <c r="D529">
        <v>0.28000000000000003</v>
      </c>
      <c r="E529">
        <v>4</v>
      </c>
      <c r="F529">
        <f t="shared" si="112"/>
        <v>11.069999999999999</v>
      </c>
      <c r="G529">
        <f t="shared" si="113"/>
        <v>9</v>
      </c>
      <c r="H529">
        <f t="shared" si="114"/>
        <v>0</v>
      </c>
      <c r="I529">
        <f t="shared" si="115"/>
        <v>0</v>
      </c>
      <c r="J529">
        <f t="shared" si="116"/>
        <v>0</v>
      </c>
      <c r="K529">
        <f t="shared" si="117"/>
        <v>0</v>
      </c>
      <c r="L529">
        <f t="shared" si="118"/>
        <v>0</v>
      </c>
      <c r="M529">
        <f t="shared" si="119"/>
        <v>0</v>
      </c>
      <c r="N529">
        <f t="shared" si="120"/>
        <v>0</v>
      </c>
      <c r="O529">
        <f t="shared" si="121"/>
        <v>0</v>
      </c>
      <c r="P529">
        <f t="shared" si="122"/>
        <v>11.069999999999999</v>
      </c>
      <c r="Q529">
        <f t="shared" si="123"/>
        <v>0</v>
      </c>
      <c r="R529">
        <f t="shared" si="124"/>
        <v>0</v>
      </c>
      <c r="S529">
        <f t="shared" si="125"/>
        <v>0</v>
      </c>
    </row>
    <row r="530" spans="1:19" x14ac:dyDescent="0.3">
      <c r="A530" s="1">
        <v>41886</v>
      </c>
      <c r="B530" s="1">
        <v>41892</v>
      </c>
      <c r="C530">
        <v>2.72</v>
      </c>
      <c r="D530">
        <v>7.0000000000000007E-2</v>
      </c>
      <c r="E530">
        <v>2</v>
      </c>
      <c r="F530">
        <f t="shared" si="112"/>
        <v>2.79</v>
      </c>
      <c r="G530">
        <f t="shared" si="113"/>
        <v>9</v>
      </c>
      <c r="H530">
        <f t="shared" si="114"/>
        <v>0</v>
      </c>
      <c r="I530">
        <f t="shared" si="115"/>
        <v>0</v>
      </c>
      <c r="J530">
        <f t="shared" si="116"/>
        <v>0</v>
      </c>
      <c r="K530">
        <f t="shared" si="117"/>
        <v>0</v>
      </c>
      <c r="L530">
        <f t="shared" si="118"/>
        <v>0</v>
      </c>
      <c r="M530">
        <f t="shared" si="119"/>
        <v>0</v>
      </c>
      <c r="N530">
        <f t="shared" si="120"/>
        <v>0</v>
      </c>
      <c r="O530">
        <f t="shared" si="121"/>
        <v>0</v>
      </c>
      <c r="P530">
        <f t="shared" si="122"/>
        <v>2.79</v>
      </c>
      <c r="Q530">
        <f t="shared" si="123"/>
        <v>0</v>
      </c>
      <c r="R530">
        <f t="shared" si="124"/>
        <v>0</v>
      </c>
      <c r="S530">
        <f t="shared" si="125"/>
        <v>0</v>
      </c>
    </row>
    <row r="531" spans="1:19" x14ac:dyDescent="0.3">
      <c r="A531" s="1">
        <v>41887</v>
      </c>
      <c r="B531" s="1">
        <v>41913</v>
      </c>
      <c r="C531">
        <v>7.55</v>
      </c>
      <c r="D531">
        <v>0.2</v>
      </c>
      <c r="E531">
        <v>3</v>
      </c>
      <c r="F531">
        <f t="shared" si="112"/>
        <v>7.75</v>
      </c>
      <c r="G531">
        <f t="shared" si="113"/>
        <v>9</v>
      </c>
      <c r="H531">
        <f t="shared" si="114"/>
        <v>0</v>
      </c>
      <c r="I531">
        <f t="shared" si="115"/>
        <v>0</v>
      </c>
      <c r="J531">
        <f t="shared" si="116"/>
        <v>0</v>
      </c>
      <c r="K531">
        <f t="shared" si="117"/>
        <v>0</v>
      </c>
      <c r="L531">
        <f t="shared" si="118"/>
        <v>0</v>
      </c>
      <c r="M531">
        <f t="shared" si="119"/>
        <v>0</v>
      </c>
      <c r="N531">
        <f t="shared" si="120"/>
        <v>0</v>
      </c>
      <c r="O531">
        <f t="shared" si="121"/>
        <v>0</v>
      </c>
      <c r="P531">
        <f t="shared" si="122"/>
        <v>7.75</v>
      </c>
      <c r="Q531">
        <f t="shared" si="123"/>
        <v>0</v>
      </c>
      <c r="R531">
        <f t="shared" si="124"/>
        <v>0</v>
      </c>
      <c r="S531">
        <f t="shared" si="125"/>
        <v>0</v>
      </c>
    </row>
    <row r="532" spans="1:19" x14ac:dyDescent="0.3">
      <c r="A532" s="1">
        <v>41887</v>
      </c>
      <c r="B532" s="1">
        <v>41906</v>
      </c>
      <c r="C532">
        <v>6.43</v>
      </c>
      <c r="D532">
        <v>0.17</v>
      </c>
      <c r="E532">
        <v>2</v>
      </c>
      <c r="F532">
        <f t="shared" si="112"/>
        <v>6.6</v>
      </c>
      <c r="G532">
        <f t="shared" si="113"/>
        <v>9</v>
      </c>
      <c r="H532">
        <f t="shared" si="114"/>
        <v>0</v>
      </c>
      <c r="I532">
        <f t="shared" si="115"/>
        <v>0</v>
      </c>
      <c r="J532">
        <f t="shared" si="116"/>
        <v>0</v>
      </c>
      <c r="K532">
        <f t="shared" si="117"/>
        <v>0</v>
      </c>
      <c r="L532">
        <f t="shared" si="118"/>
        <v>0</v>
      </c>
      <c r="M532">
        <f t="shared" si="119"/>
        <v>0</v>
      </c>
      <c r="N532">
        <f t="shared" si="120"/>
        <v>0</v>
      </c>
      <c r="O532">
        <f t="shared" si="121"/>
        <v>0</v>
      </c>
      <c r="P532">
        <f t="shared" si="122"/>
        <v>6.6</v>
      </c>
      <c r="Q532">
        <f t="shared" si="123"/>
        <v>0</v>
      </c>
      <c r="R532">
        <f t="shared" si="124"/>
        <v>0</v>
      </c>
      <c r="S532">
        <f t="shared" si="125"/>
        <v>0</v>
      </c>
    </row>
    <row r="533" spans="1:19" x14ac:dyDescent="0.3">
      <c r="A533" s="1">
        <v>41887</v>
      </c>
      <c r="B533" s="1">
        <v>41905</v>
      </c>
      <c r="C533">
        <v>3.88</v>
      </c>
      <c r="D533">
        <v>0.1</v>
      </c>
      <c r="E533">
        <v>6</v>
      </c>
      <c r="F533">
        <f t="shared" si="112"/>
        <v>3.98</v>
      </c>
      <c r="G533">
        <f t="shared" si="113"/>
        <v>9</v>
      </c>
      <c r="H533">
        <f t="shared" si="114"/>
        <v>0</v>
      </c>
      <c r="I533">
        <f t="shared" si="115"/>
        <v>0</v>
      </c>
      <c r="J533">
        <f t="shared" si="116"/>
        <v>0</v>
      </c>
      <c r="K533">
        <f t="shared" si="117"/>
        <v>0</v>
      </c>
      <c r="L533">
        <f t="shared" si="118"/>
        <v>0</v>
      </c>
      <c r="M533">
        <f t="shared" si="119"/>
        <v>0</v>
      </c>
      <c r="N533">
        <f t="shared" si="120"/>
        <v>0</v>
      </c>
      <c r="O533">
        <f t="shared" si="121"/>
        <v>0</v>
      </c>
      <c r="P533">
        <f t="shared" si="122"/>
        <v>3.98</v>
      </c>
      <c r="Q533">
        <f t="shared" si="123"/>
        <v>0</v>
      </c>
      <c r="R533">
        <f t="shared" si="124"/>
        <v>0</v>
      </c>
      <c r="S533">
        <f t="shared" si="125"/>
        <v>0</v>
      </c>
    </row>
    <row r="534" spans="1:19" x14ac:dyDescent="0.3">
      <c r="A534" s="1">
        <v>41887</v>
      </c>
      <c r="B534" s="1">
        <v>41889</v>
      </c>
      <c r="C534">
        <v>5.67</v>
      </c>
      <c r="D534">
        <v>0.15</v>
      </c>
      <c r="E534">
        <v>4</v>
      </c>
      <c r="F534">
        <f t="shared" si="112"/>
        <v>5.82</v>
      </c>
      <c r="G534">
        <f t="shared" si="113"/>
        <v>9</v>
      </c>
      <c r="H534">
        <f t="shared" si="114"/>
        <v>0</v>
      </c>
      <c r="I534">
        <f t="shared" si="115"/>
        <v>0</v>
      </c>
      <c r="J534">
        <f t="shared" si="116"/>
        <v>0</v>
      </c>
      <c r="K534">
        <f t="shared" si="117"/>
        <v>0</v>
      </c>
      <c r="L534">
        <f t="shared" si="118"/>
        <v>0</v>
      </c>
      <c r="M534">
        <f t="shared" si="119"/>
        <v>0</v>
      </c>
      <c r="N534">
        <f t="shared" si="120"/>
        <v>0</v>
      </c>
      <c r="O534">
        <f t="shared" si="121"/>
        <v>0</v>
      </c>
      <c r="P534">
        <f t="shared" si="122"/>
        <v>5.82</v>
      </c>
      <c r="Q534">
        <f t="shared" si="123"/>
        <v>0</v>
      </c>
      <c r="R534">
        <f t="shared" si="124"/>
        <v>0</v>
      </c>
      <c r="S534">
        <f t="shared" si="125"/>
        <v>0</v>
      </c>
    </row>
    <row r="535" spans="1:19" x14ac:dyDescent="0.3">
      <c r="A535" s="1">
        <v>41887</v>
      </c>
      <c r="B535" s="1">
        <v>41889</v>
      </c>
      <c r="C535">
        <v>12.01</v>
      </c>
      <c r="D535">
        <v>0.32</v>
      </c>
      <c r="E535">
        <v>4</v>
      </c>
      <c r="F535">
        <f t="shared" si="112"/>
        <v>12.33</v>
      </c>
      <c r="G535">
        <f t="shared" si="113"/>
        <v>9</v>
      </c>
      <c r="H535">
        <f t="shared" si="114"/>
        <v>0</v>
      </c>
      <c r="I535">
        <f t="shared" si="115"/>
        <v>0</v>
      </c>
      <c r="J535">
        <f t="shared" si="116"/>
        <v>0</v>
      </c>
      <c r="K535">
        <f t="shared" si="117"/>
        <v>0</v>
      </c>
      <c r="L535">
        <f t="shared" si="118"/>
        <v>0</v>
      </c>
      <c r="M535">
        <f t="shared" si="119"/>
        <v>0</v>
      </c>
      <c r="N535">
        <f t="shared" si="120"/>
        <v>0</v>
      </c>
      <c r="O535">
        <f t="shared" si="121"/>
        <v>0</v>
      </c>
      <c r="P535">
        <f t="shared" si="122"/>
        <v>12.33</v>
      </c>
      <c r="Q535">
        <f t="shared" si="123"/>
        <v>0</v>
      </c>
      <c r="R535">
        <f t="shared" si="124"/>
        <v>0</v>
      </c>
      <c r="S535">
        <f t="shared" si="125"/>
        <v>0</v>
      </c>
    </row>
    <row r="536" spans="1:19" x14ac:dyDescent="0.3">
      <c r="A536" s="1">
        <v>41887</v>
      </c>
      <c r="B536" s="1">
        <v>41908</v>
      </c>
      <c r="C536">
        <v>6.58</v>
      </c>
      <c r="D536">
        <v>0.17</v>
      </c>
      <c r="E536">
        <v>6</v>
      </c>
      <c r="F536">
        <f t="shared" si="112"/>
        <v>6.75</v>
      </c>
      <c r="G536">
        <f t="shared" si="113"/>
        <v>9</v>
      </c>
      <c r="H536">
        <f t="shared" si="114"/>
        <v>0</v>
      </c>
      <c r="I536">
        <f t="shared" si="115"/>
        <v>0</v>
      </c>
      <c r="J536">
        <f t="shared" si="116"/>
        <v>0</v>
      </c>
      <c r="K536">
        <f t="shared" si="117"/>
        <v>0</v>
      </c>
      <c r="L536">
        <f t="shared" si="118"/>
        <v>0</v>
      </c>
      <c r="M536">
        <f t="shared" si="119"/>
        <v>0</v>
      </c>
      <c r="N536">
        <f t="shared" si="120"/>
        <v>0</v>
      </c>
      <c r="O536">
        <f t="shared" si="121"/>
        <v>0</v>
      </c>
      <c r="P536">
        <f t="shared" si="122"/>
        <v>6.75</v>
      </c>
      <c r="Q536">
        <f t="shared" si="123"/>
        <v>0</v>
      </c>
      <c r="R536">
        <f t="shared" si="124"/>
        <v>0</v>
      </c>
      <c r="S536">
        <f t="shared" si="125"/>
        <v>0</v>
      </c>
    </row>
    <row r="537" spans="1:19" x14ac:dyDescent="0.3">
      <c r="A537" s="1">
        <v>41887</v>
      </c>
      <c r="B537" s="1">
        <v>41914</v>
      </c>
      <c r="C537">
        <v>3.79</v>
      </c>
      <c r="D537">
        <v>0.1</v>
      </c>
      <c r="E537">
        <v>3</v>
      </c>
      <c r="F537">
        <f t="shared" si="112"/>
        <v>3.89</v>
      </c>
      <c r="G537">
        <f t="shared" si="113"/>
        <v>9</v>
      </c>
      <c r="H537">
        <f t="shared" si="114"/>
        <v>0</v>
      </c>
      <c r="I537">
        <f t="shared" si="115"/>
        <v>0</v>
      </c>
      <c r="J537">
        <f t="shared" si="116"/>
        <v>0</v>
      </c>
      <c r="K537">
        <f t="shared" si="117"/>
        <v>0</v>
      </c>
      <c r="L537">
        <f t="shared" si="118"/>
        <v>0</v>
      </c>
      <c r="M537">
        <f t="shared" si="119"/>
        <v>0</v>
      </c>
      <c r="N537">
        <f t="shared" si="120"/>
        <v>0</v>
      </c>
      <c r="O537">
        <f t="shared" si="121"/>
        <v>0</v>
      </c>
      <c r="P537">
        <f t="shared" si="122"/>
        <v>3.89</v>
      </c>
      <c r="Q537">
        <f t="shared" si="123"/>
        <v>0</v>
      </c>
      <c r="R537">
        <f t="shared" si="124"/>
        <v>0</v>
      </c>
      <c r="S537">
        <f t="shared" si="125"/>
        <v>0</v>
      </c>
    </row>
    <row r="538" spans="1:19" x14ac:dyDescent="0.3">
      <c r="A538" s="1">
        <v>41887</v>
      </c>
      <c r="B538" s="1">
        <v>41891</v>
      </c>
      <c r="C538">
        <v>8.83</v>
      </c>
      <c r="D538">
        <v>0.23</v>
      </c>
      <c r="E538">
        <v>2</v>
      </c>
      <c r="F538">
        <f t="shared" si="112"/>
        <v>9.06</v>
      </c>
      <c r="G538">
        <f t="shared" si="113"/>
        <v>9</v>
      </c>
      <c r="H538">
        <f t="shared" si="114"/>
        <v>0</v>
      </c>
      <c r="I538">
        <f t="shared" si="115"/>
        <v>0</v>
      </c>
      <c r="J538">
        <f t="shared" si="116"/>
        <v>0</v>
      </c>
      <c r="K538">
        <f t="shared" si="117"/>
        <v>0</v>
      </c>
      <c r="L538">
        <f t="shared" si="118"/>
        <v>0</v>
      </c>
      <c r="M538">
        <f t="shared" si="119"/>
        <v>0</v>
      </c>
      <c r="N538">
        <f t="shared" si="120"/>
        <v>0</v>
      </c>
      <c r="O538">
        <f t="shared" si="121"/>
        <v>0</v>
      </c>
      <c r="P538">
        <f t="shared" si="122"/>
        <v>9.06</v>
      </c>
      <c r="Q538">
        <f t="shared" si="123"/>
        <v>0</v>
      </c>
      <c r="R538">
        <f t="shared" si="124"/>
        <v>0</v>
      </c>
      <c r="S538">
        <f t="shared" si="125"/>
        <v>0</v>
      </c>
    </row>
    <row r="539" spans="1:19" x14ac:dyDescent="0.3">
      <c r="A539" s="1">
        <v>41887</v>
      </c>
      <c r="B539" s="1">
        <v>41891</v>
      </c>
      <c r="C539">
        <v>14.31</v>
      </c>
      <c r="D539">
        <v>0.38</v>
      </c>
      <c r="E539">
        <v>3</v>
      </c>
      <c r="F539">
        <f t="shared" si="112"/>
        <v>14.690000000000001</v>
      </c>
      <c r="G539">
        <f t="shared" si="113"/>
        <v>9</v>
      </c>
      <c r="H539">
        <f t="shared" si="114"/>
        <v>0</v>
      </c>
      <c r="I539">
        <f t="shared" si="115"/>
        <v>0</v>
      </c>
      <c r="J539">
        <f t="shared" si="116"/>
        <v>0</v>
      </c>
      <c r="K539">
        <f t="shared" si="117"/>
        <v>0</v>
      </c>
      <c r="L539">
        <f t="shared" si="118"/>
        <v>0</v>
      </c>
      <c r="M539">
        <f t="shared" si="119"/>
        <v>0</v>
      </c>
      <c r="N539">
        <f t="shared" si="120"/>
        <v>0</v>
      </c>
      <c r="O539">
        <f t="shared" si="121"/>
        <v>0</v>
      </c>
      <c r="P539">
        <f t="shared" si="122"/>
        <v>14.690000000000001</v>
      </c>
      <c r="Q539">
        <f t="shared" si="123"/>
        <v>0</v>
      </c>
      <c r="R539">
        <f t="shared" si="124"/>
        <v>0</v>
      </c>
      <c r="S539">
        <f t="shared" si="125"/>
        <v>0</v>
      </c>
    </row>
    <row r="540" spans="1:19" x14ac:dyDescent="0.3">
      <c r="A540" s="1">
        <v>41887</v>
      </c>
      <c r="B540" s="1">
        <v>41900</v>
      </c>
      <c r="C540">
        <v>5.47</v>
      </c>
      <c r="D540">
        <v>0.14000000000000001</v>
      </c>
      <c r="E540">
        <v>3</v>
      </c>
      <c r="F540">
        <f t="shared" si="112"/>
        <v>5.6099999999999994</v>
      </c>
      <c r="G540">
        <f t="shared" si="113"/>
        <v>9</v>
      </c>
      <c r="H540">
        <f t="shared" si="114"/>
        <v>0</v>
      </c>
      <c r="I540">
        <f t="shared" si="115"/>
        <v>0</v>
      </c>
      <c r="J540">
        <f t="shared" si="116"/>
        <v>0</v>
      </c>
      <c r="K540">
        <f t="shared" si="117"/>
        <v>0</v>
      </c>
      <c r="L540">
        <f t="shared" si="118"/>
        <v>0</v>
      </c>
      <c r="M540">
        <f t="shared" si="119"/>
        <v>0</v>
      </c>
      <c r="N540">
        <f t="shared" si="120"/>
        <v>0</v>
      </c>
      <c r="O540">
        <f t="shared" si="121"/>
        <v>0</v>
      </c>
      <c r="P540">
        <f t="shared" si="122"/>
        <v>5.6099999999999994</v>
      </c>
      <c r="Q540">
        <f t="shared" si="123"/>
        <v>0</v>
      </c>
      <c r="R540">
        <f t="shared" si="124"/>
        <v>0</v>
      </c>
      <c r="S540">
        <f t="shared" si="125"/>
        <v>0</v>
      </c>
    </row>
    <row r="541" spans="1:19" x14ac:dyDescent="0.3">
      <c r="A541" s="1">
        <v>41887</v>
      </c>
      <c r="B541" s="1">
        <v>41907</v>
      </c>
      <c r="C541">
        <v>8.9499999999999993</v>
      </c>
      <c r="D541">
        <v>0.24</v>
      </c>
      <c r="E541">
        <v>4</v>
      </c>
      <c r="F541">
        <f t="shared" si="112"/>
        <v>9.19</v>
      </c>
      <c r="G541">
        <f t="shared" si="113"/>
        <v>9</v>
      </c>
      <c r="H541">
        <f t="shared" si="114"/>
        <v>0</v>
      </c>
      <c r="I541">
        <f t="shared" si="115"/>
        <v>0</v>
      </c>
      <c r="J541">
        <f t="shared" si="116"/>
        <v>0</v>
      </c>
      <c r="K541">
        <f t="shared" si="117"/>
        <v>0</v>
      </c>
      <c r="L541">
        <f t="shared" si="118"/>
        <v>0</v>
      </c>
      <c r="M541">
        <f t="shared" si="119"/>
        <v>0</v>
      </c>
      <c r="N541">
        <f t="shared" si="120"/>
        <v>0</v>
      </c>
      <c r="O541">
        <f t="shared" si="121"/>
        <v>0</v>
      </c>
      <c r="P541">
        <f t="shared" si="122"/>
        <v>9.19</v>
      </c>
      <c r="Q541">
        <f t="shared" si="123"/>
        <v>0</v>
      </c>
      <c r="R541">
        <f t="shared" si="124"/>
        <v>0</v>
      </c>
      <c r="S541">
        <f t="shared" si="125"/>
        <v>0</v>
      </c>
    </row>
    <row r="542" spans="1:19" x14ac:dyDescent="0.3">
      <c r="A542" s="1">
        <v>41887</v>
      </c>
      <c r="B542" s="1">
        <v>41912</v>
      </c>
      <c r="C542">
        <v>4.25</v>
      </c>
      <c r="D542">
        <v>0.11</v>
      </c>
      <c r="E542">
        <v>5</v>
      </c>
      <c r="F542">
        <f t="shared" si="112"/>
        <v>4.3600000000000003</v>
      </c>
      <c r="G542">
        <f t="shared" si="113"/>
        <v>9</v>
      </c>
      <c r="H542">
        <f t="shared" si="114"/>
        <v>0</v>
      </c>
      <c r="I542">
        <f t="shared" si="115"/>
        <v>0</v>
      </c>
      <c r="J542">
        <f t="shared" si="116"/>
        <v>0</v>
      </c>
      <c r="K542">
        <f t="shared" si="117"/>
        <v>0</v>
      </c>
      <c r="L542">
        <f t="shared" si="118"/>
        <v>0</v>
      </c>
      <c r="M542">
        <f t="shared" si="119"/>
        <v>0</v>
      </c>
      <c r="N542">
        <f t="shared" si="120"/>
        <v>0</v>
      </c>
      <c r="O542">
        <f t="shared" si="121"/>
        <v>0</v>
      </c>
      <c r="P542">
        <f t="shared" si="122"/>
        <v>4.3600000000000003</v>
      </c>
      <c r="Q542">
        <f t="shared" si="123"/>
        <v>0</v>
      </c>
      <c r="R542">
        <f t="shared" si="124"/>
        <v>0</v>
      </c>
      <c r="S542">
        <f t="shared" si="125"/>
        <v>0</v>
      </c>
    </row>
    <row r="543" spans="1:19" x14ac:dyDescent="0.3">
      <c r="A543" s="1">
        <v>41887</v>
      </c>
      <c r="B543" s="1">
        <v>41894</v>
      </c>
      <c r="C543">
        <v>6.88</v>
      </c>
      <c r="D543">
        <v>0.18</v>
      </c>
      <c r="E543">
        <v>5</v>
      </c>
      <c r="F543">
        <f t="shared" si="112"/>
        <v>7.06</v>
      </c>
      <c r="G543">
        <f t="shared" si="113"/>
        <v>9</v>
      </c>
      <c r="H543">
        <f t="shared" si="114"/>
        <v>0</v>
      </c>
      <c r="I543">
        <f t="shared" si="115"/>
        <v>0</v>
      </c>
      <c r="J543">
        <f t="shared" si="116"/>
        <v>0</v>
      </c>
      <c r="K543">
        <f t="shared" si="117"/>
        <v>0</v>
      </c>
      <c r="L543">
        <f t="shared" si="118"/>
        <v>0</v>
      </c>
      <c r="M543">
        <f t="shared" si="119"/>
        <v>0</v>
      </c>
      <c r="N543">
        <f t="shared" si="120"/>
        <v>0</v>
      </c>
      <c r="O543">
        <f t="shared" si="121"/>
        <v>0</v>
      </c>
      <c r="P543">
        <f t="shared" si="122"/>
        <v>7.06</v>
      </c>
      <c r="Q543">
        <f t="shared" si="123"/>
        <v>0</v>
      </c>
      <c r="R543">
        <f t="shared" si="124"/>
        <v>0</v>
      </c>
      <c r="S543">
        <f t="shared" si="125"/>
        <v>0</v>
      </c>
    </row>
    <row r="544" spans="1:19" x14ac:dyDescent="0.3">
      <c r="A544" s="1">
        <v>41887</v>
      </c>
      <c r="B544" s="1">
        <v>41911</v>
      </c>
      <c r="C544">
        <v>8.89</v>
      </c>
      <c r="D544">
        <v>0.23</v>
      </c>
      <c r="E544">
        <v>3</v>
      </c>
      <c r="F544">
        <f t="shared" si="112"/>
        <v>9.120000000000001</v>
      </c>
      <c r="G544">
        <f t="shared" si="113"/>
        <v>9</v>
      </c>
      <c r="H544">
        <f t="shared" si="114"/>
        <v>0</v>
      </c>
      <c r="I544">
        <f t="shared" si="115"/>
        <v>0</v>
      </c>
      <c r="J544">
        <f t="shared" si="116"/>
        <v>0</v>
      </c>
      <c r="K544">
        <f t="shared" si="117"/>
        <v>0</v>
      </c>
      <c r="L544">
        <f t="shared" si="118"/>
        <v>0</v>
      </c>
      <c r="M544">
        <f t="shared" si="119"/>
        <v>0</v>
      </c>
      <c r="N544">
        <f t="shared" si="120"/>
        <v>0</v>
      </c>
      <c r="O544">
        <f t="shared" si="121"/>
        <v>0</v>
      </c>
      <c r="P544">
        <f t="shared" si="122"/>
        <v>9.120000000000001</v>
      </c>
      <c r="Q544">
        <f t="shared" si="123"/>
        <v>0</v>
      </c>
      <c r="R544">
        <f t="shared" si="124"/>
        <v>0</v>
      </c>
      <c r="S544">
        <f t="shared" si="125"/>
        <v>0</v>
      </c>
    </row>
    <row r="545" spans="1:19" x14ac:dyDescent="0.3">
      <c r="A545" s="1">
        <v>41889</v>
      </c>
      <c r="B545" s="1">
        <v>41916</v>
      </c>
      <c r="C545">
        <v>6.43</v>
      </c>
      <c r="D545">
        <v>0.17</v>
      </c>
      <c r="E545">
        <v>5</v>
      </c>
      <c r="F545">
        <f t="shared" si="112"/>
        <v>6.6</v>
      </c>
      <c r="G545">
        <f t="shared" si="113"/>
        <v>9</v>
      </c>
      <c r="H545">
        <f t="shared" si="114"/>
        <v>0</v>
      </c>
      <c r="I545">
        <f t="shared" si="115"/>
        <v>0</v>
      </c>
      <c r="J545">
        <f t="shared" si="116"/>
        <v>0</v>
      </c>
      <c r="K545">
        <f t="shared" si="117"/>
        <v>0</v>
      </c>
      <c r="L545">
        <f t="shared" si="118"/>
        <v>0</v>
      </c>
      <c r="M545">
        <f t="shared" si="119"/>
        <v>0</v>
      </c>
      <c r="N545">
        <f t="shared" si="120"/>
        <v>0</v>
      </c>
      <c r="O545">
        <f t="shared" si="121"/>
        <v>0</v>
      </c>
      <c r="P545">
        <f t="shared" si="122"/>
        <v>6.6</v>
      </c>
      <c r="Q545">
        <f t="shared" si="123"/>
        <v>0</v>
      </c>
      <c r="R545">
        <f t="shared" si="124"/>
        <v>0</v>
      </c>
      <c r="S545">
        <f t="shared" si="125"/>
        <v>0</v>
      </c>
    </row>
    <row r="546" spans="1:19" x14ac:dyDescent="0.3">
      <c r="A546" s="1">
        <v>41890</v>
      </c>
      <c r="B546" s="1">
        <v>41918</v>
      </c>
      <c r="C546">
        <v>6.58</v>
      </c>
      <c r="D546">
        <v>0.17</v>
      </c>
      <c r="E546">
        <v>5</v>
      </c>
      <c r="F546">
        <f t="shared" si="112"/>
        <v>6.75</v>
      </c>
      <c r="G546">
        <f t="shared" si="113"/>
        <v>9</v>
      </c>
      <c r="H546">
        <f t="shared" si="114"/>
        <v>0</v>
      </c>
      <c r="I546">
        <f t="shared" si="115"/>
        <v>0</v>
      </c>
      <c r="J546">
        <f t="shared" si="116"/>
        <v>0</v>
      </c>
      <c r="K546">
        <f t="shared" si="117"/>
        <v>0</v>
      </c>
      <c r="L546">
        <f t="shared" si="118"/>
        <v>0</v>
      </c>
      <c r="M546">
        <f t="shared" si="119"/>
        <v>0</v>
      </c>
      <c r="N546">
        <f t="shared" si="120"/>
        <v>0</v>
      </c>
      <c r="O546">
        <f t="shared" si="121"/>
        <v>0</v>
      </c>
      <c r="P546">
        <f t="shared" si="122"/>
        <v>6.75</v>
      </c>
      <c r="Q546">
        <f t="shared" si="123"/>
        <v>0</v>
      </c>
      <c r="R546">
        <f t="shared" si="124"/>
        <v>0</v>
      </c>
      <c r="S546">
        <f t="shared" si="125"/>
        <v>0</v>
      </c>
    </row>
    <row r="547" spans="1:19" x14ac:dyDescent="0.3">
      <c r="A547" s="1">
        <v>41890</v>
      </c>
      <c r="B547" s="1">
        <v>41898</v>
      </c>
      <c r="C547">
        <v>5.67</v>
      </c>
      <c r="D547">
        <v>0.15</v>
      </c>
      <c r="E547">
        <v>2</v>
      </c>
      <c r="F547">
        <f t="shared" si="112"/>
        <v>5.82</v>
      </c>
      <c r="G547">
        <f t="shared" si="113"/>
        <v>9</v>
      </c>
      <c r="H547">
        <f t="shared" si="114"/>
        <v>0</v>
      </c>
      <c r="I547">
        <f t="shared" si="115"/>
        <v>0</v>
      </c>
      <c r="J547">
        <f t="shared" si="116"/>
        <v>0</v>
      </c>
      <c r="K547">
        <f t="shared" si="117"/>
        <v>0</v>
      </c>
      <c r="L547">
        <f t="shared" si="118"/>
        <v>0</v>
      </c>
      <c r="M547">
        <f t="shared" si="119"/>
        <v>0</v>
      </c>
      <c r="N547">
        <f t="shared" si="120"/>
        <v>0</v>
      </c>
      <c r="O547">
        <f t="shared" si="121"/>
        <v>0</v>
      </c>
      <c r="P547">
        <f t="shared" si="122"/>
        <v>5.82</v>
      </c>
      <c r="Q547">
        <f t="shared" si="123"/>
        <v>0</v>
      </c>
      <c r="R547">
        <f t="shared" si="124"/>
        <v>0</v>
      </c>
      <c r="S547">
        <f t="shared" si="125"/>
        <v>0</v>
      </c>
    </row>
    <row r="548" spans="1:19" x14ac:dyDescent="0.3">
      <c r="A548" s="1">
        <v>41890</v>
      </c>
      <c r="B548" s="1">
        <v>41912</v>
      </c>
      <c r="C548">
        <v>3.57</v>
      </c>
      <c r="D548">
        <v>0.09</v>
      </c>
      <c r="E548">
        <v>3</v>
      </c>
      <c r="F548">
        <f t="shared" si="112"/>
        <v>3.6599999999999997</v>
      </c>
      <c r="G548">
        <f t="shared" si="113"/>
        <v>9</v>
      </c>
      <c r="H548">
        <f t="shared" si="114"/>
        <v>0</v>
      </c>
      <c r="I548">
        <f t="shared" si="115"/>
        <v>0</v>
      </c>
      <c r="J548">
        <f t="shared" si="116"/>
        <v>0</v>
      </c>
      <c r="K548">
        <f t="shared" si="117"/>
        <v>0</v>
      </c>
      <c r="L548">
        <f t="shared" si="118"/>
        <v>0</v>
      </c>
      <c r="M548">
        <f t="shared" si="119"/>
        <v>0</v>
      </c>
      <c r="N548">
        <f t="shared" si="120"/>
        <v>0</v>
      </c>
      <c r="O548">
        <f t="shared" si="121"/>
        <v>0</v>
      </c>
      <c r="P548">
        <f t="shared" si="122"/>
        <v>3.6599999999999997</v>
      </c>
      <c r="Q548">
        <f t="shared" si="123"/>
        <v>0</v>
      </c>
      <c r="R548">
        <f t="shared" si="124"/>
        <v>0</v>
      </c>
      <c r="S548">
        <f t="shared" si="125"/>
        <v>0</v>
      </c>
    </row>
    <row r="549" spans="1:19" x14ac:dyDescent="0.3">
      <c r="A549" s="1">
        <v>41890</v>
      </c>
      <c r="B549" s="1">
        <v>41895</v>
      </c>
      <c r="C549">
        <v>3.73</v>
      </c>
      <c r="D549">
        <v>0.1</v>
      </c>
      <c r="E549">
        <v>3</v>
      </c>
      <c r="F549">
        <f t="shared" si="112"/>
        <v>3.83</v>
      </c>
      <c r="G549">
        <f t="shared" si="113"/>
        <v>9</v>
      </c>
      <c r="H549">
        <f t="shared" si="114"/>
        <v>0</v>
      </c>
      <c r="I549">
        <f t="shared" si="115"/>
        <v>0</v>
      </c>
      <c r="J549">
        <f t="shared" si="116"/>
        <v>0</v>
      </c>
      <c r="K549">
        <f t="shared" si="117"/>
        <v>0</v>
      </c>
      <c r="L549">
        <f t="shared" si="118"/>
        <v>0</v>
      </c>
      <c r="M549">
        <f t="shared" si="119"/>
        <v>0</v>
      </c>
      <c r="N549">
        <f t="shared" si="120"/>
        <v>0</v>
      </c>
      <c r="O549">
        <f t="shared" si="121"/>
        <v>0</v>
      </c>
      <c r="P549">
        <f t="shared" si="122"/>
        <v>3.83</v>
      </c>
      <c r="Q549">
        <f t="shared" si="123"/>
        <v>0</v>
      </c>
      <c r="R549">
        <f t="shared" si="124"/>
        <v>0</v>
      </c>
      <c r="S549">
        <f t="shared" si="125"/>
        <v>0</v>
      </c>
    </row>
    <row r="550" spans="1:19" x14ac:dyDescent="0.3">
      <c r="A550" s="1">
        <v>41893</v>
      </c>
      <c r="B550" s="1">
        <v>41900</v>
      </c>
      <c r="C550">
        <v>8.5399999999999991</v>
      </c>
      <c r="D550">
        <v>0.22</v>
      </c>
      <c r="E550">
        <v>4</v>
      </c>
      <c r="F550">
        <f t="shared" si="112"/>
        <v>8.76</v>
      </c>
      <c r="G550">
        <f t="shared" si="113"/>
        <v>9</v>
      </c>
      <c r="H550">
        <f t="shared" si="114"/>
        <v>0</v>
      </c>
      <c r="I550">
        <f t="shared" si="115"/>
        <v>0</v>
      </c>
      <c r="J550">
        <f t="shared" si="116"/>
        <v>0</v>
      </c>
      <c r="K550">
        <f t="shared" si="117"/>
        <v>0</v>
      </c>
      <c r="L550">
        <f t="shared" si="118"/>
        <v>0</v>
      </c>
      <c r="M550">
        <f t="shared" si="119"/>
        <v>0</v>
      </c>
      <c r="N550">
        <f t="shared" si="120"/>
        <v>0</v>
      </c>
      <c r="O550">
        <f t="shared" si="121"/>
        <v>0</v>
      </c>
      <c r="P550">
        <f t="shared" si="122"/>
        <v>8.76</v>
      </c>
      <c r="Q550">
        <f t="shared" si="123"/>
        <v>0</v>
      </c>
      <c r="R550">
        <f t="shared" si="124"/>
        <v>0</v>
      </c>
      <c r="S550">
        <f t="shared" si="125"/>
        <v>0</v>
      </c>
    </row>
    <row r="551" spans="1:19" x14ac:dyDescent="0.3">
      <c r="A551" s="1">
        <v>41893</v>
      </c>
      <c r="B551" s="1">
        <v>41898</v>
      </c>
      <c r="C551">
        <v>16.829999999999998</v>
      </c>
      <c r="D551">
        <v>0.44</v>
      </c>
      <c r="E551">
        <v>3</v>
      </c>
      <c r="F551">
        <f t="shared" si="112"/>
        <v>17.27</v>
      </c>
      <c r="G551">
        <f t="shared" si="113"/>
        <v>9</v>
      </c>
      <c r="H551">
        <f t="shared" si="114"/>
        <v>0</v>
      </c>
      <c r="I551">
        <f t="shared" si="115"/>
        <v>0</v>
      </c>
      <c r="J551">
        <f t="shared" si="116"/>
        <v>0</v>
      </c>
      <c r="K551">
        <f t="shared" si="117"/>
        <v>0</v>
      </c>
      <c r="L551">
        <f t="shared" si="118"/>
        <v>0</v>
      </c>
      <c r="M551">
        <f t="shared" si="119"/>
        <v>0</v>
      </c>
      <c r="N551">
        <f t="shared" si="120"/>
        <v>0</v>
      </c>
      <c r="O551">
        <f t="shared" si="121"/>
        <v>0</v>
      </c>
      <c r="P551">
        <f t="shared" si="122"/>
        <v>17.27</v>
      </c>
      <c r="Q551">
        <f t="shared" si="123"/>
        <v>0</v>
      </c>
      <c r="R551">
        <f t="shared" si="124"/>
        <v>0</v>
      </c>
      <c r="S551">
        <f t="shared" si="125"/>
        <v>0</v>
      </c>
    </row>
    <row r="552" spans="1:19" x14ac:dyDescent="0.3">
      <c r="A552" s="1">
        <v>41893</v>
      </c>
      <c r="B552" s="1">
        <v>41918</v>
      </c>
      <c r="C552">
        <v>11.42</v>
      </c>
      <c r="D552">
        <v>0.3</v>
      </c>
      <c r="E552">
        <v>6</v>
      </c>
      <c r="F552">
        <f t="shared" si="112"/>
        <v>11.72</v>
      </c>
      <c r="G552">
        <f t="shared" si="113"/>
        <v>9</v>
      </c>
      <c r="H552">
        <f t="shared" si="114"/>
        <v>0</v>
      </c>
      <c r="I552">
        <f t="shared" si="115"/>
        <v>0</v>
      </c>
      <c r="J552">
        <f t="shared" si="116"/>
        <v>0</v>
      </c>
      <c r="K552">
        <f t="shared" si="117"/>
        <v>0</v>
      </c>
      <c r="L552">
        <f t="shared" si="118"/>
        <v>0</v>
      </c>
      <c r="M552">
        <f t="shared" si="119"/>
        <v>0</v>
      </c>
      <c r="N552">
        <f t="shared" si="120"/>
        <v>0</v>
      </c>
      <c r="O552">
        <f t="shared" si="121"/>
        <v>0</v>
      </c>
      <c r="P552">
        <f t="shared" si="122"/>
        <v>11.72</v>
      </c>
      <c r="Q552">
        <f t="shared" si="123"/>
        <v>0</v>
      </c>
      <c r="R552">
        <f t="shared" si="124"/>
        <v>0</v>
      </c>
      <c r="S552">
        <f t="shared" si="125"/>
        <v>0</v>
      </c>
    </row>
    <row r="553" spans="1:19" x14ac:dyDescent="0.3">
      <c r="A553" s="1">
        <v>41893</v>
      </c>
      <c r="B553" s="1">
        <v>41899</v>
      </c>
      <c r="C553">
        <v>8.84</v>
      </c>
      <c r="D553">
        <v>0.23</v>
      </c>
      <c r="E553">
        <v>2</v>
      </c>
      <c r="F553">
        <f t="shared" si="112"/>
        <v>9.07</v>
      </c>
      <c r="G553">
        <f t="shared" si="113"/>
        <v>9</v>
      </c>
      <c r="H553">
        <f t="shared" si="114"/>
        <v>0</v>
      </c>
      <c r="I553">
        <f t="shared" si="115"/>
        <v>0</v>
      </c>
      <c r="J553">
        <f t="shared" si="116"/>
        <v>0</v>
      </c>
      <c r="K553">
        <f t="shared" si="117"/>
        <v>0</v>
      </c>
      <c r="L553">
        <f t="shared" si="118"/>
        <v>0</v>
      </c>
      <c r="M553">
        <f t="shared" si="119"/>
        <v>0</v>
      </c>
      <c r="N553">
        <f t="shared" si="120"/>
        <v>0</v>
      </c>
      <c r="O553">
        <f t="shared" si="121"/>
        <v>0</v>
      </c>
      <c r="P553">
        <f t="shared" si="122"/>
        <v>9.07</v>
      </c>
      <c r="Q553">
        <f t="shared" si="123"/>
        <v>0</v>
      </c>
      <c r="R553">
        <f t="shared" si="124"/>
        <v>0</v>
      </c>
      <c r="S553">
        <f t="shared" si="125"/>
        <v>0</v>
      </c>
    </row>
    <row r="554" spans="1:19" x14ac:dyDescent="0.3">
      <c r="A554" s="1">
        <v>41893</v>
      </c>
      <c r="B554" s="1">
        <v>41906</v>
      </c>
      <c r="C554">
        <v>6.75</v>
      </c>
      <c r="D554">
        <v>0.18</v>
      </c>
      <c r="E554">
        <v>6</v>
      </c>
      <c r="F554">
        <f t="shared" si="112"/>
        <v>6.93</v>
      </c>
      <c r="G554">
        <f t="shared" si="113"/>
        <v>9</v>
      </c>
      <c r="H554">
        <f t="shared" si="114"/>
        <v>0</v>
      </c>
      <c r="I554">
        <f t="shared" si="115"/>
        <v>0</v>
      </c>
      <c r="J554">
        <f t="shared" si="116"/>
        <v>0</v>
      </c>
      <c r="K554">
        <f t="shared" si="117"/>
        <v>0</v>
      </c>
      <c r="L554">
        <f t="shared" si="118"/>
        <v>0</v>
      </c>
      <c r="M554">
        <f t="shared" si="119"/>
        <v>0</v>
      </c>
      <c r="N554">
        <f t="shared" si="120"/>
        <v>0</v>
      </c>
      <c r="O554">
        <f t="shared" si="121"/>
        <v>0</v>
      </c>
      <c r="P554">
        <f t="shared" si="122"/>
        <v>6.93</v>
      </c>
      <c r="Q554">
        <f t="shared" si="123"/>
        <v>0</v>
      </c>
      <c r="R554">
        <f t="shared" si="124"/>
        <v>0</v>
      </c>
      <c r="S554">
        <f t="shared" si="125"/>
        <v>0</v>
      </c>
    </row>
    <row r="555" spans="1:19" x14ac:dyDescent="0.3">
      <c r="A555" s="1">
        <v>41893</v>
      </c>
      <c r="B555" s="1">
        <v>41919</v>
      </c>
      <c r="C555">
        <v>7.35</v>
      </c>
      <c r="D555">
        <v>0.19</v>
      </c>
      <c r="E555">
        <v>5</v>
      </c>
      <c r="F555">
        <f t="shared" si="112"/>
        <v>7.54</v>
      </c>
      <c r="G555">
        <f t="shared" si="113"/>
        <v>9</v>
      </c>
      <c r="H555">
        <f t="shared" si="114"/>
        <v>0</v>
      </c>
      <c r="I555">
        <f t="shared" si="115"/>
        <v>0</v>
      </c>
      <c r="J555">
        <f t="shared" si="116"/>
        <v>0</v>
      </c>
      <c r="K555">
        <f t="shared" si="117"/>
        <v>0</v>
      </c>
      <c r="L555">
        <f t="shared" si="118"/>
        <v>0</v>
      </c>
      <c r="M555">
        <f t="shared" si="119"/>
        <v>0</v>
      </c>
      <c r="N555">
        <f t="shared" si="120"/>
        <v>0</v>
      </c>
      <c r="O555">
        <f t="shared" si="121"/>
        <v>0</v>
      </c>
      <c r="P555">
        <f t="shared" si="122"/>
        <v>7.54</v>
      </c>
      <c r="Q555">
        <f t="shared" si="123"/>
        <v>0</v>
      </c>
      <c r="R555">
        <f t="shared" si="124"/>
        <v>0</v>
      </c>
      <c r="S555">
        <f t="shared" si="125"/>
        <v>0</v>
      </c>
    </row>
    <row r="556" spans="1:19" x14ac:dyDescent="0.3">
      <c r="A556" s="1">
        <v>41897</v>
      </c>
      <c r="B556" s="1">
        <v>41921</v>
      </c>
      <c r="C556">
        <v>3.57</v>
      </c>
      <c r="D556">
        <v>0.09</v>
      </c>
      <c r="E556">
        <v>4</v>
      </c>
      <c r="F556">
        <f t="shared" si="112"/>
        <v>3.6599999999999997</v>
      </c>
      <c r="G556">
        <f t="shared" si="113"/>
        <v>9</v>
      </c>
      <c r="H556">
        <f t="shared" si="114"/>
        <v>0</v>
      </c>
      <c r="I556">
        <f t="shared" si="115"/>
        <v>0</v>
      </c>
      <c r="J556">
        <f t="shared" si="116"/>
        <v>0</v>
      </c>
      <c r="K556">
        <f t="shared" si="117"/>
        <v>0</v>
      </c>
      <c r="L556">
        <f t="shared" si="118"/>
        <v>0</v>
      </c>
      <c r="M556">
        <f t="shared" si="119"/>
        <v>0</v>
      </c>
      <c r="N556">
        <f t="shared" si="120"/>
        <v>0</v>
      </c>
      <c r="O556">
        <f t="shared" si="121"/>
        <v>0</v>
      </c>
      <c r="P556">
        <f t="shared" si="122"/>
        <v>3.6599999999999997</v>
      </c>
      <c r="Q556">
        <f t="shared" si="123"/>
        <v>0</v>
      </c>
      <c r="R556">
        <f t="shared" si="124"/>
        <v>0</v>
      </c>
      <c r="S556">
        <f t="shared" si="125"/>
        <v>0</v>
      </c>
    </row>
    <row r="557" spans="1:19" x14ac:dyDescent="0.3">
      <c r="A557" s="1">
        <v>41897</v>
      </c>
      <c r="B557" s="1">
        <v>41905</v>
      </c>
      <c r="C557">
        <v>9.06</v>
      </c>
      <c r="D557">
        <v>0.24</v>
      </c>
      <c r="E557">
        <v>5</v>
      </c>
      <c r="F557">
        <f t="shared" si="112"/>
        <v>9.3000000000000007</v>
      </c>
      <c r="G557">
        <f t="shared" si="113"/>
        <v>9</v>
      </c>
      <c r="H557">
        <f t="shared" si="114"/>
        <v>0</v>
      </c>
      <c r="I557">
        <f t="shared" si="115"/>
        <v>0</v>
      </c>
      <c r="J557">
        <f t="shared" si="116"/>
        <v>0</v>
      </c>
      <c r="K557">
        <f t="shared" si="117"/>
        <v>0</v>
      </c>
      <c r="L557">
        <f t="shared" si="118"/>
        <v>0</v>
      </c>
      <c r="M557">
        <f t="shared" si="119"/>
        <v>0</v>
      </c>
      <c r="N557">
        <f t="shared" si="120"/>
        <v>0</v>
      </c>
      <c r="O557">
        <f t="shared" si="121"/>
        <v>0</v>
      </c>
      <c r="P557">
        <f t="shared" si="122"/>
        <v>9.3000000000000007</v>
      </c>
      <c r="Q557">
        <f t="shared" si="123"/>
        <v>0</v>
      </c>
      <c r="R557">
        <f t="shared" si="124"/>
        <v>0</v>
      </c>
      <c r="S557">
        <f t="shared" si="125"/>
        <v>0</v>
      </c>
    </row>
    <row r="558" spans="1:19" x14ac:dyDescent="0.3">
      <c r="A558" s="1">
        <v>41898</v>
      </c>
      <c r="B558" s="1">
        <v>41906</v>
      </c>
      <c r="C558">
        <v>9.4600000000000009</v>
      </c>
      <c r="D558">
        <v>0.25</v>
      </c>
      <c r="E558">
        <v>4</v>
      </c>
      <c r="F558">
        <f t="shared" si="112"/>
        <v>9.7100000000000009</v>
      </c>
      <c r="G558">
        <f t="shared" si="113"/>
        <v>9</v>
      </c>
      <c r="H558">
        <f t="shared" si="114"/>
        <v>0</v>
      </c>
      <c r="I558">
        <f t="shared" si="115"/>
        <v>0</v>
      </c>
      <c r="J558">
        <f t="shared" si="116"/>
        <v>0</v>
      </c>
      <c r="K558">
        <f t="shared" si="117"/>
        <v>0</v>
      </c>
      <c r="L558">
        <f t="shared" si="118"/>
        <v>0</v>
      </c>
      <c r="M558">
        <f t="shared" si="119"/>
        <v>0</v>
      </c>
      <c r="N558">
        <f t="shared" si="120"/>
        <v>0</v>
      </c>
      <c r="O558">
        <f t="shared" si="121"/>
        <v>0</v>
      </c>
      <c r="P558">
        <f t="shared" si="122"/>
        <v>9.7100000000000009</v>
      </c>
      <c r="Q558">
        <f t="shared" si="123"/>
        <v>0</v>
      </c>
      <c r="R558">
        <f t="shared" si="124"/>
        <v>0</v>
      </c>
      <c r="S558">
        <f t="shared" si="125"/>
        <v>0</v>
      </c>
    </row>
    <row r="559" spans="1:19" x14ac:dyDescent="0.3">
      <c r="A559" s="1">
        <v>41898</v>
      </c>
      <c r="B559" s="1">
        <v>41924</v>
      </c>
      <c r="C559">
        <v>8.9499999999999993</v>
      </c>
      <c r="D559">
        <v>0.24</v>
      </c>
      <c r="E559">
        <v>5</v>
      </c>
      <c r="F559">
        <f t="shared" si="112"/>
        <v>9.19</v>
      </c>
      <c r="G559">
        <f t="shared" si="113"/>
        <v>9</v>
      </c>
      <c r="H559">
        <f t="shared" si="114"/>
        <v>0</v>
      </c>
      <c r="I559">
        <f t="shared" si="115"/>
        <v>0</v>
      </c>
      <c r="J559">
        <f t="shared" si="116"/>
        <v>0</v>
      </c>
      <c r="K559">
        <f t="shared" si="117"/>
        <v>0</v>
      </c>
      <c r="L559">
        <f t="shared" si="118"/>
        <v>0</v>
      </c>
      <c r="M559">
        <f t="shared" si="119"/>
        <v>0</v>
      </c>
      <c r="N559">
        <f t="shared" si="120"/>
        <v>0</v>
      </c>
      <c r="O559">
        <f t="shared" si="121"/>
        <v>0</v>
      </c>
      <c r="P559">
        <f t="shared" si="122"/>
        <v>9.19</v>
      </c>
      <c r="Q559">
        <f t="shared" si="123"/>
        <v>0</v>
      </c>
      <c r="R559">
        <f t="shared" si="124"/>
        <v>0</v>
      </c>
      <c r="S559">
        <f t="shared" si="125"/>
        <v>0</v>
      </c>
    </row>
    <row r="560" spans="1:19" x14ac:dyDescent="0.3">
      <c r="A560" s="1">
        <v>41898</v>
      </c>
      <c r="B560" s="1">
        <v>41923</v>
      </c>
      <c r="C560">
        <v>9.06</v>
      </c>
      <c r="D560">
        <v>0.24</v>
      </c>
      <c r="E560">
        <v>2</v>
      </c>
      <c r="F560">
        <f t="shared" si="112"/>
        <v>9.3000000000000007</v>
      </c>
      <c r="G560">
        <f t="shared" si="113"/>
        <v>9</v>
      </c>
      <c r="H560">
        <f t="shared" si="114"/>
        <v>0</v>
      </c>
      <c r="I560">
        <f t="shared" si="115"/>
        <v>0</v>
      </c>
      <c r="J560">
        <f t="shared" si="116"/>
        <v>0</v>
      </c>
      <c r="K560">
        <f t="shared" si="117"/>
        <v>0</v>
      </c>
      <c r="L560">
        <f t="shared" si="118"/>
        <v>0</v>
      </c>
      <c r="M560">
        <f t="shared" si="119"/>
        <v>0</v>
      </c>
      <c r="N560">
        <f t="shared" si="120"/>
        <v>0</v>
      </c>
      <c r="O560">
        <f t="shared" si="121"/>
        <v>0</v>
      </c>
      <c r="P560">
        <f t="shared" si="122"/>
        <v>9.3000000000000007</v>
      </c>
      <c r="Q560">
        <f t="shared" si="123"/>
        <v>0</v>
      </c>
      <c r="R560">
        <f t="shared" si="124"/>
        <v>0</v>
      </c>
      <c r="S560">
        <f t="shared" si="125"/>
        <v>0</v>
      </c>
    </row>
    <row r="561" spans="1:19" x14ac:dyDescent="0.3">
      <c r="A561" s="1">
        <v>41898</v>
      </c>
      <c r="B561" s="1">
        <v>41904</v>
      </c>
      <c r="C561">
        <v>6.88</v>
      </c>
      <c r="D561">
        <v>0.18</v>
      </c>
      <c r="E561">
        <v>3</v>
      </c>
      <c r="F561">
        <f t="shared" si="112"/>
        <v>7.06</v>
      </c>
      <c r="G561">
        <f t="shared" si="113"/>
        <v>9</v>
      </c>
      <c r="H561">
        <f t="shared" si="114"/>
        <v>0</v>
      </c>
      <c r="I561">
        <f t="shared" si="115"/>
        <v>0</v>
      </c>
      <c r="J561">
        <f t="shared" si="116"/>
        <v>0</v>
      </c>
      <c r="K561">
        <f t="shared" si="117"/>
        <v>0</v>
      </c>
      <c r="L561">
        <f t="shared" si="118"/>
        <v>0</v>
      </c>
      <c r="M561">
        <f t="shared" si="119"/>
        <v>0</v>
      </c>
      <c r="N561">
        <f t="shared" si="120"/>
        <v>0</v>
      </c>
      <c r="O561">
        <f t="shared" si="121"/>
        <v>0</v>
      </c>
      <c r="P561">
        <f t="shared" si="122"/>
        <v>7.06</v>
      </c>
      <c r="Q561">
        <f t="shared" si="123"/>
        <v>0</v>
      </c>
      <c r="R561">
        <f t="shared" si="124"/>
        <v>0</v>
      </c>
      <c r="S561">
        <f t="shared" si="125"/>
        <v>0</v>
      </c>
    </row>
    <row r="562" spans="1:19" x14ac:dyDescent="0.3">
      <c r="A562" s="1">
        <v>41898</v>
      </c>
      <c r="B562" s="1">
        <v>41917</v>
      </c>
      <c r="C562">
        <v>9.1300000000000008</v>
      </c>
      <c r="D562">
        <v>0.24</v>
      </c>
      <c r="E562">
        <v>4</v>
      </c>
      <c r="F562">
        <f t="shared" si="112"/>
        <v>9.370000000000001</v>
      </c>
      <c r="G562">
        <f t="shared" si="113"/>
        <v>9</v>
      </c>
      <c r="H562">
        <f t="shared" si="114"/>
        <v>0</v>
      </c>
      <c r="I562">
        <f t="shared" si="115"/>
        <v>0</v>
      </c>
      <c r="J562">
        <f t="shared" si="116"/>
        <v>0</v>
      </c>
      <c r="K562">
        <f t="shared" si="117"/>
        <v>0</v>
      </c>
      <c r="L562">
        <f t="shared" si="118"/>
        <v>0</v>
      </c>
      <c r="M562">
        <f t="shared" si="119"/>
        <v>0</v>
      </c>
      <c r="N562">
        <f t="shared" si="120"/>
        <v>0</v>
      </c>
      <c r="O562">
        <f t="shared" si="121"/>
        <v>0</v>
      </c>
      <c r="P562">
        <f t="shared" si="122"/>
        <v>9.370000000000001</v>
      </c>
      <c r="Q562">
        <f t="shared" si="123"/>
        <v>0</v>
      </c>
      <c r="R562">
        <f t="shared" si="124"/>
        <v>0</v>
      </c>
      <c r="S562">
        <f t="shared" si="125"/>
        <v>0</v>
      </c>
    </row>
    <row r="563" spans="1:19" x14ac:dyDescent="0.3">
      <c r="A563" s="1">
        <v>41898</v>
      </c>
      <c r="B563" s="1">
        <v>41924</v>
      </c>
      <c r="C563">
        <v>12.01</v>
      </c>
      <c r="D563">
        <v>0.32</v>
      </c>
      <c r="E563">
        <v>3</v>
      </c>
      <c r="F563">
        <f t="shared" si="112"/>
        <v>12.33</v>
      </c>
      <c r="G563">
        <f t="shared" si="113"/>
        <v>9</v>
      </c>
      <c r="H563">
        <f t="shared" si="114"/>
        <v>0</v>
      </c>
      <c r="I563">
        <f t="shared" si="115"/>
        <v>0</v>
      </c>
      <c r="J563">
        <f t="shared" si="116"/>
        <v>0</v>
      </c>
      <c r="K563">
        <f t="shared" si="117"/>
        <v>0</v>
      </c>
      <c r="L563">
        <f t="shared" si="118"/>
        <v>0</v>
      </c>
      <c r="M563">
        <f t="shared" si="119"/>
        <v>0</v>
      </c>
      <c r="N563">
        <f t="shared" si="120"/>
        <v>0</v>
      </c>
      <c r="O563">
        <f t="shared" si="121"/>
        <v>0</v>
      </c>
      <c r="P563">
        <f t="shared" si="122"/>
        <v>12.33</v>
      </c>
      <c r="Q563">
        <f t="shared" si="123"/>
        <v>0</v>
      </c>
      <c r="R563">
        <f t="shared" si="124"/>
        <v>0</v>
      </c>
      <c r="S563">
        <f t="shared" si="125"/>
        <v>0</v>
      </c>
    </row>
    <row r="564" spans="1:19" x14ac:dyDescent="0.3">
      <c r="A564" s="1">
        <v>41898</v>
      </c>
      <c r="B564" s="1">
        <v>41920</v>
      </c>
      <c r="C564">
        <v>19.54</v>
      </c>
      <c r="D564">
        <v>0.51</v>
      </c>
      <c r="E564">
        <v>5</v>
      </c>
      <c r="F564">
        <f t="shared" si="112"/>
        <v>20.05</v>
      </c>
      <c r="G564">
        <f t="shared" si="113"/>
        <v>9</v>
      </c>
      <c r="H564">
        <f t="shared" si="114"/>
        <v>0</v>
      </c>
      <c r="I564">
        <f t="shared" si="115"/>
        <v>0</v>
      </c>
      <c r="J564">
        <f t="shared" si="116"/>
        <v>0</v>
      </c>
      <c r="K564">
        <f t="shared" si="117"/>
        <v>0</v>
      </c>
      <c r="L564">
        <f t="shared" si="118"/>
        <v>0</v>
      </c>
      <c r="M564">
        <f t="shared" si="119"/>
        <v>0</v>
      </c>
      <c r="N564">
        <f t="shared" si="120"/>
        <v>0</v>
      </c>
      <c r="O564">
        <f t="shared" si="121"/>
        <v>0</v>
      </c>
      <c r="P564">
        <f t="shared" si="122"/>
        <v>20.05</v>
      </c>
      <c r="Q564">
        <f t="shared" si="123"/>
        <v>0</v>
      </c>
      <c r="R564">
        <f t="shared" si="124"/>
        <v>0</v>
      </c>
      <c r="S564">
        <f t="shared" si="125"/>
        <v>0</v>
      </c>
    </row>
    <row r="565" spans="1:19" x14ac:dyDescent="0.3">
      <c r="A565" s="1">
        <v>41898</v>
      </c>
      <c r="B565" s="1">
        <v>41918</v>
      </c>
      <c r="C565">
        <v>10.199999999999999</v>
      </c>
      <c r="D565">
        <v>0.27</v>
      </c>
      <c r="E565">
        <v>5</v>
      </c>
      <c r="F565">
        <f t="shared" si="112"/>
        <v>10.469999999999999</v>
      </c>
      <c r="G565">
        <f t="shared" si="113"/>
        <v>9</v>
      </c>
      <c r="H565">
        <f t="shared" si="114"/>
        <v>0</v>
      </c>
      <c r="I565">
        <f t="shared" si="115"/>
        <v>0</v>
      </c>
      <c r="J565">
        <f t="shared" si="116"/>
        <v>0</v>
      </c>
      <c r="K565">
        <f t="shared" si="117"/>
        <v>0</v>
      </c>
      <c r="L565">
        <f t="shared" si="118"/>
        <v>0</v>
      </c>
      <c r="M565">
        <f t="shared" si="119"/>
        <v>0</v>
      </c>
      <c r="N565">
        <f t="shared" si="120"/>
        <v>0</v>
      </c>
      <c r="O565">
        <f t="shared" si="121"/>
        <v>0</v>
      </c>
      <c r="P565">
        <f t="shared" si="122"/>
        <v>10.469999999999999</v>
      </c>
      <c r="Q565">
        <f t="shared" si="123"/>
        <v>0</v>
      </c>
      <c r="R565">
        <f t="shared" si="124"/>
        <v>0</v>
      </c>
      <c r="S565">
        <f t="shared" si="125"/>
        <v>0</v>
      </c>
    </row>
    <row r="566" spans="1:19" x14ac:dyDescent="0.3">
      <c r="A566" s="1">
        <v>41898</v>
      </c>
      <c r="B566" s="1">
        <v>41910</v>
      </c>
      <c r="C566">
        <v>14.31</v>
      </c>
      <c r="D566">
        <v>0.38</v>
      </c>
      <c r="E566">
        <v>6</v>
      </c>
      <c r="F566">
        <f t="shared" si="112"/>
        <v>14.690000000000001</v>
      </c>
      <c r="G566">
        <f t="shared" si="113"/>
        <v>9</v>
      </c>
      <c r="H566">
        <f t="shared" si="114"/>
        <v>0</v>
      </c>
      <c r="I566">
        <f t="shared" si="115"/>
        <v>0</v>
      </c>
      <c r="J566">
        <f t="shared" si="116"/>
        <v>0</v>
      </c>
      <c r="K566">
        <f t="shared" si="117"/>
        <v>0</v>
      </c>
      <c r="L566">
        <f t="shared" si="118"/>
        <v>0</v>
      </c>
      <c r="M566">
        <f t="shared" si="119"/>
        <v>0</v>
      </c>
      <c r="N566">
        <f t="shared" si="120"/>
        <v>0</v>
      </c>
      <c r="O566">
        <f t="shared" si="121"/>
        <v>0</v>
      </c>
      <c r="P566">
        <f t="shared" si="122"/>
        <v>14.690000000000001</v>
      </c>
      <c r="Q566">
        <f t="shared" si="123"/>
        <v>0</v>
      </c>
      <c r="R566">
        <f t="shared" si="124"/>
        <v>0</v>
      </c>
      <c r="S566">
        <f t="shared" si="125"/>
        <v>0</v>
      </c>
    </row>
    <row r="567" spans="1:19" x14ac:dyDescent="0.3">
      <c r="A567" s="1">
        <v>41898</v>
      </c>
      <c r="B567" s="1">
        <v>41924</v>
      </c>
      <c r="C567">
        <v>8.89</v>
      </c>
      <c r="D567">
        <v>0.23</v>
      </c>
      <c r="E567">
        <v>6</v>
      </c>
      <c r="F567">
        <f t="shared" si="112"/>
        <v>9.120000000000001</v>
      </c>
      <c r="G567">
        <f t="shared" si="113"/>
        <v>9</v>
      </c>
      <c r="H567">
        <f t="shared" si="114"/>
        <v>0</v>
      </c>
      <c r="I567">
        <f t="shared" si="115"/>
        <v>0</v>
      </c>
      <c r="J567">
        <f t="shared" si="116"/>
        <v>0</v>
      </c>
      <c r="K567">
        <f t="shared" si="117"/>
        <v>0</v>
      </c>
      <c r="L567">
        <f t="shared" si="118"/>
        <v>0</v>
      </c>
      <c r="M567">
        <f t="shared" si="119"/>
        <v>0</v>
      </c>
      <c r="N567">
        <f t="shared" si="120"/>
        <v>0</v>
      </c>
      <c r="O567">
        <f t="shared" si="121"/>
        <v>0</v>
      </c>
      <c r="P567">
        <f t="shared" si="122"/>
        <v>9.120000000000001</v>
      </c>
      <c r="Q567">
        <f t="shared" si="123"/>
        <v>0</v>
      </c>
      <c r="R567">
        <f t="shared" si="124"/>
        <v>0</v>
      </c>
      <c r="S567">
        <f t="shared" si="125"/>
        <v>0</v>
      </c>
    </row>
    <row r="568" spans="1:19" x14ac:dyDescent="0.3">
      <c r="A568" s="1">
        <v>41898</v>
      </c>
      <c r="B568" s="1">
        <v>41925</v>
      </c>
      <c r="C568">
        <v>11.44</v>
      </c>
      <c r="D568">
        <v>0.3</v>
      </c>
      <c r="E568">
        <v>2</v>
      </c>
      <c r="F568">
        <f t="shared" si="112"/>
        <v>11.74</v>
      </c>
      <c r="G568">
        <f t="shared" si="113"/>
        <v>9</v>
      </c>
      <c r="H568">
        <f t="shared" si="114"/>
        <v>0</v>
      </c>
      <c r="I568">
        <f t="shared" si="115"/>
        <v>0</v>
      </c>
      <c r="J568">
        <f t="shared" si="116"/>
        <v>0</v>
      </c>
      <c r="K568">
        <f t="shared" si="117"/>
        <v>0</v>
      </c>
      <c r="L568">
        <f t="shared" si="118"/>
        <v>0</v>
      </c>
      <c r="M568">
        <f t="shared" si="119"/>
        <v>0</v>
      </c>
      <c r="N568">
        <f t="shared" si="120"/>
        <v>0</v>
      </c>
      <c r="O568">
        <f t="shared" si="121"/>
        <v>0</v>
      </c>
      <c r="P568">
        <f t="shared" si="122"/>
        <v>11.74</v>
      </c>
      <c r="Q568">
        <f t="shared" si="123"/>
        <v>0</v>
      </c>
      <c r="R568">
        <f t="shared" si="124"/>
        <v>0</v>
      </c>
      <c r="S568">
        <f t="shared" si="125"/>
        <v>0</v>
      </c>
    </row>
    <row r="569" spans="1:19" x14ac:dyDescent="0.3">
      <c r="A569" s="1">
        <v>41898</v>
      </c>
      <c r="B569" s="1">
        <v>41911</v>
      </c>
      <c r="C569">
        <v>6.43</v>
      </c>
      <c r="D569">
        <v>0.17</v>
      </c>
      <c r="E569">
        <v>5</v>
      </c>
      <c r="F569">
        <f t="shared" si="112"/>
        <v>6.6</v>
      </c>
      <c r="G569">
        <f t="shared" si="113"/>
        <v>9</v>
      </c>
      <c r="H569">
        <f t="shared" si="114"/>
        <v>0</v>
      </c>
      <c r="I569">
        <f t="shared" si="115"/>
        <v>0</v>
      </c>
      <c r="J569">
        <f t="shared" si="116"/>
        <v>0</v>
      </c>
      <c r="K569">
        <f t="shared" si="117"/>
        <v>0</v>
      </c>
      <c r="L569">
        <f t="shared" si="118"/>
        <v>0</v>
      </c>
      <c r="M569">
        <f t="shared" si="119"/>
        <v>0</v>
      </c>
      <c r="N569">
        <f t="shared" si="120"/>
        <v>0</v>
      </c>
      <c r="O569">
        <f t="shared" si="121"/>
        <v>0</v>
      </c>
      <c r="P569">
        <f t="shared" si="122"/>
        <v>6.6</v>
      </c>
      <c r="Q569">
        <f t="shared" si="123"/>
        <v>0</v>
      </c>
      <c r="R569">
        <f t="shared" si="124"/>
        <v>0</v>
      </c>
      <c r="S569">
        <f t="shared" si="125"/>
        <v>0</v>
      </c>
    </row>
    <row r="570" spans="1:19" x14ac:dyDescent="0.3">
      <c r="A570" s="1">
        <v>41898</v>
      </c>
      <c r="B570" s="1">
        <v>41907</v>
      </c>
      <c r="C570">
        <v>7.31</v>
      </c>
      <c r="D570">
        <v>0.19</v>
      </c>
      <c r="E570">
        <v>5</v>
      </c>
      <c r="F570">
        <f t="shared" si="112"/>
        <v>7.5</v>
      </c>
      <c r="G570">
        <f t="shared" si="113"/>
        <v>9</v>
      </c>
      <c r="H570">
        <f t="shared" si="114"/>
        <v>0</v>
      </c>
      <c r="I570">
        <f t="shared" si="115"/>
        <v>0</v>
      </c>
      <c r="J570">
        <f t="shared" si="116"/>
        <v>0</v>
      </c>
      <c r="K570">
        <f t="shared" si="117"/>
        <v>0</v>
      </c>
      <c r="L570">
        <f t="shared" si="118"/>
        <v>0</v>
      </c>
      <c r="M570">
        <f t="shared" si="119"/>
        <v>0</v>
      </c>
      <c r="N570">
        <f t="shared" si="120"/>
        <v>0</v>
      </c>
      <c r="O570">
        <f t="shared" si="121"/>
        <v>0</v>
      </c>
      <c r="P570">
        <f t="shared" si="122"/>
        <v>7.5</v>
      </c>
      <c r="Q570">
        <f t="shared" si="123"/>
        <v>0</v>
      </c>
      <c r="R570">
        <f t="shared" si="124"/>
        <v>0</v>
      </c>
      <c r="S570">
        <f t="shared" si="125"/>
        <v>0</v>
      </c>
    </row>
    <row r="571" spans="1:19" x14ac:dyDescent="0.3">
      <c r="A571" s="1">
        <v>41898</v>
      </c>
      <c r="B571" s="1">
        <v>41924</v>
      </c>
      <c r="C571">
        <v>8.5399999999999991</v>
      </c>
      <c r="D571">
        <v>0.22</v>
      </c>
      <c r="E571">
        <v>4</v>
      </c>
      <c r="F571">
        <f t="shared" si="112"/>
        <v>8.76</v>
      </c>
      <c r="G571">
        <f t="shared" si="113"/>
        <v>9</v>
      </c>
      <c r="H571">
        <f t="shared" si="114"/>
        <v>0</v>
      </c>
      <c r="I571">
        <f t="shared" si="115"/>
        <v>0</v>
      </c>
      <c r="J571">
        <f t="shared" si="116"/>
        <v>0</v>
      </c>
      <c r="K571">
        <f t="shared" si="117"/>
        <v>0</v>
      </c>
      <c r="L571">
        <f t="shared" si="118"/>
        <v>0</v>
      </c>
      <c r="M571">
        <f t="shared" si="119"/>
        <v>0</v>
      </c>
      <c r="N571">
        <f t="shared" si="120"/>
        <v>0</v>
      </c>
      <c r="O571">
        <f t="shared" si="121"/>
        <v>0</v>
      </c>
      <c r="P571">
        <f t="shared" si="122"/>
        <v>8.76</v>
      </c>
      <c r="Q571">
        <f t="shared" si="123"/>
        <v>0</v>
      </c>
      <c r="R571">
        <f t="shared" si="124"/>
        <v>0</v>
      </c>
      <c r="S571">
        <f t="shared" si="125"/>
        <v>0</v>
      </c>
    </row>
    <row r="572" spans="1:19" x14ac:dyDescent="0.3">
      <c r="A572" s="1">
        <v>41898</v>
      </c>
      <c r="B572" s="1">
        <v>41901</v>
      </c>
      <c r="C572">
        <v>4.25</v>
      </c>
      <c r="D572">
        <v>0.11</v>
      </c>
      <c r="E572">
        <v>6</v>
      </c>
      <c r="F572">
        <f t="shared" si="112"/>
        <v>4.3600000000000003</v>
      </c>
      <c r="G572">
        <f t="shared" si="113"/>
        <v>9</v>
      </c>
      <c r="H572">
        <f t="shared" si="114"/>
        <v>0</v>
      </c>
      <c r="I572">
        <f t="shared" si="115"/>
        <v>0</v>
      </c>
      <c r="J572">
        <f t="shared" si="116"/>
        <v>0</v>
      </c>
      <c r="K572">
        <f t="shared" si="117"/>
        <v>0</v>
      </c>
      <c r="L572">
        <f t="shared" si="118"/>
        <v>0</v>
      </c>
      <c r="M572">
        <f t="shared" si="119"/>
        <v>0</v>
      </c>
      <c r="N572">
        <f t="shared" si="120"/>
        <v>0</v>
      </c>
      <c r="O572">
        <f t="shared" si="121"/>
        <v>0</v>
      </c>
      <c r="P572">
        <f t="shared" si="122"/>
        <v>4.3600000000000003</v>
      </c>
      <c r="Q572">
        <f t="shared" si="123"/>
        <v>0</v>
      </c>
      <c r="R572">
        <f t="shared" si="124"/>
        <v>0</v>
      </c>
      <c r="S572">
        <f t="shared" si="125"/>
        <v>0</v>
      </c>
    </row>
    <row r="573" spans="1:19" x14ac:dyDescent="0.3">
      <c r="A573" s="1">
        <v>41898</v>
      </c>
      <c r="B573" s="1">
        <v>41922</v>
      </c>
      <c r="C573">
        <v>7.3</v>
      </c>
      <c r="D573">
        <v>0.19</v>
      </c>
      <c r="E573">
        <v>2</v>
      </c>
      <c r="F573">
        <f t="shared" si="112"/>
        <v>7.49</v>
      </c>
      <c r="G573">
        <f t="shared" si="113"/>
        <v>9</v>
      </c>
      <c r="H573">
        <f t="shared" si="114"/>
        <v>0</v>
      </c>
      <c r="I573">
        <f t="shared" si="115"/>
        <v>0</v>
      </c>
      <c r="J573">
        <f t="shared" si="116"/>
        <v>0</v>
      </c>
      <c r="K573">
        <f t="shared" si="117"/>
        <v>0</v>
      </c>
      <c r="L573">
        <f t="shared" si="118"/>
        <v>0</v>
      </c>
      <c r="M573">
        <f t="shared" si="119"/>
        <v>0</v>
      </c>
      <c r="N573">
        <f t="shared" si="120"/>
        <v>0</v>
      </c>
      <c r="O573">
        <f t="shared" si="121"/>
        <v>0</v>
      </c>
      <c r="P573">
        <f t="shared" si="122"/>
        <v>7.49</v>
      </c>
      <c r="Q573">
        <f t="shared" si="123"/>
        <v>0</v>
      </c>
      <c r="R573">
        <f t="shared" si="124"/>
        <v>0</v>
      </c>
      <c r="S573">
        <f t="shared" si="125"/>
        <v>0</v>
      </c>
    </row>
    <row r="574" spans="1:19" x14ac:dyDescent="0.3">
      <c r="A574" s="1">
        <v>41898</v>
      </c>
      <c r="B574" s="1">
        <v>41919</v>
      </c>
      <c r="C574">
        <v>11.37</v>
      </c>
      <c r="D574">
        <v>0.3</v>
      </c>
      <c r="E574">
        <v>6</v>
      </c>
      <c r="F574">
        <f t="shared" si="112"/>
        <v>11.67</v>
      </c>
      <c r="G574">
        <f t="shared" si="113"/>
        <v>9</v>
      </c>
      <c r="H574">
        <f t="shared" si="114"/>
        <v>0</v>
      </c>
      <c r="I574">
        <f t="shared" si="115"/>
        <v>0</v>
      </c>
      <c r="J574">
        <f t="shared" si="116"/>
        <v>0</v>
      </c>
      <c r="K574">
        <f t="shared" si="117"/>
        <v>0</v>
      </c>
      <c r="L574">
        <f t="shared" si="118"/>
        <v>0</v>
      </c>
      <c r="M574">
        <f t="shared" si="119"/>
        <v>0</v>
      </c>
      <c r="N574">
        <f t="shared" si="120"/>
        <v>0</v>
      </c>
      <c r="O574">
        <f t="shared" si="121"/>
        <v>0</v>
      </c>
      <c r="P574">
        <f t="shared" si="122"/>
        <v>11.67</v>
      </c>
      <c r="Q574">
        <f t="shared" si="123"/>
        <v>0</v>
      </c>
      <c r="R574">
        <f t="shared" si="124"/>
        <v>0</v>
      </c>
      <c r="S574">
        <f t="shared" si="125"/>
        <v>0</v>
      </c>
    </row>
    <row r="575" spans="1:19" x14ac:dyDescent="0.3">
      <c r="A575" s="1">
        <v>41898</v>
      </c>
      <c r="B575" s="1">
        <v>41903</v>
      </c>
      <c r="C575">
        <v>14.13</v>
      </c>
      <c r="D575">
        <v>0.37</v>
      </c>
      <c r="E575">
        <v>2</v>
      </c>
      <c r="F575">
        <f t="shared" si="112"/>
        <v>14.5</v>
      </c>
      <c r="G575">
        <f t="shared" si="113"/>
        <v>9</v>
      </c>
      <c r="H575">
        <f t="shared" si="114"/>
        <v>0</v>
      </c>
      <c r="I575">
        <f t="shared" si="115"/>
        <v>0</v>
      </c>
      <c r="J575">
        <f t="shared" si="116"/>
        <v>0</v>
      </c>
      <c r="K575">
        <f t="shared" si="117"/>
        <v>0</v>
      </c>
      <c r="L575">
        <f t="shared" si="118"/>
        <v>0</v>
      </c>
      <c r="M575">
        <f t="shared" si="119"/>
        <v>0</v>
      </c>
      <c r="N575">
        <f t="shared" si="120"/>
        <v>0</v>
      </c>
      <c r="O575">
        <f t="shared" si="121"/>
        <v>0</v>
      </c>
      <c r="P575">
        <f t="shared" si="122"/>
        <v>14.5</v>
      </c>
      <c r="Q575">
        <f t="shared" si="123"/>
        <v>0</v>
      </c>
      <c r="R575">
        <f t="shared" si="124"/>
        <v>0</v>
      </c>
      <c r="S575">
        <f t="shared" si="125"/>
        <v>0</v>
      </c>
    </row>
    <row r="576" spans="1:19" x14ac:dyDescent="0.3">
      <c r="A576" s="1">
        <v>41898</v>
      </c>
      <c r="B576" s="1">
        <v>41925</v>
      </c>
      <c r="C576">
        <v>11.44</v>
      </c>
      <c r="D576">
        <v>0.3</v>
      </c>
      <c r="E576">
        <v>2</v>
      </c>
      <c r="F576">
        <f t="shared" si="112"/>
        <v>11.74</v>
      </c>
      <c r="G576">
        <f t="shared" si="113"/>
        <v>9</v>
      </c>
      <c r="H576">
        <f t="shared" si="114"/>
        <v>0</v>
      </c>
      <c r="I576">
        <f t="shared" si="115"/>
        <v>0</v>
      </c>
      <c r="J576">
        <f t="shared" si="116"/>
        <v>0</v>
      </c>
      <c r="K576">
        <f t="shared" si="117"/>
        <v>0</v>
      </c>
      <c r="L576">
        <f t="shared" si="118"/>
        <v>0</v>
      </c>
      <c r="M576">
        <f t="shared" si="119"/>
        <v>0</v>
      </c>
      <c r="N576">
        <f t="shared" si="120"/>
        <v>0</v>
      </c>
      <c r="O576">
        <f t="shared" si="121"/>
        <v>0</v>
      </c>
      <c r="P576">
        <f t="shared" si="122"/>
        <v>11.74</v>
      </c>
      <c r="Q576">
        <f t="shared" si="123"/>
        <v>0</v>
      </c>
      <c r="R576">
        <f t="shared" si="124"/>
        <v>0</v>
      </c>
      <c r="S576">
        <f t="shared" si="125"/>
        <v>0</v>
      </c>
    </row>
    <row r="577" spans="1:19" x14ac:dyDescent="0.3">
      <c r="A577" s="1">
        <v>41899</v>
      </c>
      <c r="B577" s="1">
        <v>41927</v>
      </c>
      <c r="C577">
        <v>9.4600000000000009</v>
      </c>
      <c r="D577">
        <v>0.25</v>
      </c>
      <c r="E577">
        <v>6</v>
      </c>
      <c r="F577">
        <f t="shared" si="112"/>
        <v>9.7100000000000009</v>
      </c>
      <c r="G577">
        <f t="shared" si="113"/>
        <v>9</v>
      </c>
      <c r="H577">
        <f t="shared" si="114"/>
        <v>0</v>
      </c>
      <c r="I577">
        <f t="shared" si="115"/>
        <v>0</v>
      </c>
      <c r="J577">
        <f t="shared" si="116"/>
        <v>0</v>
      </c>
      <c r="K577">
        <f t="shared" si="117"/>
        <v>0</v>
      </c>
      <c r="L577">
        <f t="shared" si="118"/>
        <v>0</v>
      </c>
      <c r="M577">
        <f t="shared" si="119"/>
        <v>0</v>
      </c>
      <c r="N577">
        <f t="shared" si="120"/>
        <v>0</v>
      </c>
      <c r="O577">
        <f t="shared" si="121"/>
        <v>0</v>
      </c>
      <c r="P577">
        <f t="shared" si="122"/>
        <v>9.7100000000000009</v>
      </c>
      <c r="Q577">
        <f t="shared" si="123"/>
        <v>0</v>
      </c>
      <c r="R577">
        <f t="shared" si="124"/>
        <v>0</v>
      </c>
      <c r="S577">
        <f t="shared" si="125"/>
        <v>0</v>
      </c>
    </row>
    <row r="578" spans="1:19" x14ac:dyDescent="0.3">
      <c r="A578" s="1">
        <v>41899</v>
      </c>
      <c r="B578" s="1">
        <v>41902</v>
      </c>
      <c r="C578">
        <v>4.25</v>
      </c>
      <c r="D578">
        <v>0.11</v>
      </c>
      <c r="E578">
        <v>2</v>
      </c>
      <c r="F578">
        <f t="shared" si="112"/>
        <v>4.3600000000000003</v>
      </c>
      <c r="G578">
        <f t="shared" si="113"/>
        <v>9</v>
      </c>
      <c r="H578">
        <f t="shared" si="114"/>
        <v>0</v>
      </c>
      <c r="I578">
        <f t="shared" si="115"/>
        <v>0</v>
      </c>
      <c r="J578">
        <f t="shared" si="116"/>
        <v>0</v>
      </c>
      <c r="K578">
        <f t="shared" si="117"/>
        <v>0</v>
      </c>
      <c r="L578">
        <f t="shared" si="118"/>
        <v>0</v>
      </c>
      <c r="M578">
        <f t="shared" si="119"/>
        <v>0</v>
      </c>
      <c r="N578">
        <f t="shared" si="120"/>
        <v>0</v>
      </c>
      <c r="O578">
        <f t="shared" si="121"/>
        <v>0</v>
      </c>
      <c r="P578">
        <f t="shared" si="122"/>
        <v>4.3600000000000003</v>
      </c>
      <c r="Q578">
        <f t="shared" si="123"/>
        <v>0</v>
      </c>
      <c r="R578">
        <f t="shared" si="124"/>
        <v>0</v>
      </c>
      <c r="S578">
        <f t="shared" si="125"/>
        <v>0</v>
      </c>
    </row>
    <row r="579" spans="1:19" x14ac:dyDescent="0.3">
      <c r="A579" s="1">
        <v>41899</v>
      </c>
      <c r="B579" s="1">
        <v>41911</v>
      </c>
      <c r="C579">
        <v>7.31</v>
      </c>
      <c r="D579">
        <v>0.19</v>
      </c>
      <c r="E579">
        <v>4</v>
      </c>
      <c r="F579">
        <f t="shared" ref="F579:F642" si="126">C579+D579</f>
        <v>7.5</v>
      </c>
      <c r="G579">
        <f t="shared" ref="G579:G642" si="127">MONTH(A579)</f>
        <v>9</v>
      </c>
      <c r="H579">
        <f t="shared" ref="H579:H642" si="128">IF(EXACT(G579,1),F579,0)</f>
        <v>0</v>
      </c>
      <c r="I579">
        <f t="shared" ref="I579:I642" si="129">IF(EXACT(G579,2),F579,0)</f>
        <v>0</v>
      </c>
      <c r="J579">
        <f t="shared" ref="J579:J642" si="130">IF(EXACT(G579,3),F579,0)</f>
        <v>0</v>
      </c>
      <c r="K579">
        <f t="shared" ref="K579:K642" si="131">IF(EXACT(G579,4),F579,0)</f>
        <v>0</v>
      </c>
      <c r="L579">
        <f t="shared" ref="L579:L642" si="132">IF(EXACT(G579,5),F579,0)</f>
        <v>0</v>
      </c>
      <c r="M579">
        <f t="shared" ref="M579:M642" si="133">IF(EXACT(G579,6),F579,0)</f>
        <v>0</v>
      </c>
      <c r="N579">
        <f t="shared" ref="N579:N642" si="134">IF(EXACT(G579,7),F579,0)</f>
        <v>0</v>
      </c>
      <c r="O579">
        <f t="shared" ref="O579:O642" si="135">IF(EXACT(G579,8),F579,0)</f>
        <v>0</v>
      </c>
      <c r="P579">
        <f t="shared" ref="P579:P642" si="136">IF(EXACT(G579,9),F579,0)</f>
        <v>7.5</v>
      </c>
      <c r="Q579">
        <f t="shared" ref="Q579:Q642" si="137">IF(EXACT(G579,10),F579,0)</f>
        <v>0</v>
      </c>
      <c r="R579">
        <f t="shared" ref="R579:R642" si="138">IF(EXACT(G579,11),F579,0)</f>
        <v>0</v>
      </c>
      <c r="S579">
        <f t="shared" ref="S579:S642" si="139">IF(EXACT(G579,12),F579,0)</f>
        <v>0</v>
      </c>
    </row>
    <row r="580" spans="1:19" x14ac:dyDescent="0.3">
      <c r="A580" s="1">
        <v>41899</v>
      </c>
      <c r="B580" s="1">
        <v>41913</v>
      </c>
      <c r="C580">
        <v>14</v>
      </c>
      <c r="D580">
        <v>0.37</v>
      </c>
      <c r="E580">
        <v>6</v>
      </c>
      <c r="F580">
        <f t="shared" si="126"/>
        <v>14.37</v>
      </c>
      <c r="G580">
        <f t="shared" si="127"/>
        <v>9</v>
      </c>
      <c r="H580">
        <f t="shared" si="128"/>
        <v>0</v>
      </c>
      <c r="I580">
        <f t="shared" si="129"/>
        <v>0</v>
      </c>
      <c r="J580">
        <f t="shared" si="130"/>
        <v>0</v>
      </c>
      <c r="K580">
        <f t="shared" si="131"/>
        <v>0</v>
      </c>
      <c r="L580">
        <f t="shared" si="132"/>
        <v>0</v>
      </c>
      <c r="M580">
        <f t="shared" si="133"/>
        <v>0</v>
      </c>
      <c r="N580">
        <f t="shared" si="134"/>
        <v>0</v>
      </c>
      <c r="O580">
        <f t="shared" si="135"/>
        <v>0</v>
      </c>
      <c r="P580">
        <f t="shared" si="136"/>
        <v>14.37</v>
      </c>
      <c r="Q580">
        <f t="shared" si="137"/>
        <v>0</v>
      </c>
      <c r="R580">
        <f t="shared" si="138"/>
        <v>0</v>
      </c>
      <c r="S580">
        <f t="shared" si="139"/>
        <v>0</v>
      </c>
    </row>
    <row r="581" spans="1:19" x14ac:dyDescent="0.3">
      <c r="A581" s="1">
        <v>41899</v>
      </c>
      <c r="B581" s="1">
        <v>41907</v>
      </c>
      <c r="C581">
        <v>6.23</v>
      </c>
      <c r="D581">
        <v>0.16</v>
      </c>
      <c r="E581">
        <v>2</v>
      </c>
      <c r="F581">
        <f t="shared" si="126"/>
        <v>6.3900000000000006</v>
      </c>
      <c r="G581">
        <f t="shared" si="127"/>
        <v>9</v>
      </c>
      <c r="H581">
        <f t="shared" si="128"/>
        <v>0</v>
      </c>
      <c r="I581">
        <f t="shared" si="129"/>
        <v>0</v>
      </c>
      <c r="J581">
        <f t="shared" si="130"/>
        <v>0</v>
      </c>
      <c r="K581">
        <f t="shared" si="131"/>
        <v>0</v>
      </c>
      <c r="L581">
        <f t="shared" si="132"/>
        <v>0</v>
      </c>
      <c r="M581">
        <f t="shared" si="133"/>
        <v>0</v>
      </c>
      <c r="N581">
        <f t="shared" si="134"/>
        <v>0</v>
      </c>
      <c r="O581">
        <f t="shared" si="135"/>
        <v>0</v>
      </c>
      <c r="P581">
        <f t="shared" si="136"/>
        <v>6.3900000000000006</v>
      </c>
      <c r="Q581">
        <f t="shared" si="137"/>
        <v>0</v>
      </c>
      <c r="R581">
        <f t="shared" si="138"/>
        <v>0</v>
      </c>
      <c r="S581">
        <f t="shared" si="139"/>
        <v>0</v>
      </c>
    </row>
    <row r="582" spans="1:19" x14ac:dyDescent="0.3">
      <c r="A582" s="1">
        <v>41899</v>
      </c>
      <c r="B582" s="1">
        <v>41904</v>
      </c>
      <c r="C582">
        <v>9.1300000000000008</v>
      </c>
      <c r="D582">
        <v>0.24</v>
      </c>
      <c r="E582">
        <v>3</v>
      </c>
      <c r="F582">
        <f t="shared" si="126"/>
        <v>9.370000000000001</v>
      </c>
      <c r="G582">
        <f t="shared" si="127"/>
        <v>9</v>
      </c>
      <c r="H582">
        <f t="shared" si="128"/>
        <v>0</v>
      </c>
      <c r="I582">
        <f t="shared" si="129"/>
        <v>0</v>
      </c>
      <c r="J582">
        <f t="shared" si="130"/>
        <v>0</v>
      </c>
      <c r="K582">
        <f t="shared" si="131"/>
        <v>0</v>
      </c>
      <c r="L582">
        <f t="shared" si="132"/>
        <v>0</v>
      </c>
      <c r="M582">
        <f t="shared" si="133"/>
        <v>0</v>
      </c>
      <c r="N582">
        <f t="shared" si="134"/>
        <v>0</v>
      </c>
      <c r="O582">
        <f t="shared" si="135"/>
        <v>0</v>
      </c>
      <c r="P582">
        <f t="shared" si="136"/>
        <v>9.370000000000001</v>
      </c>
      <c r="Q582">
        <f t="shared" si="137"/>
        <v>0</v>
      </c>
      <c r="R582">
        <f t="shared" si="138"/>
        <v>0</v>
      </c>
      <c r="S582">
        <f t="shared" si="139"/>
        <v>0</v>
      </c>
    </row>
    <row r="583" spans="1:19" x14ac:dyDescent="0.3">
      <c r="A583" s="1">
        <v>41899</v>
      </c>
      <c r="B583" s="1">
        <v>41919</v>
      </c>
      <c r="C583">
        <v>10.59</v>
      </c>
      <c r="D583">
        <v>0.28000000000000003</v>
      </c>
      <c r="E583">
        <v>5</v>
      </c>
      <c r="F583">
        <f t="shared" si="126"/>
        <v>10.87</v>
      </c>
      <c r="G583">
        <f t="shared" si="127"/>
        <v>9</v>
      </c>
      <c r="H583">
        <f t="shared" si="128"/>
        <v>0</v>
      </c>
      <c r="I583">
        <f t="shared" si="129"/>
        <v>0</v>
      </c>
      <c r="J583">
        <f t="shared" si="130"/>
        <v>0</v>
      </c>
      <c r="K583">
        <f t="shared" si="131"/>
        <v>0</v>
      </c>
      <c r="L583">
        <f t="shared" si="132"/>
        <v>0</v>
      </c>
      <c r="M583">
        <f t="shared" si="133"/>
        <v>0</v>
      </c>
      <c r="N583">
        <f t="shared" si="134"/>
        <v>0</v>
      </c>
      <c r="O583">
        <f t="shared" si="135"/>
        <v>0</v>
      </c>
      <c r="P583">
        <f t="shared" si="136"/>
        <v>10.87</v>
      </c>
      <c r="Q583">
        <f t="shared" si="137"/>
        <v>0</v>
      </c>
      <c r="R583">
        <f t="shared" si="138"/>
        <v>0</v>
      </c>
      <c r="S583">
        <f t="shared" si="139"/>
        <v>0</v>
      </c>
    </row>
    <row r="584" spans="1:19" x14ac:dyDescent="0.3">
      <c r="A584" s="1">
        <v>41899</v>
      </c>
      <c r="B584" s="1">
        <v>41902</v>
      </c>
      <c r="C584">
        <v>9.06</v>
      </c>
      <c r="D584">
        <v>0.24</v>
      </c>
      <c r="E584">
        <v>2</v>
      </c>
      <c r="F584">
        <f t="shared" si="126"/>
        <v>9.3000000000000007</v>
      </c>
      <c r="G584">
        <f t="shared" si="127"/>
        <v>9</v>
      </c>
      <c r="H584">
        <f t="shared" si="128"/>
        <v>0</v>
      </c>
      <c r="I584">
        <f t="shared" si="129"/>
        <v>0</v>
      </c>
      <c r="J584">
        <f t="shared" si="130"/>
        <v>0</v>
      </c>
      <c r="K584">
        <f t="shared" si="131"/>
        <v>0</v>
      </c>
      <c r="L584">
        <f t="shared" si="132"/>
        <v>0</v>
      </c>
      <c r="M584">
        <f t="shared" si="133"/>
        <v>0</v>
      </c>
      <c r="N584">
        <f t="shared" si="134"/>
        <v>0</v>
      </c>
      <c r="O584">
        <f t="shared" si="135"/>
        <v>0</v>
      </c>
      <c r="P584">
        <f t="shared" si="136"/>
        <v>9.3000000000000007</v>
      </c>
      <c r="Q584">
        <f t="shared" si="137"/>
        <v>0</v>
      </c>
      <c r="R584">
        <f t="shared" si="138"/>
        <v>0</v>
      </c>
      <c r="S584">
        <f t="shared" si="139"/>
        <v>0</v>
      </c>
    </row>
    <row r="585" spans="1:19" x14ac:dyDescent="0.3">
      <c r="A585" s="1">
        <v>41899</v>
      </c>
      <c r="B585" s="1">
        <v>41901</v>
      </c>
      <c r="C585">
        <v>7.06</v>
      </c>
      <c r="D585">
        <v>0.19</v>
      </c>
      <c r="E585">
        <v>2</v>
      </c>
      <c r="F585">
        <f t="shared" si="126"/>
        <v>7.25</v>
      </c>
      <c r="G585">
        <f t="shared" si="127"/>
        <v>9</v>
      </c>
      <c r="H585">
        <f t="shared" si="128"/>
        <v>0</v>
      </c>
      <c r="I585">
        <f t="shared" si="129"/>
        <v>0</v>
      </c>
      <c r="J585">
        <f t="shared" si="130"/>
        <v>0</v>
      </c>
      <c r="K585">
        <f t="shared" si="131"/>
        <v>0</v>
      </c>
      <c r="L585">
        <f t="shared" si="132"/>
        <v>0</v>
      </c>
      <c r="M585">
        <f t="shared" si="133"/>
        <v>0</v>
      </c>
      <c r="N585">
        <f t="shared" si="134"/>
        <v>0</v>
      </c>
      <c r="O585">
        <f t="shared" si="135"/>
        <v>0</v>
      </c>
      <c r="P585">
        <f t="shared" si="136"/>
        <v>7.25</v>
      </c>
      <c r="Q585">
        <f t="shared" si="137"/>
        <v>0</v>
      </c>
      <c r="R585">
        <f t="shared" si="138"/>
        <v>0</v>
      </c>
      <c r="S585">
        <f t="shared" si="139"/>
        <v>0</v>
      </c>
    </row>
    <row r="586" spans="1:19" x14ac:dyDescent="0.3">
      <c r="A586" s="1">
        <v>41899</v>
      </c>
      <c r="B586" s="1">
        <v>41916</v>
      </c>
      <c r="C586">
        <v>6.75</v>
      </c>
      <c r="D586">
        <v>0.18</v>
      </c>
      <c r="E586">
        <v>5</v>
      </c>
      <c r="F586">
        <f t="shared" si="126"/>
        <v>6.93</v>
      </c>
      <c r="G586">
        <f t="shared" si="127"/>
        <v>9</v>
      </c>
      <c r="H586">
        <f t="shared" si="128"/>
        <v>0</v>
      </c>
      <c r="I586">
        <f t="shared" si="129"/>
        <v>0</v>
      </c>
      <c r="J586">
        <f t="shared" si="130"/>
        <v>0</v>
      </c>
      <c r="K586">
        <f t="shared" si="131"/>
        <v>0</v>
      </c>
      <c r="L586">
        <f t="shared" si="132"/>
        <v>0</v>
      </c>
      <c r="M586">
        <f t="shared" si="133"/>
        <v>0</v>
      </c>
      <c r="N586">
        <f t="shared" si="134"/>
        <v>0</v>
      </c>
      <c r="O586">
        <f t="shared" si="135"/>
        <v>0</v>
      </c>
      <c r="P586">
        <f t="shared" si="136"/>
        <v>6.93</v>
      </c>
      <c r="Q586">
        <f t="shared" si="137"/>
        <v>0</v>
      </c>
      <c r="R586">
        <f t="shared" si="138"/>
        <v>0</v>
      </c>
      <c r="S586">
        <f t="shared" si="139"/>
        <v>0</v>
      </c>
    </row>
    <row r="587" spans="1:19" x14ac:dyDescent="0.3">
      <c r="A587" s="1">
        <v>41899</v>
      </c>
      <c r="B587" s="1">
        <v>41911</v>
      </c>
      <c r="C587">
        <v>7.3</v>
      </c>
      <c r="D587">
        <v>0.19</v>
      </c>
      <c r="E587">
        <v>4</v>
      </c>
      <c r="F587">
        <f t="shared" si="126"/>
        <v>7.49</v>
      </c>
      <c r="G587">
        <f t="shared" si="127"/>
        <v>9</v>
      </c>
      <c r="H587">
        <f t="shared" si="128"/>
        <v>0</v>
      </c>
      <c r="I587">
        <f t="shared" si="129"/>
        <v>0</v>
      </c>
      <c r="J587">
        <f t="shared" si="130"/>
        <v>0</v>
      </c>
      <c r="K587">
        <f t="shared" si="131"/>
        <v>0</v>
      </c>
      <c r="L587">
        <f t="shared" si="132"/>
        <v>0</v>
      </c>
      <c r="M587">
        <f t="shared" si="133"/>
        <v>0</v>
      </c>
      <c r="N587">
        <f t="shared" si="134"/>
        <v>0</v>
      </c>
      <c r="O587">
        <f t="shared" si="135"/>
        <v>0</v>
      </c>
      <c r="P587">
        <f t="shared" si="136"/>
        <v>7.49</v>
      </c>
      <c r="Q587">
        <f t="shared" si="137"/>
        <v>0</v>
      </c>
      <c r="R587">
        <f t="shared" si="138"/>
        <v>0</v>
      </c>
      <c r="S587">
        <f t="shared" si="139"/>
        <v>0</v>
      </c>
    </row>
    <row r="588" spans="1:19" x14ac:dyDescent="0.3">
      <c r="A588" s="1">
        <v>41899</v>
      </c>
      <c r="B588" s="1">
        <v>41902</v>
      </c>
      <c r="C588">
        <v>13.02</v>
      </c>
      <c r="D588">
        <v>0.34</v>
      </c>
      <c r="E588">
        <v>5</v>
      </c>
      <c r="F588">
        <f t="shared" si="126"/>
        <v>13.36</v>
      </c>
      <c r="G588">
        <f t="shared" si="127"/>
        <v>9</v>
      </c>
      <c r="H588">
        <f t="shared" si="128"/>
        <v>0</v>
      </c>
      <c r="I588">
        <f t="shared" si="129"/>
        <v>0</v>
      </c>
      <c r="J588">
        <f t="shared" si="130"/>
        <v>0</v>
      </c>
      <c r="K588">
        <f t="shared" si="131"/>
        <v>0</v>
      </c>
      <c r="L588">
        <f t="shared" si="132"/>
        <v>0</v>
      </c>
      <c r="M588">
        <f t="shared" si="133"/>
        <v>0</v>
      </c>
      <c r="N588">
        <f t="shared" si="134"/>
        <v>0</v>
      </c>
      <c r="O588">
        <f t="shared" si="135"/>
        <v>0</v>
      </c>
      <c r="P588">
        <f t="shared" si="136"/>
        <v>13.36</v>
      </c>
      <c r="Q588">
        <f t="shared" si="137"/>
        <v>0</v>
      </c>
      <c r="R588">
        <f t="shared" si="138"/>
        <v>0</v>
      </c>
      <c r="S588">
        <f t="shared" si="139"/>
        <v>0</v>
      </c>
    </row>
    <row r="589" spans="1:19" x14ac:dyDescent="0.3">
      <c r="A589" s="1">
        <v>41899</v>
      </c>
      <c r="B589" s="1">
        <v>41905</v>
      </c>
      <c r="C589">
        <v>14.13</v>
      </c>
      <c r="D589">
        <v>0.37</v>
      </c>
      <c r="E589">
        <v>3</v>
      </c>
      <c r="F589">
        <f t="shared" si="126"/>
        <v>14.5</v>
      </c>
      <c r="G589">
        <f t="shared" si="127"/>
        <v>9</v>
      </c>
      <c r="H589">
        <f t="shared" si="128"/>
        <v>0</v>
      </c>
      <c r="I589">
        <f t="shared" si="129"/>
        <v>0</v>
      </c>
      <c r="J589">
        <f t="shared" si="130"/>
        <v>0</v>
      </c>
      <c r="K589">
        <f t="shared" si="131"/>
        <v>0</v>
      </c>
      <c r="L589">
        <f t="shared" si="132"/>
        <v>0</v>
      </c>
      <c r="M589">
        <f t="shared" si="133"/>
        <v>0</v>
      </c>
      <c r="N589">
        <f t="shared" si="134"/>
        <v>0</v>
      </c>
      <c r="O589">
        <f t="shared" si="135"/>
        <v>0</v>
      </c>
      <c r="P589">
        <f t="shared" si="136"/>
        <v>14.5</v>
      </c>
      <c r="Q589">
        <f t="shared" si="137"/>
        <v>0</v>
      </c>
      <c r="R589">
        <f t="shared" si="138"/>
        <v>0</v>
      </c>
      <c r="S589">
        <f t="shared" si="139"/>
        <v>0</v>
      </c>
    </row>
    <row r="590" spans="1:19" x14ac:dyDescent="0.3">
      <c r="A590" s="1">
        <v>41899</v>
      </c>
      <c r="B590" s="1">
        <v>41906</v>
      </c>
      <c r="C590">
        <v>10.59</v>
      </c>
      <c r="D590">
        <v>0.28000000000000003</v>
      </c>
      <c r="E590">
        <v>3</v>
      </c>
      <c r="F590">
        <f t="shared" si="126"/>
        <v>10.87</v>
      </c>
      <c r="G590">
        <f t="shared" si="127"/>
        <v>9</v>
      </c>
      <c r="H590">
        <f t="shared" si="128"/>
        <v>0</v>
      </c>
      <c r="I590">
        <f t="shared" si="129"/>
        <v>0</v>
      </c>
      <c r="J590">
        <f t="shared" si="130"/>
        <v>0</v>
      </c>
      <c r="K590">
        <f t="shared" si="131"/>
        <v>0</v>
      </c>
      <c r="L590">
        <f t="shared" si="132"/>
        <v>0</v>
      </c>
      <c r="M590">
        <f t="shared" si="133"/>
        <v>0</v>
      </c>
      <c r="N590">
        <f t="shared" si="134"/>
        <v>0</v>
      </c>
      <c r="O590">
        <f t="shared" si="135"/>
        <v>0</v>
      </c>
      <c r="P590">
        <f t="shared" si="136"/>
        <v>10.87</v>
      </c>
      <c r="Q590">
        <f t="shared" si="137"/>
        <v>0</v>
      </c>
      <c r="R590">
        <f t="shared" si="138"/>
        <v>0</v>
      </c>
      <c r="S590">
        <f t="shared" si="139"/>
        <v>0</v>
      </c>
    </row>
    <row r="591" spans="1:19" x14ac:dyDescent="0.3">
      <c r="A591" s="1">
        <v>41899</v>
      </c>
      <c r="B591" s="1">
        <v>41917</v>
      </c>
      <c r="C591">
        <v>5.57</v>
      </c>
      <c r="D591">
        <v>0.15</v>
      </c>
      <c r="E591">
        <v>6</v>
      </c>
      <c r="F591">
        <f t="shared" si="126"/>
        <v>5.7200000000000006</v>
      </c>
      <c r="G591">
        <f t="shared" si="127"/>
        <v>9</v>
      </c>
      <c r="H591">
        <f t="shared" si="128"/>
        <v>0</v>
      </c>
      <c r="I591">
        <f t="shared" si="129"/>
        <v>0</v>
      </c>
      <c r="J591">
        <f t="shared" si="130"/>
        <v>0</v>
      </c>
      <c r="K591">
        <f t="shared" si="131"/>
        <v>0</v>
      </c>
      <c r="L591">
        <f t="shared" si="132"/>
        <v>0</v>
      </c>
      <c r="M591">
        <f t="shared" si="133"/>
        <v>0</v>
      </c>
      <c r="N591">
        <f t="shared" si="134"/>
        <v>0</v>
      </c>
      <c r="O591">
        <f t="shared" si="135"/>
        <v>0</v>
      </c>
      <c r="P591">
        <f t="shared" si="136"/>
        <v>5.7200000000000006</v>
      </c>
      <c r="Q591">
        <f t="shared" si="137"/>
        <v>0</v>
      </c>
      <c r="R591">
        <f t="shared" si="138"/>
        <v>0</v>
      </c>
      <c r="S591">
        <f t="shared" si="139"/>
        <v>0</v>
      </c>
    </row>
    <row r="592" spans="1:19" x14ac:dyDescent="0.3">
      <c r="A592" s="1">
        <v>41900</v>
      </c>
      <c r="B592" s="1">
        <v>41906</v>
      </c>
      <c r="C592">
        <v>5.57</v>
      </c>
      <c r="D592">
        <v>0.15</v>
      </c>
      <c r="E592">
        <v>2</v>
      </c>
      <c r="F592">
        <f t="shared" si="126"/>
        <v>5.7200000000000006</v>
      </c>
      <c r="G592">
        <f t="shared" si="127"/>
        <v>9</v>
      </c>
      <c r="H592">
        <f t="shared" si="128"/>
        <v>0</v>
      </c>
      <c r="I592">
        <f t="shared" si="129"/>
        <v>0</v>
      </c>
      <c r="J592">
        <f t="shared" si="130"/>
        <v>0</v>
      </c>
      <c r="K592">
        <f t="shared" si="131"/>
        <v>0</v>
      </c>
      <c r="L592">
        <f t="shared" si="132"/>
        <v>0</v>
      </c>
      <c r="M592">
        <f t="shared" si="133"/>
        <v>0</v>
      </c>
      <c r="N592">
        <f t="shared" si="134"/>
        <v>0</v>
      </c>
      <c r="O592">
        <f t="shared" si="135"/>
        <v>0</v>
      </c>
      <c r="P592">
        <f t="shared" si="136"/>
        <v>5.7200000000000006</v>
      </c>
      <c r="Q592">
        <f t="shared" si="137"/>
        <v>0</v>
      </c>
      <c r="R592">
        <f t="shared" si="138"/>
        <v>0</v>
      </c>
      <c r="S592">
        <f t="shared" si="139"/>
        <v>0</v>
      </c>
    </row>
    <row r="593" spans="1:19" x14ac:dyDescent="0.3">
      <c r="A593" s="1">
        <v>41901</v>
      </c>
      <c r="B593" s="1">
        <v>41919</v>
      </c>
      <c r="C593">
        <v>8.7200000000000006</v>
      </c>
      <c r="D593">
        <v>0.23</v>
      </c>
      <c r="E593">
        <v>2</v>
      </c>
      <c r="F593">
        <f t="shared" si="126"/>
        <v>8.9500000000000011</v>
      </c>
      <c r="G593">
        <f t="shared" si="127"/>
        <v>9</v>
      </c>
      <c r="H593">
        <f t="shared" si="128"/>
        <v>0</v>
      </c>
      <c r="I593">
        <f t="shared" si="129"/>
        <v>0</v>
      </c>
      <c r="J593">
        <f t="shared" si="130"/>
        <v>0</v>
      </c>
      <c r="K593">
        <f t="shared" si="131"/>
        <v>0</v>
      </c>
      <c r="L593">
        <f t="shared" si="132"/>
        <v>0</v>
      </c>
      <c r="M593">
        <f t="shared" si="133"/>
        <v>0</v>
      </c>
      <c r="N593">
        <f t="shared" si="134"/>
        <v>0</v>
      </c>
      <c r="O593">
        <f t="shared" si="135"/>
        <v>0</v>
      </c>
      <c r="P593">
        <f t="shared" si="136"/>
        <v>8.9500000000000011</v>
      </c>
      <c r="Q593">
        <f t="shared" si="137"/>
        <v>0</v>
      </c>
      <c r="R593">
        <f t="shared" si="138"/>
        <v>0</v>
      </c>
      <c r="S593">
        <f t="shared" si="139"/>
        <v>0</v>
      </c>
    </row>
    <row r="594" spans="1:19" x14ac:dyDescent="0.3">
      <c r="A594" s="1">
        <v>41902</v>
      </c>
      <c r="B594" s="1">
        <v>41904</v>
      </c>
      <c r="C594">
        <v>6.43</v>
      </c>
      <c r="D594">
        <v>0.17</v>
      </c>
      <c r="E594">
        <v>4</v>
      </c>
      <c r="F594">
        <f t="shared" si="126"/>
        <v>6.6</v>
      </c>
      <c r="G594">
        <f t="shared" si="127"/>
        <v>9</v>
      </c>
      <c r="H594">
        <f t="shared" si="128"/>
        <v>0</v>
      </c>
      <c r="I594">
        <f t="shared" si="129"/>
        <v>0</v>
      </c>
      <c r="J594">
        <f t="shared" si="130"/>
        <v>0</v>
      </c>
      <c r="K594">
        <f t="shared" si="131"/>
        <v>0</v>
      </c>
      <c r="L594">
        <f t="shared" si="132"/>
        <v>0</v>
      </c>
      <c r="M594">
        <f t="shared" si="133"/>
        <v>0</v>
      </c>
      <c r="N594">
        <f t="shared" si="134"/>
        <v>0</v>
      </c>
      <c r="O594">
        <f t="shared" si="135"/>
        <v>0</v>
      </c>
      <c r="P594">
        <f t="shared" si="136"/>
        <v>6.6</v>
      </c>
      <c r="Q594">
        <f t="shared" si="137"/>
        <v>0</v>
      </c>
      <c r="R594">
        <f t="shared" si="138"/>
        <v>0</v>
      </c>
      <c r="S594">
        <f t="shared" si="139"/>
        <v>0</v>
      </c>
    </row>
    <row r="595" spans="1:19" x14ac:dyDescent="0.3">
      <c r="A595" s="1">
        <v>41904</v>
      </c>
      <c r="B595" s="1">
        <v>41929</v>
      </c>
      <c r="C595">
        <v>3.57</v>
      </c>
      <c r="D595">
        <v>0.09</v>
      </c>
      <c r="E595">
        <v>2</v>
      </c>
      <c r="F595">
        <f t="shared" si="126"/>
        <v>3.6599999999999997</v>
      </c>
      <c r="G595">
        <f t="shared" si="127"/>
        <v>9</v>
      </c>
      <c r="H595">
        <f t="shared" si="128"/>
        <v>0</v>
      </c>
      <c r="I595">
        <f t="shared" si="129"/>
        <v>0</v>
      </c>
      <c r="J595">
        <f t="shared" si="130"/>
        <v>0</v>
      </c>
      <c r="K595">
        <f t="shared" si="131"/>
        <v>0</v>
      </c>
      <c r="L595">
        <f t="shared" si="132"/>
        <v>0</v>
      </c>
      <c r="M595">
        <f t="shared" si="133"/>
        <v>0</v>
      </c>
      <c r="N595">
        <f t="shared" si="134"/>
        <v>0</v>
      </c>
      <c r="O595">
        <f t="shared" si="135"/>
        <v>0</v>
      </c>
      <c r="P595">
        <f t="shared" si="136"/>
        <v>3.6599999999999997</v>
      </c>
      <c r="Q595">
        <f t="shared" si="137"/>
        <v>0</v>
      </c>
      <c r="R595">
        <f t="shared" si="138"/>
        <v>0</v>
      </c>
      <c r="S595">
        <f t="shared" si="139"/>
        <v>0</v>
      </c>
    </row>
    <row r="596" spans="1:19" x14ac:dyDescent="0.3">
      <c r="A596" s="1">
        <v>41905</v>
      </c>
      <c r="B596" s="1">
        <v>41924</v>
      </c>
      <c r="C596">
        <v>13.82</v>
      </c>
      <c r="D596">
        <v>0.36</v>
      </c>
      <c r="E596">
        <v>4</v>
      </c>
      <c r="F596">
        <f t="shared" si="126"/>
        <v>14.18</v>
      </c>
      <c r="G596">
        <f t="shared" si="127"/>
        <v>9</v>
      </c>
      <c r="H596">
        <f t="shared" si="128"/>
        <v>0</v>
      </c>
      <c r="I596">
        <f t="shared" si="129"/>
        <v>0</v>
      </c>
      <c r="J596">
        <f t="shared" si="130"/>
        <v>0</v>
      </c>
      <c r="K596">
        <f t="shared" si="131"/>
        <v>0</v>
      </c>
      <c r="L596">
        <f t="shared" si="132"/>
        <v>0</v>
      </c>
      <c r="M596">
        <f t="shared" si="133"/>
        <v>0</v>
      </c>
      <c r="N596">
        <f t="shared" si="134"/>
        <v>0</v>
      </c>
      <c r="O596">
        <f t="shared" si="135"/>
        <v>0</v>
      </c>
      <c r="P596">
        <f t="shared" si="136"/>
        <v>14.18</v>
      </c>
      <c r="Q596">
        <f t="shared" si="137"/>
        <v>0</v>
      </c>
      <c r="R596">
        <f t="shared" si="138"/>
        <v>0</v>
      </c>
      <c r="S596">
        <f t="shared" si="139"/>
        <v>0</v>
      </c>
    </row>
    <row r="597" spans="1:19" x14ac:dyDescent="0.3">
      <c r="A597" s="1">
        <v>41905</v>
      </c>
      <c r="B597" s="1">
        <v>41910</v>
      </c>
      <c r="C597">
        <v>11.37</v>
      </c>
      <c r="D597">
        <v>0.3</v>
      </c>
      <c r="E597">
        <v>5</v>
      </c>
      <c r="F597">
        <f t="shared" si="126"/>
        <v>11.67</v>
      </c>
      <c r="G597">
        <f t="shared" si="127"/>
        <v>9</v>
      </c>
      <c r="H597">
        <f t="shared" si="128"/>
        <v>0</v>
      </c>
      <c r="I597">
        <f t="shared" si="129"/>
        <v>0</v>
      </c>
      <c r="J597">
        <f t="shared" si="130"/>
        <v>0</v>
      </c>
      <c r="K597">
        <f t="shared" si="131"/>
        <v>0</v>
      </c>
      <c r="L597">
        <f t="shared" si="132"/>
        <v>0</v>
      </c>
      <c r="M597">
        <f t="shared" si="133"/>
        <v>0</v>
      </c>
      <c r="N597">
        <f t="shared" si="134"/>
        <v>0</v>
      </c>
      <c r="O597">
        <f t="shared" si="135"/>
        <v>0</v>
      </c>
      <c r="P597">
        <f t="shared" si="136"/>
        <v>11.67</v>
      </c>
      <c r="Q597">
        <f t="shared" si="137"/>
        <v>0</v>
      </c>
      <c r="R597">
        <f t="shared" si="138"/>
        <v>0</v>
      </c>
      <c r="S597">
        <f t="shared" si="139"/>
        <v>0</v>
      </c>
    </row>
    <row r="598" spans="1:19" x14ac:dyDescent="0.3">
      <c r="A598" s="1">
        <v>41905</v>
      </c>
      <c r="B598" s="1">
        <v>41925</v>
      </c>
      <c r="C598">
        <v>6.58</v>
      </c>
      <c r="D598">
        <v>0.17</v>
      </c>
      <c r="E598">
        <v>4</v>
      </c>
      <c r="F598">
        <f t="shared" si="126"/>
        <v>6.75</v>
      </c>
      <c r="G598">
        <f t="shared" si="127"/>
        <v>9</v>
      </c>
      <c r="H598">
        <f t="shared" si="128"/>
        <v>0</v>
      </c>
      <c r="I598">
        <f t="shared" si="129"/>
        <v>0</v>
      </c>
      <c r="J598">
        <f t="shared" si="130"/>
        <v>0</v>
      </c>
      <c r="K598">
        <f t="shared" si="131"/>
        <v>0</v>
      </c>
      <c r="L598">
        <f t="shared" si="132"/>
        <v>0</v>
      </c>
      <c r="M598">
        <f t="shared" si="133"/>
        <v>0</v>
      </c>
      <c r="N598">
        <f t="shared" si="134"/>
        <v>0</v>
      </c>
      <c r="O598">
        <f t="shared" si="135"/>
        <v>0</v>
      </c>
      <c r="P598">
        <f t="shared" si="136"/>
        <v>6.75</v>
      </c>
      <c r="Q598">
        <f t="shared" si="137"/>
        <v>0</v>
      </c>
      <c r="R598">
        <f t="shared" si="138"/>
        <v>0</v>
      </c>
      <c r="S598">
        <f t="shared" si="139"/>
        <v>0</v>
      </c>
    </row>
    <row r="599" spans="1:19" x14ac:dyDescent="0.3">
      <c r="A599" s="1">
        <v>41905</v>
      </c>
      <c r="B599" s="1">
        <v>41927</v>
      </c>
      <c r="C599">
        <v>11.69</v>
      </c>
      <c r="D599">
        <v>0.31</v>
      </c>
      <c r="E599">
        <v>5</v>
      </c>
      <c r="F599">
        <f t="shared" si="126"/>
        <v>12</v>
      </c>
      <c r="G599">
        <f t="shared" si="127"/>
        <v>9</v>
      </c>
      <c r="H599">
        <f t="shared" si="128"/>
        <v>0</v>
      </c>
      <c r="I599">
        <f t="shared" si="129"/>
        <v>0</v>
      </c>
      <c r="J599">
        <f t="shared" si="130"/>
        <v>0</v>
      </c>
      <c r="K599">
        <f t="shared" si="131"/>
        <v>0</v>
      </c>
      <c r="L599">
        <f t="shared" si="132"/>
        <v>0</v>
      </c>
      <c r="M599">
        <f t="shared" si="133"/>
        <v>0</v>
      </c>
      <c r="N599">
        <f t="shared" si="134"/>
        <v>0</v>
      </c>
      <c r="O599">
        <f t="shared" si="135"/>
        <v>0</v>
      </c>
      <c r="P599">
        <f t="shared" si="136"/>
        <v>12</v>
      </c>
      <c r="Q599">
        <f t="shared" si="137"/>
        <v>0</v>
      </c>
      <c r="R599">
        <f t="shared" si="138"/>
        <v>0</v>
      </c>
      <c r="S599">
        <f t="shared" si="139"/>
        <v>0</v>
      </c>
    </row>
    <row r="600" spans="1:19" x14ac:dyDescent="0.3">
      <c r="A600" s="1">
        <v>41905</v>
      </c>
      <c r="B600" s="1">
        <v>41907</v>
      </c>
      <c r="C600">
        <v>12.01</v>
      </c>
      <c r="D600">
        <v>0.32</v>
      </c>
      <c r="E600">
        <v>3</v>
      </c>
      <c r="F600">
        <f t="shared" si="126"/>
        <v>12.33</v>
      </c>
      <c r="G600">
        <f t="shared" si="127"/>
        <v>9</v>
      </c>
      <c r="H600">
        <f t="shared" si="128"/>
        <v>0</v>
      </c>
      <c r="I600">
        <f t="shared" si="129"/>
        <v>0</v>
      </c>
      <c r="J600">
        <f t="shared" si="130"/>
        <v>0</v>
      </c>
      <c r="K600">
        <f t="shared" si="131"/>
        <v>0</v>
      </c>
      <c r="L600">
        <f t="shared" si="132"/>
        <v>0</v>
      </c>
      <c r="M600">
        <f t="shared" si="133"/>
        <v>0</v>
      </c>
      <c r="N600">
        <f t="shared" si="134"/>
        <v>0</v>
      </c>
      <c r="O600">
        <f t="shared" si="135"/>
        <v>0</v>
      </c>
      <c r="P600">
        <f t="shared" si="136"/>
        <v>12.33</v>
      </c>
      <c r="Q600">
        <f t="shared" si="137"/>
        <v>0</v>
      </c>
      <c r="R600">
        <f t="shared" si="138"/>
        <v>0</v>
      </c>
      <c r="S600">
        <f t="shared" si="139"/>
        <v>0</v>
      </c>
    </row>
    <row r="601" spans="1:19" x14ac:dyDescent="0.3">
      <c r="A601" s="1">
        <v>41905</v>
      </c>
      <c r="B601" s="1">
        <v>41924</v>
      </c>
      <c r="C601">
        <v>6.43</v>
      </c>
      <c r="D601">
        <v>0.17</v>
      </c>
      <c r="E601">
        <v>2</v>
      </c>
      <c r="F601">
        <f t="shared" si="126"/>
        <v>6.6</v>
      </c>
      <c r="G601">
        <f t="shared" si="127"/>
        <v>9</v>
      </c>
      <c r="H601">
        <f t="shared" si="128"/>
        <v>0</v>
      </c>
      <c r="I601">
        <f t="shared" si="129"/>
        <v>0</v>
      </c>
      <c r="J601">
        <f t="shared" si="130"/>
        <v>0</v>
      </c>
      <c r="K601">
        <f t="shared" si="131"/>
        <v>0</v>
      </c>
      <c r="L601">
        <f t="shared" si="132"/>
        <v>0</v>
      </c>
      <c r="M601">
        <f t="shared" si="133"/>
        <v>0</v>
      </c>
      <c r="N601">
        <f t="shared" si="134"/>
        <v>0</v>
      </c>
      <c r="O601">
        <f t="shared" si="135"/>
        <v>0</v>
      </c>
      <c r="P601">
        <f t="shared" si="136"/>
        <v>6.6</v>
      </c>
      <c r="Q601">
        <f t="shared" si="137"/>
        <v>0</v>
      </c>
      <c r="R601">
        <f t="shared" si="138"/>
        <v>0</v>
      </c>
      <c r="S601">
        <f t="shared" si="139"/>
        <v>0</v>
      </c>
    </row>
    <row r="602" spans="1:19" x14ac:dyDescent="0.3">
      <c r="A602" s="1">
        <v>41906</v>
      </c>
      <c r="B602" s="1">
        <v>41921</v>
      </c>
      <c r="C602">
        <v>14.13</v>
      </c>
      <c r="D602">
        <v>0.37</v>
      </c>
      <c r="E602">
        <v>2</v>
      </c>
      <c r="F602">
        <f t="shared" si="126"/>
        <v>14.5</v>
      </c>
      <c r="G602">
        <f t="shared" si="127"/>
        <v>9</v>
      </c>
      <c r="H602">
        <f t="shared" si="128"/>
        <v>0</v>
      </c>
      <c r="I602">
        <f t="shared" si="129"/>
        <v>0</v>
      </c>
      <c r="J602">
        <f t="shared" si="130"/>
        <v>0</v>
      </c>
      <c r="K602">
        <f t="shared" si="131"/>
        <v>0</v>
      </c>
      <c r="L602">
        <f t="shared" si="132"/>
        <v>0</v>
      </c>
      <c r="M602">
        <f t="shared" si="133"/>
        <v>0</v>
      </c>
      <c r="N602">
        <f t="shared" si="134"/>
        <v>0</v>
      </c>
      <c r="O602">
        <f t="shared" si="135"/>
        <v>0</v>
      </c>
      <c r="P602">
        <f t="shared" si="136"/>
        <v>14.5</v>
      </c>
      <c r="Q602">
        <f t="shared" si="137"/>
        <v>0</v>
      </c>
      <c r="R602">
        <f t="shared" si="138"/>
        <v>0</v>
      </c>
      <c r="S602">
        <f t="shared" si="139"/>
        <v>0</v>
      </c>
    </row>
    <row r="603" spans="1:19" x14ac:dyDescent="0.3">
      <c r="A603" s="1">
        <v>41908</v>
      </c>
      <c r="B603" s="1">
        <v>41928</v>
      </c>
      <c r="C603">
        <v>3.73</v>
      </c>
      <c r="D603">
        <v>0.1</v>
      </c>
      <c r="E603">
        <v>2</v>
      </c>
      <c r="F603">
        <f t="shared" si="126"/>
        <v>3.83</v>
      </c>
      <c r="G603">
        <f t="shared" si="127"/>
        <v>9</v>
      </c>
      <c r="H603">
        <f t="shared" si="128"/>
        <v>0</v>
      </c>
      <c r="I603">
        <f t="shared" si="129"/>
        <v>0</v>
      </c>
      <c r="J603">
        <f t="shared" si="130"/>
        <v>0</v>
      </c>
      <c r="K603">
        <f t="shared" si="131"/>
        <v>0</v>
      </c>
      <c r="L603">
        <f t="shared" si="132"/>
        <v>0</v>
      </c>
      <c r="M603">
        <f t="shared" si="133"/>
        <v>0</v>
      </c>
      <c r="N603">
        <f t="shared" si="134"/>
        <v>0</v>
      </c>
      <c r="O603">
        <f t="shared" si="135"/>
        <v>0</v>
      </c>
      <c r="P603">
        <f t="shared" si="136"/>
        <v>3.83</v>
      </c>
      <c r="Q603">
        <f t="shared" si="137"/>
        <v>0</v>
      </c>
      <c r="R603">
        <f t="shared" si="138"/>
        <v>0</v>
      </c>
      <c r="S603">
        <f t="shared" si="139"/>
        <v>0</v>
      </c>
    </row>
    <row r="604" spans="1:19" x14ac:dyDescent="0.3">
      <c r="A604" s="1">
        <v>41910</v>
      </c>
      <c r="B604" s="1">
        <v>41936</v>
      </c>
      <c r="C604">
        <v>2.29</v>
      </c>
      <c r="D604">
        <v>0.06</v>
      </c>
      <c r="E604">
        <v>6</v>
      </c>
      <c r="F604">
        <f t="shared" si="126"/>
        <v>2.35</v>
      </c>
      <c r="G604">
        <f t="shared" si="127"/>
        <v>9</v>
      </c>
      <c r="H604">
        <f t="shared" si="128"/>
        <v>0</v>
      </c>
      <c r="I604">
        <f t="shared" si="129"/>
        <v>0</v>
      </c>
      <c r="J604">
        <f t="shared" si="130"/>
        <v>0</v>
      </c>
      <c r="K604">
        <f t="shared" si="131"/>
        <v>0</v>
      </c>
      <c r="L604">
        <f t="shared" si="132"/>
        <v>0</v>
      </c>
      <c r="M604">
        <f t="shared" si="133"/>
        <v>0</v>
      </c>
      <c r="N604">
        <f t="shared" si="134"/>
        <v>0</v>
      </c>
      <c r="O604">
        <f t="shared" si="135"/>
        <v>0</v>
      </c>
      <c r="P604">
        <f t="shared" si="136"/>
        <v>2.35</v>
      </c>
      <c r="Q604">
        <f t="shared" si="137"/>
        <v>0</v>
      </c>
      <c r="R604">
        <f t="shared" si="138"/>
        <v>0</v>
      </c>
      <c r="S604">
        <f t="shared" si="139"/>
        <v>0</v>
      </c>
    </row>
    <row r="605" spans="1:19" x14ac:dyDescent="0.3">
      <c r="A605" s="1">
        <v>41910</v>
      </c>
      <c r="B605" s="1">
        <v>41926</v>
      </c>
      <c r="C605">
        <v>14.13</v>
      </c>
      <c r="D605">
        <v>0.37</v>
      </c>
      <c r="E605">
        <v>3</v>
      </c>
      <c r="F605">
        <f t="shared" si="126"/>
        <v>14.5</v>
      </c>
      <c r="G605">
        <f t="shared" si="127"/>
        <v>9</v>
      </c>
      <c r="H605">
        <f t="shared" si="128"/>
        <v>0</v>
      </c>
      <c r="I605">
        <f t="shared" si="129"/>
        <v>0</v>
      </c>
      <c r="J605">
        <f t="shared" si="130"/>
        <v>0</v>
      </c>
      <c r="K605">
        <f t="shared" si="131"/>
        <v>0</v>
      </c>
      <c r="L605">
        <f t="shared" si="132"/>
        <v>0</v>
      </c>
      <c r="M605">
        <f t="shared" si="133"/>
        <v>0</v>
      </c>
      <c r="N605">
        <f t="shared" si="134"/>
        <v>0</v>
      </c>
      <c r="O605">
        <f t="shared" si="135"/>
        <v>0</v>
      </c>
      <c r="P605">
        <f t="shared" si="136"/>
        <v>14.5</v>
      </c>
      <c r="Q605">
        <f t="shared" si="137"/>
        <v>0</v>
      </c>
      <c r="R605">
        <f t="shared" si="138"/>
        <v>0</v>
      </c>
      <c r="S605">
        <f t="shared" si="139"/>
        <v>0</v>
      </c>
    </row>
    <row r="606" spans="1:19" x14ac:dyDescent="0.3">
      <c r="A606" s="1">
        <v>41910</v>
      </c>
      <c r="B606" s="1">
        <v>41925</v>
      </c>
      <c r="C606">
        <v>11.37</v>
      </c>
      <c r="D606">
        <v>0.3</v>
      </c>
      <c r="E606">
        <v>4</v>
      </c>
      <c r="F606">
        <f t="shared" si="126"/>
        <v>11.67</v>
      </c>
      <c r="G606">
        <f t="shared" si="127"/>
        <v>9</v>
      </c>
      <c r="H606">
        <f t="shared" si="128"/>
        <v>0</v>
      </c>
      <c r="I606">
        <f t="shared" si="129"/>
        <v>0</v>
      </c>
      <c r="J606">
        <f t="shared" si="130"/>
        <v>0</v>
      </c>
      <c r="K606">
        <f t="shared" si="131"/>
        <v>0</v>
      </c>
      <c r="L606">
        <f t="shared" si="132"/>
        <v>0</v>
      </c>
      <c r="M606">
        <f t="shared" si="133"/>
        <v>0</v>
      </c>
      <c r="N606">
        <f t="shared" si="134"/>
        <v>0</v>
      </c>
      <c r="O606">
        <f t="shared" si="135"/>
        <v>0</v>
      </c>
      <c r="P606">
        <f t="shared" si="136"/>
        <v>11.67</v>
      </c>
      <c r="Q606">
        <f t="shared" si="137"/>
        <v>0</v>
      </c>
      <c r="R606">
        <f t="shared" si="138"/>
        <v>0</v>
      </c>
      <c r="S606">
        <f t="shared" si="139"/>
        <v>0</v>
      </c>
    </row>
    <row r="607" spans="1:19" x14ac:dyDescent="0.3">
      <c r="A607" s="1">
        <v>41910</v>
      </c>
      <c r="B607" s="1">
        <v>41917</v>
      </c>
      <c r="C607">
        <v>16.940000000000001</v>
      </c>
      <c r="D607">
        <v>0.45</v>
      </c>
      <c r="E607">
        <v>2</v>
      </c>
      <c r="F607">
        <f t="shared" si="126"/>
        <v>17.39</v>
      </c>
      <c r="G607">
        <f t="shared" si="127"/>
        <v>9</v>
      </c>
      <c r="H607">
        <f t="shared" si="128"/>
        <v>0</v>
      </c>
      <c r="I607">
        <f t="shared" si="129"/>
        <v>0</v>
      </c>
      <c r="J607">
        <f t="shared" si="130"/>
        <v>0</v>
      </c>
      <c r="K607">
        <f t="shared" si="131"/>
        <v>0</v>
      </c>
      <c r="L607">
        <f t="shared" si="132"/>
        <v>0</v>
      </c>
      <c r="M607">
        <f t="shared" si="133"/>
        <v>0</v>
      </c>
      <c r="N607">
        <f t="shared" si="134"/>
        <v>0</v>
      </c>
      <c r="O607">
        <f t="shared" si="135"/>
        <v>0</v>
      </c>
      <c r="P607">
        <f t="shared" si="136"/>
        <v>17.39</v>
      </c>
      <c r="Q607">
        <f t="shared" si="137"/>
        <v>0</v>
      </c>
      <c r="R607">
        <f t="shared" si="138"/>
        <v>0</v>
      </c>
      <c r="S607">
        <f t="shared" si="139"/>
        <v>0</v>
      </c>
    </row>
    <row r="608" spans="1:19" x14ac:dyDescent="0.3">
      <c r="A608" s="1">
        <v>41910</v>
      </c>
      <c r="B608" s="1">
        <v>41913</v>
      </c>
      <c r="C608">
        <v>11.42</v>
      </c>
      <c r="D608">
        <v>0.3</v>
      </c>
      <c r="E608">
        <v>3</v>
      </c>
      <c r="F608">
        <f t="shared" si="126"/>
        <v>11.72</v>
      </c>
      <c r="G608">
        <f t="shared" si="127"/>
        <v>9</v>
      </c>
      <c r="H608">
        <f t="shared" si="128"/>
        <v>0</v>
      </c>
      <c r="I608">
        <f t="shared" si="129"/>
        <v>0</v>
      </c>
      <c r="J608">
        <f t="shared" si="130"/>
        <v>0</v>
      </c>
      <c r="K608">
        <f t="shared" si="131"/>
        <v>0</v>
      </c>
      <c r="L608">
        <f t="shared" si="132"/>
        <v>0</v>
      </c>
      <c r="M608">
        <f t="shared" si="133"/>
        <v>0</v>
      </c>
      <c r="N608">
        <f t="shared" si="134"/>
        <v>0</v>
      </c>
      <c r="O608">
        <f t="shared" si="135"/>
        <v>0</v>
      </c>
      <c r="P608">
        <f t="shared" si="136"/>
        <v>11.72</v>
      </c>
      <c r="Q608">
        <f t="shared" si="137"/>
        <v>0</v>
      </c>
      <c r="R608">
        <f t="shared" si="138"/>
        <v>0</v>
      </c>
      <c r="S608">
        <f t="shared" si="139"/>
        <v>0</v>
      </c>
    </row>
    <row r="609" spans="1:19" x14ac:dyDescent="0.3">
      <c r="A609" s="1">
        <v>41910</v>
      </c>
      <c r="B609" s="1">
        <v>41913</v>
      </c>
      <c r="C609">
        <v>4.25</v>
      </c>
      <c r="D609">
        <v>0.11</v>
      </c>
      <c r="E609">
        <v>4</v>
      </c>
      <c r="F609">
        <f t="shared" si="126"/>
        <v>4.3600000000000003</v>
      </c>
      <c r="G609">
        <f t="shared" si="127"/>
        <v>9</v>
      </c>
      <c r="H609">
        <f t="shared" si="128"/>
        <v>0</v>
      </c>
      <c r="I609">
        <f t="shared" si="129"/>
        <v>0</v>
      </c>
      <c r="J609">
        <f t="shared" si="130"/>
        <v>0</v>
      </c>
      <c r="K609">
        <f t="shared" si="131"/>
        <v>0</v>
      </c>
      <c r="L609">
        <f t="shared" si="132"/>
        <v>0</v>
      </c>
      <c r="M609">
        <f t="shared" si="133"/>
        <v>0</v>
      </c>
      <c r="N609">
        <f t="shared" si="134"/>
        <v>0</v>
      </c>
      <c r="O609">
        <f t="shared" si="135"/>
        <v>0</v>
      </c>
      <c r="P609">
        <f t="shared" si="136"/>
        <v>4.3600000000000003</v>
      </c>
      <c r="Q609">
        <f t="shared" si="137"/>
        <v>0</v>
      </c>
      <c r="R609">
        <f t="shared" si="138"/>
        <v>0</v>
      </c>
      <c r="S609">
        <f t="shared" si="139"/>
        <v>0</v>
      </c>
    </row>
    <row r="610" spans="1:19" x14ac:dyDescent="0.3">
      <c r="A610" s="1">
        <v>41910</v>
      </c>
      <c r="B610" s="1">
        <v>41930</v>
      </c>
      <c r="C610">
        <v>5.78</v>
      </c>
      <c r="D610">
        <v>0.15</v>
      </c>
      <c r="E610">
        <v>2</v>
      </c>
      <c r="F610">
        <f t="shared" si="126"/>
        <v>5.9300000000000006</v>
      </c>
      <c r="G610">
        <f t="shared" si="127"/>
        <v>9</v>
      </c>
      <c r="H610">
        <f t="shared" si="128"/>
        <v>0</v>
      </c>
      <c r="I610">
        <f t="shared" si="129"/>
        <v>0</v>
      </c>
      <c r="J610">
        <f t="shared" si="130"/>
        <v>0</v>
      </c>
      <c r="K610">
        <f t="shared" si="131"/>
        <v>0</v>
      </c>
      <c r="L610">
        <f t="shared" si="132"/>
        <v>0</v>
      </c>
      <c r="M610">
        <f t="shared" si="133"/>
        <v>0</v>
      </c>
      <c r="N610">
        <f t="shared" si="134"/>
        <v>0</v>
      </c>
      <c r="O610">
        <f t="shared" si="135"/>
        <v>0</v>
      </c>
      <c r="P610">
        <f t="shared" si="136"/>
        <v>5.9300000000000006</v>
      </c>
      <c r="Q610">
        <f t="shared" si="137"/>
        <v>0</v>
      </c>
      <c r="R610">
        <f t="shared" si="138"/>
        <v>0</v>
      </c>
      <c r="S610">
        <f t="shared" si="139"/>
        <v>0</v>
      </c>
    </row>
    <row r="611" spans="1:19" x14ac:dyDescent="0.3">
      <c r="A611" s="1">
        <v>41910</v>
      </c>
      <c r="B611" s="1">
        <v>41918</v>
      </c>
      <c r="C611">
        <v>5.23</v>
      </c>
      <c r="D611">
        <v>0.14000000000000001</v>
      </c>
      <c r="E611">
        <v>5</v>
      </c>
      <c r="F611">
        <f t="shared" si="126"/>
        <v>5.37</v>
      </c>
      <c r="G611">
        <f t="shared" si="127"/>
        <v>9</v>
      </c>
      <c r="H611">
        <f t="shared" si="128"/>
        <v>0</v>
      </c>
      <c r="I611">
        <f t="shared" si="129"/>
        <v>0</v>
      </c>
      <c r="J611">
        <f t="shared" si="130"/>
        <v>0</v>
      </c>
      <c r="K611">
        <f t="shared" si="131"/>
        <v>0</v>
      </c>
      <c r="L611">
        <f t="shared" si="132"/>
        <v>0</v>
      </c>
      <c r="M611">
        <f t="shared" si="133"/>
        <v>0</v>
      </c>
      <c r="N611">
        <f t="shared" si="134"/>
        <v>0</v>
      </c>
      <c r="O611">
        <f t="shared" si="135"/>
        <v>0</v>
      </c>
      <c r="P611">
        <f t="shared" si="136"/>
        <v>5.37</v>
      </c>
      <c r="Q611">
        <f t="shared" si="137"/>
        <v>0</v>
      </c>
      <c r="R611">
        <f t="shared" si="138"/>
        <v>0</v>
      </c>
      <c r="S611">
        <f t="shared" si="139"/>
        <v>0</v>
      </c>
    </row>
    <row r="612" spans="1:19" x14ac:dyDescent="0.3">
      <c r="A612" s="1">
        <v>41910</v>
      </c>
      <c r="B612" s="1">
        <v>41933</v>
      </c>
      <c r="C612">
        <v>10.79</v>
      </c>
      <c r="D612">
        <v>0.28000000000000003</v>
      </c>
      <c r="E612">
        <v>3</v>
      </c>
      <c r="F612">
        <f t="shared" si="126"/>
        <v>11.069999999999999</v>
      </c>
      <c r="G612">
        <f t="shared" si="127"/>
        <v>9</v>
      </c>
      <c r="H612">
        <f t="shared" si="128"/>
        <v>0</v>
      </c>
      <c r="I612">
        <f t="shared" si="129"/>
        <v>0</v>
      </c>
      <c r="J612">
        <f t="shared" si="130"/>
        <v>0</v>
      </c>
      <c r="K612">
        <f t="shared" si="131"/>
        <v>0</v>
      </c>
      <c r="L612">
        <f t="shared" si="132"/>
        <v>0</v>
      </c>
      <c r="M612">
        <f t="shared" si="133"/>
        <v>0</v>
      </c>
      <c r="N612">
        <f t="shared" si="134"/>
        <v>0</v>
      </c>
      <c r="O612">
        <f t="shared" si="135"/>
        <v>0</v>
      </c>
      <c r="P612">
        <f t="shared" si="136"/>
        <v>11.069999999999999</v>
      </c>
      <c r="Q612">
        <f t="shared" si="137"/>
        <v>0</v>
      </c>
      <c r="R612">
        <f t="shared" si="138"/>
        <v>0</v>
      </c>
      <c r="S612">
        <f t="shared" si="139"/>
        <v>0</v>
      </c>
    </row>
    <row r="613" spans="1:19" x14ac:dyDescent="0.3">
      <c r="A613" s="1">
        <v>41910</v>
      </c>
      <c r="B613" s="1">
        <v>41923</v>
      </c>
      <c r="C613">
        <v>5.78</v>
      </c>
      <c r="D613">
        <v>0.15</v>
      </c>
      <c r="E613">
        <v>6</v>
      </c>
      <c r="F613">
        <f t="shared" si="126"/>
        <v>5.9300000000000006</v>
      </c>
      <c r="G613">
        <f t="shared" si="127"/>
        <v>9</v>
      </c>
      <c r="H613">
        <f t="shared" si="128"/>
        <v>0</v>
      </c>
      <c r="I613">
        <f t="shared" si="129"/>
        <v>0</v>
      </c>
      <c r="J613">
        <f t="shared" si="130"/>
        <v>0</v>
      </c>
      <c r="K613">
        <f t="shared" si="131"/>
        <v>0</v>
      </c>
      <c r="L613">
        <f t="shared" si="132"/>
        <v>0</v>
      </c>
      <c r="M613">
        <f t="shared" si="133"/>
        <v>0</v>
      </c>
      <c r="N613">
        <f t="shared" si="134"/>
        <v>0</v>
      </c>
      <c r="O613">
        <f t="shared" si="135"/>
        <v>0</v>
      </c>
      <c r="P613">
        <f t="shared" si="136"/>
        <v>5.9300000000000006</v>
      </c>
      <c r="Q613">
        <f t="shared" si="137"/>
        <v>0</v>
      </c>
      <c r="R613">
        <f t="shared" si="138"/>
        <v>0</v>
      </c>
      <c r="S613">
        <f t="shared" si="139"/>
        <v>0</v>
      </c>
    </row>
    <row r="614" spans="1:19" x14ac:dyDescent="0.3">
      <c r="A614" s="1">
        <v>41911</v>
      </c>
      <c r="B614" s="1">
        <v>41919</v>
      </c>
      <c r="C614">
        <v>11.37</v>
      </c>
      <c r="D614">
        <v>0.3</v>
      </c>
      <c r="E614">
        <v>4</v>
      </c>
      <c r="F614">
        <f t="shared" si="126"/>
        <v>11.67</v>
      </c>
      <c r="G614">
        <f t="shared" si="127"/>
        <v>9</v>
      </c>
      <c r="H614">
        <f t="shared" si="128"/>
        <v>0</v>
      </c>
      <c r="I614">
        <f t="shared" si="129"/>
        <v>0</v>
      </c>
      <c r="J614">
        <f t="shared" si="130"/>
        <v>0</v>
      </c>
      <c r="K614">
        <f t="shared" si="131"/>
        <v>0</v>
      </c>
      <c r="L614">
        <f t="shared" si="132"/>
        <v>0</v>
      </c>
      <c r="M614">
        <f t="shared" si="133"/>
        <v>0</v>
      </c>
      <c r="N614">
        <f t="shared" si="134"/>
        <v>0</v>
      </c>
      <c r="O614">
        <f t="shared" si="135"/>
        <v>0</v>
      </c>
      <c r="P614">
        <f t="shared" si="136"/>
        <v>11.67</v>
      </c>
      <c r="Q614">
        <f t="shared" si="137"/>
        <v>0</v>
      </c>
      <c r="R614">
        <f t="shared" si="138"/>
        <v>0</v>
      </c>
      <c r="S614">
        <f t="shared" si="139"/>
        <v>0</v>
      </c>
    </row>
    <row r="615" spans="1:19" x14ac:dyDescent="0.3">
      <c r="A615" s="1">
        <v>41911</v>
      </c>
      <c r="B615" s="1">
        <v>41927</v>
      </c>
      <c r="C615">
        <v>8.9499999999999993</v>
      </c>
      <c r="D615">
        <v>0.24</v>
      </c>
      <c r="E615">
        <v>3</v>
      </c>
      <c r="F615">
        <f t="shared" si="126"/>
        <v>9.19</v>
      </c>
      <c r="G615">
        <f t="shared" si="127"/>
        <v>9</v>
      </c>
      <c r="H615">
        <f t="shared" si="128"/>
        <v>0</v>
      </c>
      <c r="I615">
        <f t="shared" si="129"/>
        <v>0</v>
      </c>
      <c r="J615">
        <f t="shared" si="130"/>
        <v>0</v>
      </c>
      <c r="K615">
        <f t="shared" si="131"/>
        <v>0</v>
      </c>
      <c r="L615">
        <f t="shared" si="132"/>
        <v>0</v>
      </c>
      <c r="M615">
        <f t="shared" si="133"/>
        <v>0</v>
      </c>
      <c r="N615">
        <f t="shared" si="134"/>
        <v>0</v>
      </c>
      <c r="O615">
        <f t="shared" si="135"/>
        <v>0</v>
      </c>
      <c r="P615">
        <f t="shared" si="136"/>
        <v>9.19</v>
      </c>
      <c r="Q615">
        <f t="shared" si="137"/>
        <v>0</v>
      </c>
      <c r="R615">
        <f t="shared" si="138"/>
        <v>0</v>
      </c>
      <c r="S615">
        <f t="shared" si="139"/>
        <v>0</v>
      </c>
    </row>
    <row r="616" spans="1:19" x14ac:dyDescent="0.3">
      <c r="A616" s="1">
        <v>41911</v>
      </c>
      <c r="B616" s="1">
        <v>41929</v>
      </c>
      <c r="C616">
        <v>10.199999999999999</v>
      </c>
      <c r="D616">
        <v>0.27</v>
      </c>
      <c r="E616">
        <v>3</v>
      </c>
      <c r="F616">
        <f t="shared" si="126"/>
        <v>10.469999999999999</v>
      </c>
      <c r="G616">
        <f t="shared" si="127"/>
        <v>9</v>
      </c>
      <c r="H616">
        <f t="shared" si="128"/>
        <v>0</v>
      </c>
      <c r="I616">
        <f t="shared" si="129"/>
        <v>0</v>
      </c>
      <c r="J616">
        <f t="shared" si="130"/>
        <v>0</v>
      </c>
      <c r="K616">
        <f t="shared" si="131"/>
        <v>0</v>
      </c>
      <c r="L616">
        <f t="shared" si="132"/>
        <v>0</v>
      </c>
      <c r="M616">
        <f t="shared" si="133"/>
        <v>0</v>
      </c>
      <c r="N616">
        <f t="shared" si="134"/>
        <v>0</v>
      </c>
      <c r="O616">
        <f t="shared" si="135"/>
        <v>0</v>
      </c>
      <c r="P616">
        <f t="shared" si="136"/>
        <v>10.469999999999999</v>
      </c>
      <c r="Q616">
        <f t="shared" si="137"/>
        <v>0</v>
      </c>
      <c r="R616">
        <f t="shared" si="138"/>
        <v>0</v>
      </c>
      <c r="S616">
        <f t="shared" si="139"/>
        <v>0</v>
      </c>
    </row>
    <row r="617" spans="1:19" x14ac:dyDescent="0.3">
      <c r="A617" s="1">
        <v>41911</v>
      </c>
      <c r="B617" s="1">
        <v>41921</v>
      </c>
      <c r="C617">
        <v>9.1300000000000008</v>
      </c>
      <c r="D617">
        <v>0.24</v>
      </c>
      <c r="E617">
        <v>4</v>
      </c>
      <c r="F617">
        <f t="shared" si="126"/>
        <v>9.370000000000001</v>
      </c>
      <c r="G617">
        <f t="shared" si="127"/>
        <v>9</v>
      </c>
      <c r="H617">
        <f t="shared" si="128"/>
        <v>0</v>
      </c>
      <c r="I617">
        <f t="shared" si="129"/>
        <v>0</v>
      </c>
      <c r="J617">
        <f t="shared" si="130"/>
        <v>0</v>
      </c>
      <c r="K617">
        <f t="shared" si="131"/>
        <v>0</v>
      </c>
      <c r="L617">
        <f t="shared" si="132"/>
        <v>0</v>
      </c>
      <c r="M617">
        <f t="shared" si="133"/>
        <v>0</v>
      </c>
      <c r="N617">
        <f t="shared" si="134"/>
        <v>0</v>
      </c>
      <c r="O617">
        <f t="shared" si="135"/>
        <v>0</v>
      </c>
      <c r="P617">
        <f t="shared" si="136"/>
        <v>9.370000000000001</v>
      </c>
      <c r="Q617">
        <f t="shared" si="137"/>
        <v>0</v>
      </c>
      <c r="R617">
        <f t="shared" si="138"/>
        <v>0</v>
      </c>
      <c r="S617">
        <f t="shared" si="139"/>
        <v>0</v>
      </c>
    </row>
    <row r="618" spans="1:19" x14ac:dyDescent="0.3">
      <c r="A618" s="1">
        <v>41911</v>
      </c>
      <c r="B618" s="1">
        <v>41932</v>
      </c>
      <c r="C618">
        <v>6.23</v>
      </c>
      <c r="D618">
        <v>0.16</v>
      </c>
      <c r="E618">
        <v>6</v>
      </c>
      <c r="F618">
        <f t="shared" si="126"/>
        <v>6.3900000000000006</v>
      </c>
      <c r="G618">
        <f t="shared" si="127"/>
        <v>9</v>
      </c>
      <c r="H618">
        <f t="shared" si="128"/>
        <v>0</v>
      </c>
      <c r="I618">
        <f t="shared" si="129"/>
        <v>0</v>
      </c>
      <c r="J618">
        <f t="shared" si="130"/>
        <v>0</v>
      </c>
      <c r="K618">
        <f t="shared" si="131"/>
        <v>0</v>
      </c>
      <c r="L618">
        <f t="shared" si="132"/>
        <v>0</v>
      </c>
      <c r="M618">
        <f t="shared" si="133"/>
        <v>0</v>
      </c>
      <c r="N618">
        <f t="shared" si="134"/>
        <v>0</v>
      </c>
      <c r="O618">
        <f t="shared" si="135"/>
        <v>0</v>
      </c>
      <c r="P618">
        <f t="shared" si="136"/>
        <v>6.3900000000000006</v>
      </c>
      <c r="Q618">
        <f t="shared" si="137"/>
        <v>0</v>
      </c>
      <c r="R618">
        <f t="shared" si="138"/>
        <v>0</v>
      </c>
      <c r="S618">
        <f t="shared" si="139"/>
        <v>0</v>
      </c>
    </row>
    <row r="619" spans="1:19" x14ac:dyDescent="0.3">
      <c r="A619" s="1">
        <v>41911</v>
      </c>
      <c r="B619" s="1">
        <v>41932</v>
      </c>
      <c r="C619">
        <v>8.84</v>
      </c>
      <c r="D619">
        <v>0.23</v>
      </c>
      <c r="E619">
        <v>4</v>
      </c>
      <c r="F619">
        <f t="shared" si="126"/>
        <v>9.07</v>
      </c>
      <c r="G619">
        <f t="shared" si="127"/>
        <v>9</v>
      </c>
      <c r="H619">
        <f t="shared" si="128"/>
        <v>0</v>
      </c>
      <c r="I619">
        <f t="shared" si="129"/>
        <v>0</v>
      </c>
      <c r="J619">
        <f t="shared" si="130"/>
        <v>0</v>
      </c>
      <c r="K619">
        <f t="shared" si="131"/>
        <v>0</v>
      </c>
      <c r="L619">
        <f t="shared" si="132"/>
        <v>0</v>
      </c>
      <c r="M619">
        <f t="shared" si="133"/>
        <v>0</v>
      </c>
      <c r="N619">
        <f t="shared" si="134"/>
        <v>0</v>
      </c>
      <c r="O619">
        <f t="shared" si="135"/>
        <v>0</v>
      </c>
      <c r="P619">
        <f t="shared" si="136"/>
        <v>9.07</v>
      </c>
      <c r="Q619">
        <f t="shared" si="137"/>
        <v>0</v>
      </c>
      <c r="R619">
        <f t="shared" si="138"/>
        <v>0</v>
      </c>
      <c r="S619">
        <f t="shared" si="139"/>
        <v>0</v>
      </c>
    </row>
    <row r="620" spans="1:19" x14ac:dyDescent="0.3">
      <c r="A620" s="1">
        <v>41911</v>
      </c>
      <c r="B620" s="1">
        <v>41919</v>
      </c>
      <c r="C620">
        <v>6.88</v>
      </c>
      <c r="D620">
        <v>0.18</v>
      </c>
      <c r="E620">
        <v>6</v>
      </c>
      <c r="F620">
        <f t="shared" si="126"/>
        <v>7.06</v>
      </c>
      <c r="G620">
        <f t="shared" si="127"/>
        <v>9</v>
      </c>
      <c r="H620">
        <f t="shared" si="128"/>
        <v>0</v>
      </c>
      <c r="I620">
        <f t="shared" si="129"/>
        <v>0</v>
      </c>
      <c r="J620">
        <f t="shared" si="130"/>
        <v>0</v>
      </c>
      <c r="K620">
        <f t="shared" si="131"/>
        <v>0</v>
      </c>
      <c r="L620">
        <f t="shared" si="132"/>
        <v>0</v>
      </c>
      <c r="M620">
        <f t="shared" si="133"/>
        <v>0</v>
      </c>
      <c r="N620">
        <f t="shared" si="134"/>
        <v>0</v>
      </c>
      <c r="O620">
        <f t="shared" si="135"/>
        <v>0</v>
      </c>
      <c r="P620">
        <f t="shared" si="136"/>
        <v>7.06</v>
      </c>
      <c r="Q620">
        <f t="shared" si="137"/>
        <v>0</v>
      </c>
      <c r="R620">
        <f t="shared" si="138"/>
        <v>0</v>
      </c>
      <c r="S620">
        <f t="shared" si="139"/>
        <v>0</v>
      </c>
    </row>
    <row r="621" spans="1:19" x14ac:dyDescent="0.3">
      <c r="A621" s="1">
        <v>41911</v>
      </c>
      <c r="B621" s="1">
        <v>41921</v>
      </c>
      <c r="C621">
        <v>8.84</v>
      </c>
      <c r="D621">
        <v>0.23</v>
      </c>
      <c r="E621">
        <v>2</v>
      </c>
      <c r="F621">
        <f t="shared" si="126"/>
        <v>9.07</v>
      </c>
      <c r="G621">
        <f t="shared" si="127"/>
        <v>9</v>
      </c>
      <c r="H621">
        <f t="shared" si="128"/>
        <v>0</v>
      </c>
      <c r="I621">
        <f t="shared" si="129"/>
        <v>0</v>
      </c>
      <c r="J621">
        <f t="shared" si="130"/>
        <v>0</v>
      </c>
      <c r="K621">
        <f t="shared" si="131"/>
        <v>0</v>
      </c>
      <c r="L621">
        <f t="shared" si="132"/>
        <v>0</v>
      </c>
      <c r="M621">
        <f t="shared" si="133"/>
        <v>0</v>
      </c>
      <c r="N621">
        <f t="shared" si="134"/>
        <v>0</v>
      </c>
      <c r="O621">
        <f t="shared" si="135"/>
        <v>0</v>
      </c>
      <c r="P621">
        <f t="shared" si="136"/>
        <v>9.07</v>
      </c>
      <c r="Q621">
        <f t="shared" si="137"/>
        <v>0</v>
      </c>
      <c r="R621">
        <f t="shared" si="138"/>
        <v>0</v>
      </c>
      <c r="S621">
        <f t="shared" si="139"/>
        <v>0</v>
      </c>
    </row>
    <row r="622" spans="1:19" x14ac:dyDescent="0.3">
      <c r="A622" s="1">
        <v>41911</v>
      </c>
      <c r="B622" s="1">
        <v>41917</v>
      </c>
      <c r="C622">
        <v>3.57</v>
      </c>
      <c r="D622">
        <v>0.09</v>
      </c>
      <c r="E622">
        <v>5</v>
      </c>
      <c r="F622">
        <f t="shared" si="126"/>
        <v>3.6599999999999997</v>
      </c>
      <c r="G622">
        <f t="shared" si="127"/>
        <v>9</v>
      </c>
      <c r="H622">
        <f t="shared" si="128"/>
        <v>0</v>
      </c>
      <c r="I622">
        <f t="shared" si="129"/>
        <v>0</v>
      </c>
      <c r="J622">
        <f t="shared" si="130"/>
        <v>0</v>
      </c>
      <c r="K622">
        <f t="shared" si="131"/>
        <v>0</v>
      </c>
      <c r="L622">
        <f t="shared" si="132"/>
        <v>0</v>
      </c>
      <c r="M622">
        <f t="shared" si="133"/>
        <v>0</v>
      </c>
      <c r="N622">
        <f t="shared" si="134"/>
        <v>0</v>
      </c>
      <c r="O622">
        <f t="shared" si="135"/>
        <v>0</v>
      </c>
      <c r="P622">
        <f t="shared" si="136"/>
        <v>3.6599999999999997</v>
      </c>
      <c r="Q622">
        <f t="shared" si="137"/>
        <v>0</v>
      </c>
      <c r="R622">
        <f t="shared" si="138"/>
        <v>0</v>
      </c>
      <c r="S622">
        <f t="shared" si="139"/>
        <v>0</v>
      </c>
    </row>
    <row r="623" spans="1:19" x14ac:dyDescent="0.3">
      <c r="A623" s="1">
        <v>41911</v>
      </c>
      <c r="B623" s="1">
        <v>41926</v>
      </c>
      <c r="C623">
        <v>5.64</v>
      </c>
      <c r="D623">
        <v>0.15</v>
      </c>
      <c r="E623">
        <v>5</v>
      </c>
      <c r="F623">
        <f t="shared" si="126"/>
        <v>5.79</v>
      </c>
      <c r="G623">
        <f t="shared" si="127"/>
        <v>9</v>
      </c>
      <c r="H623">
        <f t="shared" si="128"/>
        <v>0</v>
      </c>
      <c r="I623">
        <f t="shared" si="129"/>
        <v>0</v>
      </c>
      <c r="J623">
        <f t="shared" si="130"/>
        <v>0</v>
      </c>
      <c r="K623">
        <f t="shared" si="131"/>
        <v>0</v>
      </c>
      <c r="L623">
        <f t="shared" si="132"/>
        <v>0</v>
      </c>
      <c r="M623">
        <f t="shared" si="133"/>
        <v>0</v>
      </c>
      <c r="N623">
        <f t="shared" si="134"/>
        <v>0</v>
      </c>
      <c r="O623">
        <f t="shared" si="135"/>
        <v>0</v>
      </c>
      <c r="P623">
        <f t="shared" si="136"/>
        <v>5.79</v>
      </c>
      <c r="Q623">
        <f t="shared" si="137"/>
        <v>0</v>
      </c>
      <c r="R623">
        <f t="shared" si="138"/>
        <v>0</v>
      </c>
      <c r="S623">
        <f t="shared" si="139"/>
        <v>0</v>
      </c>
    </row>
    <row r="624" spans="1:19" x14ac:dyDescent="0.3">
      <c r="A624" s="1">
        <v>41911</v>
      </c>
      <c r="B624" s="1">
        <v>41938</v>
      </c>
      <c r="C624">
        <v>9.06</v>
      </c>
      <c r="D624">
        <v>0.24</v>
      </c>
      <c r="E624">
        <v>6</v>
      </c>
      <c r="F624">
        <f t="shared" si="126"/>
        <v>9.3000000000000007</v>
      </c>
      <c r="G624">
        <f t="shared" si="127"/>
        <v>9</v>
      </c>
      <c r="H624">
        <f t="shared" si="128"/>
        <v>0</v>
      </c>
      <c r="I624">
        <f t="shared" si="129"/>
        <v>0</v>
      </c>
      <c r="J624">
        <f t="shared" si="130"/>
        <v>0</v>
      </c>
      <c r="K624">
        <f t="shared" si="131"/>
        <v>0</v>
      </c>
      <c r="L624">
        <f t="shared" si="132"/>
        <v>0</v>
      </c>
      <c r="M624">
        <f t="shared" si="133"/>
        <v>0</v>
      </c>
      <c r="N624">
        <f t="shared" si="134"/>
        <v>0</v>
      </c>
      <c r="O624">
        <f t="shared" si="135"/>
        <v>0</v>
      </c>
      <c r="P624">
        <f t="shared" si="136"/>
        <v>9.3000000000000007</v>
      </c>
      <c r="Q624">
        <f t="shared" si="137"/>
        <v>0</v>
      </c>
      <c r="R624">
        <f t="shared" si="138"/>
        <v>0</v>
      </c>
      <c r="S624">
        <f t="shared" si="139"/>
        <v>0</v>
      </c>
    </row>
    <row r="625" spans="1:19" x14ac:dyDescent="0.3">
      <c r="A625" s="1">
        <v>41911</v>
      </c>
      <c r="B625" s="1">
        <v>41916</v>
      </c>
      <c r="C625">
        <v>7.55</v>
      </c>
      <c r="D625">
        <v>0.2</v>
      </c>
      <c r="E625">
        <v>2</v>
      </c>
      <c r="F625">
        <f t="shared" si="126"/>
        <v>7.75</v>
      </c>
      <c r="G625">
        <f t="shared" si="127"/>
        <v>9</v>
      </c>
      <c r="H625">
        <f t="shared" si="128"/>
        <v>0</v>
      </c>
      <c r="I625">
        <f t="shared" si="129"/>
        <v>0</v>
      </c>
      <c r="J625">
        <f t="shared" si="130"/>
        <v>0</v>
      </c>
      <c r="K625">
        <f t="shared" si="131"/>
        <v>0</v>
      </c>
      <c r="L625">
        <f t="shared" si="132"/>
        <v>0</v>
      </c>
      <c r="M625">
        <f t="shared" si="133"/>
        <v>0</v>
      </c>
      <c r="N625">
        <f t="shared" si="134"/>
        <v>0</v>
      </c>
      <c r="O625">
        <f t="shared" si="135"/>
        <v>0</v>
      </c>
      <c r="P625">
        <f t="shared" si="136"/>
        <v>7.75</v>
      </c>
      <c r="Q625">
        <f t="shared" si="137"/>
        <v>0</v>
      </c>
      <c r="R625">
        <f t="shared" si="138"/>
        <v>0</v>
      </c>
      <c r="S625">
        <f t="shared" si="139"/>
        <v>0</v>
      </c>
    </row>
    <row r="626" spans="1:19" x14ac:dyDescent="0.3">
      <c r="A626" s="1">
        <v>41911</v>
      </c>
      <c r="B626" s="1">
        <v>41929</v>
      </c>
      <c r="C626">
        <v>13.02</v>
      </c>
      <c r="D626">
        <v>0.34</v>
      </c>
      <c r="E626">
        <v>5</v>
      </c>
      <c r="F626">
        <f t="shared" si="126"/>
        <v>13.36</v>
      </c>
      <c r="G626">
        <f t="shared" si="127"/>
        <v>9</v>
      </c>
      <c r="H626">
        <f t="shared" si="128"/>
        <v>0</v>
      </c>
      <c r="I626">
        <f t="shared" si="129"/>
        <v>0</v>
      </c>
      <c r="J626">
        <f t="shared" si="130"/>
        <v>0</v>
      </c>
      <c r="K626">
        <f t="shared" si="131"/>
        <v>0</v>
      </c>
      <c r="L626">
        <f t="shared" si="132"/>
        <v>0</v>
      </c>
      <c r="M626">
        <f t="shared" si="133"/>
        <v>0</v>
      </c>
      <c r="N626">
        <f t="shared" si="134"/>
        <v>0</v>
      </c>
      <c r="O626">
        <f t="shared" si="135"/>
        <v>0</v>
      </c>
      <c r="P626">
        <f t="shared" si="136"/>
        <v>13.36</v>
      </c>
      <c r="Q626">
        <f t="shared" si="137"/>
        <v>0</v>
      </c>
      <c r="R626">
        <f t="shared" si="138"/>
        <v>0</v>
      </c>
      <c r="S626">
        <f t="shared" si="139"/>
        <v>0</v>
      </c>
    </row>
    <row r="627" spans="1:19" x14ac:dyDescent="0.3">
      <c r="A627" s="1">
        <v>41911</v>
      </c>
      <c r="B627" s="1">
        <v>41913</v>
      </c>
      <c r="C627">
        <v>8.9499999999999993</v>
      </c>
      <c r="D627">
        <v>0.24</v>
      </c>
      <c r="E627">
        <v>4</v>
      </c>
      <c r="F627">
        <f t="shared" si="126"/>
        <v>9.19</v>
      </c>
      <c r="G627">
        <f t="shared" si="127"/>
        <v>9</v>
      </c>
      <c r="H627">
        <f t="shared" si="128"/>
        <v>0</v>
      </c>
      <c r="I627">
        <f t="shared" si="129"/>
        <v>0</v>
      </c>
      <c r="J627">
        <f t="shared" si="130"/>
        <v>0</v>
      </c>
      <c r="K627">
        <f t="shared" si="131"/>
        <v>0</v>
      </c>
      <c r="L627">
        <f t="shared" si="132"/>
        <v>0</v>
      </c>
      <c r="M627">
        <f t="shared" si="133"/>
        <v>0</v>
      </c>
      <c r="N627">
        <f t="shared" si="134"/>
        <v>0</v>
      </c>
      <c r="O627">
        <f t="shared" si="135"/>
        <v>0</v>
      </c>
      <c r="P627">
        <f t="shared" si="136"/>
        <v>9.19</v>
      </c>
      <c r="Q627">
        <f t="shared" si="137"/>
        <v>0</v>
      </c>
      <c r="R627">
        <f t="shared" si="138"/>
        <v>0</v>
      </c>
      <c r="S627">
        <f t="shared" si="139"/>
        <v>0</v>
      </c>
    </row>
    <row r="628" spans="1:19" x14ac:dyDescent="0.3">
      <c r="A628" s="1">
        <v>41911</v>
      </c>
      <c r="B628" s="1">
        <v>41918</v>
      </c>
      <c r="C628">
        <v>10.93</v>
      </c>
      <c r="D628">
        <v>0.28999999999999998</v>
      </c>
      <c r="E628">
        <v>3</v>
      </c>
      <c r="F628">
        <f t="shared" si="126"/>
        <v>11.219999999999999</v>
      </c>
      <c r="G628">
        <f t="shared" si="127"/>
        <v>9</v>
      </c>
      <c r="H628">
        <f t="shared" si="128"/>
        <v>0</v>
      </c>
      <c r="I628">
        <f t="shared" si="129"/>
        <v>0</v>
      </c>
      <c r="J628">
        <f t="shared" si="130"/>
        <v>0</v>
      </c>
      <c r="K628">
        <f t="shared" si="131"/>
        <v>0</v>
      </c>
      <c r="L628">
        <f t="shared" si="132"/>
        <v>0</v>
      </c>
      <c r="M628">
        <f t="shared" si="133"/>
        <v>0</v>
      </c>
      <c r="N628">
        <f t="shared" si="134"/>
        <v>0</v>
      </c>
      <c r="O628">
        <f t="shared" si="135"/>
        <v>0</v>
      </c>
      <c r="P628">
        <f t="shared" si="136"/>
        <v>11.219999999999999</v>
      </c>
      <c r="Q628">
        <f t="shared" si="137"/>
        <v>0</v>
      </c>
      <c r="R628">
        <f t="shared" si="138"/>
        <v>0</v>
      </c>
      <c r="S628">
        <f t="shared" si="139"/>
        <v>0</v>
      </c>
    </row>
    <row r="629" spans="1:19" x14ac:dyDescent="0.3">
      <c r="A629" s="1">
        <v>41911</v>
      </c>
      <c r="B629" s="1">
        <v>41931</v>
      </c>
      <c r="C629">
        <v>7.3</v>
      </c>
      <c r="D629">
        <v>0.19</v>
      </c>
      <c r="E629">
        <v>5</v>
      </c>
      <c r="F629">
        <f t="shared" si="126"/>
        <v>7.49</v>
      </c>
      <c r="G629">
        <f t="shared" si="127"/>
        <v>9</v>
      </c>
      <c r="H629">
        <f t="shared" si="128"/>
        <v>0</v>
      </c>
      <c r="I629">
        <f t="shared" si="129"/>
        <v>0</v>
      </c>
      <c r="J629">
        <f t="shared" si="130"/>
        <v>0</v>
      </c>
      <c r="K629">
        <f t="shared" si="131"/>
        <v>0</v>
      </c>
      <c r="L629">
        <f t="shared" si="132"/>
        <v>0</v>
      </c>
      <c r="M629">
        <f t="shared" si="133"/>
        <v>0</v>
      </c>
      <c r="N629">
        <f t="shared" si="134"/>
        <v>0</v>
      </c>
      <c r="O629">
        <f t="shared" si="135"/>
        <v>0</v>
      </c>
      <c r="P629">
        <f t="shared" si="136"/>
        <v>7.49</v>
      </c>
      <c r="Q629">
        <f t="shared" si="137"/>
        <v>0</v>
      </c>
      <c r="R629">
        <f t="shared" si="138"/>
        <v>0</v>
      </c>
      <c r="S629">
        <f t="shared" si="139"/>
        <v>0</v>
      </c>
    </row>
    <row r="630" spans="1:19" x14ac:dyDescent="0.3">
      <c r="A630" s="1">
        <v>41911</v>
      </c>
      <c r="B630" s="1">
        <v>41939</v>
      </c>
      <c r="C630">
        <v>7.31</v>
      </c>
      <c r="D630">
        <v>0.19</v>
      </c>
      <c r="E630">
        <v>6</v>
      </c>
      <c r="F630">
        <f t="shared" si="126"/>
        <v>7.5</v>
      </c>
      <c r="G630">
        <f t="shared" si="127"/>
        <v>9</v>
      </c>
      <c r="H630">
        <f t="shared" si="128"/>
        <v>0</v>
      </c>
      <c r="I630">
        <f t="shared" si="129"/>
        <v>0</v>
      </c>
      <c r="J630">
        <f t="shared" si="130"/>
        <v>0</v>
      </c>
      <c r="K630">
        <f t="shared" si="131"/>
        <v>0</v>
      </c>
      <c r="L630">
        <f t="shared" si="132"/>
        <v>0</v>
      </c>
      <c r="M630">
        <f t="shared" si="133"/>
        <v>0</v>
      </c>
      <c r="N630">
        <f t="shared" si="134"/>
        <v>0</v>
      </c>
      <c r="O630">
        <f t="shared" si="135"/>
        <v>0</v>
      </c>
      <c r="P630">
        <f t="shared" si="136"/>
        <v>7.5</v>
      </c>
      <c r="Q630">
        <f t="shared" si="137"/>
        <v>0</v>
      </c>
      <c r="R630">
        <f t="shared" si="138"/>
        <v>0</v>
      </c>
      <c r="S630">
        <f t="shared" si="139"/>
        <v>0</v>
      </c>
    </row>
    <row r="631" spans="1:19" x14ac:dyDescent="0.3">
      <c r="A631" s="1">
        <v>41911</v>
      </c>
      <c r="B631" s="1">
        <v>41918</v>
      </c>
      <c r="C631">
        <v>13.07</v>
      </c>
      <c r="D631">
        <v>0.34</v>
      </c>
      <c r="E631">
        <v>5</v>
      </c>
      <c r="F631">
        <f t="shared" si="126"/>
        <v>13.41</v>
      </c>
      <c r="G631">
        <f t="shared" si="127"/>
        <v>9</v>
      </c>
      <c r="H631">
        <f t="shared" si="128"/>
        <v>0</v>
      </c>
      <c r="I631">
        <f t="shared" si="129"/>
        <v>0</v>
      </c>
      <c r="J631">
        <f t="shared" si="130"/>
        <v>0</v>
      </c>
      <c r="K631">
        <f t="shared" si="131"/>
        <v>0</v>
      </c>
      <c r="L631">
        <f t="shared" si="132"/>
        <v>0</v>
      </c>
      <c r="M631">
        <f t="shared" si="133"/>
        <v>0</v>
      </c>
      <c r="N631">
        <f t="shared" si="134"/>
        <v>0</v>
      </c>
      <c r="O631">
        <f t="shared" si="135"/>
        <v>0</v>
      </c>
      <c r="P631">
        <f t="shared" si="136"/>
        <v>13.41</v>
      </c>
      <c r="Q631">
        <f t="shared" si="137"/>
        <v>0</v>
      </c>
      <c r="R631">
        <f t="shared" si="138"/>
        <v>0</v>
      </c>
      <c r="S631">
        <f t="shared" si="139"/>
        <v>0</v>
      </c>
    </row>
    <row r="632" spans="1:19" x14ac:dyDescent="0.3">
      <c r="A632" s="1">
        <v>41911</v>
      </c>
      <c r="B632" s="1">
        <v>41923</v>
      </c>
      <c r="C632">
        <v>5.67</v>
      </c>
      <c r="D632">
        <v>0.15</v>
      </c>
      <c r="E632">
        <v>4</v>
      </c>
      <c r="F632">
        <f t="shared" si="126"/>
        <v>5.82</v>
      </c>
      <c r="G632">
        <f t="shared" si="127"/>
        <v>9</v>
      </c>
      <c r="H632">
        <f t="shared" si="128"/>
        <v>0</v>
      </c>
      <c r="I632">
        <f t="shared" si="129"/>
        <v>0</v>
      </c>
      <c r="J632">
        <f t="shared" si="130"/>
        <v>0</v>
      </c>
      <c r="K632">
        <f t="shared" si="131"/>
        <v>0</v>
      </c>
      <c r="L632">
        <f t="shared" si="132"/>
        <v>0</v>
      </c>
      <c r="M632">
        <f t="shared" si="133"/>
        <v>0</v>
      </c>
      <c r="N632">
        <f t="shared" si="134"/>
        <v>0</v>
      </c>
      <c r="O632">
        <f t="shared" si="135"/>
        <v>0</v>
      </c>
      <c r="P632">
        <f t="shared" si="136"/>
        <v>5.82</v>
      </c>
      <c r="Q632">
        <f t="shared" si="137"/>
        <v>0</v>
      </c>
      <c r="R632">
        <f t="shared" si="138"/>
        <v>0</v>
      </c>
      <c r="S632">
        <f t="shared" si="139"/>
        <v>0</v>
      </c>
    </row>
    <row r="633" spans="1:19" x14ac:dyDescent="0.3">
      <c r="A633" s="1">
        <v>41912</v>
      </c>
      <c r="B633" s="1">
        <v>41925</v>
      </c>
      <c r="C633">
        <v>2.72</v>
      </c>
      <c r="D633">
        <v>7.0000000000000007E-2</v>
      </c>
      <c r="E633">
        <v>6</v>
      </c>
      <c r="F633">
        <f t="shared" si="126"/>
        <v>2.79</v>
      </c>
      <c r="G633">
        <f t="shared" si="127"/>
        <v>9</v>
      </c>
      <c r="H633">
        <f t="shared" si="128"/>
        <v>0</v>
      </c>
      <c r="I633">
        <f t="shared" si="129"/>
        <v>0</v>
      </c>
      <c r="J633">
        <f t="shared" si="130"/>
        <v>0</v>
      </c>
      <c r="K633">
        <f t="shared" si="131"/>
        <v>0</v>
      </c>
      <c r="L633">
        <f t="shared" si="132"/>
        <v>0</v>
      </c>
      <c r="M633">
        <f t="shared" si="133"/>
        <v>0</v>
      </c>
      <c r="N633">
        <f t="shared" si="134"/>
        <v>0</v>
      </c>
      <c r="O633">
        <f t="shared" si="135"/>
        <v>0</v>
      </c>
      <c r="P633">
        <f t="shared" si="136"/>
        <v>2.79</v>
      </c>
      <c r="Q633">
        <f t="shared" si="137"/>
        <v>0</v>
      </c>
      <c r="R633">
        <f t="shared" si="138"/>
        <v>0</v>
      </c>
      <c r="S633">
        <f t="shared" si="139"/>
        <v>0</v>
      </c>
    </row>
    <row r="634" spans="1:19" x14ac:dyDescent="0.3">
      <c r="A634" s="1">
        <v>41913</v>
      </c>
      <c r="B634" s="1">
        <v>41919</v>
      </c>
      <c r="C634">
        <v>5.67</v>
      </c>
      <c r="D634">
        <v>0.15</v>
      </c>
      <c r="E634">
        <v>4</v>
      </c>
      <c r="F634">
        <f t="shared" si="126"/>
        <v>5.82</v>
      </c>
      <c r="G634">
        <f t="shared" si="127"/>
        <v>10</v>
      </c>
      <c r="H634">
        <f t="shared" si="128"/>
        <v>0</v>
      </c>
      <c r="I634">
        <f t="shared" si="129"/>
        <v>0</v>
      </c>
      <c r="J634">
        <f t="shared" si="130"/>
        <v>0</v>
      </c>
      <c r="K634">
        <f t="shared" si="131"/>
        <v>0</v>
      </c>
      <c r="L634">
        <f t="shared" si="132"/>
        <v>0</v>
      </c>
      <c r="M634">
        <f t="shared" si="133"/>
        <v>0</v>
      </c>
      <c r="N634">
        <f t="shared" si="134"/>
        <v>0</v>
      </c>
      <c r="O634">
        <f t="shared" si="135"/>
        <v>0</v>
      </c>
      <c r="P634">
        <f t="shared" si="136"/>
        <v>0</v>
      </c>
      <c r="Q634">
        <f t="shared" si="137"/>
        <v>5.82</v>
      </c>
      <c r="R634">
        <f t="shared" si="138"/>
        <v>0</v>
      </c>
      <c r="S634">
        <f t="shared" si="139"/>
        <v>0</v>
      </c>
    </row>
    <row r="635" spans="1:19" x14ac:dyDescent="0.3">
      <c r="A635" s="1">
        <v>41913</v>
      </c>
      <c r="B635" s="1">
        <v>41928</v>
      </c>
      <c r="C635">
        <v>5.67</v>
      </c>
      <c r="D635">
        <v>0.15</v>
      </c>
      <c r="E635">
        <v>5</v>
      </c>
      <c r="F635">
        <f t="shared" si="126"/>
        <v>5.82</v>
      </c>
      <c r="G635">
        <f t="shared" si="127"/>
        <v>10</v>
      </c>
      <c r="H635">
        <f t="shared" si="128"/>
        <v>0</v>
      </c>
      <c r="I635">
        <f t="shared" si="129"/>
        <v>0</v>
      </c>
      <c r="J635">
        <f t="shared" si="130"/>
        <v>0</v>
      </c>
      <c r="K635">
        <f t="shared" si="131"/>
        <v>0</v>
      </c>
      <c r="L635">
        <f t="shared" si="132"/>
        <v>0</v>
      </c>
      <c r="M635">
        <f t="shared" si="133"/>
        <v>0</v>
      </c>
      <c r="N635">
        <f t="shared" si="134"/>
        <v>0</v>
      </c>
      <c r="O635">
        <f t="shared" si="135"/>
        <v>0</v>
      </c>
      <c r="P635">
        <f t="shared" si="136"/>
        <v>0</v>
      </c>
      <c r="Q635">
        <f t="shared" si="137"/>
        <v>5.82</v>
      </c>
      <c r="R635">
        <f t="shared" si="138"/>
        <v>0</v>
      </c>
      <c r="S635">
        <f t="shared" si="139"/>
        <v>0</v>
      </c>
    </row>
    <row r="636" spans="1:19" x14ac:dyDescent="0.3">
      <c r="A636" s="1">
        <v>41914</v>
      </c>
      <c r="B636" s="1">
        <v>41917</v>
      </c>
      <c r="C636">
        <v>3.94</v>
      </c>
      <c r="D636">
        <v>0.1</v>
      </c>
      <c r="E636">
        <v>5</v>
      </c>
      <c r="F636">
        <f t="shared" si="126"/>
        <v>4.04</v>
      </c>
      <c r="G636">
        <f t="shared" si="127"/>
        <v>10</v>
      </c>
      <c r="H636">
        <f t="shared" si="128"/>
        <v>0</v>
      </c>
      <c r="I636">
        <f t="shared" si="129"/>
        <v>0</v>
      </c>
      <c r="J636">
        <f t="shared" si="130"/>
        <v>0</v>
      </c>
      <c r="K636">
        <f t="shared" si="131"/>
        <v>0</v>
      </c>
      <c r="L636">
        <f t="shared" si="132"/>
        <v>0</v>
      </c>
      <c r="M636">
        <f t="shared" si="133"/>
        <v>0</v>
      </c>
      <c r="N636">
        <f t="shared" si="134"/>
        <v>0</v>
      </c>
      <c r="O636">
        <f t="shared" si="135"/>
        <v>0</v>
      </c>
      <c r="P636">
        <f t="shared" si="136"/>
        <v>0</v>
      </c>
      <c r="Q636">
        <f t="shared" si="137"/>
        <v>4.04</v>
      </c>
      <c r="R636">
        <f t="shared" si="138"/>
        <v>0</v>
      </c>
      <c r="S636">
        <f t="shared" si="139"/>
        <v>0</v>
      </c>
    </row>
    <row r="637" spans="1:19" x14ac:dyDescent="0.3">
      <c r="A637" s="1">
        <v>41914</v>
      </c>
      <c r="B637" s="1">
        <v>41942</v>
      </c>
      <c r="C637">
        <v>5.64</v>
      </c>
      <c r="D637">
        <v>0.15</v>
      </c>
      <c r="E637">
        <v>3</v>
      </c>
      <c r="F637">
        <f t="shared" si="126"/>
        <v>5.79</v>
      </c>
      <c r="G637">
        <f t="shared" si="127"/>
        <v>10</v>
      </c>
      <c r="H637">
        <f t="shared" si="128"/>
        <v>0</v>
      </c>
      <c r="I637">
        <f t="shared" si="129"/>
        <v>0</v>
      </c>
      <c r="J637">
        <f t="shared" si="130"/>
        <v>0</v>
      </c>
      <c r="K637">
        <f t="shared" si="131"/>
        <v>0</v>
      </c>
      <c r="L637">
        <f t="shared" si="132"/>
        <v>0</v>
      </c>
      <c r="M637">
        <f t="shared" si="133"/>
        <v>0</v>
      </c>
      <c r="N637">
        <f t="shared" si="134"/>
        <v>0</v>
      </c>
      <c r="O637">
        <f t="shared" si="135"/>
        <v>0</v>
      </c>
      <c r="P637">
        <f t="shared" si="136"/>
        <v>0</v>
      </c>
      <c r="Q637">
        <f t="shared" si="137"/>
        <v>5.79</v>
      </c>
      <c r="R637">
        <f t="shared" si="138"/>
        <v>0</v>
      </c>
      <c r="S637">
        <f t="shared" si="139"/>
        <v>0</v>
      </c>
    </row>
    <row r="638" spans="1:19" x14ac:dyDescent="0.3">
      <c r="A638" s="1">
        <v>41915</v>
      </c>
      <c r="B638" s="1">
        <v>41932</v>
      </c>
      <c r="C638">
        <v>2.0099999999999998</v>
      </c>
      <c r="D638">
        <v>0.05</v>
      </c>
      <c r="E638">
        <v>6</v>
      </c>
      <c r="F638">
        <f t="shared" si="126"/>
        <v>2.0599999999999996</v>
      </c>
      <c r="G638">
        <f t="shared" si="127"/>
        <v>10</v>
      </c>
      <c r="H638">
        <f t="shared" si="128"/>
        <v>0</v>
      </c>
      <c r="I638">
        <f t="shared" si="129"/>
        <v>0</v>
      </c>
      <c r="J638">
        <f t="shared" si="130"/>
        <v>0</v>
      </c>
      <c r="K638">
        <f t="shared" si="131"/>
        <v>0</v>
      </c>
      <c r="L638">
        <f t="shared" si="132"/>
        <v>0</v>
      </c>
      <c r="M638">
        <f t="shared" si="133"/>
        <v>0</v>
      </c>
      <c r="N638">
        <f t="shared" si="134"/>
        <v>0</v>
      </c>
      <c r="O638">
        <f t="shared" si="135"/>
        <v>0</v>
      </c>
      <c r="P638">
        <f t="shared" si="136"/>
        <v>0</v>
      </c>
      <c r="Q638">
        <f t="shared" si="137"/>
        <v>2.0599999999999996</v>
      </c>
      <c r="R638">
        <f t="shared" si="138"/>
        <v>0</v>
      </c>
      <c r="S638">
        <f t="shared" si="139"/>
        <v>0</v>
      </c>
    </row>
    <row r="639" spans="1:19" x14ac:dyDescent="0.3">
      <c r="A639" s="1">
        <v>41915</v>
      </c>
      <c r="B639" s="1">
        <v>41938</v>
      </c>
      <c r="C639">
        <v>3.73</v>
      </c>
      <c r="D639">
        <v>0.1</v>
      </c>
      <c r="E639">
        <v>4</v>
      </c>
      <c r="F639">
        <f t="shared" si="126"/>
        <v>3.83</v>
      </c>
      <c r="G639">
        <f t="shared" si="127"/>
        <v>10</v>
      </c>
      <c r="H639">
        <f t="shared" si="128"/>
        <v>0</v>
      </c>
      <c r="I639">
        <f t="shared" si="129"/>
        <v>0</v>
      </c>
      <c r="J639">
        <f t="shared" si="130"/>
        <v>0</v>
      </c>
      <c r="K639">
        <f t="shared" si="131"/>
        <v>0</v>
      </c>
      <c r="L639">
        <f t="shared" si="132"/>
        <v>0</v>
      </c>
      <c r="M639">
        <f t="shared" si="133"/>
        <v>0</v>
      </c>
      <c r="N639">
        <f t="shared" si="134"/>
        <v>0</v>
      </c>
      <c r="O639">
        <f t="shared" si="135"/>
        <v>0</v>
      </c>
      <c r="P639">
        <f t="shared" si="136"/>
        <v>0</v>
      </c>
      <c r="Q639">
        <f t="shared" si="137"/>
        <v>3.83</v>
      </c>
      <c r="R639">
        <f t="shared" si="138"/>
        <v>0</v>
      </c>
      <c r="S639">
        <f t="shared" si="139"/>
        <v>0</v>
      </c>
    </row>
    <row r="640" spans="1:19" x14ac:dyDescent="0.3">
      <c r="A640" s="1">
        <v>41915</v>
      </c>
      <c r="B640" s="1">
        <v>41921</v>
      </c>
      <c r="C640">
        <v>3.73</v>
      </c>
      <c r="D640">
        <v>0.1</v>
      </c>
      <c r="E640">
        <v>2</v>
      </c>
      <c r="F640">
        <f t="shared" si="126"/>
        <v>3.83</v>
      </c>
      <c r="G640">
        <f t="shared" si="127"/>
        <v>10</v>
      </c>
      <c r="H640">
        <f t="shared" si="128"/>
        <v>0</v>
      </c>
      <c r="I640">
        <f t="shared" si="129"/>
        <v>0</v>
      </c>
      <c r="J640">
        <f t="shared" si="130"/>
        <v>0</v>
      </c>
      <c r="K640">
        <f t="shared" si="131"/>
        <v>0</v>
      </c>
      <c r="L640">
        <f t="shared" si="132"/>
        <v>0</v>
      </c>
      <c r="M640">
        <f t="shared" si="133"/>
        <v>0</v>
      </c>
      <c r="N640">
        <f t="shared" si="134"/>
        <v>0</v>
      </c>
      <c r="O640">
        <f t="shared" si="135"/>
        <v>0</v>
      </c>
      <c r="P640">
        <f t="shared" si="136"/>
        <v>0</v>
      </c>
      <c r="Q640">
        <f t="shared" si="137"/>
        <v>3.83</v>
      </c>
      <c r="R640">
        <f t="shared" si="138"/>
        <v>0</v>
      </c>
      <c r="S640">
        <f t="shared" si="139"/>
        <v>0</v>
      </c>
    </row>
    <row r="641" spans="1:19" x14ac:dyDescent="0.3">
      <c r="A641" s="1">
        <v>41917</v>
      </c>
      <c r="B641" s="1">
        <v>41937</v>
      </c>
      <c r="C641">
        <v>4.25</v>
      </c>
      <c r="D641">
        <v>0.11</v>
      </c>
      <c r="E641">
        <v>5</v>
      </c>
      <c r="F641">
        <f t="shared" si="126"/>
        <v>4.3600000000000003</v>
      </c>
      <c r="G641">
        <f t="shared" si="127"/>
        <v>10</v>
      </c>
      <c r="H641">
        <f t="shared" si="128"/>
        <v>0</v>
      </c>
      <c r="I641">
        <f t="shared" si="129"/>
        <v>0</v>
      </c>
      <c r="J641">
        <f t="shared" si="130"/>
        <v>0</v>
      </c>
      <c r="K641">
        <f t="shared" si="131"/>
        <v>0</v>
      </c>
      <c r="L641">
        <f t="shared" si="132"/>
        <v>0</v>
      </c>
      <c r="M641">
        <f t="shared" si="133"/>
        <v>0</v>
      </c>
      <c r="N641">
        <f t="shared" si="134"/>
        <v>0</v>
      </c>
      <c r="O641">
        <f t="shared" si="135"/>
        <v>0</v>
      </c>
      <c r="P641">
        <f t="shared" si="136"/>
        <v>0</v>
      </c>
      <c r="Q641">
        <f t="shared" si="137"/>
        <v>4.3600000000000003</v>
      </c>
      <c r="R641">
        <f t="shared" si="138"/>
        <v>0</v>
      </c>
      <c r="S641">
        <f t="shared" si="139"/>
        <v>0</v>
      </c>
    </row>
    <row r="642" spans="1:19" x14ac:dyDescent="0.3">
      <c r="A642" s="1">
        <v>41917</v>
      </c>
      <c r="B642" s="1">
        <v>41928</v>
      </c>
      <c r="C642">
        <v>11.42</v>
      </c>
      <c r="D642">
        <v>0.3</v>
      </c>
      <c r="E642">
        <v>4</v>
      </c>
      <c r="F642">
        <f t="shared" si="126"/>
        <v>11.72</v>
      </c>
      <c r="G642">
        <f t="shared" si="127"/>
        <v>10</v>
      </c>
      <c r="H642">
        <f t="shared" si="128"/>
        <v>0</v>
      </c>
      <c r="I642">
        <f t="shared" si="129"/>
        <v>0</v>
      </c>
      <c r="J642">
        <f t="shared" si="130"/>
        <v>0</v>
      </c>
      <c r="K642">
        <f t="shared" si="131"/>
        <v>0</v>
      </c>
      <c r="L642">
        <f t="shared" si="132"/>
        <v>0</v>
      </c>
      <c r="M642">
        <f t="shared" si="133"/>
        <v>0</v>
      </c>
      <c r="N642">
        <f t="shared" si="134"/>
        <v>0</v>
      </c>
      <c r="O642">
        <f t="shared" si="135"/>
        <v>0</v>
      </c>
      <c r="P642">
        <f t="shared" si="136"/>
        <v>0</v>
      </c>
      <c r="Q642">
        <f t="shared" si="137"/>
        <v>11.72</v>
      </c>
      <c r="R642">
        <f t="shared" si="138"/>
        <v>0</v>
      </c>
      <c r="S642">
        <f t="shared" si="139"/>
        <v>0</v>
      </c>
    </row>
    <row r="643" spans="1:19" x14ac:dyDescent="0.3">
      <c r="A643" s="1">
        <v>41917</v>
      </c>
      <c r="B643" s="1">
        <v>41939</v>
      </c>
      <c r="C643">
        <v>13.07</v>
      </c>
      <c r="D643">
        <v>0.34</v>
      </c>
      <c r="E643">
        <v>3</v>
      </c>
      <c r="F643">
        <f t="shared" ref="F643:F706" si="140">C643+D643</f>
        <v>13.41</v>
      </c>
      <c r="G643">
        <f t="shared" ref="G643:G706" si="141">MONTH(A643)</f>
        <v>10</v>
      </c>
      <c r="H643">
        <f t="shared" ref="H643:H706" si="142">IF(EXACT(G643,1),F643,0)</f>
        <v>0</v>
      </c>
      <c r="I643">
        <f t="shared" ref="I643:I706" si="143">IF(EXACT(G643,2),F643,0)</f>
        <v>0</v>
      </c>
      <c r="J643">
        <f t="shared" ref="J643:J706" si="144">IF(EXACT(G643,3),F643,0)</f>
        <v>0</v>
      </c>
      <c r="K643">
        <f t="shared" ref="K643:K706" si="145">IF(EXACT(G643,4),F643,0)</f>
        <v>0</v>
      </c>
      <c r="L643">
        <f t="shared" ref="L643:L706" si="146">IF(EXACT(G643,5),F643,0)</f>
        <v>0</v>
      </c>
      <c r="M643">
        <f t="shared" ref="M643:M706" si="147">IF(EXACT(G643,6),F643,0)</f>
        <v>0</v>
      </c>
      <c r="N643">
        <f t="shared" ref="N643:N706" si="148">IF(EXACT(G643,7),F643,0)</f>
        <v>0</v>
      </c>
      <c r="O643">
        <f t="shared" ref="O643:O706" si="149">IF(EXACT(G643,8),F643,0)</f>
        <v>0</v>
      </c>
      <c r="P643">
        <f t="shared" ref="P643:P706" si="150">IF(EXACT(G643,9),F643,0)</f>
        <v>0</v>
      </c>
      <c r="Q643">
        <f t="shared" ref="Q643:Q706" si="151">IF(EXACT(G643,10),F643,0)</f>
        <v>13.41</v>
      </c>
      <c r="R643">
        <f t="shared" ref="R643:R706" si="152">IF(EXACT(G643,11),F643,0)</f>
        <v>0</v>
      </c>
      <c r="S643">
        <f t="shared" ref="S643:S706" si="153">IF(EXACT(G643,12),F643,0)</f>
        <v>0</v>
      </c>
    </row>
    <row r="644" spans="1:19" x14ac:dyDescent="0.3">
      <c r="A644" s="1">
        <v>41918</v>
      </c>
      <c r="B644" s="1">
        <v>41939</v>
      </c>
      <c r="C644">
        <v>5.67</v>
      </c>
      <c r="D644">
        <v>0.15</v>
      </c>
      <c r="E644">
        <v>2</v>
      </c>
      <c r="F644">
        <f t="shared" si="140"/>
        <v>5.82</v>
      </c>
      <c r="G644">
        <f t="shared" si="141"/>
        <v>10</v>
      </c>
      <c r="H644">
        <f t="shared" si="142"/>
        <v>0</v>
      </c>
      <c r="I644">
        <f t="shared" si="143"/>
        <v>0</v>
      </c>
      <c r="J644">
        <f t="shared" si="144"/>
        <v>0</v>
      </c>
      <c r="K644">
        <f t="shared" si="145"/>
        <v>0</v>
      </c>
      <c r="L644">
        <f t="shared" si="146"/>
        <v>0</v>
      </c>
      <c r="M644">
        <f t="shared" si="147"/>
        <v>0</v>
      </c>
      <c r="N644">
        <f t="shared" si="148"/>
        <v>0</v>
      </c>
      <c r="O644">
        <f t="shared" si="149"/>
        <v>0</v>
      </c>
      <c r="P644">
        <f t="shared" si="150"/>
        <v>0</v>
      </c>
      <c r="Q644">
        <f t="shared" si="151"/>
        <v>5.82</v>
      </c>
      <c r="R644">
        <f t="shared" si="152"/>
        <v>0</v>
      </c>
      <c r="S644">
        <f t="shared" si="153"/>
        <v>0</v>
      </c>
    </row>
    <row r="645" spans="1:19" x14ac:dyDescent="0.3">
      <c r="A645" s="1">
        <v>41918</v>
      </c>
      <c r="B645" s="1">
        <v>41922</v>
      </c>
      <c r="C645">
        <v>6.23</v>
      </c>
      <c r="D645">
        <v>0.16</v>
      </c>
      <c r="E645">
        <v>4</v>
      </c>
      <c r="F645">
        <f t="shared" si="140"/>
        <v>6.3900000000000006</v>
      </c>
      <c r="G645">
        <f t="shared" si="141"/>
        <v>10</v>
      </c>
      <c r="H645">
        <f t="shared" si="142"/>
        <v>0</v>
      </c>
      <c r="I645">
        <f t="shared" si="143"/>
        <v>0</v>
      </c>
      <c r="J645">
        <f t="shared" si="144"/>
        <v>0</v>
      </c>
      <c r="K645">
        <f t="shared" si="145"/>
        <v>0</v>
      </c>
      <c r="L645">
        <f t="shared" si="146"/>
        <v>0</v>
      </c>
      <c r="M645">
        <f t="shared" si="147"/>
        <v>0</v>
      </c>
      <c r="N645">
        <f t="shared" si="148"/>
        <v>0</v>
      </c>
      <c r="O645">
        <f t="shared" si="149"/>
        <v>0</v>
      </c>
      <c r="P645">
        <f t="shared" si="150"/>
        <v>0</v>
      </c>
      <c r="Q645">
        <f t="shared" si="151"/>
        <v>6.3900000000000006</v>
      </c>
      <c r="R645">
        <f t="shared" si="152"/>
        <v>0</v>
      </c>
      <c r="S645">
        <f t="shared" si="153"/>
        <v>0</v>
      </c>
    </row>
    <row r="646" spans="1:19" x14ac:dyDescent="0.3">
      <c r="A646" s="1">
        <v>41918</v>
      </c>
      <c r="B646" s="1">
        <v>41940</v>
      </c>
      <c r="C646">
        <v>19.940000000000001</v>
      </c>
      <c r="D646">
        <v>0.52</v>
      </c>
      <c r="E646">
        <v>4</v>
      </c>
      <c r="F646">
        <f t="shared" si="140"/>
        <v>20.46</v>
      </c>
      <c r="G646">
        <f t="shared" si="141"/>
        <v>10</v>
      </c>
      <c r="H646">
        <f t="shared" si="142"/>
        <v>0</v>
      </c>
      <c r="I646">
        <f t="shared" si="143"/>
        <v>0</v>
      </c>
      <c r="J646">
        <f t="shared" si="144"/>
        <v>0</v>
      </c>
      <c r="K646">
        <f t="shared" si="145"/>
        <v>0</v>
      </c>
      <c r="L646">
        <f t="shared" si="146"/>
        <v>0</v>
      </c>
      <c r="M646">
        <f t="shared" si="147"/>
        <v>0</v>
      </c>
      <c r="N646">
        <f t="shared" si="148"/>
        <v>0</v>
      </c>
      <c r="O646">
        <f t="shared" si="149"/>
        <v>0</v>
      </c>
      <c r="P646">
        <f t="shared" si="150"/>
        <v>0</v>
      </c>
      <c r="Q646">
        <f t="shared" si="151"/>
        <v>20.46</v>
      </c>
      <c r="R646">
        <f t="shared" si="152"/>
        <v>0</v>
      </c>
      <c r="S646">
        <f t="shared" si="153"/>
        <v>0</v>
      </c>
    </row>
    <row r="647" spans="1:19" x14ac:dyDescent="0.3">
      <c r="A647" s="1">
        <v>41918</v>
      </c>
      <c r="B647" s="1">
        <v>41925</v>
      </c>
      <c r="C647">
        <v>6.88</v>
      </c>
      <c r="D647">
        <v>0.18</v>
      </c>
      <c r="E647">
        <v>3</v>
      </c>
      <c r="F647">
        <f t="shared" si="140"/>
        <v>7.06</v>
      </c>
      <c r="G647">
        <f t="shared" si="141"/>
        <v>10</v>
      </c>
      <c r="H647">
        <f t="shared" si="142"/>
        <v>0</v>
      </c>
      <c r="I647">
        <f t="shared" si="143"/>
        <v>0</v>
      </c>
      <c r="J647">
        <f t="shared" si="144"/>
        <v>0</v>
      </c>
      <c r="K647">
        <f t="shared" si="145"/>
        <v>0</v>
      </c>
      <c r="L647">
        <f t="shared" si="146"/>
        <v>0</v>
      </c>
      <c r="M647">
        <f t="shared" si="147"/>
        <v>0</v>
      </c>
      <c r="N647">
        <f t="shared" si="148"/>
        <v>0</v>
      </c>
      <c r="O647">
        <f t="shared" si="149"/>
        <v>0</v>
      </c>
      <c r="P647">
        <f t="shared" si="150"/>
        <v>0</v>
      </c>
      <c r="Q647">
        <f t="shared" si="151"/>
        <v>7.06</v>
      </c>
      <c r="R647">
        <f t="shared" si="152"/>
        <v>0</v>
      </c>
      <c r="S647">
        <f t="shared" si="153"/>
        <v>0</v>
      </c>
    </row>
    <row r="648" spans="1:19" x14ac:dyDescent="0.3">
      <c r="A648" s="1">
        <v>41918</v>
      </c>
      <c r="B648" s="1">
        <v>41929</v>
      </c>
      <c r="C648">
        <v>8.39</v>
      </c>
      <c r="D648">
        <v>0.22</v>
      </c>
      <c r="E648">
        <v>6</v>
      </c>
      <c r="F648">
        <f t="shared" si="140"/>
        <v>8.6100000000000012</v>
      </c>
      <c r="G648">
        <f t="shared" si="141"/>
        <v>10</v>
      </c>
      <c r="H648">
        <f t="shared" si="142"/>
        <v>0</v>
      </c>
      <c r="I648">
        <f t="shared" si="143"/>
        <v>0</v>
      </c>
      <c r="J648">
        <f t="shared" si="144"/>
        <v>0</v>
      </c>
      <c r="K648">
        <f t="shared" si="145"/>
        <v>0</v>
      </c>
      <c r="L648">
        <f t="shared" si="146"/>
        <v>0</v>
      </c>
      <c r="M648">
        <f t="shared" si="147"/>
        <v>0</v>
      </c>
      <c r="N648">
        <f t="shared" si="148"/>
        <v>0</v>
      </c>
      <c r="O648">
        <f t="shared" si="149"/>
        <v>0</v>
      </c>
      <c r="P648">
        <f t="shared" si="150"/>
        <v>0</v>
      </c>
      <c r="Q648">
        <f t="shared" si="151"/>
        <v>8.6100000000000012</v>
      </c>
      <c r="R648">
        <f t="shared" si="152"/>
        <v>0</v>
      </c>
      <c r="S648">
        <f t="shared" si="153"/>
        <v>0</v>
      </c>
    </row>
    <row r="649" spans="1:19" x14ac:dyDescent="0.3">
      <c r="A649" s="1">
        <v>41922</v>
      </c>
      <c r="B649" s="1">
        <v>41936</v>
      </c>
      <c r="C649">
        <v>11.44</v>
      </c>
      <c r="D649">
        <v>0.3</v>
      </c>
      <c r="E649">
        <v>4</v>
      </c>
      <c r="F649">
        <f t="shared" si="140"/>
        <v>11.74</v>
      </c>
      <c r="G649">
        <f t="shared" si="141"/>
        <v>10</v>
      </c>
      <c r="H649">
        <f t="shared" si="142"/>
        <v>0</v>
      </c>
      <c r="I649">
        <f t="shared" si="143"/>
        <v>0</v>
      </c>
      <c r="J649">
        <f t="shared" si="144"/>
        <v>0</v>
      </c>
      <c r="K649">
        <f t="shared" si="145"/>
        <v>0</v>
      </c>
      <c r="L649">
        <f t="shared" si="146"/>
        <v>0</v>
      </c>
      <c r="M649">
        <f t="shared" si="147"/>
        <v>0</v>
      </c>
      <c r="N649">
        <f t="shared" si="148"/>
        <v>0</v>
      </c>
      <c r="O649">
        <f t="shared" si="149"/>
        <v>0</v>
      </c>
      <c r="P649">
        <f t="shared" si="150"/>
        <v>0</v>
      </c>
      <c r="Q649">
        <f t="shared" si="151"/>
        <v>11.74</v>
      </c>
      <c r="R649">
        <f t="shared" si="152"/>
        <v>0</v>
      </c>
      <c r="S649">
        <f t="shared" si="153"/>
        <v>0</v>
      </c>
    </row>
    <row r="650" spans="1:19" x14ac:dyDescent="0.3">
      <c r="A650" s="1">
        <v>41922</v>
      </c>
      <c r="B650" s="1">
        <v>41937</v>
      </c>
      <c r="C650">
        <v>9.4600000000000009</v>
      </c>
      <c r="D650">
        <v>0.25</v>
      </c>
      <c r="E650">
        <v>5</v>
      </c>
      <c r="F650">
        <f t="shared" si="140"/>
        <v>9.7100000000000009</v>
      </c>
      <c r="G650">
        <f t="shared" si="141"/>
        <v>10</v>
      </c>
      <c r="H650">
        <f t="shared" si="142"/>
        <v>0</v>
      </c>
      <c r="I650">
        <f t="shared" si="143"/>
        <v>0</v>
      </c>
      <c r="J650">
        <f t="shared" si="144"/>
        <v>0</v>
      </c>
      <c r="K650">
        <f t="shared" si="145"/>
        <v>0</v>
      </c>
      <c r="L650">
        <f t="shared" si="146"/>
        <v>0</v>
      </c>
      <c r="M650">
        <f t="shared" si="147"/>
        <v>0</v>
      </c>
      <c r="N650">
        <f t="shared" si="148"/>
        <v>0</v>
      </c>
      <c r="O650">
        <f t="shared" si="149"/>
        <v>0</v>
      </c>
      <c r="P650">
        <f t="shared" si="150"/>
        <v>0</v>
      </c>
      <c r="Q650">
        <f t="shared" si="151"/>
        <v>9.7100000000000009</v>
      </c>
      <c r="R650">
        <f t="shared" si="152"/>
        <v>0</v>
      </c>
      <c r="S650">
        <f t="shared" si="153"/>
        <v>0</v>
      </c>
    </row>
    <row r="651" spans="1:19" x14ac:dyDescent="0.3">
      <c r="A651" s="1">
        <v>41922</v>
      </c>
      <c r="B651" s="1">
        <v>41926</v>
      </c>
      <c r="C651">
        <v>5.67</v>
      </c>
      <c r="D651">
        <v>0.15</v>
      </c>
      <c r="E651">
        <v>4</v>
      </c>
      <c r="F651">
        <f t="shared" si="140"/>
        <v>5.82</v>
      </c>
      <c r="G651">
        <f t="shared" si="141"/>
        <v>10</v>
      </c>
      <c r="H651">
        <f t="shared" si="142"/>
        <v>0</v>
      </c>
      <c r="I651">
        <f t="shared" si="143"/>
        <v>0</v>
      </c>
      <c r="J651">
        <f t="shared" si="144"/>
        <v>0</v>
      </c>
      <c r="K651">
        <f t="shared" si="145"/>
        <v>0</v>
      </c>
      <c r="L651">
        <f t="shared" si="146"/>
        <v>0</v>
      </c>
      <c r="M651">
        <f t="shared" si="147"/>
        <v>0</v>
      </c>
      <c r="N651">
        <f t="shared" si="148"/>
        <v>0</v>
      </c>
      <c r="O651">
        <f t="shared" si="149"/>
        <v>0</v>
      </c>
      <c r="P651">
        <f t="shared" si="150"/>
        <v>0</v>
      </c>
      <c r="Q651">
        <f t="shared" si="151"/>
        <v>5.82</v>
      </c>
      <c r="R651">
        <f t="shared" si="152"/>
        <v>0</v>
      </c>
      <c r="S651">
        <f t="shared" si="153"/>
        <v>0</v>
      </c>
    </row>
    <row r="652" spans="1:19" x14ac:dyDescent="0.3">
      <c r="A652" s="1">
        <v>41922</v>
      </c>
      <c r="B652" s="1">
        <v>41947</v>
      </c>
      <c r="C652">
        <v>13.82</v>
      </c>
      <c r="D652">
        <v>0.36</v>
      </c>
      <c r="E652">
        <v>2</v>
      </c>
      <c r="F652">
        <f t="shared" si="140"/>
        <v>14.18</v>
      </c>
      <c r="G652">
        <f t="shared" si="141"/>
        <v>10</v>
      </c>
      <c r="H652">
        <f t="shared" si="142"/>
        <v>0</v>
      </c>
      <c r="I652">
        <f t="shared" si="143"/>
        <v>0</v>
      </c>
      <c r="J652">
        <f t="shared" si="144"/>
        <v>0</v>
      </c>
      <c r="K652">
        <f t="shared" si="145"/>
        <v>0</v>
      </c>
      <c r="L652">
        <f t="shared" si="146"/>
        <v>0</v>
      </c>
      <c r="M652">
        <f t="shared" si="147"/>
        <v>0</v>
      </c>
      <c r="N652">
        <f t="shared" si="148"/>
        <v>0</v>
      </c>
      <c r="O652">
        <f t="shared" si="149"/>
        <v>0</v>
      </c>
      <c r="P652">
        <f t="shared" si="150"/>
        <v>0</v>
      </c>
      <c r="Q652">
        <f t="shared" si="151"/>
        <v>14.18</v>
      </c>
      <c r="R652">
        <f t="shared" si="152"/>
        <v>0</v>
      </c>
      <c r="S652">
        <f t="shared" si="153"/>
        <v>0</v>
      </c>
    </row>
    <row r="653" spans="1:19" x14ac:dyDescent="0.3">
      <c r="A653" s="1">
        <v>41922</v>
      </c>
      <c r="B653" s="1">
        <v>41929</v>
      </c>
      <c r="C653">
        <v>6.43</v>
      </c>
      <c r="D653">
        <v>0.17</v>
      </c>
      <c r="E653">
        <v>5</v>
      </c>
      <c r="F653">
        <f t="shared" si="140"/>
        <v>6.6</v>
      </c>
      <c r="G653">
        <f t="shared" si="141"/>
        <v>10</v>
      </c>
      <c r="H653">
        <f t="shared" si="142"/>
        <v>0</v>
      </c>
      <c r="I653">
        <f t="shared" si="143"/>
        <v>0</v>
      </c>
      <c r="J653">
        <f t="shared" si="144"/>
        <v>0</v>
      </c>
      <c r="K653">
        <f t="shared" si="145"/>
        <v>0</v>
      </c>
      <c r="L653">
        <f t="shared" si="146"/>
        <v>0</v>
      </c>
      <c r="M653">
        <f t="shared" si="147"/>
        <v>0</v>
      </c>
      <c r="N653">
        <f t="shared" si="148"/>
        <v>0</v>
      </c>
      <c r="O653">
        <f t="shared" si="149"/>
        <v>0</v>
      </c>
      <c r="P653">
        <f t="shared" si="150"/>
        <v>0</v>
      </c>
      <c r="Q653">
        <f t="shared" si="151"/>
        <v>6.6</v>
      </c>
      <c r="R653">
        <f t="shared" si="152"/>
        <v>0</v>
      </c>
      <c r="S653">
        <f t="shared" si="153"/>
        <v>0</v>
      </c>
    </row>
    <row r="654" spans="1:19" x14ac:dyDescent="0.3">
      <c r="A654" s="1">
        <v>41922</v>
      </c>
      <c r="B654" s="1">
        <v>41928</v>
      </c>
      <c r="C654">
        <v>2.0099999999999998</v>
      </c>
      <c r="D654">
        <v>0.05</v>
      </c>
      <c r="E654">
        <v>2</v>
      </c>
      <c r="F654">
        <f t="shared" si="140"/>
        <v>2.0599999999999996</v>
      </c>
      <c r="G654">
        <f t="shared" si="141"/>
        <v>10</v>
      </c>
      <c r="H654">
        <f t="shared" si="142"/>
        <v>0</v>
      </c>
      <c r="I654">
        <f t="shared" si="143"/>
        <v>0</v>
      </c>
      <c r="J654">
        <f t="shared" si="144"/>
        <v>0</v>
      </c>
      <c r="K654">
        <f t="shared" si="145"/>
        <v>0</v>
      </c>
      <c r="L654">
        <f t="shared" si="146"/>
        <v>0</v>
      </c>
      <c r="M654">
        <f t="shared" si="147"/>
        <v>0</v>
      </c>
      <c r="N654">
        <f t="shared" si="148"/>
        <v>0</v>
      </c>
      <c r="O654">
        <f t="shared" si="149"/>
        <v>0</v>
      </c>
      <c r="P654">
        <f t="shared" si="150"/>
        <v>0</v>
      </c>
      <c r="Q654">
        <f t="shared" si="151"/>
        <v>2.0599999999999996</v>
      </c>
      <c r="R654">
        <f t="shared" si="152"/>
        <v>0</v>
      </c>
      <c r="S654">
        <f t="shared" si="153"/>
        <v>0</v>
      </c>
    </row>
    <row r="655" spans="1:19" x14ac:dyDescent="0.3">
      <c r="A655" s="1">
        <v>41922</v>
      </c>
      <c r="B655" s="1">
        <v>41950</v>
      </c>
      <c r="C655">
        <v>6.43</v>
      </c>
      <c r="D655">
        <v>0.17</v>
      </c>
      <c r="E655">
        <v>5</v>
      </c>
      <c r="F655">
        <f t="shared" si="140"/>
        <v>6.6</v>
      </c>
      <c r="G655">
        <f t="shared" si="141"/>
        <v>10</v>
      </c>
      <c r="H655">
        <f t="shared" si="142"/>
        <v>0</v>
      </c>
      <c r="I655">
        <f t="shared" si="143"/>
        <v>0</v>
      </c>
      <c r="J655">
        <f t="shared" si="144"/>
        <v>0</v>
      </c>
      <c r="K655">
        <f t="shared" si="145"/>
        <v>0</v>
      </c>
      <c r="L655">
        <f t="shared" si="146"/>
        <v>0</v>
      </c>
      <c r="M655">
        <f t="shared" si="147"/>
        <v>0</v>
      </c>
      <c r="N655">
        <f t="shared" si="148"/>
        <v>0</v>
      </c>
      <c r="O655">
        <f t="shared" si="149"/>
        <v>0</v>
      </c>
      <c r="P655">
        <f t="shared" si="150"/>
        <v>0</v>
      </c>
      <c r="Q655">
        <f t="shared" si="151"/>
        <v>6.6</v>
      </c>
      <c r="R655">
        <f t="shared" si="152"/>
        <v>0</v>
      </c>
      <c r="S655">
        <f t="shared" si="153"/>
        <v>0</v>
      </c>
    </row>
    <row r="656" spans="1:19" x14ac:dyDescent="0.3">
      <c r="A656" s="1">
        <v>41922</v>
      </c>
      <c r="B656" s="1">
        <v>41944</v>
      </c>
      <c r="C656">
        <v>7.35</v>
      </c>
      <c r="D656">
        <v>0.19</v>
      </c>
      <c r="E656">
        <v>6</v>
      </c>
      <c r="F656">
        <f t="shared" si="140"/>
        <v>7.54</v>
      </c>
      <c r="G656">
        <f t="shared" si="141"/>
        <v>10</v>
      </c>
      <c r="H656">
        <f t="shared" si="142"/>
        <v>0</v>
      </c>
      <c r="I656">
        <f t="shared" si="143"/>
        <v>0</v>
      </c>
      <c r="J656">
        <f t="shared" si="144"/>
        <v>0</v>
      </c>
      <c r="K656">
        <f t="shared" si="145"/>
        <v>0</v>
      </c>
      <c r="L656">
        <f t="shared" si="146"/>
        <v>0</v>
      </c>
      <c r="M656">
        <f t="shared" si="147"/>
        <v>0</v>
      </c>
      <c r="N656">
        <f t="shared" si="148"/>
        <v>0</v>
      </c>
      <c r="O656">
        <f t="shared" si="149"/>
        <v>0</v>
      </c>
      <c r="P656">
        <f t="shared" si="150"/>
        <v>0</v>
      </c>
      <c r="Q656">
        <f t="shared" si="151"/>
        <v>7.54</v>
      </c>
      <c r="R656">
        <f t="shared" si="152"/>
        <v>0</v>
      </c>
      <c r="S656">
        <f t="shared" si="153"/>
        <v>0</v>
      </c>
    </row>
    <row r="657" spans="1:19" x14ac:dyDescent="0.3">
      <c r="A657" s="1">
        <v>41922</v>
      </c>
      <c r="B657" s="1">
        <v>41947</v>
      </c>
      <c r="C657">
        <v>16.55</v>
      </c>
      <c r="D657">
        <v>0.44</v>
      </c>
      <c r="E657">
        <v>6</v>
      </c>
      <c r="F657">
        <f t="shared" si="140"/>
        <v>16.990000000000002</v>
      </c>
      <c r="G657">
        <f t="shared" si="141"/>
        <v>10</v>
      </c>
      <c r="H657">
        <f t="shared" si="142"/>
        <v>0</v>
      </c>
      <c r="I657">
        <f t="shared" si="143"/>
        <v>0</v>
      </c>
      <c r="J657">
        <f t="shared" si="144"/>
        <v>0</v>
      </c>
      <c r="K657">
        <f t="shared" si="145"/>
        <v>0</v>
      </c>
      <c r="L657">
        <f t="shared" si="146"/>
        <v>0</v>
      </c>
      <c r="M657">
        <f t="shared" si="147"/>
        <v>0</v>
      </c>
      <c r="N657">
        <f t="shared" si="148"/>
        <v>0</v>
      </c>
      <c r="O657">
        <f t="shared" si="149"/>
        <v>0</v>
      </c>
      <c r="P657">
        <f t="shared" si="150"/>
        <v>0</v>
      </c>
      <c r="Q657">
        <f t="shared" si="151"/>
        <v>16.990000000000002</v>
      </c>
      <c r="R657">
        <f t="shared" si="152"/>
        <v>0</v>
      </c>
      <c r="S657">
        <f t="shared" si="153"/>
        <v>0</v>
      </c>
    </row>
    <row r="658" spans="1:19" x14ac:dyDescent="0.3">
      <c r="A658" s="1">
        <v>41922</v>
      </c>
      <c r="B658" s="1">
        <v>41928</v>
      </c>
      <c r="C658">
        <v>9.06</v>
      </c>
      <c r="D658">
        <v>0.24</v>
      </c>
      <c r="E658">
        <v>6</v>
      </c>
      <c r="F658">
        <f t="shared" si="140"/>
        <v>9.3000000000000007</v>
      </c>
      <c r="G658">
        <f t="shared" si="141"/>
        <v>10</v>
      </c>
      <c r="H658">
        <f t="shared" si="142"/>
        <v>0</v>
      </c>
      <c r="I658">
        <f t="shared" si="143"/>
        <v>0</v>
      </c>
      <c r="J658">
        <f t="shared" si="144"/>
        <v>0</v>
      </c>
      <c r="K658">
        <f t="shared" si="145"/>
        <v>0</v>
      </c>
      <c r="L658">
        <f t="shared" si="146"/>
        <v>0</v>
      </c>
      <c r="M658">
        <f t="shared" si="147"/>
        <v>0</v>
      </c>
      <c r="N658">
        <f t="shared" si="148"/>
        <v>0</v>
      </c>
      <c r="O658">
        <f t="shared" si="149"/>
        <v>0</v>
      </c>
      <c r="P658">
        <f t="shared" si="150"/>
        <v>0</v>
      </c>
      <c r="Q658">
        <f t="shared" si="151"/>
        <v>9.3000000000000007</v>
      </c>
      <c r="R658">
        <f t="shared" si="152"/>
        <v>0</v>
      </c>
      <c r="S658">
        <f t="shared" si="153"/>
        <v>0</v>
      </c>
    </row>
    <row r="659" spans="1:19" x14ac:dyDescent="0.3">
      <c r="A659" s="1">
        <v>41922</v>
      </c>
      <c r="B659" s="1">
        <v>41945</v>
      </c>
      <c r="C659">
        <v>10.59</v>
      </c>
      <c r="D659">
        <v>0.28000000000000003</v>
      </c>
      <c r="E659">
        <v>4</v>
      </c>
      <c r="F659">
        <f t="shared" si="140"/>
        <v>10.87</v>
      </c>
      <c r="G659">
        <f t="shared" si="141"/>
        <v>10</v>
      </c>
      <c r="H659">
        <f t="shared" si="142"/>
        <v>0</v>
      </c>
      <c r="I659">
        <f t="shared" si="143"/>
        <v>0</v>
      </c>
      <c r="J659">
        <f t="shared" si="144"/>
        <v>0</v>
      </c>
      <c r="K659">
        <f t="shared" si="145"/>
        <v>0</v>
      </c>
      <c r="L659">
        <f t="shared" si="146"/>
        <v>0</v>
      </c>
      <c r="M659">
        <f t="shared" si="147"/>
        <v>0</v>
      </c>
      <c r="N659">
        <f t="shared" si="148"/>
        <v>0</v>
      </c>
      <c r="O659">
        <f t="shared" si="149"/>
        <v>0</v>
      </c>
      <c r="P659">
        <f t="shared" si="150"/>
        <v>0</v>
      </c>
      <c r="Q659">
        <f t="shared" si="151"/>
        <v>10.87</v>
      </c>
      <c r="R659">
        <f t="shared" si="152"/>
        <v>0</v>
      </c>
      <c r="S659">
        <f t="shared" si="153"/>
        <v>0</v>
      </c>
    </row>
    <row r="660" spans="1:19" x14ac:dyDescent="0.3">
      <c r="A660" s="1">
        <v>41922</v>
      </c>
      <c r="B660" s="1">
        <v>41930</v>
      </c>
      <c r="C660">
        <v>7.71</v>
      </c>
      <c r="D660">
        <v>0.2</v>
      </c>
      <c r="E660">
        <v>3</v>
      </c>
      <c r="F660">
        <f t="shared" si="140"/>
        <v>7.91</v>
      </c>
      <c r="G660">
        <f t="shared" si="141"/>
        <v>10</v>
      </c>
      <c r="H660">
        <f t="shared" si="142"/>
        <v>0</v>
      </c>
      <c r="I660">
        <f t="shared" si="143"/>
        <v>0</v>
      </c>
      <c r="J660">
        <f t="shared" si="144"/>
        <v>0</v>
      </c>
      <c r="K660">
        <f t="shared" si="145"/>
        <v>0</v>
      </c>
      <c r="L660">
        <f t="shared" si="146"/>
        <v>0</v>
      </c>
      <c r="M660">
        <f t="shared" si="147"/>
        <v>0</v>
      </c>
      <c r="N660">
        <f t="shared" si="148"/>
        <v>0</v>
      </c>
      <c r="O660">
        <f t="shared" si="149"/>
        <v>0</v>
      </c>
      <c r="P660">
        <f t="shared" si="150"/>
        <v>0</v>
      </c>
      <c r="Q660">
        <f t="shared" si="151"/>
        <v>7.91</v>
      </c>
      <c r="R660">
        <f t="shared" si="152"/>
        <v>0</v>
      </c>
      <c r="S660">
        <f t="shared" si="153"/>
        <v>0</v>
      </c>
    </row>
    <row r="661" spans="1:19" x14ac:dyDescent="0.3">
      <c r="A661" s="1">
        <v>41922</v>
      </c>
      <c r="B661" s="1">
        <v>41949</v>
      </c>
      <c r="C661">
        <v>10.19</v>
      </c>
      <c r="D661">
        <v>0.27</v>
      </c>
      <c r="E661">
        <v>4</v>
      </c>
      <c r="F661">
        <f t="shared" si="140"/>
        <v>10.459999999999999</v>
      </c>
      <c r="G661">
        <f t="shared" si="141"/>
        <v>10</v>
      </c>
      <c r="H661">
        <f t="shared" si="142"/>
        <v>0</v>
      </c>
      <c r="I661">
        <f t="shared" si="143"/>
        <v>0</v>
      </c>
      <c r="J661">
        <f t="shared" si="144"/>
        <v>0</v>
      </c>
      <c r="K661">
        <f t="shared" si="145"/>
        <v>0</v>
      </c>
      <c r="L661">
        <f t="shared" si="146"/>
        <v>0</v>
      </c>
      <c r="M661">
        <f t="shared" si="147"/>
        <v>0</v>
      </c>
      <c r="N661">
        <f t="shared" si="148"/>
        <v>0</v>
      </c>
      <c r="O661">
        <f t="shared" si="149"/>
        <v>0</v>
      </c>
      <c r="P661">
        <f t="shared" si="150"/>
        <v>0</v>
      </c>
      <c r="Q661">
        <f t="shared" si="151"/>
        <v>10.459999999999999</v>
      </c>
      <c r="R661">
        <f t="shared" si="152"/>
        <v>0</v>
      </c>
      <c r="S661">
        <f t="shared" si="153"/>
        <v>0</v>
      </c>
    </row>
    <row r="662" spans="1:19" x14ac:dyDescent="0.3">
      <c r="A662" s="1">
        <v>41922</v>
      </c>
      <c r="B662" s="1">
        <v>41928</v>
      </c>
      <c r="C662">
        <v>4.25</v>
      </c>
      <c r="D662">
        <v>0.11</v>
      </c>
      <c r="E662">
        <v>4</v>
      </c>
      <c r="F662">
        <f t="shared" si="140"/>
        <v>4.3600000000000003</v>
      </c>
      <c r="G662">
        <f t="shared" si="141"/>
        <v>10</v>
      </c>
      <c r="H662">
        <f t="shared" si="142"/>
        <v>0</v>
      </c>
      <c r="I662">
        <f t="shared" si="143"/>
        <v>0</v>
      </c>
      <c r="J662">
        <f t="shared" si="144"/>
        <v>0</v>
      </c>
      <c r="K662">
        <f t="shared" si="145"/>
        <v>0</v>
      </c>
      <c r="L662">
        <f t="shared" si="146"/>
        <v>0</v>
      </c>
      <c r="M662">
        <f t="shared" si="147"/>
        <v>0</v>
      </c>
      <c r="N662">
        <f t="shared" si="148"/>
        <v>0</v>
      </c>
      <c r="O662">
        <f t="shared" si="149"/>
        <v>0</v>
      </c>
      <c r="P662">
        <f t="shared" si="150"/>
        <v>0</v>
      </c>
      <c r="Q662">
        <f t="shared" si="151"/>
        <v>4.3600000000000003</v>
      </c>
      <c r="R662">
        <f t="shared" si="152"/>
        <v>0</v>
      </c>
      <c r="S662">
        <f t="shared" si="153"/>
        <v>0</v>
      </c>
    </row>
    <row r="663" spans="1:19" x14ac:dyDescent="0.3">
      <c r="A663" s="1">
        <v>41922</v>
      </c>
      <c r="B663" s="1">
        <v>41926</v>
      </c>
      <c r="C663">
        <v>9.06</v>
      </c>
      <c r="D663">
        <v>0.24</v>
      </c>
      <c r="E663">
        <v>3</v>
      </c>
      <c r="F663">
        <f t="shared" si="140"/>
        <v>9.3000000000000007</v>
      </c>
      <c r="G663">
        <f t="shared" si="141"/>
        <v>10</v>
      </c>
      <c r="H663">
        <f t="shared" si="142"/>
        <v>0</v>
      </c>
      <c r="I663">
        <f t="shared" si="143"/>
        <v>0</v>
      </c>
      <c r="J663">
        <f t="shared" si="144"/>
        <v>0</v>
      </c>
      <c r="K663">
        <f t="shared" si="145"/>
        <v>0</v>
      </c>
      <c r="L663">
        <f t="shared" si="146"/>
        <v>0</v>
      </c>
      <c r="M663">
        <f t="shared" si="147"/>
        <v>0</v>
      </c>
      <c r="N663">
        <f t="shared" si="148"/>
        <v>0</v>
      </c>
      <c r="O663">
        <f t="shared" si="149"/>
        <v>0</v>
      </c>
      <c r="P663">
        <f t="shared" si="150"/>
        <v>0</v>
      </c>
      <c r="Q663">
        <f t="shared" si="151"/>
        <v>9.3000000000000007</v>
      </c>
      <c r="R663">
        <f t="shared" si="152"/>
        <v>0</v>
      </c>
      <c r="S663">
        <f t="shared" si="153"/>
        <v>0</v>
      </c>
    </row>
    <row r="664" spans="1:19" x14ac:dyDescent="0.3">
      <c r="A664" s="1">
        <v>41923</v>
      </c>
      <c r="B664" s="1">
        <v>41932</v>
      </c>
      <c r="C664">
        <v>8.65</v>
      </c>
      <c r="D664">
        <v>0.23</v>
      </c>
      <c r="E664">
        <v>4</v>
      </c>
      <c r="F664">
        <f t="shared" si="140"/>
        <v>8.8800000000000008</v>
      </c>
      <c r="G664">
        <f t="shared" si="141"/>
        <v>10</v>
      </c>
      <c r="H664">
        <f t="shared" si="142"/>
        <v>0</v>
      </c>
      <c r="I664">
        <f t="shared" si="143"/>
        <v>0</v>
      </c>
      <c r="J664">
        <f t="shared" si="144"/>
        <v>0</v>
      </c>
      <c r="K664">
        <f t="shared" si="145"/>
        <v>0</v>
      </c>
      <c r="L664">
        <f t="shared" si="146"/>
        <v>0</v>
      </c>
      <c r="M664">
        <f t="shared" si="147"/>
        <v>0</v>
      </c>
      <c r="N664">
        <f t="shared" si="148"/>
        <v>0</v>
      </c>
      <c r="O664">
        <f t="shared" si="149"/>
        <v>0</v>
      </c>
      <c r="P664">
        <f t="shared" si="150"/>
        <v>0</v>
      </c>
      <c r="Q664">
        <f t="shared" si="151"/>
        <v>8.8800000000000008</v>
      </c>
      <c r="R664">
        <f t="shared" si="152"/>
        <v>0</v>
      </c>
      <c r="S664">
        <f t="shared" si="153"/>
        <v>0</v>
      </c>
    </row>
    <row r="665" spans="1:19" x14ac:dyDescent="0.3">
      <c r="A665" s="1">
        <v>41923</v>
      </c>
      <c r="B665" s="1">
        <v>41935</v>
      </c>
      <c r="C665">
        <v>8.84</v>
      </c>
      <c r="D665">
        <v>0.23</v>
      </c>
      <c r="E665">
        <v>4</v>
      </c>
      <c r="F665">
        <f t="shared" si="140"/>
        <v>9.07</v>
      </c>
      <c r="G665">
        <f t="shared" si="141"/>
        <v>10</v>
      </c>
      <c r="H665">
        <f t="shared" si="142"/>
        <v>0</v>
      </c>
      <c r="I665">
        <f t="shared" si="143"/>
        <v>0</v>
      </c>
      <c r="J665">
        <f t="shared" si="144"/>
        <v>0</v>
      </c>
      <c r="K665">
        <f t="shared" si="145"/>
        <v>0</v>
      </c>
      <c r="L665">
        <f t="shared" si="146"/>
        <v>0</v>
      </c>
      <c r="M665">
        <f t="shared" si="147"/>
        <v>0</v>
      </c>
      <c r="N665">
        <f t="shared" si="148"/>
        <v>0</v>
      </c>
      <c r="O665">
        <f t="shared" si="149"/>
        <v>0</v>
      </c>
      <c r="P665">
        <f t="shared" si="150"/>
        <v>0</v>
      </c>
      <c r="Q665">
        <f t="shared" si="151"/>
        <v>9.07</v>
      </c>
      <c r="R665">
        <f t="shared" si="152"/>
        <v>0</v>
      </c>
      <c r="S665">
        <f t="shared" si="153"/>
        <v>0</v>
      </c>
    </row>
    <row r="666" spans="1:19" x14ac:dyDescent="0.3">
      <c r="A666" s="1">
        <v>41923</v>
      </c>
      <c r="B666" s="1">
        <v>41932</v>
      </c>
      <c r="C666">
        <v>4.25</v>
      </c>
      <c r="D666">
        <v>0.11</v>
      </c>
      <c r="E666">
        <v>5</v>
      </c>
      <c r="F666">
        <f t="shared" si="140"/>
        <v>4.3600000000000003</v>
      </c>
      <c r="G666">
        <f t="shared" si="141"/>
        <v>10</v>
      </c>
      <c r="H666">
        <f t="shared" si="142"/>
        <v>0</v>
      </c>
      <c r="I666">
        <f t="shared" si="143"/>
        <v>0</v>
      </c>
      <c r="J666">
        <f t="shared" si="144"/>
        <v>0</v>
      </c>
      <c r="K666">
        <f t="shared" si="145"/>
        <v>0</v>
      </c>
      <c r="L666">
        <f t="shared" si="146"/>
        <v>0</v>
      </c>
      <c r="M666">
        <f t="shared" si="147"/>
        <v>0</v>
      </c>
      <c r="N666">
        <f t="shared" si="148"/>
        <v>0</v>
      </c>
      <c r="O666">
        <f t="shared" si="149"/>
        <v>0</v>
      </c>
      <c r="P666">
        <f t="shared" si="150"/>
        <v>0</v>
      </c>
      <c r="Q666">
        <f t="shared" si="151"/>
        <v>4.3600000000000003</v>
      </c>
      <c r="R666">
        <f t="shared" si="152"/>
        <v>0</v>
      </c>
      <c r="S666">
        <f t="shared" si="153"/>
        <v>0</v>
      </c>
    </row>
    <row r="667" spans="1:19" x14ac:dyDescent="0.3">
      <c r="A667" s="1">
        <v>41923</v>
      </c>
      <c r="B667" s="1">
        <v>41927</v>
      </c>
      <c r="C667">
        <v>5.47</v>
      </c>
      <c r="D667">
        <v>0.14000000000000001</v>
      </c>
      <c r="E667">
        <v>5</v>
      </c>
      <c r="F667">
        <f t="shared" si="140"/>
        <v>5.6099999999999994</v>
      </c>
      <c r="G667">
        <f t="shared" si="141"/>
        <v>10</v>
      </c>
      <c r="H667">
        <f t="shared" si="142"/>
        <v>0</v>
      </c>
      <c r="I667">
        <f t="shared" si="143"/>
        <v>0</v>
      </c>
      <c r="J667">
        <f t="shared" si="144"/>
        <v>0</v>
      </c>
      <c r="K667">
        <f t="shared" si="145"/>
        <v>0</v>
      </c>
      <c r="L667">
        <f t="shared" si="146"/>
        <v>0</v>
      </c>
      <c r="M667">
        <f t="shared" si="147"/>
        <v>0</v>
      </c>
      <c r="N667">
        <f t="shared" si="148"/>
        <v>0</v>
      </c>
      <c r="O667">
        <f t="shared" si="149"/>
        <v>0</v>
      </c>
      <c r="P667">
        <f t="shared" si="150"/>
        <v>0</v>
      </c>
      <c r="Q667">
        <f t="shared" si="151"/>
        <v>5.6099999999999994</v>
      </c>
      <c r="R667">
        <f t="shared" si="152"/>
        <v>0</v>
      </c>
      <c r="S667">
        <f t="shared" si="153"/>
        <v>0</v>
      </c>
    </row>
    <row r="668" spans="1:19" x14ac:dyDescent="0.3">
      <c r="A668" s="1">
        <v>41923</v>
      </c>
      <c r="B668" s="1">
        <v>41937</v>
      </c>
      <c r="C668">
        <v>14.31</v>
      </c>
      <c r="D668">
        <v>0.38</v>
      </c>
      <c r="E668">
        <v>3</v>
      </c>
      <c r="F668">
        <f t="shared" si="140"/>
        <v>14.690000000000001</v>
      </c>
      <c r="G668">
        <f t="shared" si="141"/>
        <v>10</v>
      </c>
      <c r="H668">
        <f t="shared" si="142"/>
        <v>0</v>
      </c>
      <c r="I668">
        <f t="shared" si="143"/>
        <v>0</v>
      </c>
      <c r="J668">
        <f t="shared" si="144"/>
        <v>0</v>
      </c>
      <c r="K668">
        <f t="shared" si="145"/>
        <v>0</v>
      </c>
      <c r="L668">
        <f t="shared" si="146"/>
        <v>0</v>
      </c>
      <c r="M668">
        <f t="shared" si="147"/>
        <v>0</v>
      </c>
      <c r="N668">
        <f t="shared" si="148"/>
        <v>0</v>
      </c>
      <c r="O668">
        <f t="shared" si="149"/>
        <v>0</v>
      </c>
      <c r="P668">
        <f t="shared" si="150"/>
        <v>0</v>
      </c>
      <c r="Q668">
        <f t="shared" si="151"/>
        <v>14.690000000000001</v>
      </c>
      <c r="R668">
        <f t="shared" si="152"/>
        <v>0</v>
      </c>
      <c r="S668">
        <f t="shared" si="153"/>
        <v>0</v>
      </c>
    </row>
    <row r="669" spans="1:19" x14ac:dyDescent="0.3">
      <c r="A669" s="1">
        <v>41923</v>
      </c>
      <c r="B669" s="1">
        <v>41949</v>
      </c>
      <c r="C669">
        <v>13.81</v>
      </c>
      <c r="D669">
        <v>0.36</v>
      </c>
      <c r="E669">
        <v>6</v>
      </c>
      <c r="F669">
        <f t="shared" si="140"/>
        <v>14.17</v>
      </c>
      <c r="G669">
        <f t="shared" si="141"/>
        <v>10</v>
      </c>
      <c r="H669">
        <f t="shared" si="142"/>
        <v>0</v>
      </c>
      <c r="I669">
        <f t="shared" si="143"/>
        <v>0</v>
      </c>
      <c r="J669">
        <f t="shared" si="144"/>
        <v>0</v>
      </c>
      <c r="K669">
        <f t="shared" si="145"/>
        <v>0</v>
      </c>
      <c r="L669">
        <f t="shared" si="146"/>
        <v>0</v>
      </c>
      <c r="M669">
        <f t="shared" si="147"/>
        <v>0</v>
      </c>
      <c r="N669">
        <f t="shared" si="148"/>
        <v>0</v>
      </c>
      <c r="O669">
        <f t="shared" si="149"/>
        <v>0</v>
      </c>
      <c r="P669">
        <f t="shared" si="150"/>
        <v>0</v>
      </c>
      <c r="Q669">
        <f t="shared" si="151"/>
        <v>14.17</v>
      </c>
      <c r="R669">
        <f t="shared" si="152"/>
        <v>0</v>
      </c>
      <c r="S669">
        <f t="shared" si="153"/>
        <v>0</v>
      </c>
    </row>
    <row r="670" spans="1:19" x14ac:dyDescent="0.3">
      <c r="A670" s="1">
        <v>41923</v>
      </c>
      <c r="B670" s="1">
        <v>41943</v>
      </c>
      <c r="C670">
        <v>9.74</v>
      </c>
      <c r="D670">
        <v>0.26</v>
      </c>
      <c r="E670">
        <v>3</v>
      </c>
      <c r="F670">
        <f t="shared" si="140"/>
        <v>10</v>
      </c>
      <c r="G670">
        <f t="shared" si="141"/>
        <v>10</v>
      </c>
      <c r="H670">
        <f t="shared" si="142"/>
        <v>0</v>
      </c>
      <c r="I670">
        <f t="shared" si="143"/>
        <v>0</v>
      </c>
      <c r="J670">
        <f t="shared" si="144"/>
        <v>0</v>
      </c>
      <c r="K670">
        <f t="shared" si="145"/>
        <v>0</v>
      </c>
      <c r="L670">
        <f t="shared" si="146"/>
        <v>0</v>
      </c>
      <c r="M670">
        <f t="shared" si="147"/>
        <v>0</v>
      </c>
      <c r="N670">
        <f t="shared" si="148"/>
        <v>0</v>
      </c>
      <c r="O670">
        <f t="shared" si="149"/>
        <v>0</v>
      </c>
      <c r="P670">
        <f t="shared" si="150"/>
        <v>0</v>
      </c>
      <c r="Q670">
        <f t="shared" si="151"/>
        <v>10</v>
      </c>
      <c r="R670">
        <f t="shared" si="152"/>
        <v>0</v>
      </c>
      <c r="S670">
        <f t="shared" si="153"/>
        <v>0</v>
      </c>
    </row>
    <row r="671" spans="1:19" x14ac:dyDescent="0.3">
      <c r="A671" s="1">
        <v>41923</v>
      </c>
      <c r="B671" s="1">
        <v>41951</v>
      </c>
      <c r="C671">
        <v>9.4600000000000009</v>
      </c>
      <c r="D671">
        <v>0.25</v>
      </c>
      <c r="E671">
        <v>5</v>
      </c>
      <c r="F671">
        <f t="shared" si="140"/>
        <v>9.7100000000000009</v>
      </c>
      <c r="G671">
        <f t="shared" si="141"/>
        <v>10</v>
      </c>
      <c r="H671">
        <f t="shared" si="142"/>
        <v>0</v>
      </c>
      <c r="I671">
        <f t="shared" si="143"/>
        <v>0</v>
      </c>
      <c r="J671">
        <f t="shared" si="144"/>
        <v>0</v>
      </c>
      <c r="K671">
        <f t="shared" si="145"/>
        <v>0</v>
      </c>
      <c r="L671">
        <f t="shared" si="146"/>
        <v>0</v>
      </c>
      <c r="M671">
        <f t="shared" si="147"/>
        <v>0</v>
      </c>
      <c r="N671">
        <f t="shared" si="148"/>
        <v>0</v>
      </c>
      <c r="O671">
        <f t="shared" si="149"/>
        <v>0</v>
      </c>
      <c r="P671">
        <f t="shared" si="150"/>
        <v>0</v>
      </c>
      <c r="Q671">
        <f t="shared" si="151"/>
        <v>9.7100000000000009</v>
      </c>
      <c r="R671">
        <f t="shared" si="152"/>
        <v>0</v>
      </c>
      <c r="S671">
        <f t="shared" si="153"/>
        <v>0</v>
      </c>
    </row>
    <row r="672" spans="1:19" x14ac:dyDescent="0.3">
      <c r="A672" s="1">
        <v>41923</v>
      </c>
      <c r="B672" s="1">
        <v>41940</v>
      </c>
      <c r="C672">
        <v>7.31</v>
      </c>
      <c r="D672">
        <v>0.19</v>
      </c>
      <c r="E672">
        <v>2</v>
      </c>
      <c r="F672">
        <f t="shared" si="140"/>
        <v>7.5</v>
      </c>
      <c r="G672">
        <f t="shared" si="141"/>
        <v>10</v>
      </c>
      <c r="H672">
        <f t="shared" si="142"/>
        <v>0</v>
      </c>
      <c r="I672">
        <f t="shared" si="143"/>
        <v>0</v>
      </c>
      <c r="J672">
        <f t="shared" si="144"/>
        <v>0</v>
      </c>
      <c r="K672">
        <f t="shared" si="145"/>
        <v>0</v>
      </c>
      <c r="L672">
        <f t="shared" si="146"/>
        <v>0</v>
      </c>
      <c r="M672">
        <f t="shared" si="147"/>
        <v>0</v>
      </c>
      <c r="N672">
        <f t="shared" si="148"/>
        <v>0</v>
      </c>
      <c r="O672">
        <f t="shared" si="149"/>
        <v>0</v>
      </c>
      <c r="P672">
        <f t="shared" si="150"/>
        <v>0</v>
      </c>
      <c r="Q672">
        <f t="shared" si="151"/>
        <v>7.5</v>
      </c>
      <c r="R672">
        <f t="shared" si="152"/>
        <v>0</v>
      </c>
      <c r="S672">
        <f t="shared" si="153"/>
        <v>0</v>
      </c>
    </row>
    <row r="673" spans="1:19" x14ac:dyDescent="0.3">
      <c r="A673" s="1">
        <v>41923</v>
      </c>
      <c r="B673" s="1">
        <v>41945</v>
      </c>
      <c r="C673">
        <v>11.78</v>
      </c>
      <c r="D673">
        <v>0.31</v>
      </c>
      <c r="E673">
        <v>4</v>
      </c>
      <c r="F673">
        <f t="shared" si="140"/>
        <v>12.09</v>
      </c>
      <c r="G673">
        <f t="shared" si="141"/>
        <v>10</v>
      </c>
      <c r="H673">
        <f t="shared" si="142"/>
        <v>0</v>
      </c>
      <c r="I673">
        <f t="shared" si="143"/>
        <v>0</v>
      </c>
      <c r="J673">
        <f t="shared" si="144"/>
        <v>0</v>
      </c>
      <c r="K673">
        <f t="shared" si="145"/>
        <v>0</v>
      </c>
      <c r="L673">
        <f t="shared" si="146"/>
        <v>0</v>
      </c>
      <c r="M673">
        <f t="shared" si="147"/>
        <v>0</v>
      </c>
      <c r="N673">
        <f t="shared" si="148"/>
        <v>0</v>
      </c>
      <c r="O673">
        <f t="shared" si="149"/>
        <v>0</v>
      </c>
      <c r="P673">
        <f t="shared" si="150"/>
        <v>0</v>
      </c>
      <c r="Q673">
        <f t="shared" si="151"/>
        <v>12.09</v>
      </c>
      <c r="R673">
        <f t="shared" si="152"/>
        <v>0</v>
      </c>
      <c r="S673">
        <f t="shared" si="153"/>
        <v>0</v>
      </c>
    </row>
    <row r="674" spans="1:19" x14ac:dyDescent="0.3">
      <c r="A674" s="1">
        <v>41923</v>
      </c>
      <c r="B674" s="1">
        <v>41940</v>
      </c>
      <c r="C674">
        <v>13.82</v>
      </c>
      <c r="D674">
        <v>0.36</v>
      </c>
      <c r="E674">
        <v>4</v>
      </c>
      <c r="F674">
        <f t="shared" si="140"/>
        <v>14.18</v>
      </c>
      <c r="G674">
        <f t="shared" si="141"/>
        <v>10</v>
      </c>
      <c r="H674">
        <f t="shared" si="142"/>
        <v>0</v>
      </c>
      <c r="I674">
        <f t="shared" si="143"/>
        <v>0</v>
      </c>
      <c r="J674">
        <f t="shared" si="144"/>
        <v>0</v>
      </c>
      <c r="K674">
        <f t="shared" si="145"/>
        <v>0</v>
      </c>
      <c r="L674">
        <f t="shared" si="146"/>
        <v>0</v>
      </c>
      <c r="M674">
        <f t="shared" si="147"/>
        <v>0</v>
      </c>
      <c r="N674">
        <f t="shared" si="148"/>
        <v>0</v>
      </c>
      <c r="O674">
        <f t="shared" si="149"/>
        <v>0</v>
      </c>
      <c r="P674">
        <f t="shared" si="150"/>
        <v>0</v>
      </c>
      <c r="Q674">
        <f t="shared" si="151"/>
        <v>14.18</v>
      </c>
      <c r="R674">
        <f t="shared" si="152"/>
        <v>0</v>
      </c>
      <c r="S674">
        <f t="shared" si="153"/>
        <v>0</v>
      </c>
    </row>
    <row r="675" spans="1:19" x14ac:dyDescent="0.3">
      <c r="A675" s="1">
        <v>41925</v>
      </c>
      <c r="B675" s="1">
        <v>41950</v>
      </c>
      <c r="C675">
        <v>3.94</v>
      </c>
      <c r="D675">
        <v>0.1</v>
      </c>
      <c r="E675">
        <v>5</v>
      </c>
      <c r="F675">
        <f t="shared" si="140"/>
        <v>4.04</v>
      </c>
      <c r="G675">
        <f t="shared" si="141"/>
        <v>10</v>
      </c>
      <c r="H675">
        <f t="shared" si="142"/>
        <v>0</v>
      </c>
      <c r="I675">
        <f t="shared" si="143"/>
        <v>0</v>
      </c>
      <c r="J675">
        <f t="shared" si="144"/>
        <v>0</v>
      </c>
      <c r="K675">
        <f t="shared" si="145"/>
        <v>0</v>
      </c>
      <c r="L675">
        <f t="shared" si="146"/>
        <v>0</v>
      </c>
      <c r="M675">
        <f t="shared" si="147"/>
        <v>0</v>
      </c>
      <c r="N675">
        <f t="shared" si="148"/>
        <v>0</v>
      </c>
      <c r="O675">
        <f t="shared" si="149"/>
        <v>0</v>
      </c>
      <c r="P675">
        <f t="shared" si="150"/>
        <v>0</v>
      </c>
      <c r="Q675">
        <f t="shared" si="151"/>
        <v>4.04</v>
      </c>
      <c r="R675">
        <f t="shared" si="152"/>
        <v>0</v>
      </c>
      <c r="S675">
        <f t="shared" si="153"/>
        <v>0</v>
      </c>
    </row>
    <row r="676" spans="1:19" x14ac:dyDescent="0.3">
      <c r="A676" s="1">
        <v>41925</v>
      </c>
      <c r="B676" s="1">
        <v>41934</v>
      </c>
      <c r="C676">
        <v>6.58</v>
      </c>
      <c r="D676">
        <v>0.17</v>
      </c>
      <c r="E676">
        <v>5</v>
      </c>
      <c r="F676">
        <f t="shared" si="140"/>
        <v>6.75</v>
      </c>
      <c r="G676">
        <f t="shared" si="141"/>
        <v>10</v>
      </c>
      <c r="H676">
        <f t="shared" si="142"/>
        <v>0</v>
      </c>
      <c r="I676">
        <f t="shared" si="143"/>
        <v>0</v>
      </c>
      <c r="J676">
        <f t="shared" si="144"/>
        <v>0</v>
      </c>
      <c r="K676">
        <f t="shared" si="145"/>
        <v>0</v>
      </c>
      <c r="L676">
        <f t="shared" si="146"/>
        <v>0</v>
      </c>
      <c r="M676">
        <f t="shared" si="147"/>
        <v>0</v>
      </c>
      <c r="N676">
        <f t="shared" si="148"/>
        <v>0</v>
      </c>
      <c r="O676">
        <f t="shared" si="149"/>
        <v>0</v>
      </c>
      <c r="P676">
        <f t="shared" si="150"/>
        <v>0</v>
      </c>
      <c r="Q676">
        <f t="shared" si="151"/>
        <v>6.75</v>
      </c>
      <c r="R676">
        <f t="shared" si="152"/>
        <v>0</v>
      </c>
      <c r="S676">
        <f t="shared" si="153"/>
        <v>0</v>
      </c>
    </row>
    <row r="677" spans="1:19" x14ac:dyDescent="0.3">
      <c r="A677" s="1">
        <v>41925</v>
      </c>
      <c r="B677" s="1">
        <v>41931</v>
      </c>
      <c r="C677">
        <v>6.34</v>
      </c>
      <c r="D677">
        <v>0.17</v>
      </c>
      <c r="E677">
        <v>4</v>
      </c>
      <c r="F677">
        <f t="shared" si="140"/>
        <v>6.51</v>
      </c>
      <c r="G677">
        <f t="shared" si="141"/>
        <v>10</v>
      </c>
      <c r="H677">
        <f t="shared" si="142"/>
        <v>0</v>
      </c>
      <c r="I677">
        <f t="shared" si="143"/>
        <v>0</v>
      </c>
      <c r="J677">
        <f t="shared" si="144"/>
        <v>0</v>
      </c>
      <c r="K677">
        <f t="shared" si="145"/>
        <v>0</v>
      </c>
      <c r="L677">
        <f t="shared" si="146"/>
        <v>0</v>
      </c>
      <c r="M677">
        <f t="shared" si="147"/>
        <v>0</v>
      </c>
      <c r="N677">
        <f t="shared" si="148"/>
        <v>0</v>
      </c>
      <c r="O677">
        <f t="shared" si="149"/>
        <v>0</v>
      </c>
      <c r="P677">
        <f t="shared" si="150"/>
        <v>0</v>
      </c>
      <c r="Q677">
        <f t="shared" si="151"/>
        <v>6.51</v>
      </c>
      <c r="R677">
        <f t="shared" si="152"/>
        <v>0</v>
      </c>
      <c r="S677">
        <f t="shared" si="153"/>
        <v>0</v>
      </c>
    </row>
    <row r="678" spans="1:19" x14ac:dyDescent="0.3">
      <c r="A678" s="1">
        <v>41925</v>
      </c>
      <c r="B678" s="1">
        <v>41943</v>
      </c>
      <c r="C678">
        <v>6.58</v>
      </c>
      <c r="D678">
        <v>0.17</v>
      </c>
      <c r="E678">
        <v>4</v>
      </c>
      <c r="F678">
        <f t="shared" si="140"/>
        <v>6.75</v>
      </c>
      <c r="G678">
        <f t="shared" si="141"/>
        <v>10</v>
      </c>
      <c r="H678">
        <f t="shared" si="142"/>
        <v>0</v>
      </c>
      <c r="I678">
        <f t="shared" si="143"/>
        <v>0</v>
      </c>
      <c r="J678">
        <f t="shared" si="144"/>
        <v>0</v>
      </c>
      <c r="K678">
        <f t="shared" si="145"/>
        <v>0</v>
      </c>
      <c r="L678">
        <f t="shared" si="146"/>
        <v>0</v>
      </c>
      <c r="M678">
        <f t="shared" si="147"/>
        <v>0</v>
      </c>
      <c r="N678">
        <f t="shared" si="148"/>
        <v>0</v>
      </c>
      <c r="O678">
        <f t="shared" si="149"/>
        <v>0</v>
      </c>
      <c r="P678">
        <f t="shared" si="150"/>
        <v>0</v>
      </c>
      <c r="Q678">
        <f t="shared" si="151"/>
        <v>6.75</v>
      </c>
      <c r="R678">
        <f t="shared" si="152"/>
        <v>0</v>
      </c>
      <c r="S678">
        <f t="shared" si="153"/>
        <v>0</v>
      </c>
    </row>
    <row r="679" spans="1:19" x14ac:dyDescent="0.3">
      <c r="A679" s="1">
        <v>41925</v>
      </c>
      <c r="B679" s="1">
        <v>41949</v>
      </c>
      <c r="C679">
        <v>6.34</v>
      </c>
      <c r="D679">
        <v>0.17</v>
      </c>
      <c r="E679">
        <v>3</v>
      </c>
      <c r="F679">
        <f t="shared" si="140"/>
        <v>6.51</v>
      </c>
      <c r="G679">
        <f t="shared" si="141"/>
        <v>10</v>
      </c>
      <c r="H679">
        <f t="shared" si="142"/>
        <v>0</v>
      </c>
      <c r="I679">
        <f t="shared" si="143"/>
        <v>0</v>
      </c>
      <c r="J679">
        <f t="shared" si="144"/>
        <v>0</v>
      </c>
      <c r="K679">
        <f t="shared" si="145"/>
        <v>0</v>
      </c>
      <c r="L679">
        <f t="shared" si="146"/>
        <v>0</v>
      </c>
      <c r="M679">
        <f t="shared" si="147"/>
        <v>0</v>
      </c>
      <c r="N679">
        <f t="shared" si="148"/>
        <v>0</v>
      </c>
      <c r="O679">
        <f t="shared" si="149"/>
        <v>0</v>
      </c>
      <c r="P679">
        <f t="shared" si="150"/>
        <v>0</v>
      </c>
      <c r="Q679">
        <f t="shared" si="151"/>
        <v>6.51</v>
      </c>
      <c r="R679">
        <f t="shared" si="152"/>
        <v>0</v>
      </c>
      <c r="S679">
        <f t="shared" si="153"/>
        <v>0</v>
      </c>
    </row>
    <row r="680" spans="1:19" x14ac:dyDescent="0.3">
      <c r="A680" s="1">
        <v>41926</v>
      </c>
      <c r="B680" s="1">
        <v>41941</v>
      </c>
      <c r="C680">
        <v>6.43</v>
      </c>
      <c r="D680">
        <v>0.17</v>
      </c>
      <c r="E680">
        <v>6</v>
      </c>
      <c r="F680">
        <f t="shared" si="140"/>
        <v>6.6</v>
      </c>
      <c r="G680">
        <f t="shared" si="141"/>
        <v>10</v>
      </c>
      <c r="H680">
        <f t="shared" si="142"/>
        <v>0</v>
      </c>
      <c r="I680">
        <f t="shared" si="143"/>
        <v>0</v>
      </c>
      <c r="J680">
        <f t="shared" si="144"/>
        <v>0</v>
      </c>
      <c r="K680">
        <f t="shared" si="145"/>
        <v>0</v>
      </c>
      <c r="L680">
        <f t="shared" si="146"/>
        <v>0</v>
      </c>
      <c r="M680">
        <f t="shared" si="147"/>
        <v>0</v>
      </c>
      <c r="N680">
        <f t="shared" si="148"/>
        <v>0</v>
      </c>
      <c r="O680">
        <f t="shared" si="149"/>
        <v>0</v>
      </c>
      <c r="P680">
        <f t="shared" si="150"/>
        <v>0</v>
      </c>
      <c r="Q680">
        <f t="shared" si="151"/>
        <v>6.6</v>
      </c>
      <c r="R680">
        <f t="shared" si="152"/>
        <v>0</v>
      </c>
      <c r="S680">
        <f t="shared" si="153"/>
        <v>0</v>
      </c>
    </row>
    <row r="681" spans="1:19" x14ac:dyDescent="0.3">
      <c r="A681" s="1">
        <v>41927</v>
      </c>
      <c r="B681" s="1">
        <v>41954</v>
      </c>
      <c r="C681">
        <v>2.0099999999999998</v>
      </c>
      <c r="D681">
        <v>0.05</v>
      </c>
      <c r="E681">
        <v>6</v>
      </c>
      <c r="F681">
        <f t="shared" si="140"/>
        <v>2.0599999999999996</v>
      </c>
      <c r="G681">
        <f t="shared" si="141"/>
        <v>10</v>
      </c>
      <c r="H681">
        <f t="shared" si="142"/>
        <v>0</v>
      </c>
      <c r="I681">
        <f t="shared" si="143"/>
        <v>0</v>
      </c>
      <c r="J681">
        <f t="shared" si="144"/>
        <v>0</v>
      </c>
      <c r="K681">
        <f t="shared" si="145"/>
        <v>0</v>
      </c>
      <c r="L681">
        <f t="shared" si="146"/>
        <v>0</v>
      </c>
      <c r="M681">
        <f t="shared" si="147"/>
        <v>0</v>
      </c>
      <c r="N681">
        <f t="shared" si="148"/>
        <v>0</v>
      </c>
      <c r="O681">
        <f t="shared" si="149"/>
        <v>0</v>
      </c>
      <c r="P681">
        <f t="shared" si="150"/>
        <v>0</v>
      </c>
      <c r="Q681">
        <f t="shared" si="151"/>
        <v>2.0599999999999996</v>
      </c>
      <c r="R681">
        <f t="shared" si="152"/>
        <v>0</v>
      </c>
      <c r="S681">
        <f t="shared" si="153"/>
        <v>0</v>
      </c>
    </row>
    <row r="682" spans="1:19" x14ac:dyDescent="0.3">
      <c r="A682" s="1">
        <v>41927</v>
      </c>
      <c r="B682" s="1">
        <v>41953</v>
      </c>
      <c r="C682">
        <v>2.72</v>
      </c>
      <c r="D682">
        <v>7.0000000000000007E-2</v>
      </c>
      <c r="E682">
        <v>4</v>
      </c>
      <c r="F682">
        <f t="shared" si="140"/>
        <v>2.79</v>
      </c>
      <c r="G682">
        <f t="shared" si="141"/>
        <v>10</v>
      </c>
      <c r="H682">
        <f t="shared" si="142"/>
        <v>0</v>
      </c>
      <c r="I682">
        <f t="shared" si="143"/>
        <v>0</v>
      </c>
      <c r="J682">
        <f t="shared" si="144"/>
        <v>0</v>
      </c>
      <c r="K682">
        <f t="shared" si="145"/>
        <v>0</v>
      </c>
      <c r="L682">
        <f t="shared" si="146"/>
        <v>0</v>
      </c>
      <c r="M682">
        <f t="shared" si="147"/>
        <v>0</v>
      </c>
      <c r="N682">
        <f t="shared" si="148"/>
        <v>0</v>
      </c>
      <c r="O682">
        <f t="shared" si="149"/>
        <v>0</v>
      </c>
      <c r="P682">
        <f t="shared" si="150"/>
        <v>0</v>
      </c>
      <c r="Q682">
        <f t="shared" si="151"/>
        <v>2.79</v>
      </c>
      <c r="R682">
        <f t="shared" si="152"/>
        <v>0</v>
      </c>
      <c r="S682">
        <f t="shared" si="153"/>
        <v>0</v>
      </c>
    </row>
    <row r="683" spans="1:19" x14ac:dyDescent="0.3">
      <c r="A683" s="1">
        <v>41928</v>
      </c>
      <c r="B683" s="1">
        <v>41934</v>
      </c>
      <c r="C683">
        <v>3.73</v>
      </c>
      <c r="D683">
        <v>0.1</v>
      </c>
      <c r="E683">
        <v>5</v>
      </c>
      <c r="F683">
        <f t="shared" si="140"/>
        <v>3.83</v>
      </c>
      <c r="G683">
        <f t="shared" si="141"/>
        <v>10</v>
      </c>
      <c r="H683">
        <f t="shared" si="142"/>
        <v>0</v>
      </c>
      <c r="I683">
        <f t="shared" si="143"/>
        <v>0</v>
      </c>
      <c r="J683">
        <f t="shared" si="144"/>
        <v>0</v>
      </c>
      <c r="K683">
        <f t="shared" si="145"/>
        <v>0</v>
      </c>
      <c r="L683">
        <f t="shared" si="146"/>
        <v>0</v>
      </c>
      <c r="M683">
        <f t="shared" si="147"/>
        <v>0</v>
      </c>
      <c r="N683">
        <f t="shared" si="148"/>
        <v>0</v>
      </c>
      <c r="O683">
        <f t="shared" si="149"/>
        <v>0</v>
      </c>
      <c r="P683">
        <f t="shared" si="150"/>
        <v>0</v>
      </c>
      <c r="Q683">
        <f t="shared" si="151"/>
        <v>3.83</v>
      </c>
      <c r="R683">
        <f t="shared" si="152"/>
        <v>0</v>
      </c>
      <c r="S683">
        <f t="shared" si="153"/>
        <v>0</v>
      </c>
    </row>
    <row r="684" spans="1:19" x14ac:dyDescent="0.3">
      <c r="A684" s="1">
        <v>41929</v>
      </c>
      <c r="B684" s="1">
        <v>41937</v>
      </c>
      <c r="C684">
        <v>5.64</v>
      </c>
      <c r="D684">
        <v>0.15</v>
      </c>
      <c r="E684">
        <v>6</v>
      </c>
      <c r="F684">
        <f t="shared" si="140"/>
        <v>5.79</v>
      </c>
      <c r="G684">
        <f t="shared" si="141"/>
        <v>10</v>
      </c>
      <c r="H684">
        <f t="shared" si="142"/>
        <v>0</v>
      </c>
      <c r="I684">
        <f t="shared" si="143"/>
        <v>0</v>
      </c>
      <c r="J684">
        <f t="shared" si="144"/>
        <v>0</v>
      </c>
      <c r="K684">
        <f t="shared" si="145"/>
        <v>0</v>
      </c>
      <c r="L684">
        <f t="shared" si="146"/>
        <v>0</v>
      </c>
      <c r="M684">
        <f t="shared" si="147"/>
        <v>0</v>
      </c>
      <c r="N684">
        <f t="shared" si="148"/>
        <v>0</v>
      </c>
      <c r="O684">
        <f t="shared" si="149"/>
        <v>0</v>
      </c>
      <c r="P684">
        <f t="shared" si="150"/>
        <v>0</v>
      </c>
      <c r="Q684">
        <f t="shared" si="151"/>
        <v>5.79</v>
      </c>
      <c r="R684">
        <f t="shared" si="152"/>
        <v>0</v>
      </c>
      <c r="S684">
        <f t="shared" si="153"/>
        <v>0</v>
      </c>
    </row>
    <row r="685" spans="1:19" x14ac:dyDescent="0.3">
      <c r="A685" s="1">
        <v>41929</v>
      </c>
      <c r="B685" s="1">
        <v>41942</v>
      </c>
      <c r="C685">
        <v>11.78</v>
      </c>
      <c r="D685">
        <v>0.31</v>
      </c>
      <c r="E685">
        <v>5</v>
      </c>
      <c r="F685">
        <f t="shared" si="140"/>
        <v>12.09</v>
      </c>
      <c r="G685">
        <f t="shared" si="141"/>
        <v>10</v>
      </c>
      <c r="H685">
        <f t="shared" si="142"/>
        <v>0</v>
      </c>
      <c r="I685">
        <f t="shared" si="143"/>
        <v>0</v>
      </c>
      <c r="J685">
        <f t="shared" si="144"/>
        <v>0</v>
      </c>
      <c r="K685">
        <f t="shared" si="145"/>
        <v>0</v>
      </c>
      <c r="L685">
        <f t="shared" si="146"/>
        <v>0</v>
      </c>
      <c r="M685">
        <f t="shared" si="147"/>
        <v>0</v>
      </c>
      <c r="N685">
        <f t="shared" si="148"/>
        <v>0</v>
      </c>
      <c r="O685">
        <f t="shared" si="149"/>
        <v>0</v>
      </c>
      <c r="P685">
        <f t="shared" si="150"/>
        <v>0</v>
      </c>
      <c r="Q685">
        <f t="shared" si="151"/>
        <v>12.09</v>
      </c>
      <c r="R685">
        <f t="shared" si="152"/>
        <v>0</v>
      </c>
      <c r="S685">
        <f t="shared" si="153"/>
        <v>0</v>
      </c>
    </row>
    <row r="686" spans="1:19" x14ac:dyDescent="0.3">
      <c r="A686" s="1">
        <v>41929</v>
      </c>
      <c r="B686" s="1">
        <v>41931</v>
      </c>
      <c r="C686">
        <v>9.4600000000000009</v>
      </c>
      <c r="D686">
        <v>0.25</v>
      </c>
      <c r="E686">
        <v>5</v>
      </c>
      <c r="F686">
        <f t="shared" si="140"/>
        <v>9.7100000000000009</v>
      </c>
      <c r="G686">
        <f t="shared" si="141"/>
        <v>10</v>
      </c>
      <c r="H686">
        <f t="shared" si="142"/>
        <v>0</v>
      </c>
      <c r="I686">
        <f t="shared" si="143"/>
        <v>0</v>
      </c>
      <c r="J686">
        <f t="shared" si="144"/>
        <v>0</v>
      </c>
      <c r="K686">
        <f t="shared" si="145"/>
        <v>0</v>
      </c>
      <c r="L686">
        <f t="shared" si="146"/>
        <v>0</v>
      </c>
      <c r="M686">
        <f t="shared" si="147"/>
        <v>0</v>
      </c>
      <c r="N686">
        <f t="shared" si="148"/>
        <v>0</v>
      </c>
      <c r="O686">
        <f t="shared" si="149"/>
        <v>0</v>
      </c>
      <c r="P686">
        <f t="shared" si="150"/>
        <v>0</v>
      </c>
      <c r="Q686">
        <f t="shared" si="151"/>
        <v>9.7100000000000009</v>
      </c>
      <c r="R686">
        <f t="shared" si="152"/>
        <v>0</v>
      </c>
      <c r="S686">
        <f t="shared" si="153"/>
        <v>0</v>
      </c>
    </row>
    <row r="687" spans="1:19" x14ac:dyDescent="0.3">
      <c r="A687" s="1">
        <v>41929</v>
      </c>
      <c r="B687" s="1">
        <v>41945</v>
      </c>
      <c r="C687">
        <v>4.25</v>
      </c>
      <c r="D687">
        <v>0.11</v>
      </c>
      <c r="E687">
        <v>3</v>
      </c>
      <c r="F687">
        <f t="shared" si="140"/>
        <v>4.3600000000000003</v>
      </c>
      <c r="G687">
        <f t="shared" si="141"/>
        <v>10</v>
      </c>
      <c r="H687">
        <f t="shared" si="142"/>
        <v>0</v>
      </c>
      <c r="I687">
        <f t="shared" si="143"/>
        <v>0</v>
      </c>
      <c r="J687">
        <f t="shared" si="144"/>
        <v>0</v>
      </c>
      <c r="K687">
        <f t="shared" si="145"/>
        <v>0</v>
      </c>
      <c r="L687">
        <f t="shared" si="146"/>
        <v>0</v>
      </c>
      <c r="M687">
        <f t="shared" si="147"/>
        <v>0</v>
      </c>
      <c r="N687">
        <f t="shared" si="148"/>
        <v>0</v>
      </c>
      <c r="O687">
        <f t="shared" si="149"/>
        <v>0</v>
      </c>
      <c r="P687">
        <f t="shared" si="150"/>
        <v>0</v>
      </c>
      <c r="Q687">
        <f t="shared" si="151"/>
        <v>4.3600000000000003</v>
      </c>
      <c r="R687">
        <f t="shared" si="152"/>
        <v>0</v>
      </c>
      <c r="S687">
        <f t="shared" si="153"/>
        <v>0</v>
      </c>
    </row>
    <row r="688" spans="1:19" x14ac:dyDescent="0.3">
      <c r="A688" s="1">
        <v>41929</v>
      </c>
      <c r="B688" s="1">
        <v>41955</v>
      </c>
      <c r="C688">
        <v>11.42</v>
      </c>
      <c r="D688">
        <v>0.3</v>
      </c>
      <c r="E688">
        <v>4</v>
      </c>
      <c r="F688">
        <f t="shared" si="140"/>
        <v>11.72</v>
      </c>
      <c r="G688">
        <f t="shared" si="141"/>
        <v>10</v>
      </c>
      <c r="H688">
        <f t="shared" si="142"/>
        <v>0</v>
      </c>
      <c r="I688">
        <f t="shared" si="143"/>
        <v>0</v>
      </c>
      <c r="J688">
        <f t="shared" si="144"/>
        <v>0</v>
      </c>
      <c r="K688">
        <f t="shared" si="145"/>
        <v>0</v>
      </c>
      <c r="L688">
        <f t="shared" si="146"/>
        <v>0</v>
      </c>
      <c r="M688">
        <f t="shared" si="147"/>
        <v>0</v>
      </c>
      <c r="N688">
        <f t="shared" si="148"/>
        <v>0</v>
      </c>
      <c r="O688">
        <f t="shared" si="149"/>
        <v>0</v>
      </c>
      <c r="P688">
        <f t="shared" si="150"/>
        <v>0</v>
      </c>
      <c r="Q688">
        <f t="shared" si="151"/>
        <v>11.72</v>
      </c>
      <c r="R688">
        <f t="shared" si="152"/>
        <v>0</v>
      </c>
      <c r="S688">
        <f t="shared" si="153"/>
        <v>0</v>
      </c>
    </row>
    <row r="689" spans="1:19" x14ac:dyDescent="0.3">
      <c r="A689" s="1">
        <v>41929</v>
      </c>
      <c r="B689" s="1">
        <v>41955</v>
      </c>
      <c r="C689">
        <v>8.5399999999999991</v>
      </c>
      <c r="D689">
        <v>0.22</v>
      </c>
      <c r="E689">
        <v>3</v>
      </c>
      <c r="F689">
        <f t="shared" si="140"/>
        <v>8.76</v>
      </c>
      <c r="G689">
        <f t="shared" si="141"/>
        <v>10</v>
      </c>
      <c r="H689">
        <f t="shared" si="142"/>
        <v>0</v>
      </c>
      <c r="I689">
        <f t="shared" si="143"/>
        <v>0</v>
      </c>
      <c r="J689">
        <f t="shared" si="144"/>
        <v>0</v>
      </c>
      <c r="K689">
        <f t="shared" si="145"/>
        <v>0</v>
      </c>
      <c r="L689">
        <f t="shared" si="146"/>
        <v>0</v>
      </c>
      <c r="M689">
        <f t="shared" si="147"/>
        <v>0</v>
      </c>
      <c r="N689">
        <f t="shared" si="148"/>
        <v>0</v>
      </c>
      <c r="O689">
        <f t="shared" si="149"/>
        <v>0</v>
      </c>
      <c r="P689">
        <f t="shared" si="150"/>
        <v>0</v>
      </c>
      <c r="Q689">
        <f t="shared" si="151"/>
        <v>8.76</v>
      </c>
      <c r="R689">
        <f t="shared" si="152"/>
        <v>0</v>
      </c>
      <c r="S689">
        <f t="shared" si="153"/>
        <v>0</v>
      </c>
    </row>
    <row r="690" spans="1:19" x14ac:dyDescent="0.3">
      <c r="A690" s="1">
        <v>41930</v>
      </c>
      <c r="B690" s="1">
        <v>41936</v>
      </c>
      <c r="C690">
        <v>2.72</v>
      </c>
      <c r="D690">
        <v>7.0000000000000007E-2</v>
      </c>
      <c r="E690">
        <v>2</v>
      </c>
      <c r="F690">
        <f t="shared" si="140"/>
        <v>2.79</v>
      </c>
      <c r="G690">
        <f t="shared" si="141"/>
        <v>10</v>
      </c>
      <c r="H690">
        <f t="shared" si="142"/>
        <v>0</v>
      </c>
      <c r="I690">
        <f t="shared" si="143"/>
        <v>0</v>
      </c>
      <c r="J690">
        <f t="shared" si="144"/>
        <v>0</v>
      </c>
      <c r="K690">
        <f t="shared" si="145"/>
        <v>0</v>
      </c>
      <c r="L690">
        <f t="shared" si="146"/>
        <v>0</v>
      </c>
      <c r="M690">
        <f t="shared" si="147"/>
        <v>0</v>
      </c>
      <c r="N690">
        <f t="shared" si="148"/>
        <v>0</v>
      </c>
      <c r="O690">
        <f t="shared" si="149"/>
        <v>0</v>
      </c>
      <c r="P690">
        <f t="shared" si="150"/>
        <v>0</v>
      </c>
      <c r="Q690">
        <f t="shared" si="151"/>
        <v>2.79</v>
      </c>
      <c r="R690">
        <f t="shared" si="152"/>
        <v>0</v>
      </c>
      <c r="S690">
        <f t="shared" si="153"/>
        <v>0</v>
      </c>
    </row>
    <row r="691" spans="1:19" x14ac:dyDescent="0.3">
      <c r="A691" s="1">
        <v>41934</v>
      </c>
      <c r="B691" s="1">
        <v>41941</v>
      </c>
      <c r="C691">
        <v>11.78</v>
      </c>
      <c r="D691">
        <v>0.31</v>
      </c>
      <c r="E691">
        <v>3</v>
      </c>
      <c r="F691">
        <f t="shared" si="140"/>
        <v>12.09</v>
      </c>
      <c r="G691">
        <f t="shared" si="141"/>
        <v>10</v>
      </c>
      <c r="H691">
        <f t="shared" si="142"/>
        <v>0</v>
      </c>
      <c r="I691">
        <f t="shared" si="143"/>
        <v>0</v>
      </c>
      <c r="J691">
        <f t="shared" si="144"/>
        <v>0</v>
      </c>
      <c r="K691">
        <f t="shared" si="145"/>
        <v>0</v>
      </c>
      <c r="L691">
        <f t="shared" si="146"/>
        <v>0</v>
      </c>
      <c r="M691">
        <f t="shared" si="147"/>
        <v>0</v>
      </c>
      <c r="N691">
        <f t="shared" si="148"/>
        <v>0</v>
      </c>
      <c r="O691">
        <f t="shared" si="149"/>
        <v>0</v>
      </c>
      <c r="P691">
        <f t="shared" si="150"/>
        <v>0</v>
      </c>
      <c r="Q691">
        <f t="shared" si="151"/>
        <v>12.09</v>
      </c>
      <c r="R691">
        <f t="shared" si="152"/>
        <v>0</v>
      </c>
      <c r="S691">
        <f t="shared" si="153"/>
        <v>0</v>
      </c>
    </row>
    <row r="692" spans="1:19" x14ac:dyDescent="0.3">
      <c r="A692" s="1">
        <v>41934</v>
      </c>
      <c r="B692" s="1">
        <v>41959</v>
      </c>
      <c r="C692">
        <v>8.89</v>
      </c>
      <c r="D692">
        <v>0.23</v>
      </c>
      <c r="E692">
        <v>4</v>
      </c>
      <c r="F692">
        <f t="shared" si="140"/>
        <v>9.120000000000001</v>
      </c>
      <c r="G692">
        <f t="shared" si="141"/>
        <v>10</v>
      </c>
      <c r="H692">
        <f t="shared" si="142"/>
        <v>0</v>
      </c>
      <c r="I692">
        <f t="shared" si="143"/>
        <v>0</v>
      </c>
      <c r="J692">
        <f t="shared" si="144"/>
        <v>0</v>
      </c>
      <c r="K692">
        <f t="shared" si="145"/>
        <v>0</v>
      </c>
      <c r="L692">
        <f t="shared" si="146"/>
        <v>0</v>
      </c>
      <c r="M692">
        <f t="shared" si="147"/>
        <v>0</v>
      </c>
      <c r="N692">
        <f t="shared" si="148"/>
        <v>0</v>
      </c>
      <c r="O692">
        <f t="shared" si="149"/>
        <v>0</v>
      </c>
      <c r="P692">
        <f t="shared" si="150"/>
        <v>0</v>
      </c>
      <c r="Q692">
        <f t="shared" si="151"/>
        <v>9.120000000000001</v>
      </c>
      <c r="R692">
        <f t="shared" si="152"/>
        <v>0</v>
      </c>
      <c r="S692">
        <f t="shared" si="153"/>
        <v>0</v>
      </c>
    </row>
    <row r="693" spans="1:19" x14ac:dyDescent="0.3">
      <c r="A693" s="1">
        <v>41934</v>
      </c>
      <c r="B693" s="1">
        <v>41937</v>
      </c>
      <c r="C693">
        <v>3.94</v>
      </c>
      <c r="D693">
        <v>0.1</v>
      </c>
      <c r="E693">
        <v>5</v>
      </c>
      <c r="F693">
        <f t="shared" si="140"/>
        <v>4.04</v>
      </c>
      <c r="G693">
        <f t="shared" si="141"/>
        <v>10</v>
      </c>
      <c r="H693">
        <f t="shared" si="142"/>
        <v>0</v>
      </c>
      <c r="I693">
        <f t="shared" si="143"/>
        <v>0</v>
      </c>
      <c r="J693">
        <f t="shared" si="144"/>
        <v>0</v>
      </c>
      <c r="K693">
        <f t="shared" si="145"/>
        <v>0</v>
      </c>
      <c r="L693">
        <f t="shared" si="146"/>
        <v>0</v>
      </c>
      <c r="M693">
        <f t="shared" si="147"/>
        <v>0</v>
      </c>
      <c r="N693">
        <f t="shared" si="148"/>
        <v>0</v>
      </c>
      <c r="O693">
        <f t="shared" si="149"/>
        <v>0</v>
      </c>
      <c r="P693">
        <f t="shared" si="150"/>
        <v>0</v>
      </c>
      <c r="Q693">
        <f t="shared" si="151"/>
        <v>4.04</v>
      </c>
      <c r="R693">
        <f t="shared" si="152"/>
        <v>0</v>
      </c>
      <c r="S693">
        <f t="shared" si="153"/>
        <v>0</v>
      </c>
    </row>
    <row r="694" spans="1:19" x14ac:dyDescent="0.3">
      <c r="A694" s="1">
        <v>41934</v>
      </c>
      <c r="B694" s="1">
        <v>41960</v>
      </c>
      <c r="C694">
        <v>6.23</v>
      </c>
      <c r="D694">
        <v>0.16</v>
      </c>
      <c r="E694">
        <v>5</v>
      </c>
      <c r="F694">
        <f t="shared" si="140"/>
        <v>6.3900000000000006</v>
      </c>
      <c r="G694">
        <f t="shared" si="141"/>
        <v>10</v>
      </c>
      <c r="H694">
        <f t="shared" si="142"/>
        <v>0</v>
      </c>
      <c r="I694">
        <f t="shared" si="143"/>
        <v>0</v>
      </c>
      <c r="J694">
        <f t="shared" si="144"/>
        <v>0</v>
      </c>
      <c r="K694">
        <f t="shared" si="145"/>
        <v>0</v>
      </c>
      <c r="L694">
        <f t="shared" si="146"/>
        <v>0</v>
      </c>
      <c r="M694">
        <f t="shared" si="147"/>
        <v>0</v>
      </c>
      <c r="N694">
        <f t="shared" si="148"/>
        <v>0</v>
      </c>
      <c r="O694">
        <f t="shared" si="149"/>
        <v>0</v>
      </c>
      <c r="P694">
        <f t="shared" si="150"/>
        <v>0</v>
      </c>
      <c r="Q694">
        <f t="shared" si="151"/>
        <v>6.3900000000000006</v>
      </c>
      <c r="R694">
        <f t="shared" si="152"/>
        <v>0</v>
      </c>
      <c r="S694">
        <f t="shared" si="153"/>
        <v>0</v>
      </c>
    </row>
    <row r="695" spans="1:19" x14ac:dyDescent="0.3">
      <c r="A695" s="1">
        <v>41934</v>
      </c>
      <c r="B695" s="1">
        <v>41961</v>
      </c>
      <c r="C695">
        <v>9.4600000000000009</v>
      </c>
      <c r="D695">
        <v>0.25</v>
      </c>
      <c r="E695">
        <v>6</v>
      </c>
      <c r="F695">
        <f t="shared" si="140"/>
        <v>9.7100000000000009</v>
      </c>
      <c r="G695">
        <f t="shared" si="141"/>
        <v>10</v>
      </c>
      <c r="H695">
        <f t="shared" si="142"/>
        <v>0</v>
      </c>
      <c r="I695">
        <f t="shared" si="143"/>
        <v>0</v>
      </c>
      <c r="J695">
        <f t="shared" si="144"/>
        <v>0</v>
      </c>
      <c r="K695">
        <f t="shared" si="145"/>
        <v>0</v>
      </c>
      <c r="L695">
        <f t="shared" si="146"/>
        <v>0</v>
      </c>
      <c r="M695">
        <f t="shared" si="147"/>
        <v>0</v>
      </c>
      <c r="N695">
        <f t="shared" si="148"/>
        <v>0</v>
      </c>
      <c r="O695">
        <f t="shared" si="149"/>
        <v>0</v>
      </c>
      <c r="P695">
        <f t="shared" si="150"/>
        <v>0</v>
      </c>
      <c r="Q695">
        <f t="shared" si="151"/>
        <v>9.7100000000000009</v>
      </c>
      <c r="R695">
        <f t="shared" si="152"/>
        <v>0</v>
      </c>
      <c r="S695">
        <f t="shared" si="153"/>
        <v>0</v>
      </c>
    </row>
    <row r="696" spans="1:19" x14ac:dyDescent="0.3">
      <c r="A696" s="1">
        <v>41934</v>
      </c>
      <c r="B696" s="1">
        <v>41942</v>
      </c>
      <c r="C696">
        <v>11.42</v>
      </c>
      <c r="D696">
        <v>0.3</v>
      </c>
      <c r="E696">
        <v>6</v>
      </c>
      <c r="F696">
        <f t="shared" si="140"/>
        <v>11.72</v>
      </c>
      <c r="G696">
        <f t="shared" si="141"/>
        <v>10</v>
      </c>
      <c r="H696">
        <f t="shared" si="142"/>
        <v>0</v>
      </c>
      <c r="I696">
        <f t="shared" si="143"/>
        <v>0</v>
      </c>
      <c r="J696">
        <f t="shared" si="144"/>
        <v>0</v>
      </c>
      <c r="K696">
        <f t="shared" si="145"/>
        <v>0</v>
      </c>
      <c r="L696">
        <f t="shared" si="146"/>
        <v>0</v>
      </c>
      <c r="M696">
        <f t="shared" si="147"/>
        <v>0</v>
      </c>
      <c r="N696">
        <f t="shared" si="148"/>
        <v>0</v>
      </c>
      <c r="O696">
        <f t="shared" si="149"/>
        <v>0</v>
      </c>
      <c r="P696">
        <f t="shared" si="150"/>
        <v>0</v>
      </c>
      <c r="Q696">
        <f t="shared" si="151"/>
        <v>11.72</v>
      </c>
      <c r="R696">
        <f t="shared" si="152"/>
        <v>0</v>
      </c>
      <c r="S696">
        <f t="shared" si="153"/>
        <v>0</v>
      </c>
    </row>
    <row r="697" spans="1:19" x14ac:dyDescent="0.3">
      <c r="A697" s="1">
        <v>41934</v>
      </c>
      <c r="B697" s="1">
        <v>41949</v>
      </c>
      <c r="C697">
        <v>8.84</v>
      </c>
      <c r="D697">
        <v>0.23</v>
      </c>
      <c r="E697">
        <v>3</v>
      </c>
      <c r="F697">
        <f t="shared" si="140"/>
        <v>9.07</v>
      </c>
      <c r="G697">
        <f t="shared" si="141"/>
        <v>10</v>
      </c>
      <c r="H697">
        <f t="shared" si="142"/>
        <v>0</v>
      </c>
      <c r="I697">
        <f t="shared" si="143"/>
        <v>0</v>
      </c>
      <c r="J697">
        <f t="shared" si="144"/>
        <v>0</v>
      </c>
      <c r="K697">
        <f t="shared" si="145"/>
        <v>0</v>
      </c>
      <c r="L697">
        <f t="shared" si="146"/>
        <v>0</v>
      </c>
      <c r="M697">
        <f t="shared" si="147"/>
        <v>0</v>
      </c>
      <c r="N697">
        <f t="shared" si="148"/>
        <v>0</v>
      </c>
      <c r="O697">
        <f t="shared" si="149"/>
        <v>0</v>
      </c>
      <c r="P697">
        <f t="shared" si="150"/>
        <v>0</v>
      </c>
      <c r="Q697">
        <f t="shared" si="151"/>
        <v>9.07</v>
      </c>
      <c r="R697">
        <f t="shared" si="152"/>
        <v>0</v>
      </c>
      <c r="S697">
        <f t="shared" si="153"/>
        <v>0</v>
      </c>
    </row>
    <row r="698" spans="1:19" x14ac:dyDescent="0.3">
      <c r="A698" s="1">
        <v>41934</v>
      </c>
      <c r="B698" s="1">
        <v>41949</v>
      </c>
      <c r="C698">
        <v>6.34</v>
      </c>
      <c r="D698">
        <v>0.17</v>
      </c>
      <c r="E698">
        <v>2</v>
      </c>
      <c r="F698">
        <f t="shared" si="140"/>
        <v>6.51</v>
      </c>
      <c r="G698">
        <f t="shared" si="141"/>
        <v>10</v>
      </c>
      <c r="H698">
        <f t="shared" si="142"/>
        <v>0</v>
      </c>
      <c r="I698">
        <f t="shared" si="143"/>
        <v>0</v>
      </c>
      <c r="J698">
        <f t="shared" si="144"/>
        <v>0</v>
      </c>
      <c r="K698">
        <f t="shared" si="145"/>
        <v>0</v>
      </c>
      <c r="L698">
        <f t="shared" si="146"/>
        <v>0</v>
      </c>
      <c r="M698">
        <f t="shared" si="147"/>
        <v>0</v>
      </c>
      <c r="N698">
        <f t="shared" si="148"/>
        <v>0</v>
      </c>
      <c r="O698">
        <f t="shared" si="149"/>
        <v>0</v>
      </c>
      <c r="P698">
        <f t="shared" si="150"/>
        <v>0</v>
      </c>
      <c r="Q698">
        <f t="shared" si="151"/>
        <v>6.51</v>
      </c>
      <c r="R698">
        <f t="shared" si="152"/>
        <v>0</v>
      </c>
      <c r="S698">
        <f t="shared" si="153"/>
        <v>0</v>
      </c>
    </row>
    <row r="699" spans="1:19" x14ac:dyDescent="0.3">
      <c r="A699" s="1">
        <v>41934</v>
      </c>
      <c r="B699" s="1">
        <v>41943</v>
      </c>
      <c r="C699">
        <v>5.67</v>
      </c>
      <c r="D699">
        <v>0.15</v>
      </c>
      <c r="E699">
        <v>2</v>
      </c>
      <c r="F699">
        <f t="shared" si="140"/>
        <v>5.82</v>
      </c>
      <c r="G699">
        <f t="shared" si="141"/>
        <v>10</v>
      </c>
      <c r="H699">
        <f t="shared" si="142"/>
        <v>0</v>
      </c>
      <c r="I699">
        <f t="shared" si="143"/>
        <v>0</v>
      </c>
      <c r="J699">
        <f t="shared" si="144"/>
        <v>0</v>
      </c>
      <c r="K699">
        <f t="shared" si="145"/>
        <v>0</v>
      </c>
      <c r="L699">
        <f t="shared" si="146"/>
        <v>0</v>
      </c>
      <c r="M699">
        <f t="shared" si="147"/>
        <v>0</v>
      </c>
      <c r="N699">
        <f t="shared" si="148"/>
        <v>0</v>
      </c>
      <c r="O699">
        <f t="shared" si="149"/>
        <v>0</v>
      </c>
      <c r="P699">
        <f t="shared" si="150"/>
        <v>0</v>
      </c>
      <c r="Q699">
        <f t="shared" si="151"/>
        <v>5.82</v>
      </c>
      <c r="R699">
        <f t="shared" si="152"/>
        <v>0</v>
      </c>
      <c r="S699">
        <f t="shared" si="153"/>
        <v>0</v>
      </c>
    </row>
    <row r="700" spans="1:19" x14ac:dyDescent="0.3">
      <c r="A700" s="1">
        <v>41934</v>
      </c>
      <c r="B700" s="1">
        <v>41954</v>
      </c>
      <c r="C700">
        <v>11.78</v>
      </c>
      <c r="D700">
        <v>0.31</v>
      </c>
      <c r="E700">
        <v>5</v>
      </c>
      <c r="F700">
        <f t="shared" si="140"/>
        <v>12.09</v>
      </c>
      <c r="G700">
        <f t="shared" si="141"/>
        <v>10</v>
      </c>
      <c r="H700">
        <f t="shared" si="142"/>
        <v>0</v>
      </c>
      <c r="I700">
        <f t="shared" si="143"/>
        <v>0</v>
      </c>
      <c r="J700">
        <f t="shared" si="144"/>
        <v>0</v>
      </c>
      <c r="K700">
        <f t="shared" si="145"/>
        <v>0</v>
      </c>
      <c r="L700">
        <f t="shared" si="146"/>
        <v>0</v>
      </c>
      <c r="M700">
        <f t="shared" si="147"/>
        <v>0</v>
      </c>
      <c r="N700">
        <f t="shared" si="148"/>
        <v>0</v>
      </c>
      <c r="O700">
        <f t="shared" si="149"/>
        <v>0</v>
      </c>
      <c r="P700">
        <f t="shared" si="150"/>
        <v>0</v>
      </c>
      <c r="Q700">
        <f t="shared" si="151"/>
        <v>12.09</v>
      </c>
      <c r="R700">
        <f t="shared" si="152"/>
        <v>0</v>
      </c>
      <c r="S700">
        <f t="shared" si="153"/>
        <v>0</v>
      </c>
    </row>
    <row r="701" spans="1:19" x14ac:dyDescent="0.3">
      <c r="A701" s="1">
        <v>41934</v>
      </c>
      <c r="B701" s="1">
        <v>41944</v>
      </c>
      <c r="C701">
        <v>13.82</v>
      </c>
      <c r="D701">
        <v>0.36</v>
      </c>
      <c r="E701">
        <v>3</v>
      </c>
      <c r="F701">
        <f t="shared" si="140"/>
        <v>14.18</v>
      </c>
      <c r="G701">
        <f t="shared" si="141"/>
        <v>10</v>
      </c>
      <c r="H701">
        <f t="shared" si="142"/>
        <v>0</v>
      </c>
      <c r="I701">
        <f t="shared" si="143"/>
        <v>0</v>
      </c>
      <c r="J701">
        <f t="shared" si="144"/>
        <v>0</v>
      </c>
      <c r="K701">
        <f t="shared" si="145"/>
        <v>0</v>
      </c>
      <c r="L701">
        <f t="shared" si="146"/>
        <v>0</v>
      </c>
      <c r="M701">
        <f t="shared" si="147"/>
        <v>0</v>
      </c>
      <c r="N701">
        <f t="shared" si="148"/>
        <v>0</v>
      </c>
      <c r="O701">
        <f t="shared" si="149"/>
        <v>0</v>
      </c>
      <c r="P701">
        <f t="shared" si="150"/>
        <v>0</v>
      </c>
      <c r="Q701">
        <f t="shared" si="151"/>
        <v>14.18</v>
      </c>
      <c r="R701">
        <f t="shared" si="152"/>
        <v>0</v>
      </c>
      <c r="S701">
        <f t="shared" si="153"/>
        <v>0</v>
      </c>
    </row>
    <row r="702" spans="1:19" x14ac:dyDescent="0.3">
      <c r="A702" s="1">
        <v>41934</v>
      </c>
      <c r="B702" s="1">
        <v>41958</v>
      </c>
      <c r="C702">
        <v>3.57</v>
      </c>
      <c r="D702">
        <v>0.09</v>
      </c>
      <c r="E702">
        <v>3</v>
      </c>
      <c r="F702">
        <f t="shared" si="140"/>
        <v>3.6599999999999997</v>
      </c>
      <c r="G702">
        <f t="shared" si="141"/>
        <v>10</v>
      </c>
      <c r="H702">
        <f t="shared" si="142"/>
        <v>0</v>
      </c>
      <c r="I702">
        <f t="shared" si="143"/>
        <v>0</v>
      </c>
      <c r="J702">
        <f t="shared" si="144"/>
        <v>0</v>
      </c>
      <c r="K702">
        <f t="shared" si="145"/>
        <v>0</v>
      </c>
      <c r="L702">
        <f t="shared" si="146"/>
        <v>0</v>
      </c>
      <c r="M702">
        <f t="shared" si="147"/>
        <v>0</v>
      </c>
      <c r="N702">
        <f t="shared" si="148"/>
        <v>0</v>
      </c>
      <c r="O702">
        <f t="shared" si="149"/>
        <v>0</v>
      </c>
      <c r="P702">
        <f t="shared" si="150"/>
        <v>0</v>
      </c>
      <c r="Q702">
        <f t="shared" si="151"/>
        <v>3.6599999999999997</v>
      </c>
      <c r="R702">
        <f t="shared" si="152"/>
        <v>0</v>
      </c>
      <c r="S702">
        <f t="shared" si="153"/>
        <v>0</v>
      </c>
    </row>
    <row r="703" spans="1:19" x14ac:dyDescent="0.3">
      <c r="A703" s="1">
        <v>41934</v>
      </c>
      <c r="B703" s="1">
        <v>41954</v>
      </c>
      <c r="C703">
        <v>6.88</v>
      </c>
      <c r="D703">
        <v>0.18</v>
      </c>
      <c r="E703">
        <v>3</v>
      </c>
      <c r="F703">
        <f t="shared" si="140"/>
        <v>7.06</v>
      </c>
      <c r="G703">
        <f t="shared" si="141"/>
        <v>10</v>
      </c>
      <c r="H703">
        <f t="shared" si="142"/>
        <v>0</v>
      </c>
      <c r="I703">
        <f t="shared" si="143"/>
        <v>0</v>
      </c>
      <c r="J703">
        <f t="shared" si="144"/>
        <v>0</v>
      </c>
      <c r="K703">
        <f t="shared" si="145"/>
        <v>0</v>
      </c>
      <c r="L703">
        <f t="shared" si="146"/>
        <v>0</v>
      </c>
      <c r="M703">
        <f t="shared" si="147"/>
        <v>0</v>
      </c>
      <c r="N703">
        <f t="shared" si="148"/>
        <v>0</v>
      </c>
      <c r="O703">
        <f t="shared" si="149"/>
        <v>0</v>
      </c>
      <c r="P703">
        <f t="shared" si="150"/>
        <v>0</v>
      </c>
      <c r="Q703">
        <f t="shared" si="151"/>
        <v>7.06</v>
      </c>
      <c r="R703">
        <f t="shared" si="152"/>
        <v>0</v>
      </c>
      <c r="S703">
        <f t="shared" si="153"/>
        <v>0</v>
      </c>
    </row>
    <row r="704" spans="1:19" x14ac:dyDescent="0.3">
      <c r="A704" s="1">
        <v>41934</v>
      </c>
      <c r="B704" s="1">
        <v>41958</v>
      </c>
      <c r="C704">
        <v>7.3</v>
      </c>
      <c r="D704">
        <v>0.19</v>
      </c>
      <c r="E704">
        <v>5</v>
      </c>
      <c r="F704">
        <f t="shared" si="140"/>
        <v>7.49</v>
      </c>
      <c r="G704">
        <f t="shared" si="141"/>
        <v>10</v>
      </c>
      <c r="H704">
        <f t="shared" si="142"/>
        <v>0</v>
      </c>
      <c r="I704">
        <f t="shared" si="143"/>
        <v>0</v>
      </c>
      <c r="J704">
        <f t="shared" si="144"/>
        <v>0</v>
      </c>
      <c r="K704">
        <f t="shared" si="145"/>
        <v>0</v>
      </c>
      <c r="L704">
        <f t="shared" si="146"/>
        <v>0</v>
      </c>
      <c r="M704">
        <f t="shared" si="147"/>
        <v>0</v>
      </c>
      <c r="N704">
        <f t="shared" si="148"/>
        <v>0</v>
      </c>
      <c r="O704">
        <f t="shared" si="149"/>
        <v>0</v>
      </c>
      <c r="P704">
        <f t="shared" si="150"/>
        <v>0</v>
      </c>
      <c r="Q704">
        <f t="shared" si="151"/>
        <v>7.49</v>
      </c>
      <c r="R704">
        <f t="shared" si="152"/>
        <v>0</v>
      </c>
      <c r="S704">
        <f t="shared" si="153"/>
        <v>0</v>
      </c>
    </row>
    <row r="705" spans="1:19" x14ac:dyDescent="0.3">
      <c r="A705" s="1">
        <v>41934</v>
      </c>
      <c r="B705" s="1">
        <v>41955</v>
      </c>
      <c r="C705">
        <v>9.74</v>
      </c>
      <c r="D705">
        <v>0.26</v>
      </c>
      <c r="E705">
        <v>2</v>
      </c>
      <c r="F705">
        <f t="shared" si="140"/>
        <v>10</v>
      </c>
      <c r="G705">
        <f t="shared" si="141"/>
        <v>10</v>
      </c>
      <c r="H705">
        <f t="shared" si="142"/>
        <v>0</v>
      </c>
      <c r="I705">
        <f t="shared" si="143"/>
        <v>0</v>
      </c>
      <c r="J705">
        <f t="shared" si="144"/>
        <v>0</v>
      </c>
      <c r="K705">
        <f t="shared" si="145"/>
        <v>0</v>
      </c>
      <c r="L705">
        <f t="shared" si="146"/>
        <v>0</v>
      </c>
      <c r="M705">
        <f t="shared" si="147"/>
        <v>0</v>
      </c>
      <c r="N705">
        <f t="shared" si="148"/>
        <v>0</v>
      </c>
      <c r="O705">
        <f t="shared" si="149"/>
        <v>0</v>
      </c>
      <c r="P705">
        <f t="shared" si="150"/>
        <v>0</v>
      </c>
      <c r="Q705">
        <f t="shared" si="151"/>
        <v>10</v>
      </c>
      <c r="R705">
        <f t="shared" si="152"/>
        <v>0</v>
      </c>
      <c r="S705">
        <f t="shared" si="153"/>
        <v>0</v>
      </c>
    </row>
    <row r="706" spans="1:19" x14ac:dyDescent="0.3">
      <c r="A706" s="1">
        <v>41934</v>
      </c>
      <c r="B706" s="1">
        <v>41945</v>
      </c>
      <c r="C706">
        <v>8.65</v>
      </c>
      <c r="D706">
        <v>0.23</v>
      </c>
      <c r="E706">
        <v>2</v>
      </c>
      <c r="F706">
        <f t="shared" si="140"/>
        <v>8.8800000000000008</v>
      </c>
      <c r="G706">
        <f t="shared" si="141"/>
        <v>10</v>
      </c>
      <c r="H706">
        <f t="shared" si="142"/>
        <v>0</v>
      </c>
      <c r="I706">
        <f t="shared" si="143"/>
        <v>0</v>
      </c>
      <c r="J706">
        <f t="shared" si="144"/>
        <v>0</v>
      </c>
      <c r="K706">
        <f t="shared" si="145"/>
        <v>0</v>
      </c>
      <c r="L706">
        <f t="shared" si="146"/>
        <v>0</v>
      </c>
      <c r="M706">
        <f t="shared" si="147"/>
        <v>0</v>
      </c>
      <c r="N706">
        <f t="shared" si="148"/>
        <v>0</v>
      </c>
      <c r="O706">
        <f t="shared" si="149"/>
        <v>0</v>
      </c>
      <c r="P706">
        <f t="shared" si="150"/>
        <v>0</v>
      </c>
      <c r="Q706">
        <f t="shared" si="151"/>
        <v>8.8800000000000008</v>
      </c>
      <c r="R706">
        <f t="shared" si="152"/>
        <v>0</v>
      </c>
      <c r="S706">
        <f t="shared" si="153"/>
        <v>0</v>
      </c>
    </row>
    <row r="707" spans="1:19" x14ac:dyDescent="0.3">
      <c r="A707" s="1">
        <v>41934</v>
      </c>
      <c r="B707" s="1">
        <v>41954</v>
      </c>
      <c r="C707">
        <v>3.57</v>
      </c>
      <c r="D707">
        <v>0.09</v>
      </c>
      <c r="E707">
        <v>5</v>
      </c>
      <c r="F707">
        <f t="shared" ref="F707:F770" si="154">C707+D707</f>
        <v>3.6599999999999997</v>
      </c>
      <c r="G707">
        <f t="shared" ref="G707:G770" si="155">MONTH(A707)</f>
        <v>10</v>
      </c>
      <c r="H707">
        <f t="shared" ref="H707:H770" si="156">IF(EXACT(G707,1),F707,0)</f>
        <v>0</v>
      </c>
      <c r="I707">
        <f t="shared" ref="I707:I770" si="157">IF(EXACT(G707,2),F707,0)</f>
        <v>0</v>
      </c>
      <c r="J707">
        <f t="shared" ref="J707:J770" si="158">IF(EXACT(G707,3),F707,0)</f>
        <v>0</v>
      </c>
      <c r="K707">
        <f t="shared" ref="K707:K770" si="159">IF(EXACT(G707,4),F707,0)</f>
        <v>0</v>
      </c>
      <c r="L707">
        <f t="shared" ref="L707:L770" si="160">IF(EXACT(G707,5),F707,0)</f>
        <v>0</v>
      </c>
      <c r="M707">
        <f t="shared" ref="M707:M770" si="161">IF(EXACT(G707,6),F707,0)</f>
        <v>0</v>
      </c>
      <c r="N707">
        <f t="shared" ref="N707:N770" si="162">IF(EXACT(G707,7),F707,0)</f>
        <v>0</v>
      </c>
      <c r="O707">
        <f t="shared" ref="O707:O770" si="163">IF(EXACT(G707,8),F707,0)</f>
        <v>0</v>
      </c>
      <c r="P707">
        <f t="shared" ref="P707:P770" si="164">IF(EXACT(G707,9),F707,0)</f>
        <v>0</v>
      </c>
      <c r="Q707">
        <f t="shared" ref="Q707:Q770" si="165">IF(EXACT(G707,10),F707,0)</f>
        <v>3.6599999999999997</v>
      </c>
      <c r="R707">
        <f t="shared" ref="R707:R770" si="166">IF(EXACT(G707,11),F707,0)</f>
        <v>0</v>
      </c>
      <c r="S707">
        <f t="shared" ref="S707:S770" si="167">IF(EXACT(G707,12),F707,0)</f>
        <v>0</v>
      </c>
    </row>
    <row r="708" spans="1:19" x14ac:dyDescent="0.3">
      <c r="A708" s="1">
        <v>41934</v>
      </c>
      <c r="B708" s="1">
        <v>41951</v>
      </c>
      <c r="C708">
        <v>4.25</v>
      </c>
      <c r="D708">
        <v>0.11</v>
      </c>
      <c r="E708">
        <v>6</v>
      </c>
      <c r="F708">
        <f t="shared" si="154"/>
        <v>4.3600000000000003</v>
      </c>
      <c r="G708">
        <f t="shared" si="155"/>
        <v>10</v>
      </c>
      <c r="H708">
        <f t="shared" si="156"/>
        <v>0</v>
      </c>
      <c r="I708">
        <f t="shared" si="157"/>
        <v>0</v>
      </c>
      <c r="J708">
        <f t="shared" si="158"/>
        <v>0</v>
      </c>
      <c r="K708">
        <f t="shared" si="159"/>
        <v>0</v>
      </c>
      <c r="L708">
        <f t="shared" si="160"/>
        <v>0</v>
      </c>
      <c r="M708">
        <f t="shared" si="161"/>
        <v>0</v>
      </c>
      <c r="N708">
        <f t="shared" si="162"/>
        <v>0</v>
      </c>
      <c r="O708">
        <f t="shared" si="163"/>
        <v>0</v>
      </c>
      <c r="P708">
        <f t="shared" si="164"/>
        <v>0</v>
      </c>
      <c r="Q708">
        <f t="shared" si="165"/>
        <v>4.3600000000000003</v>
      </c>
      <c r="R708">
        <f t="shared" si="166"/>
        <v>0</v>
      </c>
      <c r="S708">
        <f t="shared" si="167"/>
        <v>0</v>
      </c>
    </row>
    <row r="709" spans="1:19" x14ac:dyDescent="0.3">
      <c r="A709" s="1">
        <v>41934</v>
      </c>
      <c r="B709" s="1">
        <v>41938</v>
      </c>
      <c r="C709">
        <v>13.02</v>
      </c>
      <c r="D709">
        <v>0.34</v>
      </c>
      <c r="E709">
        <v>2</v>
      </c>
      <c r="F709">
        <f t="shared" si="154"/>
        <v>13.36</v>
      </c>
      <c r="G709">
        <f t="shared" si="155"/>
        <v>10</v>
      </c>
      <c r="H709">
        <f t="shared" si="156"/>
        <v>0</v>
      </c>
      <c r="I709">
        <f t="shared" si="157"/>
        <v>0</v>
      </c>
      <c r="J709">
        <f t="shared" si="158"/>
        <v>0</v>
      </c>
      <c r="K709">
        <f t="shared" si="159"/>
        <v>0</v>
      </c>
      <c r="L709">
        <f t="shared" si="160"/>
        <v>0</v>
      </c>
      <c r="M709">
        <f t="shared" si="161"/>
        <v>0</v>
      </c>
      <c r="N709">
        <f t="shared" si="162"/>
        <v>0</v>
      </c>
      <c r="O709">
        <f t="shared" si="163"/>
        <v>0</v>
      </c>
      <c r="P709">
        <f t="shared" si="164"/>
        <v>0</v>
      </c>
      <c r="Q709">
        <f t="shared" si="165"/>
        <v>13.36</v>
      </c>
      <c r="R709">
        <f t="shared" si="166"/>
        <v>0</v>
      </c>
      <c r="S709">
        <f t="shared" si="167"/>
        <v>0</v>
      </c>
    </row>
    <row r="710" spans="1:19" x14ac:dyDescent="0.3">
      <c r="A710" s="1">
        <v>41935</v>
      </c>
      <c r="B710" s="1">
        <v>41945</v>
      </c>
      <c r="C710">
        <v>11.44</v>
      </c>
      <c r="D710">
        <v>0.3</v>
      </c>
      <c r="E710">
        <v>6</v>
      </c>
      <c r="F710">
        <f t="shared" si="154"/>
        <v>11.74</v>
      </c>
      <c r="G710">
        <f t="shared" si="155"/>
        <v>10</v>
      </c>
      <c r="H710">
        <f t="shared" si="156"/>
        <v>0</v>
      </c>
      <c r="I710">
        <f t="shared" si="157"/>
        <v>0</v>
      </c>
      <c r="J710">
        <f t="shared" si="158"/>
        <v>0</v>
      </c>
      <c r="K710">
        <f t="shared" si="159"/>
        <v>0</v>
      </c>
      <c r="L710">
        <f t="shared" si="160"/>
        <v>0</v>
      </c>
      <c r="M710">
        <f t="shared" si="161"/>
        <v>0</v>
      </c>
      <c r="N710">
        <f t="shared" si="162"/>
        <v>0</v>
      </c>
      <c r="O710">
        <f t="shared" si="163"/>
        <v>0</v>
      </c>
      <c r="P710">
        <f t="shared" si="164"/>
        <v>0</v>
      </c>
      <c r="Q710">
        <f t="shared" si="165"/>
        <v>11.74</v>
      </c>
      <c r="R710">
        <f t="shared" si="166"/>
        <v>0</v>
      </c>
      <c r="S710">
        <f t="shared" si="167"/>
        <v>0</v>
      </c>
    </row>
    <row r="711" spans="1:19" x14ac:dyDescent="0.3">
      <c r="A711" s="1">
        <v>41935</v>
      </c>
      <c r="B711" s="1">
        <v>41954</v>
      </c>
      <c r="C711">
        <v>11.78</v>
      </c>
      <c r="D711">
        <v>0.31</v>
      </c>
      <c r="E711">
        <v>5</v>
      </c>
      <c r="F711">
        <f t="shared" si="154"/>
        <v>12.09</v>
      </c>
      <c r="G711">
        <f t="shared" si="155"/>
        <v>10</v>
      </c>
      <c r="H711">
        <f t="shared" si="156"/>
        <v>0</v>
      </c>
      <c r="I711">
        <f t="shared" si="157"/>
        <v>0</v>
      </c>
      <c r="J711">
        <f t="shared" si="158"/>
        <v>0</v>
      </c>
      <c r="K711">
        <f t="shared" si="159"/>
        <v>0</v>
      </c>
      <c r="L711">
        <f t="shared" si="160"/>
        <v>0</v>
      </c>
      <c r="M711">
        <f t="shared" si="161"/>
        <v>0</v>
      </c>
      <c r="N711">
        <f t="shared" si="162"/>
        <v>0</v>
      </c>
      <c r="O711">
        <f t="shared" si="163"/>
        <v>0</v>
      </c>
      <c r="P711">
        <f t="shared" si="164"/>
        <v>0</v>
      </c>
      <c r="Q711">
        <f t="shared" si="165"/>
        <v>12.09</v>
      </c>
      <c r="R711">
        <f t="shared" si="166"/>
        <v>0</v>
      </c>
      <c r="S711">
        <f t="shared" si="167"/>
        <v>0</v>
      </c>
    </row>
    <row r="712" spans="1:19" x14ac:dyDescent="0.3">
      <c r="A712" s="1">
        <v>41935</v>
      </c>
      <c r="B712" s="1">
        <v>41944</v>
      </c>
      <c r="C712">
        <v>7.31</v>
      </c>
      <c r="D712">
        <v>0.19</v>
      </c>
      <c r="E712">
        <v>2</v>
      </c>
      <c r="F712">
        <f t="shared" si="154"/>
        <v>7.5</v>
      </c>
      <c r="G712">
        <f t="shared" si="155"/>
        <v>10</v>
      </c>
      <c r="H712">
        <f t="shared" si="156"/>
        <v>0</v>
      </c>
      <c r="I712">
        <f t="shared" si="157"/>
        <v>0</v>
      </c>
      <c r="J712">
        <f t="shared" si="158"/>
        <v>0</v>
      </c>
      <c r="K712">
        <f t="shared" si="159"/>
        <v>0</v>
      </c>
      <c r="L712">
        <f t="shared" si="160"/>
        <v>0</v>
      </c>
      <c r="M712">
        <f t="shared" si="161"/>
        <v>0</v>
      </c>
      <c r="N712">
        <f t="shared" si="162"/>
        <v>0</v>
      </c>
      <c r="O712">
        <f t="shared" si="163"/>
        <v>0</v>
      </c>
      <c r="P712">
        <f t="shared" si="164"/>
        <v>0</v>
      </c>
      <c r="Q712">
        <f t="shared" si="165"/>
        <v>7.5</v>
      </c>
      <c r="R712">
        <f t="shared" si="166"/>
        <v>0</v>
      </c>
      <c r="S712">
        <f t="shared" si="167"/>
        <v>0</v>
      </c>
    </row>
    <row r="713" spans="1:19" x14ac:dyDescent="0.3">
      <c r="A713" s="1">
        <v>41935</v>
      </c>
      <c r="B713" s="1">
        <v>41940</v>
      </c>
      <c r="C713">
        <v>3.79</v>
      </c>
      <c r="D713">
        <v>0.1</v>
      </c>
      <c r="E713">
        <v>4</v>
      </c>
      <c r="F713">
        <f t="shared" si="154"/>
        <v>3.89</v>
      </c>
      <c r="G713">
        <f t="shared" si="155"/>
        <v>10</v>
      </c>
      <c r="H713">
        <f t="shared" si="156"/>
        <v>0</v>
      </c>
      <c r="I713">
        <f t="shared" si="157"/>
        <v>0</v>
      </c>
      <c r="J713">
        <f t="shared" si="158"/>
        <v>0</v>
      </c>
      <c r="K713">
        <f t="shared" si="159"/>
        <v>0</v>
      </c>
      <c r="L713">
        <f t="shared" si="160"/>
        <v>0</v>
      </c>
      <c r="M713">
        <f t="shared" si="161"/>
        <v>0</v>
      </c>
      <c r="N713">
        <f t="shared" si="162"/>
        <v>0</v>
      </c>
      <c r="O713">
        <f t="shared" si="163"/>
        <v>0</v>
      </c>
      <c r="P713">
        <f t="shared" si="164"/>
        <v>0</v>
      </c>
      <c r="Q713">
        <f t="shared" si="165"/>
        <v>3.89</v>
      </c>
      <c r="R713">
        <f t="shared" si="166"/>
        <v>0</v>
      </c>
      <c r="S713">
        <f t="shared" si="167"/>
        <v>0</v>
      </c>
    </row>
    <row r="714" spans="1:19" x14ac:dyDescent="0.3">
      <c r="A714" s="1">
        <v>41935</v>
      </c>
      <c r="B714" s="1">
        <v>41947</v>
      </c>
      <c r="C714">
        <v>11.42</v>
      </c>
      <c r="D714">
        <v>0.3</v>
      </c>
      <c r="E714">
        <v>3</v>
      </c>
      <c r="F714">
        <f t="shared" si="154"/>
        <v>11.72</v>
      </c>
      <c r="G714">
        <f t="shared" si="155"/>
        <v>10</v>
      </c>
      <c r="H714">
        <f t="shared" si="156"/>
        <v>0</v>
      </c>
      <c r="I714">
        <f t="shared" si="157"/>
        <v>0</v>
      </c>
      <c r="J714">
        <f t="shared" si="158"/>
        <v>0</v>
      </c>
      <c r="K714">
        <f t="shared" si="159"/>
        <v>0</v>
      </c>
      <c r="L714">
        <f t="shared" si="160"/>
        <v>0</v>
      </c>
      <c r="M714">
        <f t="shared" si="161"/>
        <v>0</v>
      </c>
      <c r="N714">
        <f t="shared" si="162"/>
        <v>0</v>
      </c>
      <c r="O714">
        <f t="shared" si="163"/>
        <v>0</v>
      </c>
      <c r="P714">
        <f t="shared" si="164"/>
        <v>0</v>
      </c>
      <c r="Q714">
        <f t="shared" si="165"/>
        <v>11.72</v>
      </c>
      <c r="R714">
        <f t="shared" si="166"/>
        <v>0</v>
      </c>
      <c r="S714">
        <f t="shared" si="167"/>
        <v>0</v>
      </c>
    </row>
    <row r="715" spans="1:19" x14ac:dyDescent="0.3">
      <c r="A715" s="1">
        <v>41935</v>
      </c>
      <c r="B715" s="1">
        <v>41955</v>
      </c>
      <c r="C715">
        <v>7.31</v>
      </c>
      <c r="D715">
        <v>0.19</v>
      </c>
      <c r="E715">
        <v>6</v>
      </c>
      <c r="F715">
        <f t="shared" si="154"/>
        <v>7.5</v>
      </c>
      <c r="G715">
        <f t="shared" si="155"/>
        <v>10</v>
      </c>
      <c r="H715">
        <f t="shared" si="156"/>
        <v>0</v>
      </c>
      <c r="I715">
        <f t="shared" si="157"/>
        <v>0</v>
      </c>
      <c r="J715">
        <f t="shared" si="158"/>
        <v>0</v>
      </c>
      <c r="K715">
        <f t="shared" si="159"/>
        <v>0</v>
      </c>
      <c r="L715">
        <f t="shared" si="160"/>
        <v>0</v>
      </c>
      <c r="M715">
        <f t="shared" si="161"/>
        <v>0</v>
      </c>
      <c r="N715">
        <f t="shared" si="162"/>
        <v>0</v>
      </c>
      <c r="O715">
        <f t="shared" si="163"/>
        <v>0</v>
      </c>
      <c r="P715">
        <f t="shared" si="164"/>
        <v>0</v>
      </c>
      <c r="Q715">
        <f t="shared" si="165"/>
        <v>7.5</v>
      </c>
      <c r="R715">
        <f t="shared" si="166"/>
        <v>0</v>
      </c>
      <c r="S715">
        <f t="shared" si="167"/>
        <v>0</v>
      </c>
    </row>
    <row r="716" spans="1:19" x14ac:dyDescent="0.3">
      <c r="A716" s="1">
        <v>41935</v>
      </c>
      <c r="B716" s="1">
        <v>41940</v>
      </c>
      <c r="C716">
        <v>3.73</v>
      </c>
      <c r="D716">
        <v>0.1</v>
      </c>
      <c r="E716">
        <v>2</v>
      </c>
      <c r="F716">
        <f t="shared" si="154"/>
        <v>3.83</v>
      </c>
      <c r="G716">
        <f t="shared" si="155"/>
        <v>10</v>
      </c>
      <c r="H716">
        <f t="shared" si="156"/>
        <v>0</v>
      </c>
      <c r="I716">
        <f t="shared" si="157"/>
        <v>0</v>
      </c>
      <c r="J716">
        <f t="shared" si="158"/>
        <v>0</v>
      </c>
      <c r="K716">
        <f t="shared" si="159"/>
        <v>0</v>
      </c>
      <c r="L716">
        <f t="shared" si="160"/>
        <v>0</v>
      </c>
      <c r="M716">
        <f t="shared" si="161"/>
        <v>0</v>
      </c>
      <c r="N716">
        <f t="shared" si="162"/>
        <v>0</v>
      </c>
      <c r="O716">
        <f t="shared" si="163"/>
        <v>0</v>
      </c>
      <c r="P716">
        <f t="shared" si="164"/>
        <v>0</v>
      </c>
      <c r="Q716">
        <f t="shared" si="165"/>
        <v>3.83</v>
      </c>
      <c r="R716">
        <f t="shared" si="166"/>
        <v>0</v>
      </c>
      <c r="S716">
        <f t="shared" si="167"/>
        <v>0</v>
      </c>
    </row>
    <row r="717" spans="1:19" x14ac:dyDescent="0.3">
      <c r="A717" s="1">
        <v>41935</v>
      </c>
      <c r="B717" s="1">
        <v>41957</v>
      </c>
      <c r="C717">
        <v>9.06</v>
      </c>
      <c r="D717">
        <v>0.24</v>
      </c>
      <c r="E717">
        <v>2</v>
      </c>
      <c r="F717">
        <f t="shared" si="154"/>
        <v>9.3000000000000007</v>
      </c>
      <c r="G717">
        <f t="shared" si="155"/>
        <v>10</v>
      </c>
      <c r="H717">
        <f t="shared" si="156"/>
        <v>0</v>
      </c>
      <c r="I717">
        <f t="shared" si="157"/>
        <v>0</v>
      </c>
      <c r="J717">
        <f t="shared" si="158"/>
        <v>0</v>
      </c>
      <c r="K717">
        <f t="shared" si="159"/>
        <v>0</v>
      </c>
      <c r="L717">
        <f t="shared" si="160"/>
        <v>0</v>
      </c>
      <c r="M717">
        <f t="shared" si="161"/>
        <v>0</v>
      </c>
      <c r="N717">
        <f t="shared" si="162"/>
        <v>0</v>
      </c>
      <c r="O717">
        <f t="shared" si="163"/>
        <v>0</v>
      </c>
      <c r="P717">
        <f t="shared" si="164"/>
        <v>0</v>
      </c>
      <c r="Q717">
        <f t="shared" si="165"/>
        <v>9.3000000000000007</v>
      </c>
      <c r="R717">
        <f t="shared" si="166"/>
        <v>0</v>
      </c>
      <c r="S717">
        <f t="shared" si="167"/>
        <v>0</v>
      </c>
    </row>
    <row r="718" spans="1:19" x14ac:dyDescent="0.3">
      <c r="A718" s="1">
        <v>41935</v>
      </c>
      <c r="B718" s="1">
        <v>41956</v>
      </c>
      <c r="C718">
        <v>11.69</v>
      </c>
      <c r="D718">
        <v>0.31</v>
      </c>
      <c r="E718">
        <v>2</v>
      </c>
      <c r="F718">
        <f t="shared" si="154"/>
        <v>12</v>
      </c>
      <c r="G718">
        <f t="shared" si="155"/>
        <v>10</v>
      </c>
      <c r="H718">
        <f t="shared" si="156"/>
        <v>0</v>
      </c>
      <c r="I718">
        <f t="shared" si="157"/>
        <v>0</v>
      </c>
      <c r="J718">
        <f t="shared" si="158"/>
        <v>0</v>
      </c>
      <c r="K718">
        <f t="shared" si="159"/>
        <v>0</v>
      </c>
      <c r="L718">
        <f t="shared" si="160"/>
        <v>0</v>
      </c>
      <c r="M718">
        <f t="shared" si="161"/>
        <v>0</v>
      </c>
      <c r="N718">
        <f t="shared" si="162"/>
        <v>0</v>
      </c>
      <c r="O718">
        <f t="shared" si="163"/>
        <v>0</v>
      </c>
      <c r="P718">
        <f t="shared" si="164"/>
        <v>0</v>
      </c>
      <c r="Q718">
        <f t="shared" si="165"/>
        <v>12</v>
      </c>
      <c r="R718">
        <f t="shared" si="166"/>
        <v>0</v>
      </c>
      <c r="S718">
        <f t="shared" si="167"/>
        <v>0</v>
      </c>
    </row>
    <row r="719" spans="1:19" x14ac:dyDescent="0.3">
      <c r="A719" s="1">
        <v>41935</v>
      </c>
      <c r="B719" s="1">
        <v>41960</v>
      </c>
      <c r="C719">
        <v>10.79</v>
      </c>
      <c r="D719">
        <v>0.28000000000000003</v>
      </c>
      <c r="E719">
        <v>3</v>
      </c>
      <c r="F719">
        <f t="shared" si="154"/>
        <v>11.069999999999999</v>
      </c>
      <c r="G719">
        <f t="shared" si="155"/>
        <v>10</v>
      </c>
      <c r="H719">
        <f t="shared" si="156"/>
        <v>0</v>
      </c>
      <c r="I719">
        <f t="shared" si="157"/>
        <v>0</v>
      </c>
      <c r="J719">
        <f t="shared" si="158"/>
        <v>0</v>
      </c>
      <c r="K719">
        <f t="shared" si="159"/>
        <v>0</v>
      </c>
      <c r="L719">
        <f t="shared" si="160"/>
        <v>0</v>
      </c>
      <c r="M719">
        <f t="shared" si="161"/>
        <v>0</v>
      </c>
      <c r="N719">
        <f t="shared" si="162"/>
        <v>0</v>
      </c>
      <c r="O719">
        <f t="shared" si="163"/>
        <v>0</v>
      </c>
      <c r="P719">
        <f t="shared" si="164"/>
        <v>0</v>
      </c>
      <c r="Q719">
        <f t="shared" si="165"/>
        <v>11.069999999999999</v>
      </c>
      <c r="R719">
        <f t="shared" si="166"/>
        <v>0</v>
      </c>
      <c r="S719">
        <f t="shared" si="167"/>
        <v>0</v>
      </c>
    </row>
    <row r="720" spans="1:19" x14ac:dyDescent="0.3">
      <c r="A720" s="1">
        <v>41935</v>
      </c>
      <c r="B720" s="1">
        <v>41946</v>
      </c>
      <c r="C720">
        <v>14.13</v>
      </c>
      <c r="D720">
        <v>0.37</v>
      </c>
      <c r="E720">
        <v>6</v>
      </c>
      <c r="F720">
        <f t="shared" si="154"/>
        <v>14.5</v>
      </c>
      <c r="G720">
        <f t="shared" si="155"/>
        <v>10</v>
      </c>
      <c r="H720">
        <f t="shared" si="156"/>
        <v>0</v>
      </c>
      <c r="I720">
        <f t="shared" si="157"/>
        <v>0</v>
      </c>
      <c r="J720">
        <f t="shared" si="158"/>
        <v>0</v>
      </c>
      <c r="K720">
        <f t="shared" si="159"/>
        <v>0</v>
      </c>
      <c r="L720">
        <f t="shared" si="160"/>
        <v>0</v>
      </c>
      <c r="M720">
        <f t="shared" si="161"/>
        <v>0</v>
      </c>
      <c r="N720">
        <f t="shared" si="162"/>
        <v>0</v>
      </c>
      <c r="O720">
        <f t="shared" si="163"/>
        <v>0</v>
      </c>
      <c r="P720">
        <f t="shared" si="164"/>
        <v>0</v>
      </c>
      <c r="Q720">
        <f t="shared" si="165"/>
        <v>14.5</v>
      </c>
      <c r="R720">
        <f t="shared" si="166"/>
        <v>0</v>
      </c>
      <c r="S720">
        <f t="shared" si="167"/>
        <v>0</v>
      </c>
    </row>
    <row r="721" spans="1:19" x14ac:dyDescent="0.3">
      <c r="A721" s="1">
        <v>41935</v>
      </c>
      <c r="B721" s="1">
        <v>41959</v>
      </c>
      <c r="C721">
        <v>8.7200000000000006</v>
      </c>
      <c r="D721">
        <v>0.23</v>
      </c>
      <c r="E721">
        <v>2</v>
      </c>
      <c r="F721">
        <f t="shared" si="154"/>
        <v>8.9500000000000011</v>
      </c>
      <c r="G721">
        <f t="shared" si="155"/>
        <v>10</v>
      </c>
      <c r="H721">
        <f t="shared" si="156"/>
        <v>0</v>
      </c>
      <c r="I721">
        <f t="shared" si="157"/>
        <v>0</v>
      </c>
      <c r="J721">
        <f t="shared" si="158"/>
        <v>0</v>
      </c>
      <c r="K721">
        <f t="shared" si="159"/>
        <v>0</v>
      </c>
      <c r="L721">
        <f t="shared" si="160"/>
        <v>0</v>
      </c>
      <c r="M721">
        <f t="shared" si="161"/>
        <v>0</v>
      </c>
      <c r="N721">
        <f t="shared" si="162"/>
        <v>0</v>
      </c>
      <c r="O721">
        <f t="shared" si="163"/>
        <v>0</v>
      </c>
      <c r="P721">
        <f t="shared" si="164"/>
        <v>0</v>
      </c>
      <c r="Q721">
        <f t="shared" si="165"/>
        <v>8.9500000000000011</v>
      </c>
      <c r="R721">
        <f t="shared" si="166"/>
        <v>0</v>
      </c>
      <c r="S721">
        <f t="shared" si="167"/>
        <v>0</v>
      </c>
    </row>
    <row r="722" spans="1:19" x14ac:dyDescent="0.3">
      <c r="A722" s="1">
        <v>41936</v>
      </c>
      <c r="B722" s="1">
        <v>41951</v>
      </c>
      <c r="C722">
        <v>3.94</v>
      </c>
      <c r="D722">
        <v>0.1</v>
      </c>
      <c r="E722">
        <v>5</v>
      </c>
      <c r="F722">
        <f t="shared" si="154"/>
        <v>4.04</v>
      </c>
      <c r="G722">
        <f t="shared" si="155"/>
        <v>10</v>
      </c>
      <c r="H722">
        <f t="shared" si="156"/>
        <v>0</v>
      </c>
      <c r="I722">
        <f t="shared" si="157"/>
        <v>0</v>
      </c>
      <c r="J722">
        <f t="shared" si="158"/>
        <v>0</v>
      </c>
      <c r="K722">
        <f t="shared" si="159"/>
        <v>0</v>
      </c>
      <c r="L722">
        <f t="shared" si="160"/>
        <v>0</v>
      </c>
      <c r="M722">
        <f t="shared" si="161"/>
        <v>0</v>
      </c>
      <c r="N722">
        <f t="shared" si="162"/>
        <v>0</v>
      </c>
      <c r="O722">
        <f t="shared" si="163"/>
        <v>0</v>
      </c>
      <c r="P722">
        <f t="shared" si="164"/>
        <v>0</v>
      </c>
      <c r="Q722">
        <f t="shared" si="165"/>
        <v>4.04</v>
      </c>
      <c r="R722">
        <f t="shared" si="166"/>
        <v>0</v>
      </c>
      <c r="S722">
        <f t="shared" si="167"/>
        <v>0</v>
      </c>
    </row>
    <row r="723" spans="1:19" x14ac:dyDescent="0.3">
      <c r="A723" s="1">
        <v>41936</v>
      </c>
      <c r="B723" s="1">
        <v>41964</v>
      </c>
      <c r="C723">
        <v>3.73</v>
      </c>
      <c r="D723">
        <v>0.1</v>
      </c>
      <c r="E723">
        <v>3</v>
      </c>
      <c r="F723">
        <f t="shared" si="154"/>
        <v>3.83</v>
      </c>
      <c r="G723">
        <f t="shared" si="155"/>
        <v>10</v>
      </c>
      <c r="H723">
        <f t="shared" si="156"/>
        <v>0</v>
      </c>
      <c r="I723">
        <f t="shared" si="157"/>
        <v>0</v>
      </c>
      <c r="J723">
        <f t="shared" si="158"/>
        <v>0</v>
      </c>
      <c r="K723">
        <f t="shared" si="159"/>
        <v>0</v>
      </c>
      <c r="L723">
        <f t="shared" si="160"/>
        <v>0</v>
      </c>
      <c r="M723">
        <f t="shared" si="161"/>
        <v>0</v>
      </c>
      <c r="N723">
        <f t="shared" si="162"/>
        <v>0</v>
      </c>
      <c r="O723">
        <f t="shared" si="163"/>
        <v>0</v>
      </c>
      <c r="P723">
        <f t="shared" si="164"/>
        <v>0</v>
      </c>
      <c r="Q723">
        <f t="shared" si="165"/>
        <v>3.83</v>
      </c>
      <c r="R723">
        <f t="shared" si="166"/>
        <v>0</v>
      </c>
      <c r="S723">
        <f t="shared" si="167"/>
        <v>0</v>
      </c>
    </row>
    <row r="724" spans="1:19" x14ac:dyDescent="0.3">
      <c r="A724" s="1">
        <v>41937</v>
      </c>
      <c r="B724" s="1">
        <v>41963</v>
      </c>
      <c r="C724">
        <v>3.94</v>
      </c>
      <c r="D724">
        <v>0.1</v>
      </c>
      <c r="E724">
        <v>4</v>
      </c>
      <c r="F724">
        <f t="shared" si="154"/>
        <v>4.04</v>
      </c>
      <c r="G724">
        <f t="shared" si="155"/>
        <v>10</v>
      </c>
      <c r="H724">
        <f t="shared" si="156"/>
        <v>0</v>
      </c>
      <c r="I724">
        <f t="shared" si="157"/>
        <v>0</v>
      </c>
      <c r="J724">
        <f t="shared" si="158"/>
        <v>0</v>
      </c>
      <c r="K724">
        <f t="shared" si="159"/>
        <v>0</v>
      </c>
      <c r="L724">
        <f t="shared" si="160"/>
        <v>0</v>
      </c>
      <c r="M724">
        <f t="shared" si="161"/>
        <v>0</v>
      </c>
      <c r="N724">
        <f t="shared" si="162"/>
        <v>0</v>
      </c>
      <c r="O724">
        <f t="shared" si="163"/>
        <v>0</v>
      </c>
      <c r="P724">
        <f t="shared" si="164"/>
        <v>0</v>
      </c>
      <c r="Q724">
        <f t="shared" si="165"/>
        <v>4.04</v>
      </c>
      <c r="R724">
        <f t="shared" si="166"/>
        <v>0</v>
      </c>
      <c r="S724">
        <f t="shared" si="167"/>
        <v>0</v>
      </c>
    </row>
    <row r="725" spans="1:19" x14ac:dyDescent="0.3">
      <c r="A725" s="1">
        <v>41937</v>
      </c>
      <c r="B725" s="1">
        <v>41964</v>
      </c>
      <c r="C725">
        <v>3.57</v>
      </c>
      <c r="D725">
        <v>0.09</v>
      </c>
      <c r="E725">
        <v>2</v>
      </c>
      <c r="F725">
        <f t="shared" si="154"/>
        <v>3.6599999999999997</v>
      </c>
      <c r="G725">
        <f t="shared" si="155"/>
        <v>10</v>
      </c>
      <c r="H725">
        <f t="shared" si="156"/>
        <v>0</v>
      </c>
      <c r="I725">
        <f t="shared" si="157"/>
        <v>0</v>
      </c>
      <c r="J725">
        <f t="shared" si="158"/>
        <v>0</v>
      </c>
      <c r="K725">
        <f t="shared" si="159"/>
        <v>0</v>
      </c>
      <c r="L725">
        <f t="shared" si="160"/>
        <v>0</v>
      </c>
      <c r="M725">
        <f t="shared" si="161"/>
        <v>0</v>
      </c>
      <c r="N725">
        <f t="shared" si="162"/>
        <v>0</v>
      </c>
      <c r="O725">
        <f t="shared" si="163"/>
        <v>0</v>
      </c>
      <c r="P725">
        <f t="shared" si="164"/>
        <v>0</v>
      </c>
      <c r="Q725">
        <f t="shared" si="165"/>
        <v>3.6599999999999997</v>
      </c>
      <c r="R725">
        <f t="shared" si="166"/>
        <v>0</v>
      </c>
      <c r="S725">
        <f t="shared" si="167"/>
        <v>0</v>
      </c>
    </row>
    <row r="726" spans="1:19" x14ac:dyDescent="0.3">
      <c r="A726" s="1">
        <v>41937</v>
      </c>
      <c r="B726" s="1">
        <v>41943</v>
      </c>
      <c r="C726">
        <v>7.31</v>
      </c>
      <c r="D726">
        <v>0.19</v>
      </c>
      <c r="E726">
        <v>3</v>
      </c>
      <c r="F726">
        <f t="shared" si="154"/>
        <v>7.5</v>
      </c>
      <c r="G726">
        <f t="shared" si="155"/>
        <v>10</v>
      </c>
      <c r="H726">
        <f t="shared" si="156"/>
        <v>0</v>
      </c>
      <c r="I726">
        <f t="shared" si="157"/>
        <v>0</v>
      </c>
      <c r="J726">
        <f t="shared" si="158"/>
        <v>0</v>
      </c>
      <c r="K726">
        <f t="shared" si="159"/>
        <v>0</v>
      </c>
      <c r="L726">
        <f t="shared" si="160"/>
        <v>0</v>
      </c>
      <c r="M726">
        <f t="shared" si="161"/>
        <v>0</v>
      </c>
      <c r="N726">
        <f t="shared" si="162"/>
        <v>0</v>
      </c>
      <c r="O726">
        <f t="shared" si="163"/>
        <v>0</v>
      </c>
      <c r="P726">
        <f t="shared" si="164"/>
        <v>0</v>
      </c>
      <c r="Q726">
        <f t="shared" si="165"/>
        <v>7.5</v>
      </c>
      <c r="R726">
        <f t="shared" si="166"/>
        <v>0</v>
      </c>
      <c r="S726">
        <f t="shared" si="167"/>
        <v>0</v>
      </c>
    </row>
    <row r="727" spans="1:19" x14ac:dyDescent="0.3">
      <c r="A727" s="1">
        <v>41938</v>
      </c>
      <c r="B727" s="1">
        <v>41964</v>
      </c>
      <c r="C727">
        <v>6.58</v>
      </c>
      <c r="D727">
        <v>0.17</v>
      </c>
      <c r="E727">
        <v>5</v>
      </c>
      <c r="F727">
        <f t="shared" si="154"/>
        <v>6.75</v>
      </c>
      <c r="G727">
        <f t="shared" si="155"/>
        <v>10</v>
      </c>
      <c r="H727">
        <f t="shared" si="156"/>
        <v>0</v>
      </c>
      <c r="I727">
        <f t="shared" si="157"/>
        <v>0</v>
      </c>
      <c r="J727">
        <f t="shared" si="158"/>
        <v>0</v>
      </c>
      <c r="K727">
        <f t="shared" si="159"/>
        <v>0</v>
      </c>
      <c r="L727">
        <f t="shared" si="160"/>
        <v>0</v>
      </c>
      <c r="M727">
        <f t="shared" si="161"/>
        <v>0</v>
      </c>
      <c r="N727">
        <f t="shared" si="162"/>
        <v>0</v>
      </c>
      <c r="O727">
        <f t="shared" si="163"/>
        <v>0</v>
      </c>
      <c r="P727">
        <f t="shared" si="164"/>
        <v>0</v>
      </c>
      <c r="Q727">
        <f t="shared" si="165"/>
        <v>6.75</v>
      </c>
      <c r="R727">
        <f t="shared" si="166"/>
        <v>0</v>
      </c>
      <c r="S727">
        <f t="shared" si="167"/>
        <v>0</v>
      </c>
    </row>
    <row r="728" spans="1:19" x14ac:dyDescent="0.3">
      <c r="A728" s="1">
        <v>41939</v>
      </c>
      <c r="B728" s="1">
        <v>41964</v>
      </c>
      <c r="C728">
        <v>3.94</v>
      </c>
      <c r="D728">
        <v>0.1</v>
      </c>
      <c r="E728">
        <v>5</v>
      </c>
      <c r="F728">
        <f t="shared" si="154"/>
        <v>4.04</v>
      </c>
      <c r="G728">
        <f t="shared" si="155"/>
        <v>10</v>
      </c>
      <c r="H728">
        <f t="shared" si="156"/>
        <v>0</v>
      </c>
      <c r="I728">
        <f t="shared" si="157"/>
        <v>0</v>
      </c>
      <c r="J728">
        <f t="shared" si="158"/>
        <v>0</v>
      </c>
      <c r="K728">
        <f t="shared" si="159"/>
        <v>0</v>
      </c>
      <c r="L728">
        <f t="shared" si="160"/>
        <v>0</v>
      </c>
      <c r="M728">
        <f t="shared" si="161"/>
        <v>0</v>
      </c>
      <c r="N728">
        <f t="shared" si="162"/>
        <v>0</v>
      </c>
      <c r="O728">
        <f t="shared" si="163"/>
        <v>0</v>
      </c>
      <c r="P728">
        <f t="shared" si="164"/>
        <v>0</v>
      </c>
      <c r="Q728">
        <f t="shared" si="165"/>
        <v>4.04</v>
      </c>
      <c r="R728">
        <f t="shared" si="166"/>
        <v>0</v>
      </c>
      <c r="S728">
        <f t="shared" si="167"/>
        <v>0</v>
      </c>
    </row>
    <row r="729" spans="1:19" x14ac:dyDescent="0.3">
      <c r="A729" s="1">
        <v>41940</v>
      </c>
      <c r="B729" s="1">
        <v>41946</v>
      </c>
      <c r="C729">
        <v>5.47</v>
      </c>
      <c r="D729">
        <v>0.14000000000000001</v>
      </c>
      <c r="E729">
        <v>5</v>
      </c>
      <c r="F729">
        <f t="shared" si="154"/>
        <v>5.6099999999999994</v>
      </c>
      <c r="G729">
        <f t="shared" si="155"/>
        <v>10</v>
      </c>
      <c r="H729">
        <f t="shared" si="156"/>
        <v>0</v>
      </c>
      <c r="I729">
        <f t="shared" si="157"/>
        <v>0</v>
      </c>
      <c r="J729">
        <f t="shared" si="158"/>
        <v>0</v>
      </c>
      <c r="K729">
        <f t="shared" si="159"/>
        <v>0</v>
      </c>
      <c r="L729">
        <f t="shared" si="160"/>
        <v>0</v>
      </c>
      <c r="M729">
        <f t="shared" si="161"/>
        <v>0</v>
      </c>
      <c r="N729">
        <f t="shared" si="162"/>
        <v>0</v>
      </c>
      <c r="O729">
        <f t="shared" si="163"/>
        <v>0</v>
      </c>
      <c r="P729">
        <f t="shared" si="164"/>
        <v>0</v>
      </c>
      <c r="Q729">
        <f t="shared" si="165"/>
        <v>5.6099999999999994</v>
      </c>
      <c r="R729">
        <f t="shared" si="166"/>
        <v>0</v>
      </c>
      <c r="S729">
        <f t="shared" si="167"/>
        <v>0</v>
      </c>
    </row>
    <row r="730" spans="1:19" x14ac:dyDescent="0.3">
      <c r="A730" s="1">
        <v>41941</v>
      </c>
      <c r="B730" s="1">
        <v>41958</v>
      </c>
      <c r="C730">
        <v>5.23</v>
      </c>
      <c r="D730">
        <v>0.14000000000000001</v>
      </c>
      <c r="E730">
        <v>3</v>
      </c>
      <c r="F730">
        <f t="shared" si="154"/>
        <v>5.37</v>
      </c>
      <c r="G730">
        <f t="shared" si="155"/>
        <v>10</v>
      </c>
      <c r="H730">
        <f t="shared" si="156"/>
        <v>0</v>
      </c>
      <c r="I730">
        <f t="shared" si="157"/>
        <v>0</v>
      </c>
      <c r="J730">
        <f t="shared" si="158"/>
        <v>0</v>
      </c>
      <c r="K730">
        <f t="shared" si="159"/>
        <v>0</v>
      </c>
      <c r="L730">
        <f t="shared" si="160"/>
        <v>0</v>
      </c>
      <c r="M730">
        <f t="shared" si="161"/>
        <v>0</v>
      </c>
      <c r="N730">
        <f t="shared" si="162"/>
        <v>0</v>
      </c>
      <c r="O730">
        <f t="shared" si="163"/>
        <v>0</v>
      </c>
      <c r="P730">
        <f t="shared" si="164"/>
        <v>0</v>
      </c>
      <c r="Q730">
        <f t="shared" si="165"/>
        <v>5.37</v>
      </c>
      <c r="R730">
        <f t="shared" si="166"/>
        <v>0</v>
      </c>
      <c r="S730">
        <f t="shared" si="167"/>
        <v>0</v>
      </c>
    </row>
    <row r="731" spans="1:19" x14ac:dyDescent="0.3">
      <c r="A731" s="1">
        <v>41941</v>
      </c>
      <c r="B731" s="1">
        <v>41962</v>
      </c>
      <c r="C731">
        <v>6.58</v>
      </c>
      <c r="D731">
        <v>0.17</v>
      </c>
      <c r="E731">
        <v>5</v>
      </c>
      <c r="F731">
        <f t="shared" si="154"/>
        <v>6.75</v>
      </c>
      <c r="G731">
        <f t="shared" si="155"/>
        <v>10</v>
      </c>
      <c r="H731">
        <f t="shared" si="156"/>
        <v>0</v>
      </c>
      <c r="I731">
        <f t="shared" si="157"/>
        <v>0</v>
      </c>
      <c r="J731">
        <f t="shared" si="158"/>
        <v>0</v>
      </c>
      <c r="K731">
        <f t="shared" si="159"/>
        <v>0</v>
      </c>
      <c r="L731">
        <f t="shared" si="160"/>
        <v>0</v>
      </c>
      <c r="M731">
        <f t="shared" si="161"/>
        <v>0</v>
      </c>
      <c r="N731">
        <f t="shared" si="162"/>
        <v>0</v>
      </c>
      <c r="O731">
        <f t="shared" si="163"/>
        <v>0</v>
      </c>
      <c r="P731">
        <f t="shared" si="164"/>
        <v>0</v>
      </c>
      <c r="Q731">
        <f t="shared" si="165"/>
        <v>6.75</v>
      </c>
      <c r="R731">
        <f t="shared" si="166"/>
        <v>0</v>
      </c>
      <c r="S731">
        <f t="shared" si="167"/>
        <v>0</v>
      </c>
    </row>
    <row r="732" spans="1:19" x14ac:dyDescent="0.3">
      <c r="A732" s="1">
        <v>41941</v>
      </c>
      <c r="B732" s="1">
        <v>41957</v>
      </c>
      <c r="C732">
        <v>3.79</v>
      </c>
      <c r="D732">
        <v>0.1</v>
      </c>
      <c r="E732">
        <v>4</v>
      </c>
      <c r="F732">
        <f t="shared" si="154"/>
        <v>3.89</v>
      </c>
      <c r="G732">
        <f t="shared" si="155"/>
        <v>10</v>
      </c>
      <c r="H732">
        <f t="shared" si="156"/>
        <v>0</v>
      </c>
      <c r="I732">
        <f t="shared" si="157"/>
        <v>0</v>
      </c>
      <c r="J732">
        <f t="shared" si="158"/>
        <v>0</v>
      </c>
      <c r="K732">
        <f t="shared" si="159"/>
        <v>0</v>
      </c>
      <c r="L732">
        <f t="shared" si="160"/>
        <v>0</v>
      </c>
      <c r="M732">
        <f t="shared" si="161"/>
        <v>0</v>
      </c>
      <c r="N732">
        <f t="shared" si="162"/>
        <v>0</v>
      </c>
      <c r="O732">
        <f t="shared" si="163"/>
        <v>0</v>
      </c>
      <c r="P732">
        <f t="shared" si="164"/>
        <v>0</v>
      </c>
      <c r="Q732">
        <f t="shared" si="165"/>
        <v>3.89</v>
      </c>
      <c r="R732">
        <f t="shared" si="166"/>
        <v>0</v>
      </c>
      <c r="S732">
        <f t="shared" si="167"/>
        <v>0</v>
      </c>
    </row>
    <row r="733" spans="1:19" x14ac:dyDescent="0.3">
      <c r="A733" s="1">
        <v>41941</v>
      </c>
      <c r="B733" s="1">
        <v>41953</v>
      </c>
      <c r="C733">
        <v>5.64</v>
      </c>
      <c r="D733">
        <v>0.15</v>
      </c>
      <c r="E733">
        <v>6</v>
      </c>
      <c r="F733">
        <f t="shared" si="154"/>
        <v>5.79</v>
      </c>
      <c r="G733">
        <f t="shared" si="155"/>
        <v>10</v>
      </c>
      <c r="H733">
        <f t="shared" si="156"/>
        <v>0</v>
      </c>
      <c r="I733">
        <f t="shared" si="157"/>
        <v>0</v>
      </c>
      <c r="J733">
        <f t="shared" si="158"/>
        <v>0</v>
      </c>
      <c r="K733">
        <f t="shared" si="159"/>
        <v>0</v>
      </c>
      <c r="L733">
        <f t="shared" si="160"/>
        <v>0</v>
      </c>
      <c r="M733">
        <f t="shared" si="161"/>
        <v>0</v>
      </c>
      <c r="N733">
        <f t="shared" si="162"/>
        <v>0</v>
      </c>
      <c r="O733">
        <f t="shared" si="163"/>
        <v>0</v>
      </c>
      <c r="P733">
        <f t="shared" si="164"/>
        <v>0</v>
      </c>
      <c r="Q733">
        <f t="shared" si="165"/>
        <v>5.79</v>
      </c>
      <c r="R733">
        <f t="shared" si="166"/>
        <v>0</v>
      </c>
      <c r="S733">
        <f t="shared" si="167"/>
        <v>0</v>
      </c>
    </row>
    <row r="734" spans="1:19" x14ac:dyDescent="0.3">
      <c r="A734" s="1">
        <v>41941</v>
      </c>
      <c r="B734" s="1">
        <v>41944</v>
      </c>
      <c r="C734">
        <v>11.37</v>
      </c>
      <c r="D734">
        <v>0.3</v>
      </c>
      <c r="E734">
        <v>2</v>
      </c>
      <c r="F734">
        <f t="shared" si="154"/>
        <v>11.67</v>
      </c>
      <c r="G734">
        <f t="shared" si="155"/>
        <v>10</v>
      </c>
      <c r="H734">
        <f t="shared" si="156"/>
        <v>0</v>
      </c>
      <c r="I734">
        <f t="shared" si="157"/>
        <v>0</v>
      </c>
      <c r="J734">
        <f t="shared" si="158"/>
        <v>0</v>
      </c>
      <c r="K734">
        <f t="shared" si="159"/>
        <v>0</v>
      </c>
      <c r="L734">
        <f t="shared" si="160"/>
        <v>0</v>
      </c>
      <c r="M734">
        <f t="shared" si="161"/>
        <v>0</v>
      </c>
      <c r="N734">
        <f t="shared" si="162"/>
        <v>0</v>
      </c>
      <c r="O734">
        <f t="shared" si="163"/>
        <v>0</v>
      </c>
      <c r="P734">
        <f t="shared" si="164"/>
        <v>0</v>
      </c>
      <c r="Q734">
        <f t="shared" si="165"/>
        <v>11.67</v>
      </c>
      <c r="R734">
        <f t="shared" si="166"/>
        <v>0</v>
      </c>
      <c r="S734">
        <f t="shared" si="167"/>
        <v>0</v>
      </c>
    </row>
    <row r="735" spans="1:19" x14ac:dyDescent="0.3">
      <c r="A735" s="1">
        <v>41941</v>
      </c>
      <c r="B735" s="1">
        <v>41969</v>
      </c>
      <c r="C735">
        <v>8.9499999999999993</v>
      </c>
      <c r="D735">
        <v>0.24</v>
      </c>
      <c r="E735">
        <v>2</v>
      </c>
      <c r="F735">
        <f t="shared" si="154"/>
        <v>9.19</v>
      </c>
      <c r="G735">
        <f t="shared" si="155"/>
        <v>10</v>
      </c>
      <c r="H735">
        <f t="shared" si="156"/>
        <v>0</v>
      </c>
      <c r="I735">
        <f t="shared" si="157"/>
        <v>0</v>
      </c>
      <c r="J735">
        <f t="shared" si="158"/>
        <v>0</v>
      </c>
      <c r="K735">
        <f t="shared" si="159"/>
        <v>0</v>
      </c>
      <c r="L735">
        <f t="shared" si="160"/>
        <v>0</v>
      </c>
      <c r="M735">
        <f t="shared" si="161"/>
        <v>0</v>
      </c>
      <c r="N735">
        <f t="shared" si="162"/>
        <v>0</v>
      </c>
      <c r="O735">
        <f t="shared" si="163"/>
        <v>0</v>
      </c>
      <c r="P735">
        <f t="shared" si="164"/>
        <v>0</v>
      </c>
      <c r="Q735">
        <f t="shared" si="165"/>
        <v>9.19</v>
      </c>
      <c r="R735">
        <f t="shared" si="166"/>
        <v>0</v>
      </c>
      <c r="S735">
        <f t="shared" si="167"/>
        <v>0</v>
      </c>
    </row>
    <row r="736" spans="1:19" x14ac:dyDescent="0.3">
      <c r="A736" s="1">
        <v>41941</v>
      </c>
      <c r="B736" s="1">
        <v>41961</v>
      </c>
      <c r="C736">
        <v>3.94</v>
      </c>
      <c r="D736">
        <v>0.1</v>
      </c>
      <c r="E736">
        <v>5</v>
      </c>
      <c r="F736">
        <f t="shared" si="154"/>
        <v>4.04</v>
      </c>
      <c r="G736">
        <f t="shared" si="155"/>
        <v>10</v>
      </c>
      <c r="H736">
        <f t="shared" si="156"/>
        <v>0</v>
      </c>
      <c r="I736">
        <f t="shared" si="157"/>
        <v>0</v>
      </c>
      <c r="J736">
        <f t="shared" si="158"/>
        <v>0</v>
      </c>
      <c r="K736">
        <f t="shared" si="159"/>
        <v>0</v>
      </c>
      <c r="L736">
        <f t="shared" si="160"/>
        <v>0</v>
      </c>
      <c r="M736">
        <f t="shared" si="161"/>
        <v>0</v>
      </c>
      <c r="N736">
        <f t="shared" si="162"/>
        <v>0</v>
      </c>
      <c r="O736">
        <f t="shared" si="163"/>
        <v>0</v>
      </c>
      <c r="P736">
        <f t="shared" si="164"/>
        <v>0</v>
      </c>
      <c r="Q736">
        <f t="shared" si="165"/>
        <v>4.04</v>
      </c>
      <c r="R736">
        <f t="shared" si="166"/>
        <v>0</v>
      </c>
      <c r="S736">
        <f t="shared" si="167"/>
        <v>0</v>
      </c>
    </row>
    <row r="737" spans="1:19" x14ac:dyDescent="0.3">
      <c r="A737" s="1">
        <v>41946</v>
      </c>
      <c r="B737" s="1">
        <v>41962</v>
      </c>
      <c r="C737">
        <v>3.79</v>
      </c>
      <c r="D737">
        <v>0.1</v>
      </c>
      <c r="E737">
        <v>5</v>
      </c>
      <c r="F737">
        <f t="shared" si="154"/>
        <v>3.89</v>
      </c>
      <c r="G737">
        <f t="shared" si="155"/>
        <v>11</v>
      </c>
      <c r="H737">
        <f t="shared" si="156"/>
        <v>0</v>
      </c>
      <c r="I737">
        <f t="shared" si="157"/>
        <v>0</v>
      </c>
      <c r="J737">
        <f t="shared" si="158"/>
        <v>0</v>
      </c>
      <c r="K737">
        <f t="shared" si="159"/>
        <v>0</v>
      </c>
      <c r="L737">
        <f t="shared" si="160"/>
        <v>0</v>
      </c>
      <c r="M737">
        <f t="shared" si="161"/>
        <v>0</v>
      </c>
      <c r="N737">
        <f t="shared" si="162"/>
        <v>0</v>
      </c>
      <c r="O737">
        <f t="shared" si="163"/>
        <v>0</v>
      </c>
      <c r="P737">
        <f t="shared" si="164"/>
        <v>0</v>
      </c>
      <c r="Q737">
        <f t="shared" si="165"/>
        <v>0</v>
      </c>
      <c r="R737">
        <f t="shared" si="166"/>
        <v>3.89</v>
      </c>
      <c r="S737">
        <f t="shared" si="167"/>
        <v>0</v>
      </c>
    </row>
    <row r="738" spans="1:19" x14ac:dyDescent="0.3">
      <c r="A738" s="1">
        <v>41946</v>
      </c>
      <c r="B738" s="1">
        <v>41971</v>
      </c>
      <c r="C738">
        <v>6.43</v>
      </c>
      <c r="D738">
        <v>0.17</v>
      </c>
      <c r="E738">
        <v>2</v>
      </c>
      <c r="F738">
        <f t="shared" si="154"/>
        <v>6.6</v>
      </c>
      <c r="G738">
        <f t="shared" si="155"/>
        <v>11</v>
      </c>
      <c r="H738">
        <f t="shared" si="156"/>
        <v>0</v>
      </c>
      <c r="I738">
        <f t="shared" si="157"/>
        <v>0</v>
      </c>
      <c r="J738">
        <f t="shared" si="158"/>
        <v>0</v>
      </c>
      <c r="K738">
        <f t="shared" si="159"/>
        <v>0</v>
      </c>
      <c r="L738">
        <f t="shared" si="160"/>
        <v>0</v>
      </c>
      <c r="M738">
        <f t="shared" si="161"/>
        <v>0</v>
      </c>
      <c r="N738">
        <f t="shared" si="162"/>
        <v>0</v>
      </c>
      <c r="O738">
        <f t="shared" si="163"/>
        <v>0</v>
      </c>
      <c r="P738">
        <f t="shared" si="164"/>
        <v>0</v>
      </c>
      <c r="Q738">
        <f t="shared" si="165"/>
        <v>0</v>
      </c>
      <c r="R738">
        <f t="shared" si="166"/>
        <v>6.6</v>
      </c>
      <c r="S738">
        <f t="shared" si="167"/>
        <v>0</v>
      </c>
    </row>
    <row r="739" spans="1:19" x14ac:dyDescent="0.3">
      <c r="A739" s="1">
        <v>41946</v>
      </c>
      <c r="B739" s="1">
        <v>41948</v>
      </c>
      <c r="C739">
        <v>8.5399999999999991</v>
      </c>
      <c r="D739">
        <v>0.22</v>
      </c>
      <c r="E739">
        <v>6</v>
      </c>
      <c r="F739">
        <f t="shared" si="154"/>
        <v>8.76</v>
      </c>
      <c r="G739">
        <f t="shared" si="155"/>
        <v>11</v>
      </c>
      <c r="H739">
        <f t="shared" si="156"/>
        <v>0</v>
      </c>
      <c r="I739">
        <f t="shared" si="157"/>
        <v>0</v>
      </c>
      <c r="J739">
        <f t="shared" si="158"/>
        <v>0</v>
      </c>
      <c r="K739">
        <f t="shared" si="159"/>
        <v>0</v>
      </c>
      <c r="L739">
        <f t="shared" si="160"/>
        <v>0</v>
      </c>
      <c r="M739">
        <f t="shared" si="161"/>
        <v>0</v>
      </c>
      <c r="N739">
        <f t="shared" si="162"/>
        <v>0</v>
      </c>
      <c r="O739">
        <f t="shared" si="163"/>
        <v>0</v>
      </c>
      <c r="P739">
        <f t="shared" si="164"/>
        <v>0</v>
      </c>
      <c r="Q739">
        <f t="shared" si="165"/>
        <v>0</v>
      </c>
      <c r="R739">
        <f t="shared" si="166"/>
        <v>8.76</v>
      </c>
      <c r="S739">
        <f t="shared" si="167"/>
        <v>0</v>
      </c>
    </row>
    <row r="740" spans="1:19" x14ac:dyDescent="0.3">
      <c r="A740" s="1">
        <v>41946</v>
      </c>
      <c r="B740" s="1">
        <v>41956</v>
      </c>
      <c r="C740">
        <v>13.02</v>
      </c>
      <c r="D740">
        <v>0.34</v>
      </c>
      <c r="E740">
        <v>3</v>
      </c>
      <c r="F740">
        <f t="shared" si="154"/>
        <v>13.36</v>
      </c>
      <c r="G740">
        <f t="shared" si="155"/>
        <v>11</v>
      </c>
      <c r="H740">
        <f t="shared" si="156"/>
        <v>0</v>
      </c>
      <c r="I740">
        <f t="shared" si="157"/>
        <v>0</v>
      </c>
      <c r="J740">
        <f t="shared" si="158"/>
        <v>0</v>
      </c>
      <c r="K740">
        <f t="shared" si="159"/>
        <v>0</v>
      </c>
      <c r="L740">
        <f t="shared" si="160"/>
        <v>0</v>
      </c>
      <c r="M740">
        <f t="shared" si="161"/>
        <v>0</v>
      </c>
      <c r="N740">
        <f t="shared" si="162"/>
        <v>0</v>
      </c>
      <c r="O740">
        <f t="shared" si="163"/>
        <v>0</v>
      </c>
      <c r="P740">
        <f t="shared" si="164"/>
        <v>0</v>
      </c>
      <c r="Q740">
        <f t="shared" si="165"/>
        <v>0</v>
      </c>
      <c r="R740">
        <f t="shared" si="166"/>
        <v>13.36</v>
      </c>
      <c r="S740">
        <f t="shared" si="167"/>
        <v>0</v>
      </c>
    </row>
    <row r="741" spans="1:19" x14ac:dyDescent="0.3">
      <c r="A741" s="1">
        <v>41946</v>
      </c>
      <c r="B741" s="1">
        <v>41960</v>
      </c>
      <c r="C741">
        <v>5.64</v>
      </c>
      <c r="D741">
        <v>0.15</v>
      </c>
      <c r="E741">
        <v>4</v>
      </c>
      <c r="F741">
        <f t="shared" si="154"/>
        <v>5.79</v>
      </c>
      <c r="G741">
        <f t="shared" si="155"/>
        <v>11</v>
      </c>
      <c r="H741">
        <f t="shared" si="156"/>
        <v>0</v>
      </c>
      <c r="I741">
        <f t="shared" si="157"/>
        <v>0</v>
      </c>
      <c r="J741">
        <f t="shared" si="158"/>
        <v>0</v>
      </c>
      <c r="K741">
        <f t="shared" si="159"/>
        <v>0</v>
      </c>
      <c r="L741">
        <f t="shared" si="160"/>
        <v>0</v>
      </c>
      <c r="M741">
        <f t="shared" si="161"/>
        <v>0</v>
      </c>
      <c r="N741">
        <f t="shared" si="162"/>
        <v>0</v>
      </c>
      <c r="O741">
        <f t="shared" si="163"/>
        <v>0</v>
      </c>
      <c r="P741">
        <f t="shared" si="164"/>
        <v>0</v>
      </c>
      <c r="Q741">
        <f t="shared" si="165"/>
        <v>0</v>
      </c>
      <c r="R741">
        <f t="shared" si="166"/>
        <v>5.79</v>
      </c>
      <c r="S741">
        <f t="shared" si="167"/>
        <v>0</v>
      </c>
    </row>
    <row r="742" spans="1:19" x14ac:dyDescent="0.3">
      <c r="A742" s="1">
        <v>41946</v>
      </c>
      <c r="B742" s="1">
        <v>41966</v>
      </c>
      <c r="C742">
        <v>4.66</v>
      </c>
      <c r="D742">
        <v>0.12</v>
      </c>
      <c r="E742">
        <v>6</v>
      </c>
      <c r="F742">
        <f t="shared" si="154"/>
        <v>4.78</v>
      </c>
      <c r="G742">
        <f t="shared" si="155"/>
        <v>11</v>
      </c>
      <c r="H742">
        <f t="shared" si="156"/>
        <v>0</v>
      </c>
      <c r="I742">
        <f t="shared" si="157"/>
        <v>0</v>
      </c>
      <c r="J742">
        <f t="shared" si="158"/>
        <v>0</v>
      </c>
      <c r="K742">
        <f t="shared" si="159"/>
        <v>0</v>
      </c>
      <c r="L742">
        <f t="shared" si="160"/>
        <v>0</v>
      </c>
      <c r="M742">
        <f t="shared" si="161"/>
        <v>0</v>
      </c>
      <c r="N742">
        <f t="shared" si="162"/>
        <v>0</v>
      </c>
      <c r="O742">
        <f t="shared" si="163"/>
        <v>0</v>
      </c>
      <c r="P742">
        <f t="shared" si="164"/>
        <v>0</v>
      </c>
      <c r="Q742">
        <f t="shared" si="165"/>
        <v>0</v>
      </c>
      <c r="R742">
        <f t="shared" si="166"/>
        <v>4.78</v>
      </c>
      <c r="S742">
        <f t="shared" si="167"/>
        <v>0</v>
      </c>
    </row>
    <row r="743" spans="1:19" x14ac:dyDescent="0.3">
      <c r="A743" s="1">
        <v>41946</v>
      </c>
      <c r="B743" s="1">
        <v>41968</v>
      </c>
      <c r="C743">
        <v>7.71</v>
      </c>
      <c r="D743">
        <v>0.2</v>
      </c>
      <c r="E743">
        <v>5</v>
      </c>
      <c r="F743">
        <f t="shared" si="154"/>
        <v>7.91</v>
      </c>
      <c r="G743">
        <f t="shared" si="155"/>
        <v>11</v>
      </c>
      <c r="H743">
        <f t="shared" si="156"/>
        <v>0</v>
      </c>
      <c r="I743">
        <f t="shared" si="157"/>
        <v>0</v>
      </c>
      <c r="J743">
        <f t="shared" si="158"/>
        <v>0</v>
      </c>
      <c r="K743">
        <f t="shared" si="159"/>
        <v>0</v>
      </c>
      <c r="L743">
        <f t="shared" si="160"/>
        <v>0</v>
      </c>
      <c r="M743">
        <f t="shared" si="161"/>
        <v>0</v>
      </c>
      <c r="N743">
        <f t="shared" si="162"/>
        <v>0</v>
      </c>
      <c r="O743">
        <f t="shared" si="163"/>
        <v>0</v>
      </c>
      <c r="P743">
        <f t="shared" si="164"/>
        <v>0</v>
      </c>
      <c r="Q743">
        <f t="shared" si="165"/>
        <v>0</v>
      </c>
      <c r="R743">
        <f t="shared" si="166"/>
        <v>7.91</v>
      </c>
      <c r="S743">
        <f t="shared" si="167"/>
        <v>0</v>
      </c>
    </row>
    <row r="744" spans="1:19" x14ac:dyDescent="0.3">
      <c r="A744" s="1">
        <v>41946</v>
      </c>
      <c r="B744" s="1">
        <v>41951</v>
      </c>
      <c r="C744">
        <v>7.71</v>
      </c>
      <c r="D744">
        <v>0.2</v>
      </c>
      <c r="E744">
        <v>6</v>
      </c>
      <c r="F744">
        <f t="shared" si="154"/>
        <v>7.91</v>
      </c>
      <c r="G744">
        <f t="shared" si="155"/>
        <v>11</v>
      </c>
      <c r="H744">
        <f t="shared" si="156"/>
        <v>0</v>
      </c>
      <c r="I744">
        <f t="shared" si="157"/>
        <v>0</v>
      </c>
      <c r="J744">
        <f t="shared" si="158"/>
        <v>0</v>
      </c>
      <c r="K744">
        <f t="shared" si="159"/>
        <v>0</v>
      </c>
      <c r="L744">
        <f t="shared" si="160"/>
        <v>0</v>
      </c>
      <c r="M744">
        <f t="shared" si="161"/>
        <v>0</v>
      </c>
      <c r="N744">
        <f t="shared" si="162"/>
        <v>0</v>
      </c>
      <c r="O744">
        <f t="shared" si="163"/>
        <v>0</v>
      </c>
      <c r="P744">
        <f t="shared" si="164"/>
        <v>0</v>
      </c>
      <c r="Q744">
        <f t="shared" si="165"/>
        <v>0</v>
      </c>
      <c r="R744">
        <f t="shared" si="166"/>
        <v>7.91</v>
      </c>
      <c r="S744">
        <f t="shared" si="167"/>
        <v>0</v>
      </c>
    </row>
    <row r="745" spans="1:19" x14ac:dyDescent="0.3">
      <c r="A745" s="1">
        <v>41946</v>
      </c>
      <c r="B745" s="1">
        <v>41957</v>
      </c>
      <c r="C745">
        <v>6.34</v>
      </c>
      <c r="D745">
        <v>0.17</v>
      </c>
      <c r="E745">
        <v>3</v>
      </c>
      <c r="F745">
        <f t="shared" si="154"/>
        <v>6.51</v>
      </c>
      <c r="G745">
        <f t="shared" si="155"/>
        <v>11</v>
      </c>
      <c r="H745">
        <f t="shared" si="156"/>
        <v>0</v>
      </c>
      <c r="I745">
        <f t="shared" si="157"/>
        <v>0</v>
      </c>
      <c r="J745">
        <f t="shared" si="158"/>
        <v>0</v>
      </c>
      <c r="K745">
        <f t="shared" si="159"/>
        <v>0</v>
      </c>
      <c r="L745">
        <f t="shared" si="160"/>
        <v>0</v>
      </c>
      <c r="M745">
        <f t="shared" si="161"/>
        <v>0</v>
      </c>
      <c r="N745">
        <f t="shared" si="162"/>
        <v>0</v>
      </c>
      <c r="O745">
        <f t="shared" si="163"/>
        <v>0</v>
      </c>
      <c r="P745">
        <f t="shared" si="164"/>
        <v>0</v>
      </c>
      <c r="Q745">
        <f t="shared" si="165"/>
        <v>0</v>
      </c>
      <c r="R745">
        <f t="shared" si="166"/>
        <v>6.51</v>
      </c>
      <c r="S745">
        <f t="shared" si="167"/>
        <v>0</v>
      </c>
    </row>
    <row r="746" spans="1:19" x14ac:dyDescent="0.3">
      <c r="A746" s="1">
        <v>41946</v>
      </c>
      <c r="B746" s="1">
        <v>41954</v>
      </c>
      <c r="C746">
        <v>11.37</v>
      </c>
      <c r="D746">
        <v>0.3</v>
      </c>
      <c r="E746">
        <v>2</v>
      </c>
      <c r="F746">
        <f t="shared" si="154"/>
        <v>11.67</v>
      </c>
      <c r="G746">
        <f t="shared" si="155"/>
        <v>11</v>
      </c>
      <c r="H746">
        <f t="shared" si="156"/>
        <v>0</v>
      </c>
      <c r="I746">
        <f t="shared" si="157"/>
        <v>0</v>
      </c>
      <c r="J746">
        <f t="shared" si="158"/>
        <v>0</v>
      </c>
      <c r="K746">
        <f t="shared" si="159"/>
        <v>0</v>
      </c>
      <c r="L746">
        <f t="shared" si="160"/>
        <v>0</v>
      </c>
      <c r="M746">
        <f t="shared" si="161"/>
        <v>0</v>
      </c>
      <c r="N746">
        <f t="shared" si="162"/>
        <v>0</v>
      </c>
      <c r="O746">
        <f t="shared" si="163"/>
        <v>0</v>
      </c>
      <c r="P746">
        <f t="shared" si="164"/>
        <v>0</v>
      </c>
      <c r="Q746">
        <f t="shared" si="165"/>
        <v>0</v>
      </c>
      <c r="R746">
        <f t="shared" si="166"/>
        <v>11.67</v>
      </c>
      <c r="S746">
        <f t="shared" si="167"/>
        <v>0</v>
      </c>
    </row>
    <row r="747" spans="1:19" x14ac:dyDescent="0.3">
      <c r="A747" s="1">
        <v>41946</v>
      </c>
      <c r="B747" s="1">
        <v>41953</v>
      </c>
      <c r="C747">
        <v>6.34</v>
      </c>
      <c r="D747">
        <v>0.17</v>
      </c>
      <c r="E747">
        <v>2</v>
      </c>
      <c r="F747">
        <f t="shared" si="154"/>
        <v>6.51</v>
      </c>
      <c r="G747">
        <f t="shared" si="155"/>
        <v>11</v>
      </c>
      <c r="H747">
        <f t="shared" si="156"/>
        <v>0</v>
      </c>
      <c r="I747">
        <f t="shared" si="157"/>
        <v>0</v>
      </c>
      <c r="J747">
        <f t="shared" si="158"/>
        <v>0</v>
      </c>
      <c r="K747">
        <f t="shared" si="159"/>
        <v>0</v>
      </c>
      <c r="L747">
        <f t="shared" si="160"/>
        <v>0</v>
      </c>
      <c r="M747">
        <f t="shared" si="161"/>
        <v>0</v>
      </c>
      <c r="N747">
        <f t="shared" si="162"/>
        <v>0</v>
      </c>
      <c r="O747">
        <f t="shared" si="163"/>
        <v>0</v>
      </c>
      <c r="P747">
        <f t="shared" si="164"/>
        <v>0</v>
      </c>
      <c r="Q747">
        <f t="shared" si="165"/>
        <v>0</v>
      </c>
      <c r="R747">
        <f t="shared" si="166"/>
        <v>6.51</v>
      </c>
      <c r="S747">
        <f t="shared" si="167"/>
        <v>0</v>
      </c>
    </row>
    <row r="748" spans="1:19" x14ac:dyDescent="0.3">
      <c r="A748" s="1">
        <v>41946</v>
      </c>
      <c r="B748" s="1">
        <v>41955</v>
      </c>
      <c r="C748">
        <v>3.57</v>
      </c>
      <c r="D748">
        <v>0.09</v>
      </c>
      <c r="E748">
        <v>6</v>
      </c>
      <c r="F748">
        <f t="shared" si="154"/>
        <v>3.6599999999999997</v>
      </c>
      <c r="G748">
        <f t="shared" si="155"/>
        <v>11</v>
      </c>
      <c r="H748">
        <f t="shared" si="156"/>
        <v>0</v>
      </c>
      <c r="I748">
        <f t="shared" si="157"/>
        <v>0</v>
      </c>
      <c r="J748">
        <f t="shared" si="158"/>
        <v>0</v>
      </c>
      <c r="K748">
        <f t="shared" si="159"/>
        <v>0</v>
      </c>
      <c r="L748">
        <f t="shared" si="160"/>
        <v>0</v>
      </c>
      <c r="M748">
        <f t="shared" si="161"/>
        <v>0</v>
      </c>
      <c r="N748">
        <f t="shared" si="162"/>
        <v>0</v>
      </c>
      <c r="O748">
        <f t="shared" si="163"/>
        <v>0</v>
      </c>
      <c r="P748">
        <f t="shared" si="164"/>
        <v>0</v>
      </c>
      <c r="Q748">
        <f t="shared" si="165"/>
        <v>0</v>
      </c>
      <c r="R748">
        <f t="shared" si="166"/>
        <v>3.6599999999999997</v>
      </c>
      <c r="S748">
        <f t="shared" si="167"/>
        <v>0</v>
      </c>
    </row>
    <row r="749" spans="1:19" x14ac:dyDescent="0.3">
      <c r="A749" s="1">
        <v>41946</v>
      </c>
      <c r="B749" s="1">
        <v>41964</v>
      </c>
      <c r="C749">
        <v>7.31</v>
      </c>
      <c r="D749">
        <v>0.19</v>
      </c>
      <c r="E749">
        <v>3</v>
      </c>
      <c r="F749">
        <f t="shared" si="154"/>
        <v>7.5</v>
      </c>
      <c r="G749">
        <f t="shared" si="155"/>
        <v>11</v>
      </c>
      <c r="H749">
        <f t="shared" si="156"/>
        <v>0</v>
      </c>
      <c r="I749">
        <f t="shared" si="157"/>
        <v>0</v>
      </c>
      <c r="J749">
        <f t="shared" si="158"/>
        <v>0</v>
      </c>
      <c r="K749">
        <f t="shared" si="159"/>
        <v>0</v>
      </c>
      <c r="L749">
        <f t="shared" si="160"/>
        <v>0</v>
      </c>
      <c r="M749">
        <f t="shared" si="161"/>
        <v>0</v>
      </c>
      <c r="N749">
        <f t="shared" si="162"/>
        <v>0</v>
      </c>
      <c r="O749">
        <f t="shared" si="163"/>
        <v>0</v>
      </c>
      <c r="P749">
        <f t="shared" si="164"/>
        <v>0</v>
      </c>
      <c r="Q749">
        <f t="shared" si="165"/>
        <v>0</v>
      </c>
      <c r="R749">
        <f t="shared" si="166"/>
        <v>7.5</v>
      </c>
      <c r="S749">
        <f t="shared" si="167"/>
        <v>0</v>
      </c>
    </row>
    <row r="750" spans="1:19" x14ac:dyDescent="0.3">
      <c r="A750" s="1">
        <v>41946</v>
      </c>
      <c r="B750" s="1">
        <v>41966</v>
      </c>
      <c r="C750">
        <v>5.64</v>
      </c>
      <c r="D750">
        <v>0.15</v>
      </c>
      <c r="E750">
        <v>6</v>
      </c>
      <c r="F750">
        <f t="shared" si="154"/>
        <v>5.79</v>
      </c>
      <c r="G750">
        <f t="shared" si="155"/>
        <v>11</v>
      </c>
      <c r="H750">
        <f t="shared" si="156"/>
        <v>0</v>
      </c>
      <c r="I750">
        <f t="shared" si="157"/>
        <v>0</v>
      </c>
      <c r="J750">
        <f t="shared" si="158"/>
        <v>0</v>
      </c>
      <c r="K750">
        <f t="shared" si="159"/>
        <v>0</v>
      </c>
      <c r="L750">
        <f t="shared" si="160"/>
        <v>0</v>
      </c>
      <c r="M750">
        <f t="shared" si="161"/>
        <v>0</v>
      </c>
      <c r="N750">
        <f t="shared" si="162"/>
        <v>0</v>
      </c>
      <c r="O750">
        <f t="shared" si="163"/>
        <v>0</v>
      </c>
      <c r="P750">
        <f t="shared" si="164"/>
        <v>0</v>
      </c>
      <c r="Q750">
        <f t="shared" si="165"/>
        <v>0</v>
      </c>
      <c r="R750">
        <f t="shared" si="166"/>
        <v>5.79</v>
      </c>
      <c r="S750">
        <f t="shared" si="167"/>
        <v>0</v>
      </c>
    </row>
    <row r="751" spans="1:19" x14ac:dyDescent="0.3">
      <c r="A751" s="1">
        <v>41946</v>
      </c>
      <c r="B751" s="1">
        <v>41964</v>
      </c>
      <c r="C751">
        <v>4.25</v>
      </c>
      <c r="D751">
        <v>0.11</v>
      </c>
      <c r="E751">
        <v>6</v>
      </c>
      <c r="F751">
        <f t="shared" si="154"/>
        <v>4.3600000000000003</v>
      </c>
      <c r="G751">
        <f t="shared" si="155"/>
        <v>11</v>
      </c>
      <c r="H751">
        <f t="shared" si="156"/>
        <v>0</v>
      </c>
      <c r="I751">
        <f t="shared" si="157"/>
        <v>0</v>
      </c>
      <c r="J751">
        <f t="shared" si="158"/>
        <v>0</v>
      </c>
      <c r="K751">
        <f t="shared" si="159"/>
        <v>0</v>
      </c>
      <c r="L751">
        <f t="shared" si="160"/>
        <v>0</v>
      </c>
      <c r="M751">
        <f t="shared" si="161"/>
        <v>0</v>
      </c>
      <c r="N751">
        <f t="shared" si="162"/>
        <v>0</v>
      </c>
      <c r="O751">
        <f t="shared" si="163"/>
        <v>0</v>
      </c>
      <c r="P751">
        <f t="shared" si="164"/>
        <v>0</v>
      </c>
      <c r="Q751">
        <f t="shared" si="165"/>
        <v>0</v>
      </c>
      <c r="R751">
        <f t="shared" si="166"/>
        <v>4.3600000000000003</v>
      </c>
      <c r="S751">
        <f t="shared" si="167"/>
        <v>0</v>
      </c>
    </row>
    <row r="752" spans="1:19" x14ac:dyDescent="0.3">
      <c r="A752" s="1">
        <v>41946</v>
      </c>
      <c r="B752" s="1">
        <v>41953</v>
      </c>
      <c r="C752">
        <v>9.1300000000000008</v>
      </c>
      <c r="D752">
        <v>0.24</v>
      </c>
      <c r="E752">
        <v>5</v>
      </c>
      <c r="F752">
        <f t="shared" si="154"/>
        <v>9.370000000000001</v>
      </c>
      <c r="G752">
        <f t="shared" si="155"/>
        <v>11</v>
      </c>
      <c r="H752">
        <f t="shared" si="156"/>
        <v>0</v>
      </c>
      <c r="I752">
        <f t="shared" si="157"/>
        <v>0</v>
      </c>
      <c r="J752">
        <f t="shared" si="158"/>
        <v>0</v>
      </c>
      <c r="K752">
        <f t="shared" si="159"/>
        <v>0</v>
      </c>
      <c r="L752">
        <f t="shared" si="160"/>
        <v>0</v>
      </c>
      <c r="M752">
        <f t="shared" si="161"/>
        <v>0</v>
      </c>
      <c r="N752">
        <f t="shared" si="162"/>
        <v>0</v>
      </c>
      <c r="O752">
        <f t="shared" si="163"/>
        <v>0</v>
      </c>
      <c r="P752">
        <f t="shared" si="164"/>
        <v>0</v>
      </c>
      <c r="Q752">
        <f t="shared" si="165"/>
        <v>0</v>
      </c>
      <c r="R752">
        <f t="shared" si="166"/>
        <v>9.370000000000001</v>
      </c>
      <c r="S752">
        <f t="shared" si="167"/>
        <v>0</v>
      </c>
    </row>
    <row r="753" spans="1:19" x14ac:dyDescent="0.3">
      <c r="A753" s="1">
        <v>41946</v>
      </c>
      <c r="B753" s="1">
        <v>41956</v>
      </c>
      <c r="C753">
        <v>3.79</v>
      </c>
      <c r="D753">
        <v>0.1</v>
      </c>
      <c r="E753">
        <v>6</v>
      </c>
      <c r="F753">
        <f t="shared" si="154"/>
        <v>3.89</v>
      </c>
      <c r="G753">
        <f t="shared" si="155"/>
        <v>11</v>
      </c>
      <c r="H753">
        <f t="shared" si="156"/>
        <v>0</v>
      </c>
      <c r="I753">
        <f t="shared" si="157"/>
        <v>0</v>
      </c>
      <c r="J753">
        <f t="shared" si="158"/>
        <v>0</v>
      </c>
      <c r="K753">
        <f t="shared" si="159"/>
        <v>0</v>
      </c>
      <c r="L753">
        <f t="shared" si="160"/>
        <v>0</v>
      </c>
      <c r="M753">
        <f t="shared" si="161"/>
        <v>0</v>
      </c>
      <c r="N753">
        <f t="shared" si="162"/>
        <v>0</v>
      </c>
      <c r="O753">
        <f t="shared" si="163"/>
        <v>0</v>
      </c>
      <c r="P753">
        <f t="shared" si="164"/>
        <v>0</v>
      </c>
      <c r="Q753">
        <f t="shared" si="165"/>
        <v>0</v>
      </c>
      <c r="R753">
        <f t="shared" si="166"/>
        <v>3.89</v>
      </c>
      <c r="S753">
        <f t="shared" si="167"/>
        <v>0</v>
      </c>
    </row>
    <row r="754" spans="1:19" x14ac:dyDescent="0.3">
      <c r="A754" s="1">
        <v>41946</v>
      </c>
      <c r="B754" s="1">
        <v>41948</v>
      </c>
      <c r="C754">
        <v>9.1300000000000008</v>
      </c>
      <c r="D754">
        <v>0.24</v>
      </c>
      <c r="E754">
        <v>4</v>
      </c>
      <c r="F754">
        <f t="shared" si="154"/>
        <v>9.370000000000001</v>
      </c>
      <c r="G754">
        <f t="shared" si="155"/>
        <v>11</v>
      </c>
      <c r="H754">
        <f t="shared" si="156"/>
        <v>0</v>
      </c>
      <c r="I754">
        <f t="shared" si="157"/>
        <v>0</v>
      </c>
      <c r="J754">
        <f t="shared" si="158"/>
        <v>0</v>
      </c>
      <c r="K754">
        <f t="shared" si="159"/>
        <v>0</v>
      </c>
      <c r="L754">
        <f t="shared" si="160"/>
        <v>0</v>
      </c>
      <c r="M754">
        <f t="shared" si="161"/>
        <v>0</v>
      </c>
      <c r="N754">
        <f t="shared" si="162"/>
        <v>0</v>
      </c>
      <c r="O754">
        <f t="shared" si="163"/>
        <v>0</v>
      </c>
      <c r="P754">
        <f t="shared" si="164"/>
        <v>0</v>
      </c>
      <c r="Q754">
        <f t="shared" si="165"/>
        <v>0</v>
      </c>
      <c r="R754">
        <f t="shared" si="166"/>
        <v>9.370000000000001</v>
      </c>
      <c r="S754">
        <f t="shared" si="167"/>
        <v>0</v>
      </c>
    </row>
    <row r="755" spans="1:19" x14ac:dyDescent="0.3">
      <c r="A755" s="1">
        <v>41947</v>
      </c>
      <c r="B755" s="1">
        <v>41960</v>
      </c>
      <c r="C755">
        <v>11.44</v>
      </c>
      <c r="D755">
        <v>0.3</v>
      </c>
      <c r="E755">
        <v>6</v>
      </c>
      <c r="F755">
        <f t="shared" si="154"/>
        <v>11.74</v>
      </c>
      <c r="G755">
        <f t="shared" si="155"/>
        <v>11</v>
      </c>
      <c r="H755">
        <f t="shared" si="156"/>
        <v>0</v>
      </c>
      <c r="I755">
        <f t="shared" si="157"/>
        <v>0</v>
      </c>
      <c r="J755">
        <f t="shared" si="158"/>
        <v>0</v>
      </c>
      <c r="K755">
        <f t="shared" si="159"/>
        <v>0</v>
      </c>
      <c r="L755">
        <f t="shared" si="160"/>
        <v>0</v>
      </c>
      <c r="M755">
        <f t="shared" si="161"/>
        <v>0</v>
      </c>
      <c r="N755">
        <f t="shared" si="162"/>
        <v>0</v>
      </c>
      <c r="O755">
        <f t="shared" si="163"/>
        <v>0</v>
      </c>
      <c r="P755">
        <f t="shared" si="164"/>
        <v>0</v>
      </c>
      <c r="Q755">
        <f t="shared" si="165"/>
        <v>0</v>
      </c>
      <c r="R755">
        <f t="shared" si="166"/>
        <v>11.74</v>
      </c>
      <c r="S755">
        <f t="shared" si="167"/>
        <v>0</v>
      </c>
    </row>
    <row r="756" spans="1:19" x14ac:dyDescent="0.3">
      <c r="A756" s="1">
        <v>41947</v>
      </c>
      <c r="B756" s="1">
        <v>41972</v>
      </c>
      <c r="C756">
        <v>5.47</v>
      </c>
      <c r="D756">
        <v>0.14000000000000001</v>
      </c>
      <c r="E756">
        <v>6</v>
      </c>
      <c r="F756">
        <f t="shared" si="154"/>
        <v>5.6099999999999994</v>
      </c>
      <c r="G756">
        <f t="shared" si="155"/>
        <v>11</v>
      </c>
      <c r="H756">
        <f t="shared" si="156"/>
        <v>0</v>
      </c>
      <c r="I756">
        <f t="shared" si="157"/>
        <v>0</v>
      </c>
      <c r="J756">
        <f t="shared" si="158"/>
        <v>0</v>
      </c>
      <c r="K756">
        <f t="shared" si="159"/>
        <v>0</v>
      </c>
      <c r="L756">
        <f t="shared" si="160"/>
        <v>0</v>
      </c>
      <c r="M756">
        <f t="shared" si="161"/>
        <v>0</v>
      </c>
      <c r="N756">
        <f t="shared" si="162"/>
        <v>0</v>
      </c>
      <c r="O756">
        <f t="shared" si="163"/>
        <v>0</v>
      </c>
      <c r="P756">
        <f t="shared" si="164"/>
        <v>0</v>
      </c>
      <c r="Q756">
        <f t="shared" si="165"/>
        <v>0</v>
      </c>
      <c r="R756">
        <f t="shared" si="166"/>
        <v>5.6099999999999994</v>
      </c>
      <c r="S756">
        <f t="shared" si="167"/>
        <v>0</v>
      </c>
    </row>
    <row r="757" spans="1:19" x14ac:dyDescent="0.3">
      <c r="A757" s="1">
        <v>41947</v>
      </c>
      <c r="B757" s="1">
        <v>41968</v>
      </c>
      <c r="C757">
        <v>14.13</v>
      </c>
      <c r="D757">
        <v>0.37</v>
      </c>
      <c r="E757">
        <v>2</v>
      </c>
      <c r="F757">
        <f t="shared" si="154"/>
        <v>14.5</v>
      </c>
      <c r="G757">
        <f t="shared" si="155"/>
        <v>11</v>
      </c>
      <c r="H757">
        <f t="shared" si="156"/>
        <v>0</v>
      </c>
      <c r="I757">
        <f t="shared" si="157"/>
        <v>0</v>
      </c>
      <c r="J757">
        <f t="shared" si="158"/>
        <v>0</v>
      </c>
      <c r="K757">
        <f t="shared" si="159"/>
        <v>0</v>
      </c>
      <c r="L757">
        <f t="shared" si="160"/>
        <v>0</v>
      </c>
      <c r="M757">
        <f t="shared" si="161"/>
        <v>0</v>
      </c>
      <c r="N757">
        <f t="shared" si="162"/>
        <v>0</v>
      </c>
      <c r="O757">
        <f t="shared" si="163"/>
        <v>0</v>
      </c>
      <c r="P757">
        <f t="shared" si="164"/>
        <v>0</v>
      </c>
      <c r="Q757">
        <f t="shared" si="165"/>
        <v>0</v>
      </c>
      <c r="R757">
        <f t="shared" si="166"/>
        <v>14.5</v>
      </c>
      <c r="S757">
        <f t="shared" si="167"/>
        <v>0</v>
      </c>
    </row>
    <row r="758" spans="1:19" x14ac:dyDescent="0.3">
      <c r="A758" s="1">
        <v>41947</v>
      </c>
      <c r="B758" s="1">
        <v>41956</v>
      </c>
      <c r="C758">
        <v>11.69</v>
      </c>
      <c r="D758">
        <v>0.31</v>
      </c>
      <c r="E758">
        <v>3</v>
      </c>
      <c r="F758">
        <f t="shared" si="154"/>
        <v>12</v>
      </c>
      <c r="G758">
        <f t="shared" si="155"/>
        <v>11</v>
      </c>
      <c r="H758">
        <f t="shared" si="156"/>
        <v>0</v>
      </c>
      <c r="I758">
        <f t="shared" si="157"/>
        <v>0</v>
      </c>
      <c r="J758">
        <f t="shared" si="158"/>
        <v>0</v>
      </c>
      <c r="K758">
        <f t="shared" si="159"/>
        <v>0</v>
      </c>
      <c r="L758">
        <f t="shared" si="160"/>
        <v>0</v>
      </c>
      <c r="M758">
        <f t="shared" si="161"/>
        <v>0</v>
      </c>
      <c r="N758">
        <f t="shared" si="162"/>
        <v>0</v>
      </c>
      <c r="O758">
        <f t="shared" si="163"/>
        <v>0</v>
      </c>
      <c r="P758">
        <f t="shared" si="164"/>
        <v>0</v>
      </c>
      <c r="Q758">
        <f t="shared" si="165"/>
        <v>0</v>
      </c>
      <c r="R758">
        <f t="shared" si="166"/>
        <v>12</v>
      </c>
      <c r="S758">
        <f t="shared" si="167"/>
        <v>0</v>
      </c>
    </row>
    <row r="759" spans="1:19" x14ac:dyDescent="0.3">
      <c r="A759" s="1">
        <v>41947</v>
      </c>
      <c r="B759" s="1">
        <v>41970</v>
      </c>
      <c r="C759">
        <v>6.75</v>
      </c>
      <c r="D759">
        <v>0.18</v>
      </c>
      <c r="E759">
        <v>2</v>
      </c>
      <c r="F759">
        <f t="shared" si="154"/>
        <v>6.93</v>
      </c>
      <c r="G759">
        <f t="shared" si="155"/>
        <v>11</v>
      </c>
      <c r="H759">
        <f t="shared" si="156"/>
        <v>0</v>
      </c>
      <c r="I759">
        <f t="shared" si="157"/>
        <v>0</v>
      </c>
      <c r="J759">
        <f t="shared" si="158"/>
        <v>0</v>
      </c>
      <c r="K759">
        <f t="shared" si="159"/>
        <v>0</v>
      </c>
      <c r="L759">
        <f t="shared" si="160"/>
        <v>0</v>
      </c>
      <c r="M759">
        <f t="shared" si="161"/>
        <v>0</v>
      </c>
      <c r="N759">
        <f t="shared" si="162"/>
        <v>0</v>
      </c>
      <c r="O759">
        <f t="shared" si="163"/>
        <v>0</v>
      </c>
      <c r="P759">
        <f t="shared" si="164"/>
        <v>0</v>
      </c>
      <c r="Q759">
        <f t="shared" si="165"/>
        <v>0</v>
      </c>
      <c r="R759">
        <f t="shared" si="166"/>
        <v>6.93</v>
      </c>
      <c r="S759">
        <f t="shared" si="167"/>
        <v>0</v>
      </c>
    </row>
    <row r="760" spans="1:19" x14ac:dyDescent="0.3">
      <c r="A760" s="1">
        <v>41947</v>
      </c>
      <c r="B760" s="1">
        <v>41962</v>
      </c>
      <c r="C760">
        <v>8.65</v>
      </c>
      <c r="D760">
        <v>0.23</v>
      </c>
      <c r="E760">
        <v>6</v>
      </c>
      <c r="F760">
        <f t="shared" si="154"/>
        <v>8.8800000000000008</v>
      </c>
      <c r="G760">
        <f t="shared" si="155"/>
        <v>11</v>
      </c>
      <c r="H760">
        <f t="shared" si="156"/>
        <v>0</v>
      </c>
      <c r="I760">
        <f t="shared" si="157"/>
        <v>0</v>
      </c>
      <c r="J760">
        <f t="shared" si="158"/>
        <v>0</v>
      </c>
      <c r="K760">
        <f t="shared" si="159"/>
        <v>0</v>
      </c>
      <c r="L760">
        <f t="shared" si="160"/>
        <v>0</v>
      </c>
      <c r="M760">
        <f t="shared" si="161"/>
        <v>0</v>
      </c>
      <c r="N760">
        <f t="shared" si="162"/>
        <v>0</v>
      </c>
      <c r="O760">
        <f t="shared" si="163"/>
        <v>0</v>
      </c>
      <c r="P760">
        <f t="shared" si="164"/>
        <v>0</v>
      </c>
      <c r="Q760">
        <f t="shared" si="165"/>
        <v>0</v>
      </c>
      <c r="R760">
        <f t="shared" si="166"/>
        <v>8.8800000000000008</v>
      </c>
      <c r="S760">
        <f t="shared" si="167"/>
        <v>0</v>
      </c>
    </row>
    <row r="761" spans="1:19" x14ac:dyDescent="0.3">
      <c r="A761" s="1">
        <v>41947</v>
      </c>
      <c r="B761" s="1">
        <v>41975</v>
      </c>
      <c r="C761">
        <v>10.93</v>
      </c>
      <c r="D761">
        <v>0.28999999999999998</v>
      </c>
      <c r="E761">
        <v>5</v>
      </c>
      <c r="F761">
        <f t="shared" si="154"/>
        <v>11.219999999999999</v>
      </c>
      <c r="G761">
        <f t="shared" si="155"/>
        <v>11</v>
      </c>
      <c r="H761">
        <f t="shared" si="156"/>
        <v>0</v>
      </c>
      <c r="I761">
        <f t="shared" si="157"/>
        <v>0</v>
      </c>
      <c r="J761">
        <f t="shared" si="158"/>
        <v>0</v>
      </c>
      <c r="K761">
        <f t="shared" si="159"/>
        <v>0</v>
      </c>
      <c r="L761">
        <f t="shared" si="160"/>
        <v>0</v>
      </c>
      <c r="M761">
        <f t="shared" si="161"/>
        <v>0</v>
      </c>
      <c r="N761">
        <f t="shared" si="162"/>
        <v>0</v>
      </c>
      <c r="O761">
        <f t="shared" si="163"/>
        <v>0</v>
      </c>
      <c r="P761">
        <f t="shared" si="164"/>
        <v>0</v>
      </c>
      <c r="Q761">
        <f t="shared" si="165"/>
        <v>0</v>
      </c>
      <c r="R761">
        <f t="shared" si="166"/>
        <v>11.219999999999999</v>
      </c>
      <c r="S761">
        <f t="shared" si="167"/>
        <v>0</v>
      </c>
    </row>
    <row r="762" spans="1:19" x14ac:dyDescent="0.3">
      <c r="A762" s="1">
        <v>41947</v>
      </c>
      <c r="B762" s="1">
        <v>41962</v>
      </c>
      <c r="C762">
        <v>16.55</v>
      </c>
      <c r="D762">
        <v>0.44</v>
      </c>
      <c r="E762">
        <v>6</v>
      </c>
      <c r="F762">
        <f t="shared" si="154"/>
        <v>16.990000000000002</v>
      </c>
      <c r="G762">
        <f t="shared" si="155"/>
        <v>11</v>
      </c>
      <c r="H762">
        <f t="shared" si="156"/>
        <v>0</v>
      </c>
      <c r="I762">
        <f t="shared" si="157"/>
        <v>0</v>
      </c>
      <c r="J762">
        <f t="shared" si="158"/>
        <v>0</v>
      </c>
      <c r="K762">
        <f t="shared" si="159"/>
        <v>0</v>
      </c>
      <c r="L762">
        <f t="shared" si="160"/>
        <v>0</v>
      </c>
      <c r="M762">
        <f t="shared" si="161"/>
        <v>0</v>
      </c>
      <c r="N762">
        <f t="shared" si="162"/>
        <v>0</v>
      </c>
      <c r="O762">
        <f t="shared" si="163"/>
        <v>0</v>
      </c>
      <c r="P762">
        <f t="shared" si="164"/>
        <v>0</v>
      </c>
      <c r="Q762">
        <f t="shared" si="165"/>
        <v>0</v>
      </c>
      <c r="R762">
        <f t="shared" si="166"/>
        <v>16.990000000000002</v>
      </c>
      <c r="S762">
        <f t="shared" si="167"/>
        <v>0</v>
      </c>
    </row>
    <row r="763" spans="1:19" x14ac:dyDescent="0.3">
      <c r="A763" s="1">
        <v>41947</v>
      </c>
      <c r="B763" s="1">
        <v>41960</v>
      </c>
      <c r="C763">
        <v>9.06</v>
      </c>
      <c r="D763">
        <v>0.24</v>
      </c>
      <c r="E763">
        <v>4</v>
      </c>
      <c r="F763">
        <f t="shared" si="154"/>
        <v>9.3000000000000007</v>
      </c>
      <c r="G763">
        <f t="shared" si="155"/>
        <v>11</v>
      </c>
      <c r="H763">
        <f t="shared" si="156"/>
        <v>0</v>
      </c>
      <c r="I763">
        <f t="shared" si="157"/>
        <v>0</v>
      </c>
      <c r="J763">
        <f t="shared" si="158"/>
        <v>0</v>
      </c>
      <c r="K763">
        <f t="shared" si="159"/>
        <v>0</v>
      </c>
      <c r="L763">
        <f t="shared" si="160"/>
        <v>0</v>
      </c>
      <c r="M763">
        <f t="shared" si="161"/>
        <v>0</v>
      </c>
      <c r="N763">
        <f t="shared" si="162"/>
        <v>0</v>
      </c>
      <c r="O763">
        <f t="shared" si="163"/>
        <v>0</v>
      </c>
      <c r="P763">
        <f t="shared" si="164"/>
        <v>0</v>
      </c>
      <c r="Q763">
        <f t="shared" si="165"/>
        <v>0</v>
      </c>
      <c r="R763">
        <f t="shared" si="166"/>
        <v>9.3000000000000007</v>
      </c>
      <c r="S763">
        <f t="shared" si="167"/>
        <v>0</v>
      </c>
    </row>
    <row r="764" spans="1:19" x14ac:dyDescent="0.3">
      <c r="A764" s="1">
        <v>41947</v>
      </c>
      <c r="B764" s="1">
        <v>41974</v>
      </c>
      <c r="C764">
        <v>9.06</v>
      </c>
      <c r="D764">
        <v>0.24</v>
      </c>
      <c r="E764">
        <v>4</v>
      </c>
      <c r="F764">
        <f t="shared" si="154"/>
        <v>9.3000000000000007</v>
      </c>
      <c r="G764">
        <f t="shared" si="155"/>
        <v>11</v>
      </c>
      <c r="H764">
        <f t="shared" si="156"/>
        <v>0</v>
      </c>
      <c r="I764">
        <f t="shared" si="157"/>
        <v>0</v>
      </c>
      <c r="J764">
        <f t="shared" si="158"/>
        <v>0</v>
      </c>
      <c r="K764">
        <f t="shared" si="159"/>
        <v>0</v>
      </c>
      <c r="L764">
        <f t="shared" si="160"/>
        <v>0</v>
      </c>
      <c r="M764">
        <f t="shared" si="161"/>
        <v>0</v>
      </c>
      <c r="N764">
        <f t="shared" si="162"/>
        <v>0</v>
      </c>
      <c r="O764">
        <f t="shared" si="163"/>
        <v>0</v>
      </c>
      <c r="P764">
        <f t="shared" si="164"/>
        <v>0</v>
      </c>
      <c r="Q764">
        <f t="shared" si="165"/>
        <v>0</v>
      </c>
      <c r="R764">
        <f t="shared" si="166"/>
        <v>9.3000000000000007</v>
      </c>
      <c r="S764">
        <f t="shared" si="167"/>
        <v>0</v>
      </c>
    </row>
    <row r="765" spans="1:19" x14ac:dyDescent="0.3">
      <c r="A765" s="1">
        <v>41947</v>
      </c>
      <c r="B765" s="1">
        <v>41969</v>
      </c>
      <c r="C765">
        <v>6.43</v>
      </c>
      <c r="D765">
        <v>0.17</v>
      </c>
      <c r="E765">
        <v>2</v>
      </c>
      <c r="F765">
        <f t="shared" si="154"/>
        <v>6.6</v>
      </c>
      <c r="G765">
        <f t="shared" si="155"/>
        <v>11</v>
      </c>
      <c r="H765">
        <f t="shared" si="156"/>
        <v>0</v>
      </c>
      <c r="I765">
        <f t="shared" si="157"/>
        <v>0</v>
      </c>
      <c r="J765">
        <f t="shared" si="158"/>
        <v>0</v>
      </c>
      <c r="K765">
        <f t="shared" si="159"/>
        <v>0</v>
      </c>
      <c r="L765">
        <f t="shared" si="160"/>
        <v>0</v>
      </c>
      <c r="M765">
        <f t="shared" si="161"/>
        <v>0</v>
      </c>
      <c r="N765">
        <f t="shared" si="162"/>
        <v>0</v>
      </c>
      <c r="O765">
        <f t="shared" si="163"/>
        <v>0</v>
      </c>
      <c r="P765">
        <f t="shared" si="164"/>
        <v>0</v>
      </c>
      <c r="Q765">
        <f t="shared" si="165"/>
        <v>0</v>
      </c>
      <c r="R765">
        <f t="shared" si="166"/>
        <v>6.6</v>
      </c>
      <c r="S765">
        <f t="shared" si="167"/>
        <v>0</v>
      </c>
    </row>
    <row r="766" spans="1:19" x14ac:dyDescent="0.3">
      <c r="A766" s="1">
        <v>41947</v>
      </c>
      <c r="B766" s="1">
        <v>41954</v>
      </c>
      <c r="C766">
        <v>6.23</v>
      </c>
      <c r="D766">
        <v>0.16</v>
      </c>
      <c r="E766">
        <v>3</v>
      </c>
      <c r="F766">
        <f t="shared" si="154"/>
        <v>6.3900000000000006</v>
      </c>
      <c r="G766">
        <f t="shared" si="155"/>
        <v>11</v>
      </c>
      <c r="H766">
        <f t="shared" si="156"/>
        <v>0</v>
      </c>
      <c r="I766">
        <f t="shared" si="157"/>
        <v>0</v>
      </c>
      <c r="J766">
        <f t="shared" si="158"/>
        <v>0</v>
      </c>
      <c r="K766">
        <f t="shared" si="159"/>
        <v>0</v>
      </c>
      <c r="L766">
        <f t="shared" si="160"/>
        <v>0</v>
      </c>
      <c r="M766">
        <f t="shared" si="161"/>
        <v>0</v>
      </c>
      <c r="N766">
        <f t="shared" si="162"/>
        <v>0</v>
      </c>
      <c r="O766">
        <f t="shared" si="163"/>
        <v>0</v>
      </c>
      <c r="P766">
        <f t="shared" si="164"/>
        <v>0</v>
      </c>
      <c r="Q766">
        <f t="shared" si="165"/>
        <v>0</v>
      </c>
      <c r="R766">
        <f t="shared" si="166"/>
        <v>6.3900000000000006</v>
      </c>
      <c r="S766">
        <f t="shared" si="167"/>
        <v>0</v>
      </c>
    </row>
    <row r="767" spans="1:19" x14ac:dyDescent="0.3">
      <c r="A767" s="1">
        <v>41947</v>
      </c>
      <c r="B767" s="1">
        <v>41952</v>
      </c>
      <c r="C767">
        <v>6.75</v>
      </c>
      <c r="D767">
        <v>0.18</v>
      </c>
      <c r="E767">
        <v>3</v>
      </c>
      <c r="F767">
        <f t="shared" si="154"/>
        <v>6.93</v>
      </c>
      <c r="G767">
        <f t="shared" si="155"/>
        <v>11</v>
      </c>
      <c r="H767">
        <f t="shared" si="156"/>
        <v>0</v>
      </c>
      <c r="I767">
        <f t="shared" si="157"/>
        <v>0</v>
      </c>
      <c r="J767">
        <f t="shared" si="158"/>
        <v>0</v>
      </c>
      <c r="K767">
        <f t="shared" si="159"/>
        <v>0</v>
      </c>
      <c r="L767">
        <f t="shared" si="160"/>
        <v>0</v>
      </c>
      <c r="M767">
        <f t="shared" si="161"/>
        <v>0</v>
      </c>
      <c r="N767">
        <f t="shared" si="162"/>
        <v>0</v>
      </c>
      <c r="O767">
        <f t="shared" si="163"/>
        <v>0</v>
      </c>
      <c r="P767">
        <f t="shared" si="164"/>
        <v>0</v>
      </c>
      <c r="Q767">
        <f t="shared" si="165"/>
        <v>0</v>
      </c>
      <c r="R767">
        <f t="shared" si="166"/>
        <v>6.93</v>
      </c>
      <c r="S767">
        <f t="shared" si="167"/>
        <v>0</v>
      </c>
    </row>
    <row r="768" spans="1:19" x14ac:dyDescent="0.3">
      <c r="A768" s="1">
        <v>41947</v>
      </c>
      <c r="B768" s="1">
        <v>41953</v>
      </c>
      <c r="C768">
        <v>10.79</v>
      </c>
      <c r="D768">
        <v>0.28000000000000003</v>
      </c>
      <c r="E768">
        <v>6</v>
      </c>
      <c r="F768">
        <f t="shared" si="154"/>
        <v>11.069999999999999</v>
      </c>
      <c r="G768">
        <f t="shared" si="155"/>
        <v>11</v>
      </c>
      <c r="H768">
        <f t="shared" si="156"/>
        <v>0</v>
      </c>
      <c r="I768">
        <f t="shared" si="157"/>
        <v>0</v>
      </c>
      <c r="J768">
        <f t="shared" si="158"/>
        <v>0</v>
      </c>
      <c r="K768">
        <f t="shared" si="159"/>
        <v>0</v>
      </c>
      <c r="L768">
        <f t="shared" si="160"/>
        <v>0</v>
      </c>
      <c r="M768">
        <f t="shared" si="161"/>
        <v>0</v>
      </c>
      <c r="N768">
        <f t="shared" si="162"/>
        <v>0</v>
      </c>
      <c r="O768">
        <f t="shared" si="163"/>
        <v>0</v>
      </c>
      <c r="P768">
        <f t="shared" si="164"/>
        <v>0</v>
      </c>
      <c r="Q768">
        <f t="shared" si="165"/>
        <v>0</v>
      </c>
      <c r="R768">
        <f t="shared" si="166"/>
        <v>11.069999999999999</v>
      </c>
      <c r="S768">
        <f t="shared" si="167"/>
        <v>0</v>
      </c>
    </row>
    <row r="769" spans="1:19" x14ac:dyDescent="0.3">
      <c r="A769" s="1">
        <v>41949</v>
      </c>
      <c r="B769" s="1">
        <v>41956</v>
      </c>
      <c r="C769">
        <v>5.67</v>
      </c>
      <c r="D769">
        <v>0.15</v>
      </c>
      <c r="E769">
        <v>4</v>
      </c>
      <c r="F769">
        <f t="shared" si="154"/>
        <v>5.82</v>
      </c>
      <c r="G769">
        <f t="shared" si="155"/>
        <v>11</v>
      </c>
      <c r="H769">
        <f t="shared" si="156"/>
        <v>0</v>
      </c>
      <c r="I769">
        <f t="shared" si="157"/>
        <v>0</v>
      </c>
      <c r="J769">
        <f t="shared" si="158"/>
        <v>0</v>
      </c>
      <c r="K769">
        <f t="shared" si="159"/>
        <v>0</v>
      </c>
      <c r="L769">
        <f t="shared" si="160"/>
        <v>0</v>
      </c>
      <c r="M769">
        <f t="shared" si="161"/>
        <v>0</v>
      </c>
      <c r="N769">
        <f t="shared" si="162"/>
        <v>0</v>
      </c>
      <c r="O769">
        <f t="shared" si="163"/>
        <v>0</v>
      </c>
      <c r="P769">
        <f t="shared" si="164"/>
        <v>0</v>
      </c>
      <c r="Q769">
        <f t="shared" si="165"/>
        <v>0</v>
      </c>
      <c r="R769">
        <f t="shared" si="166"/>
        <v>5.82</v>
      </c>
      <c r="S769">
        <f t="shared" si="167"/>
        <v>0</v>
      </c>
    </row>
    <row r="770" spans="1:19" x14ac:dyDescent="0.3">
      <c r="A770" s="1">
        <v>41949</v>
      </c>
      <c r="B770" s="1">
        <v>41959</v>
      </c>
      <c r="C770">
        <v>11.44</v>
      </c>
      <c r="D770">
        <v>0.3</v>
      </c>
      <c r="E770">
        <v>4</v>
      </c>
      <c r="F770">
        <f t="shared" si="154"/>
        <v>11.74</v>
      </c>
      <c r="G770">
        <f t="shared" si="155"/>
        <v>11</v>
      </c>
      <c r="H770">
        <f t="shared" si="156"/>
        <v>0</v>
      </c>
      <c r="I770">
        <f t="shared" si="157"/>
        <v>0</v>
      </c>
      <c r="J770">
        <f t="shared" si="158"/>
        <v>0</v>
      </c>
      <c r="K770">
        <f t="shared" si="159"/>
        <v>0</v>
      </c>
      <c r="L770">
        <f t="shared" si="160"/>
        <v>0</v>
      </c>
      <c r="M770">
        <f t="shared" si="161"/>
        <v>0</v>
      </c>
      <c r="N770">
        <f t="shared" si="162"/>
        <v>0</v>
      </c>
      <c r="O770">
        <f t="shared" si="163"/>
        <v>0</v>
      </c>
      <c r="P770">
        <f t="shared" si="164"/>
        <v>0</v>
      </c>
      <c r="Q770">
        <f t="shared" si="165"/>
        <v>0</v>
      </c>
      <c r="R770">
        <f t="shared" si="166"/>
        <v>11.74</v>
      </c>
      <c r="S770">
        <f t="shared" si="167"/>
        <v>0</v>
      </c>
    </row>
    <row r="771" spans="1:19" x14ac:dyDescent="0.3">
      <c r="A771" s="1">
        <v>41950</v>
      </c>
      <c r="B771" s="1">
        <v>41977</v>
      </c>
      <c r="C771">
        <v>4.25</v>
      </c>
      <c r="D771">
        <v>0.11</v>
      </c>
      <c r="E771">
        <v>5</v>
      </c>
      <c r="F771">
        <f t="shared" ref="F771:F834" si="168">C771+D771</f>
        <v>4.3600000000000003</v>
      </c>
      <c r="G771">
        <f t="shared" ref="G771:G834" si="169">MONTH(A771)</f>
        <v>11</v>
      </c>
      <c r="H771">
        <f t="shared" ref="H771:H834" si="170">IF(EXACT(G771,1),F771,0)</f>
        <v>0</v>
      </c>
      <c r="I771">
        <f t="shared" ref="I771:I834" si="171">IF(EXACT(G771,2),F771,0)</f>
        <v>0</v>
      </c>
      <c r="J771">
        <f t="shared" ref="J771:J834" si="172">IF(EXACT(G771,3),F771,0)</f>
        <v>0</v>
      </c>
      <c r="K771">
        <f t="shared" ref="K771:K834" si="173">IF(EXACT(G771,4),F771,0)</f>
        <v>0</v>
      </c>
      <c r="L771">
        <f t="shared" ref="L771:L834" si="174">IF(EXACT(G771,5),F771,0)</f>
        <v>0</v>
      </c>
      <c r="M771">
        <f t="shared" ref="M771:M834" si="175">IF(EXACT(G771,6),F771,0)</f>
        <v>0</v>
      </c>
      <c r="N771">
        <f t="shared" ref="N771:N834" si="176">IF(EXACT(G771,7),F771,0)</f>
        <v>0</v>
      </c>
      <c r="O771">
        <f t="shared" ref="O771:O834" si="177">IF(EXACT(G771,8),F771,0)</f>
        <v>0</v>
      </c>
      <c r="P771">
        <f t="shared" ref="P771:P834" si="178">IF(EXACT(G771,9),F771,0)</f>
        <v>0</v>
      </c>
      <c r="Q771">
        <f t="shared" ref="Q771:Q834" si="179">IF(EXACT(G771,10),F771,0)</f>
        <v>0</v>
      </c>
      <c r="R771">
        <f t="shared" ref="R771:R834" si="180">IF(EXACT(G771,11),F771,0)</f>
        <v>4.3600000000000003</v>
      </c>
      <c r="S771">
        <f t="shared" ref="S771:S834" si="181">IF(EXACT(G771,12),F771,0)</f>
        <v>0</v>
      </c>
    </row>
    <row r="772" spans="1:19" x14ac:dyDescent="0.3">
      <c r="A772" s="1">
        <v>41950</v>
      </c>
      <c r="B772" s="1">
        <v>41953</v>
      </c>
      <c r="C772">
        <v>3.94</v>
      </c>
      <c r="D772">
        <v>0.1</v>
      </c>
      <c r="E772">
        <v>2</v>
      </c>
      <c r="F772">
        <f t="shared" si="168"/>
        <v>4.04</v>
      </c>
      <c r="G772">
        <f t="shared" si="169"/>
        <v>11</v>
      </c>
      <c r="H772">
        <f t="shared" si="170"/>
        <v>0</v>
      </c>
      <c r="I772">
        <f t="shared" si="171"/>
        <v>0</v>
      </c>
      <c r="J772">
        <f t="shared" si="172"/>
        <v>0</v>
      </c>
      <c r="K772">
        <f t="shared" si="173"/>
        <v>0</v>
      </c>
      <c r="L772">
        <f t="shared" si="174"/>
        <v>0</v>
      </c>
      <c r="M772">
        <f t="shared" si="175"/>
        <v>0</v>
      </c>
      <c r="N772">
        <f t="shared" si="176"/>
        <v>0</v>
      </c>
      <c r="O772">
        <f t="shared" si="177"/>
        <v>0</v>
      </c>
      <c r="P772">
        <f t="shared" si="178"/>
        <v>0</v>
      </c>
      <c r="Q772">
        <f t="shared" si="179"/>
        <v>0</v>
      </c>
      <c r="R772">
        <f t="shared" si="180"/>
        <v>4.04</v>
      </c>
      <c r="S772">
        <f t="shared" si="181"/>
        <v>0</v>
      </c>
    </row>
    <row r="773" spans="1:19" x14ac:dyDescent="0.3">
      <c r="A773" s="1">
        <v>41950</v>
      </c>
      <c r="B773" s="1">
        <v>41972</v>
      </c>
      <c r="C773">
        <v>3.57</v>
      </c>
      <c r="D773">
        <v>0.09</v>
      </c>
      <c r="E773">
        <v>4</v>
      </c>
      <c r="F773">
        <f t="shared" si="168"/>
        <v>3.6599999999999997</v>
      </c>
      <c r="G773">
        <f t="shared" si="169"/>
        <v>11</v>
      </c>
      <c r="H773">
        <f t="shared" si="170"/>
        <v>0</v>
      </c>
      <c r="I773">
        <f t="shared" si="171"/>
        <v>0</v>
      </c>
      <c r="J773">
        <f t="shared" si="172"/>
        <v>0</v>
      </c>
      <c r="K773">
        <f t="shared" si="173"/>
        <v>0</v>
      </c>
      <c r="L773">
        <f t="shared" si="174"/>
        <v>0</v>
      </c>
      <c r="M773">
        <f t="shared" si="175"/>
        <v>0</v>
      </c>
      <c r="N773">
        <f t="shared" si="176"/>
        <v>0</v>
      </c>
      <c r="O773">
        <f t="shared" si="177"/>
        <v>0</v>
      </c>
      <c r="P773">
        <f t="shared" si="178"/>
        <v>0</v>
      </c>
      <c r="Q773">
        <f t="shared" si="179"/>
        <v>0</v>
      </c>
      <c r="R773">
        <f t="shared" si="180"/>
        <v>3.6599999999999997</v>
      </c>
      <c r="S773">
        <f t="shared" si="181"/>
        <v>0</v>
      </c>
    </row>
    <row r="774" spans="1:19" x14ac:dyDescent="0.3">
      <c r="A774" s="1">
        <v>41950</v>
      </c>
      <c r="B774" s="1">
        <v>41952</v>
      </c>
      <c r="C774">
        <v>5.67</v>
      </c>
      <c r="D774">
        <v>0.15</v>
      </c>
      <c r="E774">
        <v>6</v>
      </c>
      <c r="F774">
        <f t="shared" si="168"/>
        <v>5.82</v>
      </c>
      <c r="G774">
        <f t="shared" si="169"/>
        <v>11</v>
      </c>
      <c r="H774">
        <f t="shared" si="170"/>
        <v>0</v>
      </c>
      <c r="I774">
        <f t="shared" si="171"/>
        <v>0</v>
      </c>
      <c r="J774">
        <f t="shared" si="172"/>
        <v>0</v>
      </c>
      <c r="K774">
        <f t="shared" si="173"/>
        <v>0</v>
      </c>
      <c r="L774">
        <f t="shared" si="174"/>
        <v>0</v>
      </c>
      <c r="M774">
        <f t="shared" si="175"/>
        <v>0</v>
      </c>
      <c r="N774">
        <f t="shared" si="176"/>
        <v>0</v>
      </c>
      <c r="O774">
        <f t="shared" si="177"/>
        <v>0</v>
      </c>
      <c r="P774">
        <f t="shared" si="178"/>
        <v>0</v>
      </c>
      <c r="Q774">
        <f t="shared" si="179"/>
        <v>0</v>
      </c>
      <c r="R774">
        <f t="shared" si="180"/>
        <v>5.82</v>
      </c>
      <c r="S774">
        <f t="shared" si="181"/>
        <v>0</v>
      </c>
    </row>
    <row r="775" spans="1:19" x14ac:dyDescent="0.3">
      <c r="A775" s="1">
        <v>41950</v>
      </c>
      <c r="B775" s="1">
        <v>41967</v>
      </c>
      <c r="C775">
        <v>5.67</v>
      </c>
      <c r="D775">
        <v>0.15</v>
      </c>
      <c r="E775">
        <v>4</v>
      </c>
      <c r="F775">
        <f t="shared" si="168"/>
        <v>5.82</v>
      </c>
      <c r="G775">
        <f t="shared" si="169"/>
        <v>11</v>
      </c>
      <c r="H775">
        <f t="shared" si="170"/>
        <v>0</v>
      </c>
      <c r="I775">
        <f t="shared" si="171"/>
        <v>0</v>
      </c>
      <c r="J775">
        <f t="shared" si="172"/>
        <v>0</v>
      </c>
      <c r="K775">
        <f t="shared" si="173"/>
        <v>0</v>
      </c>
      <c r="L775">
        <f t="shared" si="174"/>
        <v>0</v>
      </c>
      <c r="M775">
        <f t="shared" si="175"/>
        <v>0</v>
      </c>
      <c r="N775">
        <f t="shared" si="176"/>
        <v>0</v>
      </c>
      <c r="O775">
        <f t="shared" si="177"/>
        <v>0</v>
      </c>
      <c r="P775">
        <f t="shared" si="178"/>
        <v>0</v>
      </c>
      <c r="Q775">
        <f t="shared" si="179"/>
        <v>0</v>
      </c>
      <c r="R775">
        <f t="shared" si="180"/>
        <v>5.82</v>
      </c>
      <c r="S775">
        <f t="shared" si="181"/>
        <v>0</v>
      </c>
    </row>
    <row r="776" spans="1:19" x14ac:dyDescent="0.3">
      <c r="A776" s="1">
        <v>41953</v>
      </c>
      <c r="B776" s="1">
        <v>41978</v>
      </c>
      <c r="C776">
        <v>16.829999999999998</v>
      </c>
      <c r="D776">
        <v>0.44</v>
      </c>
      <c r="E776">
        <v>6</v>
      </c>
      <c r="F776">
        <f t="shared" si="168"/>
        <v>17.27</v>
      </c>
      <c r="G776">
        <f t="shared" si="169"/>
        <v>11</v>
      </c>
      <c r="H776">
        <f t="shared" si="170"/>
        <v>0</v>
      </c>
      <c r="I776">
        <f t="shared" si="171"/>
        <v>0</v>
      </c>
      <c r="J776">
        <f t="shared" si="172"/>
        <v>0</v>
      </c>
      <c r="K776">
        <f t="shared" si="173"/>
        <v>0</v>
      </c>
      <c r="L776">
        <f t="shared" si="174"/>
        <v>0</v>
      </c>
      <c r="M776">
        <f t="shared" si="175"/>
        <v>0</v>
      </c>
      <c r="N776">
        <f t="shared" si="176"/>
        <v>0</v>
      </c>
      <c r="O776">
        <f t="shared" si="177"/>
        <v>0</v>
      </c>
      <c r="P776">
        <f t="shared" si="178"/>
        <v>0</v>
      </c>
      <c r="Q776">
        <f t="shared" si="179"/>
        <v>0</v>
      </c>
      <c r="R776">
        <f t="shared" si="180"/>
        <v>17.27</v>
      </c>
      <c r="S776">
        <f t="shared" si="181"/>
        <v>0</v>
      </c>
    </row>
    <row r="777" spans="1:19" x14ac:dyDescent="0.3">
      <c r="A777" s="1">
        <v>41956</v>
      </c>
      <c r="B777" s="1">
        <v>41958</v>
      </c>
      <c r="C777">
        <v>5.23</v>
      </c>
      <c r="D777">
        <v>0.14000000000000001</v>
      </c>
      <c r="E777">
        <v>4</v>
      </c>
      <c r="F777">
        <f t="shared" si="168"/>
        <v>5.37</v>
      </c>
      <c r="G777">
        <f t="shared" si="169"/>
        <v>11</v>
      </c>
      <c r="H777">
        <f t="shared" si="170"/>
        <v>0</v>
      </c>
      <c r="I777">
        <f t="shared" si="171"/>
        <v>0</v>
      </c>
      <c r="J777">
        <f t="shared" si="172"/>
        <v>0</v>
      </c>
      <c r="K777">
        <f t="shared" si="173"/>
        <v>0</v>
      </c>
      <c r="L777">
        <f t="shared" si="174"/>
        <v>0</v>
      </c>
      <c r="M777">
        <f t="shared" si="175"/>
        <v>0</v>
      </c>
      <c r="N777">
        <f t="shared" si="176"/>
        <v>0</v>
      </c>
      <c r="O777">
        <f t="shared" si="177"/>
        <v>0</v>
      </c>
      <c r="P777">
        <f t="shared" si="178"/>
        <v>0</v>
      </c>
      <c r="Q777">
        <f t="shared" si="179"/>
        <v>0</v>
      </c>
      <c r="R777">
        <f t="shared" si="180"/>
        <v>5.37</v>
      </c>
      <c r="S777">
        <f t="shared" si="181"/>
        <v>0</v>
      </c>
    </row>
    <row r="778" spans="1:19" x14ac:dyDescent="0.3">
      <c r="A778" s="1">
        <v>41957</v>
      </c>
      <c r="B778" s="1">
        <v>41966</v>
      </c>
      <c r="C778">
        <v>3.73</v>
      </c>
      <c r="D778">
        <v>0.1</v>
      </c>
      <c r="E778">
        <v>3</v>
      </c>
      <c r="F778">
        <f t="shared" si="168"/>
        <v>3.83</v>
      </c>
      <c r="G778">
        <f t="shared" si="169"/>
        <v>11</v>
      </c>
      <c r="H778">
        <f t="shared" si="170"/>
        <v>0</v>
      </c>
      <c r="I778">
        <f t="shared" si="171"/>
        <v>0</v>
      </c>
      <c r="J778">
        <f t="shared" si="172"/>
        <v>0</v>
      </c>
      <c r="K778">
        <f t="shared" si="173"/>
        <v>0</v>
      </c>
      <c r="L778">
        <f t="shared" si="174"/>
        <v>0</v>
      </c>
      <c r="M778">
        <f t="shared" si="175"/>
        <v>0</v>
      </c>
      <c r="N778">
        <f t="shared" si="176"/>
        <v>0</v>
      </c>
      <c r="O778">
        <f t="shared" si="177"/>
        <v>0</v>
      </c>
      <c r="P778">
        <f t="shared" si="178"/>
        <v>0</v>
      </c>
      <c r="Q778">
        <f t="shared" si="179"/>
        <v>0</v>
      </c>
      <c r="R778">
        <f t="shared" si="180"/>
        <v>3.83</v>
      </c>
      <c r="S778">
        <f t="shared" si="181"/>
        <v>0</v>
      </c>
    </row>
    <row r="779" spans="1:19" x14ac:dyDescent="0.3">
      <c r="A779" s="1">
        <v>41958</v>
      </c>
      <c r="B779" s="1">
        <v>41985</v>
      </c>
      <c r="C779">
        <v>8.7200000000000006</v>
      </c>
      <c r="D779">
        <v>0.23</v>
      </c>
      <c r="E779">
        <v>6</v>
      </c>
      <c r="F779">
        <f t="shared" si="168"/>
        <v>8.9500000000000011</v>
      </c>
      <c r="G779">
        <f t="shared" si="169"/>
        <v>11</v>
      </c>
      <c r="H779">
        <f t="shared" si="170"/>
        <v>0</v>
      </c>
      <c r="I779">
        <f t="shared" si="171"/>
        <v>0</v>
      </c>
      <c r="J779">
        <f t="shared" si="172"/>
        <v>0</v>
      </c>
      <c r="K779">
        <f t="shared" si="173"/>
        <v>0</v>
      </c>
      <c r="L779">
        <f t="shared" si="174"/>
        <v>0</v>
      </c>
      <c r="M779">
        <f t="shared" si="175"/>
        <v>0</v>
      </c>
      <c r="N779">
        <f t="shared" si="176"/>
        <v>0</v>
      </c>
      <c r="O779">
        <f t="shared" si="177"/>
        <v>0</v>
      </c>
      <c r="P779">
        <f t="shared" si="178"/>
        <v>0</v>
      </c>
      <c r="Q779">
        <f t="shared" si="179"/>
        <v>0</v>
      </c>
      <c r="R779">
        <f t="shared" si="180"/>
        <v>8.9500000000000011</v>
      </c>
      <c r="S779">
        <f t="shared" si="181"/>
        <v>0</v>
      </c>
    </row>
    <row r="780" spans="1:19" x14ac:dyDescent="0.3">
      <c r="A780" s="1">
        <v>41958</v>
      </c>
      <c r="B780" s="1">
        <v>41975</v>
      </c>
      <c r="C780">
        <v>19.54</v>
      </c>
      <c r="D780">
        <v>0.51</v>
      </c>
      <c r="E780">
        <v>2</v>
      </c>
      <c r="F780">
        <f t="shared" si="168"/>
        <v>20.05</v>
      </c>
      <c r="G780">
        <f t="shared" si="169"/>
        <v>11</v>
      </c>
      <c r="H780">
        <f t="shared" si="170"/>
        <v>0</v>
      </c>
      <c r="I780">
        <f t="shared" si="171"/>
        <v>0</v>
      </c>
      <c r="J780">
        <f t="shared" si="172"/>
        <v>0</v>
      </c>
      <c r="K780">
        <f t="shared" si="173"/>
        <v>0</v>
      </c>
      <c r="L780">
        <f t="shared" si="174"/>
        <v>0</v>
      </c>
      <c r="M780">
        <f t="shared" si="175"/>
        <v>0</v>
      </c>
      <c r="N780">
        <f t="shared" si="176"/>
        <v>0</v>
      </c>
      <c r="O780">
        <f t="shared" si="177"/>
        <v>0</v>
      </c>
      <c r="P780">
        <f t="shared" si="178"/>
        <v>0</v>
      </c>
      <c r="Q780">
        <f t="shared" si="179"/>
        <v>0</v>
      </c>
      <c r="R780">
        <f t="shared" si="180"/>
        <v>20.05</v>
      </c>
      <c r="S780">
        <f t="shared" si="181"/>
        <v>0</v>
      </c>
    </row>
    <row r="781" spans="1:19" x14ac:dyDescent="0.3">
      <c r="A781" s="1">
        <v>41958</v>
      </c>
      <c r="B781" s="1">
        <v>41980</v>
      </c>
      <c r="C781">
        <v>2.29</v>
      </c>
      <c r="D781">
        <v>0.06</v>
      </c>
      <c r="E781">
        <v>4</v>
      </c>
      <c r="F781">
        <f t="shared" si="168"/>
        <v>2.35</v>
      </c>
      <c r="G781">
        <f t="shared" si="169"/>
        <v>11</v>
      </c>
      <c r="H781">
        <f t="shared" si="170"/>
        <v>0</v>
      </c>
      <c r="I781">
        <f t="shared" si="171"/>
        <v>0</v>
      </c>
      <c r="J781">
        <f t="shared" si="172"/>
        <v>0</v>
      </c>
      <c r="K781">
        <f t="shared" si="173"/>
        <v>0</v>
      </c>
      <c r="L781">
        <f t="shared" si="174"/>
        <v>0</v>
      </c>
      <c r="M781">
        <f t="shared" si="175"/>
        <v>0</v>
      </c>
      <c r="N781">
        <f t="shared" si="176"/>
        <v>0</v>
      </c>
      <c r="O781">
        <f t="shared" si="177"/>
        <v>0</v>
      </c>
      <c r="P781">
        <f t="shared" si="178"/>
        <v>0</v>
      </c>
      <c r="Q781">
        <f t="shared" si="179"/>
        <v>0</v>
      </c>
      <c r="R781">
        <f t="shared" si="180"/>
        <v>2.35</v>
      </c>
      <c r="S781">
        <f t="shared" si="181"/>
        <v>0</v>
      </c>
    </row>
    <row r="782" spans="1:19" x14ac:dyDescent="0.3">
      <c r="A782" s="1">
        <v>41958</v>
      </c>
      <c r="B782" s="1">
        <v>41986</v>
      </c>
      <c r="C782">
        <v>8.9499999999999993</v>
      </c>
      <c r="D782">
        <v>0.24</v>
      </c>
      <c r="E782">
        <v>6</v>
      </c>
      <c r="F782">
        <f t="shared" si="168"/>
        <v>9.19</v>
      </c>
      <c r="G782">
        <f t="shared" si="169"/>
        <v>11</v>
      </c>
      <c r="H782">
        <f t="shared" si="170"/>
        <v>0</v>
      </c>
      <c r="I782">
        <f t="shared" si="171"/>
        <v>0</v>
      </c>
      <c r="J782">
        <f t="shared" si="172"/>
        <v>0</v>
      </c>
      <c r="K782">
        <f t="shared" si="173"/>
        <v>0</v>
      </c>
      <c r="L782">
        <f t="shared" si="174"/>
        <v>0</v>
      </c>
      <c r="M782">
        <f t="shared" si="175"/>
        <v>0</v>
      </c>
      <c r="N782">
        <f t="shared" si="176"/>
        <v>0</v>
      </c>
      <c r="O782">
        <f t="shared" si="177"/>
        <v>0</v>
      </c>
      <c r="P782">
        <f t="shared" si="178"/>
        <v>0</v>
      </c>
      <c r="Q782">
        <f t="shared" si="179"/>
        <v>0</v>
      </c>
      <c r="R782">
        <f t="shared" si="180"/>
        <v>9.19</v>
      </c>
      <c r="S782">
        <f t="shared" si="181"/>
        <v>0</v>
      </c>
    </row>
    <row r="783" spans="1:19" x14ac:dyDescent="0.3">
      <c r="A783" s="1">
        <v>41958</v>
      </c>
      <c r="B783" s="1">
        <v>41969</v>
      </c>
      <c r="C783">
        <v>5.67</v>
      </c>
      <c r="D783">
        <v>0.15</v>
      </c>
      <c r="E783">
        <v>6</v>
      </c>
      <c r="F783">
        <f t="shared" si="168"/>
        <v>5.82</v>
      </c>
      <c r="G783">
        <f t="shared" si="169"/>
        <v>11</v>
      </c>
      <c r="H783">
        <f t="shared" si="170"/>
        <v>0</v>
      </c>
      <c r="I783">
        <f t="shared" si="171"/>
        <v>0</v>
      </c>
      <c r="J783">
        <f t="shared" si="172"/>
        <v>0</v>
      </c>
      <c r="K783">
        <f t="shared" si="173"/>
        <v>0</v>
      </c>
      <c r="L783">
        <f t="shared" si="174"/>
        <v>0</v>
      </c>
      <c r="M783">
        <f t="shared" si="175"/>
        <v>0</v>
      </c>
      <c r="N783">
        <f t="shared" si="176"/>
        <v>0</v>
      </c>
      <c r="O783">
        <f t="shared" si="177"/>
        <v>0</v>
      </c>
      <c r="P783">
        <f t="shared" si="178"/>
        <v>0</v>
      </c>
      <c r="Q783">
        <f t="shared" si="179"/>
        <v>0</v>
      </c>
      <c r="R783">
        <f t="shared" si="180"/>
        <v>5.82</v>
      </c>
      <c r="S783">
        <f t="shared" si="181"/>
        <v>0</v>
      </c>
    </row>
    <row r="784" spans="1:19" x14ac:dyDescent="0.3">
      <c r="A784" s="1">
        <v>41958</v>
      </c>
      <c r="B784" s="1">
        <v>41982</v>
      </c>
      <c r="C784">
        <v>8.83</v>
      </c>
      <c r="D784">
        <v>0.23</v>
      </c>
      <c r="E784">
        <v>4</v>
      </c>
      <c r="F784">
        <f t="shared" si="168"/>
        <v>9.06</v>
      </c>
      <c r="G784">
        <f t="shared" si="169"/>
        <v>11</v>
      </c>
      <c r="H784">
        <f t="shared" si="170"/>
        <v>0</v>
      </c>
      <c r="I784">
        <f t="shared" si="171"/>
        <v>0</v>
      </c>
      <c r="J784">
        <f t="shared" si="172"/>
        <v>0</v>
      </c>
      <c r="K784">
        <f t="shared" si="173"/>
        <v>0</v>
      </c>
      <c r="L784">
        <f t="shared" si="174"/>
        <v>0</v>
      </c>
      <c r="M784">
        <f t="shared" si="175"/>
        <v>0</v>
      </c>
      <c r="N784">
        <f t="shared" si="176"/>
        <v>0</v>
      </c>
      <c r="O784">
        <f t="shared" si="177"/>
        <v>0</v>
      </c>
      <c r="P784">
        <f t="shared" si="178"/>
        <v>0</v>
      </c>
      <c r="Q784">
        <f t="shared" si="179"/>
        <v>0</v>
      </c>
      <c r="R784">
        <f t="shared" si="180"/>
        <v>9.06</v>
      </c>
      <c r="S784">
        <f t="shared" si="181"/>
        <v>0</v>
      </c>
    </row>
    <row r="785" spans="1:19" x14ac:dyDescent="0.3">
      <c r="A785" s="1">
        <v>41958</v>
      </c>
      <c r="B785" s="1">
        <v>41963</v>
      </c>
      <c r="C785">
        <v>10.79</v>
      </c>
      <c r="D785">
        <v>0.28000000000000003</v>
      </c>
      <c r="E785">
        <v>4</v>
      </c>
      <c r="F785">
        <f t="shared" si="168"/>
        <v>11.069999999999999</v>
      </c>
      <c r="G785">
        <f t="shared" si="169"/>
        <v>11</v>
      </c>
      <c r="H785">
        <f t="shared" si="170"/>
        <v>0</v>
      </c>
      <c r="I785">
        <f t="shared" si="171"/>
        <v>0</v>
      </c>
      <c r="J785">
        <f t="shared" si="172"/>
        <v>0</v>
      </c>
      <c r="K785">
        <f t="shared" si="173"/>
        <v>0</v>
      </c>
      <c r="L785">
        <f t="shared" si="174"/>
        <v>0</v>
      </c>
      <c r="M785">
        <f t="shared" si="175"/>
        <v>0</v>
      </c>
      <c r="N785">
        <f t="shared" si="176"/>
        <v>0</v>
      </c>
      <c r="O785">
        <f t="shared" si="177"/>
        <v>0</v>
      </c>
      <c r="P785">
        <f t="shared" si="178"/>
        <v>0</v>
      </c>
      <c r="Q785">
        <f t="shared" si="179"/>
        <v>0</v>
      </c>
      <c r="R785">
        <f t="shared" si="180"/>
        <v>11.069999999999999</v>
      </c>
      <c r="S785">
        <f t="shared" si="181"/>
        <v>0</v>
      </c>
    </row>
    <row r="786" spans="1:19" x14ac:dyDescent="0.3">
      <c r="A786" s="1">
        <v>41958</v>
      </c>
      <c r="B786" s="1">
        <v>41961</v>
      </c>
      <c r="C786">
        <v>5.67</v>
      </c>
      <c r="D786">
        <v>0.15</v>
      </c>
      <c r="E786">
        <v>6</v>
      </c>
      <c r="F786">
        <f t="shared" si="168"/>
        <v>5.82</v>
      </c>
      <c r="G786">
        <f t="shared" si="169"/>
        <v>11</v>
      </c>
      <c r="H786">
        <f t="shared" si="170"/>
        <v>0</v>
      </c>
      <c r="I786">
        <f t="shared" si="171"/>
        <v>0</v>
      </c>
      <c r="J786">
        <f t="shared" si="172"/>
        <v>0</v>
      </c>
      <c r="K786">
        <f t="shared" si="173"/>
        <v>0</v>
      </c>
      <c r="L786">
        <f t="shared" si="174"/>
        <v>0</v>
      </c>
      <c r="M786">
        <f t="shared" si="175"/>
        <v>0</v>
      </c>
      <c r="N786">
        <f t="shared" si="176"/>
        <v>0</v>
      </c>
      <c r="O786">
        <f t="shared" si="177"/>
        <v>0</v>
      </c>
      <c r="P786">
        <f t="shared" si="178"/>
        <v>0</v>
      </c>
      <c r="Q786">
        <f t="shared" si="179"/>
        <v>0</v>
      </c>
      <c r="R786">
        <f t="shared" si="180"/>
        <v>5.82</v>
      </c>
      <c r="S786">
        <f t="shared" si="181"/>
        <v>0</v>
      </c>
    </row>
    <row r="787" spans="1:19" x14ac:dyDescent="0.3">
      <c r="A787" s="1">
        <v>41958</v>
      </c>
      <c r="B787" s="1">
        <v>41972</v>
      </c>
      <c r="C787">
        <v>14.31</v>
      </c>
      <c r="D787">
        <v>0.38</v>
      </c>
      <c r="E787">
        <v>5</v>
      </c>
      <c r="F787">
        <f t="shared" si="168"/>
        <v>14.690000000000001</v>
      </c>
      <c r="G787">
        <f t="shared" si="169"/>
        <v>11</v>
      </c>
      <c r="H787">
        <f t="shared" si="170"/>
        <v>0</v>
      </c>
      <c r="I787">
        <f t="shared" si="171"/>
        <v>0</v>
      </c>
      <c r="J787">
        <f t="shared" si="172"/>
        <v>0</v>
      </c>
      <c r="K787">
        <f t="shared" si="173"/>
        <v>0</v>
      </c>
      <c r="L787">
        <f t="shared" si="174"/>
        <v>0</v>
      </c>
      <c r="M787">
        <f t="shared" si="175"/>
        <v>0</v>
      </c>
      <c r="N787">
        <f t="shared" si="176"/>
        <v>0</v>
      </c>
      <c r="O787">
        <f t="shared" si="177"/>
        <v>0</v>
      </c>
      <c r="P787">
        <f t="shared" si="178"/>
        <v>0</v>
      </c>
      <c r="Q787">
        <f t="shared" si="179"/>
        <v>0</v>
      </c>
      <c r="R787">
        <f t="shared" si="180"/>
        <v>14.690000000000001</v>
      </c>
      <c r="S787">
        <f t="shared" si="181"/>
        <v>0</v>
      </c>
    </row>
    <row r="788" spans="1:19" x14ac:dyDescent="0.3">
      <c r="A788" s="1">
        <v>41958</v>
      </c>
      <c r="B788" s="1">
        <v>41976</v>
      </c>
      <c r="C788">
        <v>5.67</v>
      </c>
      <c r="D788">
        <v>0.15</v>
      </c>
      <c r="E788">
        <v>6</v>
      </c>
      <c r="F788">
        <f t="shared" si="168"/>
        <v>5.82</v>
      </c>
      <c r="G788">
        <f t="shared" si="169"/>
        <v>11</v>
      </c>
      <c r="H788">
        <f t="shared" si="170"/>
        <v>0</v>
      </c>
      <c r="I788">
        <f t="shared" si="171"/>
        <v>0</v>
      </c>
      <c r="J788">
        <f t="shared" si="172"/>
        <v>0</v>
      </c>
      <c r="K788">
        <f t="shared" si="173"/>
        <v>0</v>
      </c>
      <c r="L788">
        <f t="shared" si="174"/>
        <v>0</v>
      </c>
      <c r="M788">
        <f t="shared" si="175"/>
        <v>0</v>
      </c>
      <c r="N788">
        <f t="shared" si="176"/>
        <v>0</v>
      </c>
      <c r="O788">
        <f t="shared" si="177"/>
        <v>0</v>
      </c>
      <c r="P788">
        <f t="shared" si="178"/>
        <v>0</v>
      </c>
      <c r="Q788">
        <f t="shared" si="179"/>
        <v>0</v>
      </c>
      <c r="R788">
        <f t="shared" si="180"/>
        <v>5.82</v>
      </c>
      <c r="S788">
        <f t="shared" si="181"/>
        <v>0</v>
      </c>
    </row>
    <row r="789" spans="1:19" x14ac:dyDescent="0.3">
      <c r="A789" s="1">
        <v>41958</v>
      </c>
      <c r="B789" s="1">
        <v>41961</v>
      </c>
      <c r="C789">
        <v>6.75</v>
      </c>
      <c r="D789">
        <v>0.18</v>
      </c>
      <c r="E789">
        <v>6</v>
      </c>
      <c r="F789">
        <f t="shared" si="168"/>
        <v>6.93</v>
      </c>
      <c r="G789">
        <f t="shared" si="169"/>
        <v>11</v>
      </c>
      <c r="H789">
        <f t="shared" si="170"/>
        <v>0</v>
      </c>
      <c r="I789">
        <f t="shared" si="171"/>
        <v>0</v>
      </c>
      <c r="J789">
        <f t="shared" si="172"/>
        <v>0</v>
      </c>
      <c r="K789">
        <f t="shared" si="173"/>
        <v>0</v>
      </c>
      <c r="L789">
        <f t="shared" si="174"/>
        <v>0</v>
      </c>
      <c r="M789">
        <f t="shared" si="175"/>
        <v>0</v>
      </c>
      <c r="N789">
        <f t="shared" si="176"/>
        <v>0</v>
      </c>
      <c r="O789">
        <f t="shared" si="177"/>
        <v>0</v>
      </c>
      <c r="P789">
        <f t="shared" si="178"/>
        <v>0</v>
      </c>
      <c r="Q789">
        <f t="shared" si="179"/>
        <v>0</v>
      </c>
      <c r="R789">
        <f t="shared" si="180"/>
        <v>6.93</v>
      </c>
      <c r="S789">
        <f t="shared" si="181"/>
        <v>0</v>
      </c>
    </row>
    <row r="790" spans="1:19" x14ac:dyDescent="0.3">
      <c r="A790" s="1">
        <v>41958</v>
      </c>
      <c r="B790" s="1">
        <v>41964</v>
      </c>
      <c r="C790">
        <v>12.01</v>
      </c>
      <c r="D790">
        <v>0.32</v>
      </c>
      <c r="E790">
        <v>4</v>
      </c>
      <c r="F790">
        <f t="shared" si="168"/>
        <v>12.33</v>
      </c>
      <c r="G790">
        <f t="shared" si="169"/>
        <v>11</v>
      </c>
      <c r="H790">
        <f t="shared" si="170"/>
        <v>0</v>
      </c>
      <c r="I790">
        <f t="shared" si="171"/>
        <v>0</v>
      </c>
      <c r="J790">
        <f t="shared" si="172"/>
        <v>0</v>
      </c>
      <c r="K790">
        <f t="shared" si="173"/>
        <v>0</v>
      </c>
      <c r="L790">
        <f t="shared" si="174"/>
        <v>0</v>
      </c>
      <c r="M790">
        <f t="shared" si="175"/>
        <v>0</v>
      </c>
      <c r="N790">
        <f t="shared" si="176"/>
        <v>0</v>
      </c>
      <c r="O790">
        <f t="shared" si="177"/>
        <v>0</v>
      </c>
      <c r="P790">
        <f t="shared" si="178"/>
        <v>0</v>
      </c>
      <c r="Q790">
        <f t="shared" si="179"/>
        <v>0</v>
      </c>
      <c r="R790">
        <f t="shared" si="180"/>
        <v>12.33</v>
      </c>
      <c r="S790">
        <f t="shared" si="181"/>
        <v>0</v>
      </c>
    </row>
    <row r="791" spans="1:19" x14ac:dyDescent="0.3">
      <c r="A791" s="1">
        <v>41958</v>
      </c>
      <c r="B791" s="1">
        <v>41973</v>
      </c>
      <c r="C791">
        <v>5.23</v>
      </c>
      <c r="D791">
        <v>0.14000000000000001</v>
      </c>
      <c r="E791">
        <v>6</v>
      </c>
      <c r="F791">
        <f t="shared" si="168"/>
        <v>5.37</v>
      </c>
      <c r="G791">
        <f t="shared" si="169"/>
        <v>11</v>
      </c>
      <c r="H791">
        <f t="shared" si="170"/>
        <v>0</v>
      </c>
      <c r="I791">
        <f t="shared" si="171"/>
        <v>0</v>
      </c>
      <c r="J791">
        <f t="shared" si="172"/>
        <v>0</v>
      </c>
      <c r="K791">
        <f t="shared" si="173"/>
        <v>0</v>
      </c>
      <c r="L791">
        <f t="shared" si="174"/>
        <v>0</v>
      </c>
      <c r="M791">
        <f t="shared" si="175"/>
        <v>0</v>
      </c>
      <c r="N791">
        <f t="shared" si="176"/>
        <v>0</v>
      </c>
      <c r="O791">
        <f t="shared" si="177"/>
        <v>0</v>
      </c>
      <c r="P791">
        <f t="shared" si="178"/>
        <v>0</v>
      </c>
      <c r="Q791">
        <f t="shared" si="179"/>
        <v>0</v>
      </c>
      <c r="R791">
        <f t="shared" si="180"/>
        <v>5.37</v>
      </c>
      <c r="S791">
        <f t="shared" si="181"/>
        <v>0</v>
      </c>
    </row>
    <row r="792" spans="1:19" x14ac:dyDescent="0.3">
      <c r="A792" s="1">
        <v>41958</v>
      </c>
      <c r="B792" s="1">
        <v>41978</v>
      </c>
      <c r="C792">
        <v>13.81</v>
      </c>
      <c r="D792">
        <v>0.36</v>
      </c>
      <c r="E792">
        <v>4</v>
      </c>
      <c r="F792">
        <f t="shared" si="168"/>
        <v>14.17</v>
      </c>
      <c r="G792">
        <f t="shared" si="169"/>
        <v>11</v>
      </c>
      <c r="H792">
        <f t="shared" si="170"/>
        <v>0</v>
      </c>
      <c r="I792">
        <f t="shared" si="171"/>
        <v>0</v>
      </c>
      <c r="J792">
        <f t="shared" si="172"/>
        <v>0</v>
      </c>
      <c r="K792">
        <f t="shared" si="173"/>
        <v>0</v>
      </c>
      <c r="L792">
        <f t="shared" si="174"/>
        <v>0</v>
      </c>
      <c r="M792">
        <f t="shared" si="175"/>
        <v>0</v>
      </c>
      <c r="N792">
        <f t="shared" si="176"/>
        <v>0</v>
      </c>
      <c r="O792">
        <f t="shared" si="177"/>
        <v>0</v>
      </c>
      <c r="P792">
        <f t="shared" si="178"/>
        <v>0</v>
      </c>
      <c r="Q792">
        <f t="shared" si="179"/>
        <v>0</v>
      </c>
      <c r="R792">
        <f t="shared" si="180"/>
        <v>14.17</v>
      </c>
      <c r="S792">
        <f t="shared" si="181"/>
        <v>0</v>
      </c>
    </row>
    <row r="793" spans="1:19" x14ac:dyDescent="0.3">
      <c r="A793" s="1">
        <v>41958</v>
      </c>
      <c r="B793" s="1">
        <v>41970</v>
      </c>
      <c r="C793">
        <v>5.23</v>
      </c>
      <c r="D793">
        <v>0.14000000000000001</v>
      </c>
      <c r="E793">
        <v>3</v>
      </c>
      <c r="F793">
        <f t="shared" si="168"/>
        <v>5.37</v>
      </c>
      <c r="G793">
        <f t="shared" si="169"/>
        <v>11</v>
      </c>
      <c r="H793">
        <f t="shared" si="170"/>
        <v>0</v>
      </c>
      <c r="I793">
        <f t="shared" si="171"/>
        <v>0</v>
      </c>
      <c r="J793">
        <f t="shared" si="172"/>
        <v>0</v>
      </c>
      <c r="K793">
        <f t="shared" si="173"/>
        <v>0</v>
      </c>
      <c r="L793">
        <f t="shared" si="174"/>
        <v>0</v>
      </c>
      <c r="M793">
        <f t="shared" si="175"/>
        <v>0</v>
      </c>
      <c r="N793">
        <f t="shared" si="176"/>
        <v>0</v>
      </c>
      <c r="O793">
        <f t="shared" si="177"/>
        <v>0</v>
      </c>
      <c r="P793">
        <f t="shared" si="178"/>
        <v>0</v>
      </c>
      <c r="Q793">
        <f t="shared" si="179"/>
        <v>0</v>
      </c>
      <c r="R793">
        <f t="shared" si="180"/>
        <v>5.37</v>
      </c>
      <c r="S793">
        <f t="shared" si="181"/>
        <v>0</v>
      </c>
    </row>
    <row r="794" spans="1:19" x14ac:dyDescent="0.3">
      <c r="A794" s="1">
        <v>41959</v>
      </c>
      <c r="B794" s="1">
        <v>41968</v>
      </c>
      <c r="C794">
        <v>4.25</v>
      </c>
      <c r="D794">
        <v>0.11</v>
      </c>
      <c r="E794">
        <v>6</v>
      </c>
      <c r="F794">
        <f t="shared" si="168"/>
        <v>4.3600000000000003</v>
      </c>
      <c r="G794">
        <f t="shared" si="169"/>
        <v>11</v>
      </c>
      <c r="H794">
        <f t="shared" si="170"/>
        <v>0</v>
      </c>
      <c r="I794">
        <f t="shared" si="171"/>
        <v>0</v>
      </c>
      <c r="J794">
        <f t="shared" si="172"/>
        <v>0</v>
      </c>
      <c r="K794">
        <f t="shared" si="173"/>
        <v>0</v>
      </c>
      <c r="L794">
        <f t="shared" si="174"/>
        <v>0</v>
      </c>
      <c r="M794">
        <f t="shared" si="175"/>
        <v>0</v>
      </c>
      <c r="N794">
        <f t="shared" si="176"/>
        <v>0</v>
      </c>
      <c r="O794">
        <f t="shared" si="177"/>
        <v>0</v>
      </c>
      <c r="P794">
        <f t="shared" si="178"/>
        <v>0</v>
      </c>
      <c r="Q794">
        <f t="shared" si="179"/>
        <v>0</v>
      </c>
      <c r="R794">
        <f t="shared" si="180"/>
        <v>4.3600000000000003</v>
      </c>
      <c r="S794">
        <f t="shared" si="181"/>
        <v>0</v>
      </c>
    </row>
    <row r="795" spans="1:19" x14ac:dyDescent="0.3">
      <c r="A795" s="1">
        <v>41959</v>
      </c>
      <c r="B795" s="1">
        <v>41984</v>
      </c>
      <c r="C795">
        <v>5.23</v>
      </c>
      <c r="D795">
        <v>0.14000000000000001</v>
      </c>
      <c r="E795">
        <v>4</v>
      </c>
      <c r="F795">
        <f t="shared" si="168"/>
        <v>5.37</v>
      </c>
      <c r="G795">
        <f t="shared" si="169"/>
        <v>11</v>
      </c>
      <c r="H795">
        <f t="shared" si="170"/>
        <v>0</v>
      </c>
      <c r="I795">
        <f t="shared" si="171"/>
        <v>0</v>
      </c>
      <c r="J795">
        <f t="shared" si="172"/>
        <v>0</v>
      </c>
      <c r="K795">
        <f t="shared" si="173"/>
        <v>0</v>
      </c>
      <c r="L795">
        <f t="shared" si="174"/>
        <v>0</v>
      </c>
      <c r="M795">
        <f t="shared" si="175"/>
        <v>0</v>
      </c>
      <c r="N795">
        <f t="shared" si="176"/>
        <v>0</v>
      </c>
      <c r="O795">
        <f t="shared" si="177"/>
        <v>0</v>
      </c>
      <c r="P795">
        <f t="shared" si="178"/>
        <v>0</v>
      </c>
      <c r="Q795">
        <f t="shared" si="179"/>
        <v>0</v>
      </c>
      <c r="R795">
        <f t="shared" si="180"/>
        <v>5.37</v>
      </c>
      <c r="S795">
        <f t="shared" si="181"/>
        <v>0</v>
      </c>
    </row>
    <row r="796" spans="1:19" x14ac:dyDescent="0.3">
      <c r="A796" s="1">
        <v>41959</v>
      </c>
      <c r="B796" s="1">
        <v>41983</v>
      </c>
      <c r="C796">
        <v>6.23</v>
      </c>
      <c r="D796">
        <v>0.16</v>
      </c>
      <c r="E796">
        <v>2</v>
      </c>
      <c r="F796">
        <f t="shared" si="168"/>
        <v>6.3900000000000006</v>
      </c>
      <c r="G796">
        <f t="shared" si="169"/>
        <v>11</v>
      </c>
      <c r="H796">
        <f t="shared" si="170"/>
        <v>0</v>
      </c>
      <c r="I796">
        <f t="shared" si="171"/>
        <v>0</v>
      </c>
      <c r="J796">
        <f t="shared" si="172"/>
        <v>0</v>
      </c>
      <c r="K796">
        <f t="shared" si="173"/>
        <v>0</v>
      </c>
      <c r="L796">
        <f t="shared" si="174"/>
        <v>0</v>
      </c>
      <c r="M796">
        <f t="shared" si="175"/>
        <v>0</v>
      </c>
      <c r="N796">
        <f t="shared" si="176"/>
        <v>0</v>
      </c>
      <c r="O796">
        <f t="shared" si="177"/>
        <v>0</v>
      </c>
      <c r="P796">
        <f t="shared" si="178"/>
        <v>0</v>
      </c>
      <c r="Q796">
        <f t="shared" si="179"/>
        <v>0</v>
      </c>
      <c r="R796">
        <f t="shared" si="180"/>
        <v>6.3900000000000006</v>
      </c>
      <c r="S796">
        <f t="shared" si="181"/>
        <v>0</v>
      </c>
    </row>
    <row r="797" spans="1:19" x14ac:dyDescent="0.3">
      <c r="A797" s="1">
        <v>41959</v>
      </c>
      <c r="B797" s="1">
        <v>41971</v>
      </c>
      <c r="C797">
        <v>16.55</v>
      </c>
      <c r="D797">
        <v>0.44</v>
      </c>
      <c r="E797">
        <v>5</v>
      </c>
      <c r="F797">
        <f t="shared" si="168"/>
        <v>16.990000000000002</v>
      </c>
      <c r="G797">
        <f t="shared" si="169"/>
        <v>11</v>
      </c>
      <c r="H797">
        <f t="shared" si="170"/>
        <v>0</v>
      </c>
      <c r="I797">
        <f t="shared" si="171"/>
        <v>0</v>
      </c>
      <c r="J797">
        <f t="shared" si="172"/>
        <v>0</v>
      </c>
      <c r="K797">
        <f t="shared" si="173"/>
        <v>0</v>
      </c>
      <c r="L797">
        <f t="shared" si="174"/>
        <v>0</v>
      </c>
      <c r="M797">
        <f t="shared" si="175"/>
        <v>0</v>
      </c>
      <c r="N797">
        <f t="shared" si="176"/>
        <v>0</v>
      </c>
      <c r="O797">
        <f t="shared" si="177"/>
        <v>0</v>
      </c>
      <c r="P797">
        <f t="shared" si="178"/>
        <v>0</v>
      </c>
      <c r="Q797">
        <f t="shared" si="179"/>
        <v>0</v>
      </c>
      <c r="R797">
        <f t="shared" si="180"/>
        <v>16.990000000000002</v>
      </c>
      <c r="S797">
        <f t="shared" si="181"/>
        <v>0</v>
      </c>
    </row>
    <row r="798" spans="1:19" x14ac:dyDescent="0.3">
      <c r="A798" s="1">
        <v>41959</v>
      </c>
      <c r="B798" s="1">
        <v>41966</v>
      </c>
      <c r="C798">
        <v>5.78</v>
      </c>
      <c r="D798">
        <v>0.15</v>
      </c>
      <c r="E798">
        <v>6</v>
      </c>
      <c r="F798">
        <f t="shared" si="168"/>
        <v>5.9300000000000006</v>
      </c>
      <c r="G798">
        <f t="shared" si="169"/>
        <v>11</v>
      </c>
      <c r="H798">
        <f t="shared" si="170"/>
        <v>0</v>
      </c>
      <c r="I798">
        <f t="shared" si="171"/>
        <v>0</v>
      </c>
      <c r="J798">
        <f t="shared" si="172"/>
        <v>0</v>
      </c>
      <c r="K798">
        <f t="shared" si="173"/>
        <v>0</v>
      </c>
      <c r="L798">
        <f t="shared" si="174"/>
        <v>0</v>
      </c>
      <c r="M798">
        <f t="shared" si="175"/>
        <v>0</v>
      </c>
      <c r="N798">
        <f t="shared" si="176"/>
        <v>0</v>
      </c>
      <c r="O798">
        <f t="shared" si="177"/>
        <v>0</v>
      </c>
      <c r="P798">
        <f t="shared" si="178"/>
        <v>0</v>
      </c>
      <c r="Q798">
        <f t="shared" si="179"/>
        <v>0</v>
      </c>
      <c r="R798">
        <f t="shared" si="180"/>
        <v>5.9300000000000006</v>
      </c>
      <c r="S798">
        <f t="shared" si="181"/>
        <v>0</v>
      </c>
    </row>
    <row r="799" spans="1:19" x14ac:dyDescent="0.3">
      <c r="A799" s="1">
        <v>41959</v>
      </c>
      <c r="B799" s="1">
        <v>41978</v>
      </c>
      <c r="C799">
        <v>11.69</v>
      </c>
      <c r="D799">
        <v>0.31</v>
      </c>
      <c r="E799">
        <v>5</v>
      </c>
      <c r="F799">
        <f t="shared" si="168"/>
        <v>12</v>
      </c>
      <c r="G799">
        <f t="shared" si="169"/>
        <v>11</v>
      </c>
      <c r="H799">
        <f t="shared" si="170"/>
        <v>0</v>
      </c>
      <c r="I799">
        <f t="shared" si="171"/>
        <v>0</v>
      </c>
      <c r="J799">
        <f t="shared" si="172"/>
        <v>0</v>
      </c>
      <c r="K799">
        <f t="shared" si="173"/>
        <v>0</v>
      </c>
      <c r="L799">
        <f t="shared" si="174"/>
        <v>0</v>
      </c>
      <c r="M799">
        <f t="shared" si="175"/>
        <v>0</v>
      </c>
      <c r="N799">
        <f t="shared" si="176"/>
        <v>0</v>
      </c>
      <c r="O799">
        <f t="shared" si="177"/>
        <v>0</v>
      </c>
      <c r="P799">
        <f t="shared" si="178"/>
        <v>0</v>
      </c>
      <c r="Q799">
        <f t="shared" si="179"/>
        <v>0</v>
      </c>
      <c r="R799">
        <f t="shared" si="180"/>
        <v>12</v>
      </c>
      <c r="S799">
        <f t="shared" si="181"/>
        <v>0</v>
      </c>
    </row>
    <row r="800" spans="1:19" x14ac:dyDescent="0.3">
      <c r="A800" s="1">
        <v>41959</v>
      </c>
      <c r="B800" s="1">
        <v>41985</v>
      </c>
      <c r="C800">
        <v>11.78</v>
      </c>
      <c r="D800">
        <v>0.31</v>
      </c>
      <c r="E800">
        <v>2</v>
      </c>
      <c r="F800">
        <f t="shared" si="168"/>
        <v>12.09</v>
      </c>
      <c r="G800">
        <f t="shared" si="169"/>
        <v>11</v>
      </c>
      <c r="H800">
        <f t="shared" si="170"/>
        <v>0</v>
      </c>
      <c r="I800">
        <f t="shared" si="171"/>
        <v>0</v>
      </c>
      <c r="J800">
        <f t="shared" si="172"/>
        <v>0</v>
      </c>
      <c r="K800">
        <f t="shared" si="173"/>
        <v>0</v>
      </c>
      <c r="L800">
        <f t="shared" si="174"/>
        <v>0</v>
      </c>
      <c r="M800">
        <f t="shared" si="175"/>
        <v>0</v>
      </c>
      <c r="N800">
        <f t="shared" si="176"/>
        <v>0</v>
      </c>
      <c r="O800">
        <f t="shared" si="177"/>
        <v>0</v>
      </c>
      <c r="P800">
        <f t="shared" si="178"/>
        <v>0</v>
      </c>
      <c r="Q800">
        <f t="shared" si="179"/>
        <v>0</v>
      </c>
      <c r="R800">
        <f t="shared" si="180"/>
        <v>12.09</v>
      </c>
      <c r="S800">
        <f t="shared" si="181"/>
        <v>0</v>
      </c>
    </row>
    <row r="801" spans="1:19" x14ac:dyDescent="0.3">
      <c r="A801" s="1">
        <v>41959</v>
      </c>
      <c r="B801" s="1">
        <v>41974</v>
      </c>
      <c r="C801">
        <v>8.39</v>
      </c>
      <c r="D801">
        <v>0.22</v>
      </c>
      <c r="E801">
        <v>6</v>
      </c>
      <c r="F801">
        <f t="shared" si="168"/>
        <v>8.6100000000000012</v>
      </c>
      <c r="G801">
        <f t="shared" si="169"/>
        <v>11</v>
      </c>
      <c r="H801">
        <f t="shared" si="170"/>
        <v>0</v>
      </c>
      <c r="I801">
        <f t="shared" si="171"/>
        <v>0</v>
      </c>
      <c r="J801">
        <f t="shared" si="172"/>
        <v>0</v>
      </c>
      <c r="K801">
        <f t="shared" si="173"/>
        <v>0</v>
      </c>
      <c r="L801">
        <f t="shared" si="174"/>
        <v>0</v>
      </c>
      <c r="M801">
        <f t="shared" si="175"/>
        <v>0</v>
      </c>
      <c r="N801">
        <f t="shared" si="176"/>
        <v>0</v>
      </c>
      <c r="O801">
        <f t="shared" si="177"/>
        <v>0</v>
      </c>
      <c r="P801">
        <f t="shared" si="178"/>
        <v>0</v>
      </c>
      <c r="Q801">
        <f t="shared" si="179"/>
        <v>0</v>
      </c>
      <c r="R801">
        <f t="shared" si="180"/>
        <v>8.6100000000000012</v>
      </c>
      <c r="S801">
        <f t="shared" si="181"/>
        <v>0</v>
      </c>
    </row>
    <row r="802" spans="1:19" x14ac:dyDescent="0.3">
      <c r="A802" s="1">
        <v>41959</v>
      </c>
      <c r="B802" s="1">
        <v>41976</v>
      </c>
      <c r="C802">
        <v>6.75</v>
      </c>
      <c r="D802">
        <v>0.18</v>
      </c>
      <c r="E802">
        <v>6</v>
      </c>
      <c r="F802">
        <f t="shared" si="168"/>
        <v>6.93</v>
      </c>
      <c r="G802">
        <f t="shared" si="169"/>
        <v>11</v>
      </c>
      <c r="H802">
        <f t="shared" si="170"/>
        <v>0</v>
      </c>
      <c r="I802">
        <f t="shared" si="171"/>
        <v>0</v>
      </c>
      <c r="J802">
        <f t="shared" si="172"/>
        <v>0</v>
      </c>
      <c r="K802">
        <f t="shared" si="173"/>
        <v>0</v>
      </c>
      <c r="L802">
        <f t="shared" si="174"/>
        <v>0</v>
      </c>
      <c r="M802">
        <f t="shared" si="175"/>
        <v>0</v>
      </c>
      <c r="N802">
        <f t="shared" si="176"/>
        <v>0</v>
      </c>
      <c r="O802">
        <f t="shared" si="177"/>
        <v>0</v>
      </c>
      <c r="P802">
        <f t="shared" si="178"/>
        <v>0</v>
      </c>
      <c r="Q802">
        <f t="shared" si="179"/>
        <v>0</v>
      </c>
      <c r="R802">
        <f t="shared" si="180"/>
        <v>6.93</v>
      </c>
      <c r="S802">
        <f t="shared" si="181"/>
        <v>0</v>
      </c>
    </row>
    <row r="803" spans="1:19" x14ac:dyDescent="0.3">
      <c r="A803" s="1">
        <v>41960</v>
      </c>
      <c r="B803" s="1">
        <v>41964</v>
      </c>
      <c r="C803">
        <v>3.94</v>
      </c>
      <c r="D803">
        <v>0.1</v>
      </c>
      <c r="E803">
        <v>6</v>
      </c>
      <c r="F803">
        <f t="shared" si="168"/>
        <v>4.04</v>
      </c>
      <c r="G803">
        <f t="shared" si="169"/>
        <v>11</v>
      </c>
      <c r="H803">
        <f t="shared" si="170"/>
        <v>0</v>
      </c>
      <c r="I803">
        <f t="shared" si="171"/>
        <v>0</v>
      </c>
      <c r="J803">
        <f t="shared" si="172"/>
        <v>0</v>
      </c>
      <c r="K803">
        <f t="shared" si="173"/>
        <v>0</v>
      </c>
      <c r="L803">
        <f t="shared" si="174"/>
        <v>0</v>
      </c>
      <c r="M803">
        <f t="shared" si="175"/>
        <v>0</v>
      </c>
      <c r="N803">
        <f t="shared" si="176"/>
        <v>0</v>
      </c>
      <c r="O803">
        <f t="shared" si="177"/>
        <v>0</v>
      </c>
      <c r="P803">
        <f t="shared" si="178"/>
        <v>0</v>
      </c>
      <c r="Q803">
        <f t="shared" si="179"/>
        <v>0</v>
      </c>
      <c r="R803">
        <f t="shared" si="180"/>
        <v>4.04</v>
      </c>
      <c r="S803">
        <f t="shared" si="181"/>
        <v>0</v>
      </c>
    </row>
    <row r="804" spans="1:19" x14ac:dyDescent="0.3">
      <c r="A804" s="1">
        <v>41960</v>
      </c>
      <c r="B804" s="1">
        <v>41980</v>
      </c>
      <c r="C804">
        <v>3.57</v>
      </c>
      <c r="D804">
        <v>0.09</v>
      </c>
      <c r="E804">
        <v>6</v>
      </c>
      <c r="F804">
        <f t="shared" si="168"/>
        <v>3.6599999999999997</v>
      </c>
      <c r="G804">
        <f t="shared" si="169"/>
        <v>11</v>
      </c>
      <c r="H804">
        <f t="shared" si="170"/>
        <v>0</v>
      </c>
      <c r="I804">
        <f t="shared" si="171"/>
        <v>0</v>
      </c>
      <c r="J804">
        <f t="shared" si="172"/>
        <v>0</v>
      </c>
      <c r="K804">
        <f t="shared" si="173"/>
        <v>0</v>
      </c>
      <c r="L804">
        <f t="shared" si="174"/>
        <v>0</v>
      </c>
      <c r="M804">
        <f t="shared" si="175"/>
        <v>0</v>
      </c>
      <c r="N804">
        <f t="shared" si="176"/>
        <v>0</v>
      </c>
      <c r="O804">
        <f t="shared" si="177"/>
        <v>0</v>
      </c>
      <c r="P804">
        <f t="shared" si="178"/>
        <v>0</v>
      </c>
      <c r="Q804">
        <f t="shared" si="179"/>
        <v>0</v>
      </c>
      <c r="R804">
        <f t="shared" si="180"/>
        <v>3.6599999999999997</v>
      </c>
      <c r="S804">
        <f t="shared" si="181"/>
        <v>0</v>
      </c>
    </row>
    <row r="805" spans="1:19" x14ac:dyDescent="0.3">
      <c r="A805" s="1">
        <v>41960</v>
      </c>
      <c r="B805" s="1">
        <v>41980</v>
      </c>
      <c r="C805">
        <v>14.13</v>
      </c>
      <c r="D805">
        <v>0.37</v>
      </c>
      <c r="E805">
        <v>5</v>
      </c>
      <c r="F805">
        <f t="shared" si="168"/>
        <v>14.5</v>
      </c>
      <c r="G805">
        <f t="shared" si="169"/>
        <v>11</v>
      </c>
      <c r="H805">
        <f t="shared" si="170"/>
        <v>0</v>
      </c>
      <c r="I805">
        <f t="shared" si="171"/>
        <v>0</v>
      </c>
      <c r="J805">
        <f t="shared" si="172"/>
        <v>0</v>
      </c>
      <c r="K805">
        <f t="shared" si="173"/>
        <v>0</v>
      </c>
      <c r="L805">
        <f t="shared" si="174"/>
        <v>0</v>
      </c>
      <c r="M805">
        <f t="shared" si="175"/>
        <v>0</v>
      </c>
      <c r="N805">
        <f t="shared" si="176"/>
        <v>0</v>
      </c>
      <c r="O805">
        <f t="shared" si="177"/>
        <v>0</v>
      </c>
      <c r="P805">
        <f t="shared" si="178"/>
        <v>0</v>
      </c>
      <c r="Q805">
        <f t="shared" si="179"/>
        <v>0</v>
      </c>
      <c r="R805">
        <f t="shared" si="180"/>
        <v>14.5</v>
      </c>
      <c r="S805">
        <f t="shared" si="181"/>
        <v>0</v>
      </c>
    </row>
    <row r="806" spans="1:19" x14ac:dyDescent="0.3">
      <c r="A806" s="1">
        <v>41960</v>
      </c>
      <c r="B806" s="1">
        <v>41967</v>
      </c>
      <c r="C806">
        <v>5.57</v>
      </c>
      <c r="D806">
        <v>0.15</v>
      </c>
      <c r="E806">
        <v>2</v>
      </c>
      <c r="F806">
        <f t="shared" si="168"/>
        <v>5.7200000000000006</v>
      </c>
      <c r="G806">
        <f t="shared" si="169"/>
        <v>11</v>
      </c>
      <c r="H806">
        <f t="shared" si="170"/>
        <v>0</v>
      </c>
      <c r="I806">
        <f t="shared" si="171"/>
        <v>0</v>
      </c>
      <c r="J806">
        <f t="shared" si="172"/>
        <v>0</v>
      </c>
      <c r="K806">
        <f t="shared" si="173"/>
        <v>0</v>
      </c>
      <c r="L806">
        <f t="shared" si="174"/>
        <v>0</v>
      </c>
      <c r="M806">
        <f t="shared" si="175"/>
        <v>0</v>
      </c>
      <c r="N806">
        <f t="shared" si="176"/>
        <v>0</v>
      </c>
      <c r="O806">
        <f t="shared" si="177"/>
        <v>0</v>
      </c>
      <c r="P806">
        <f t="shared" si="178"/>
        <v>0</v>
      </c>
      <c r="Q806">
        <f t="shared" si="179"/>
        <v>0</v>
      </c>
      <c r="R806">
        <f t="shared" si="180"/>
        <v>5.7200000000000006</v>
      </c>
      <c r="S806">
        <f t="shared" si="181"/>
        <v>0</v>
      </c>
    </row>
    <row r="807" spans="1:19" x14ac:dyDescent="0.3">
      <c r="A807" s="1">
        <v>41960</v>
      </c>
      <c r="B807" s="1">
        <v>41979</v>
      </c>
      <c r="C807">
        <v>8.7200000000000006</v>
      </c>
      <c r="D807">
        <v>0.23</v>
      </c>
      <c r="E807">
        <v>2</v>
      </c>
      <c r="F807">
        <f t="shared" si="168"/>
        <v>8.9500000000000011</v>
      </c>
      <c r="G807">
        <f t="shared" si="169"/>
        <v>11</v>
      </c>
      <c r="H807">
        <f t="shared" si="170"/>
        <v>0</v>
      </c>
      <c r="I807">
        <f t="shared" si="171"/>
        <v>0</v>
      </c>
      <c r="J807">
        <f t="shared" si="172"/>
        <v>0</v>
      </c>
      <c r="K807">
        <f t="shared" si="173"/>
        <v>0</v>
      </c>
      <c r="L807">
        <f t="shared" si="174"/>
        <v>0</v>
      </c>
      <c r="M807">
        <f t="shared" si="175"/>
        <v>0</v>
      </c>
      <c r="N807">
        <f t="shared" si="176"/>
        <v>0</v>
      </c>
      <c r="O807">
        <f t="shared" si="177"/>
        <v>0</v>
      </c>
      <c r="P807">
        <f t="shared" si="178"/>
        <v>0</v>
      </c>
      <c r="Q807">
        <f t="shared" si="179"/>
        <v>0</v>
      </c>
      <c r="R807">
        <f t="shared" si="180"/>
        <v>8.9500000000000011</v>
      </c>
      <c r="S807">
        <f t="shared" si="181"/>
        <v>0</v>
      </c>
    </row>
    <row r="808" spans="1:19" x14ac:dyDescent="0.3">
      <c r="A808" s="1">
        <v>41961</v>
      </c>
      <c r="B808" s="1">
        <v>41987</v>
      </c>
      <c r="C808">
        <v>5.67</v>
      </c>
      <c r="D808">
        <v>0.15</v>
      </c>
      <c r="E808">
        <v>3</v>
      </c>
      <c r="F808">
        <f t="shared" si="168"/>
        <v>5.82</v>
      </c>
      <c r="G808">
        <f t="shared" si="169"/>
        <v>11</v>
      </c>
      <c r="H808">
        <f t="shared" si="170"/>
        <v>0</v>
      </c>
      <c r="I808">
        <f t="shared" si="171"/>
        <v>0</v>
      </c>
      <c r="J808">
        <f t="shared" si="172"/>
        <v>0</v>
      </c>
      <c r="K808">
        <f t="shared" si="173"/>
        <v>0</v>
      </c>
      <c r="L808">
        <f t="shared" si="174"/>
        <v>0</v>
      </c>
      <c r="M808">
        <f t="shared" si="175"/>
        <v>0</v>
      </c>
      <c r="N808">
        <f t="shared" si="176"/>
        <v>0</v>
      </c>
      <c r="O808">
        <f t="shared" si="177"/>
        <v>0</v>
      </c>
      <c r="P808">
        <f t="shared" si="178"/>
        <v>0</v>
      </c>
      <c r="Q808">
        <f t="shared" si="179"/>
        <v>0</v>
      </c>
      <c r="R808">
        <f t="shared" si="180"/>
        <v>5.82</v>
      </c>
      <c r="S808">
        <f t="shared" si="181"/>
        <v>0</v>
      </c>
    </row>
    <row r="809" spans="1:19" x14ac:dyDescent="0.3">
      <c r="A809" s="1">
        <v>41961</v>
      </c>
      <c r="B809" s="1">
        <v>41972</v>
      </c>
      <c r="C809">
        <v>3.94</v>
      </c>
      <c r="D809">
        <v>0.1</v>
      </c>
      <c r="E809">
        <v>4</v>
      </c>
      <c r="F809">
        <f t="shared" si="168"/>
        <v>4.04</v>
      </c>
      <c r="G809">
        <f t="shared" si="169"/>
        <v>11</v>
      </c>
      <c r="H809">
        <f t="shared" si="170"/>
        <v>0</v>
      </c>
      <c r="I809">
        <f t="shared" si="171"/>
        <v>0</v>
      </c>
      <c r="J809">
        <f t="shared" si="172"/>
        <v>0</v>
      </c>
      <c r="K809">
        <f t="shared" si="173"/>
        <v>0</v>
      </c>
      <c r="L809">
        <f t="shared" si="174"/>
        <v>0</v>
      </c>
      <c r="M809">
        <f t="shared" si="175"/>
        <v>0</v>
      </c>
      <c r="N809">
        <f t="shared" si="176"/>
        <v>0</v>
      </c>
      <c r="O809">
        <f t="shared" si="177"/>
        <v>0</v>
      </c>
      <c r="P809">
        <f t="shared" si="178"/>
        <v>0</v>
      </c>
      <c r="Q809">
        <f t="shared" si="179"/>
        <v>0</v>
      </c>
      <c r="R809">
        <f t="shared" si="180"/>
        <v>4.04</v>
      </c>
      <c r="S809">
        <f t="shared" si="181"/>
        <v>0</v>
      </c>
    </row>
    <row r="810" spans="1:19" x14ac:dyDescent="0.3">
      <c r="A810" s="1">
        <v>41961</v>
      </c>
      <c r="B810" s="1">
        <v>41966</v>
      </c>
      <c r="C810">
        <v>5.67</v>
      </c>
      <c r="D810">
        <v>0.15</v>
      </c>
      <c r="E810">
        <v>3</v>
      </c>
      <c r="F810">
        <f t="shared" si="168"/>
        <v>5.82</v>
      </c>
      <c r="G810">
        <f t="shared" si="169"/>
        <v>11</v>
      </c>
      <c r="H810">
        <f t="shared" si="170"/>
        <v>0</v>
      </c>
      <c r="I810">
        <f t="shared" si="171"/>
        <v>0</v>
      </c>
      <c r="J810">
        <f t="shared" si="172"/>
        <v>0</v>
      </c>
      <c r="K810">
        <f t="shared" si="173"/>
        <v>0</v>
      </c>
      <c r="L810">
        <f t="shared" si="174"/>
        <v>0</v>
      </c>
      <c r="M810">
        <f t="shared" si="175"/>
        <v>0</v>
      </c>
      <c r="N810">
        <f t="shared" si="176"/>
        <v>0</v>
      </c>
      <c r="O810">
        <f t="shared" si="177"/>
        <v>0</v>
      </c>
      <c r="P810">
        <f t="shared" si="178"/>
        <v>0</v>
      </c>
      <c r="Q810">
        <f t="shared" si="179"/>
        <v>0</v>
      </c>
      <c r="R810">
        <f t="shared" si="180"/>
        <v>5.82</v>
      </c>
      <c r="S810">
        <f t="shared" si="181"/>
        <v>0</v>
      </c>
    </row>
    <row r="811" spans="1:19" x14ac:dyDescent="0.3">
      <c r="A811" s="1">
        <v>41962</v>
      </c>
      <c r="B811" s="1">
        <v>41984</v>
      </c>
      <c r="C811">
        <v>6.34</v>
      </c>
      <c r="D811">
        <v>0.17</v>
      </c>
      <c r="E811">
        <v>6</v>
      </c>
      <c r="F811">
        <f t="shared" si="168"/>
        <v>6.51</v>
      </c>
      <c r="G811">
        <f t="shared" si="169"/>
        <v>11</v>
      </c>
      <c r="H811">
        <f t="shared" si="170"/>
        <v>0</v>
      </c>
      <c r="I811">
        <f t="shared" si="171"/>
        <v>0</v>
      </c>
      <c r="J811">
        <f t="shared" si="172"/>
        <v>0</v>
      </c>
      <c r="K811">
        <f t="shared" si="173"/>
        <v>0</v>
      </c>
      <c r="L811">
        <f t="shared" si="174"/>
        <v>0</v>
      </c>
      <c r="M811">
        <f t="shared" si="175"/>
        <v>0</v>
      </c>
      <c r="N811">
        <f t="shared" si="176"/>
        <v>0</v>
      </c>
      <c r="O811">
        <f t="shared" si="177"/>
        <v>0</v>
      </c>
      <c r="P811">
        <f t="shared" si="178"/>
        <v>0</v>
      </c>
      <c r="Q811">
        <f t="shared" si="179"/>
        <v>0</v>
      </c>
      <c r="R811">
        <f t="shared" si="180"/>
        <v>6.51</v>
      </c>
      <c r="S811">
        <f t="shared" si="181"/>
        <v>0</v>
      </c>
    </row>
    <row r="812" spans="1:19" x14ac:dyDescent="0.3">
      <c r="A812" s="1">
        <v>41962</v>
      </c>
      <c r="B812" s="1">
        <v>41970</v>
      </c>
      <c r="C812">
        <v>2.0099999999999998</v>
      </c>
      <c r="D812">
        <v>0.05</v>
      </c>
      <c r="E812">
        <v>4</v>
      </c>
      <c r="F812">
        <f t="shared" si="168"/>
        <v>2.0599999999999996</v>
      </c>
      <c r="G812">
        <f t="shared" si="169"/>
        <v>11</v>
      </c>
      <c r="H812">
        <f t="shared" si="170"/>
        <v>0</v>
      </c>
      <c r="I812">
        <f t="shared" si="171"/>
        <v>0</v>
      </c>
      <c r="J812">
        <f t="shared" si="172"/>
        <v>0</v>
      </c>
      <c r="K812">
        <f t="shared" si="173"/>
        <v>0</v>
      </c>
      <c r="L812">
        <f t="shared" si="174"/>
        <v>0</v>
      </c>
      <c r="M812">
        <f t="shared" si="175"/>
        <v>0</v>
      </c>
      <c r="N812">
        <f t="shared" si="176"/>
        <v>0</v>
      </c>
      <c r="O812">
        <f t="shared" si="177"/>
        <v>0</v>
      </c>
      <c r="P812">
        <f t="shared" si="178"/>
        <v>0</v>
      </c>
      <c r="Q812">
        <f t="shared" si="179"/>
        <v>0</v>
      </c>
      <c r="R812">
        <f t="shared" si="180"/>
        <v>2.0599999999999996</v>
      </c>
      <c r="S812">
        <f t="shared" si="181"/>
        <v>0</v>
      </c>
    </row>
    <row r="813" spans="1:19" x14ac:dyDescent="0.3">
      <c r="A813" s="1">
        <v>41962</v>
      </c>
      <c r="B813" s="1">
        <v>41972</v>
      </c>
      <c r="C813">
        <v>5.67</v>
      </c>
      <c r="D813">
        <v>0.15</v>
      </c>
      <c r="E813">
        <v>3</v>
      </c>
      <c r="F813">
        <f t="shared" si="168"/>
        <v>5.82</v>
      </c>
      <c r="G813">
        <f t="shared" si="169"/>
        <v>11</v>
      </c>
      <c r="H813">
        <f t="shared" si="170"/>
        <v>0</v>
      </c>
      <c r="I813">
        <f t="shared" si="171"/>
        <v>0</v>
      </c>
      <c r="J813">
        <f t="shared" si="172"/>
        <v>0</v>
      </c>
      <c r="K813">
        <f t="shared" si="173"/>
        <v>0</v>
      </c>
      <c r="L813">
        <f t="shared" si="174"/>
        <v>0</v>
      </c>
      <c r="M813">
        <f t="shared" si="175"/>
        <v>0</v>
      </c>
      <c r="N813">
        <f t="shared" si="176"/>
        <v>0</v>
      </c>
      <c r="O813">
        <f t="shared" si="177"/>
        <v>0</v>
      </c>
      <c r="P813">
        <f t="shared" si="178"/>
        <v>0</v>
      </c>
      <c r="Q813">
        <f t="shared" si="179"/>
        <v>0</v>
      </c>
      <c r="R813">
        <f t="shared" si="180"/>
        <v>5.82</v>
      </c>
      <c r="S813">
        <f t="shared" si="181"/>
        <v>0</v>
      </c>
    </row>
    <row r="814" spans="1:19" x14ac:dyDescent="0.3">
      <c r="A814" s="1">
        <v>41962</v>
      </c>
      <c r="B814" s="1">
        <v>41969</v>
      </c>
      <c r="C814">
        <v>6.43</v>
      </c>
      <c r="D814">
        <v>0.17</v>
      </c>
      <c r="E814">
        <v>5</v>
      </c>
      <c r="F814">
        <f t="shared" si="168"/>
        <v>6.6</v>
      </c>
      <c r="G814">
        <f t="shared" si="169"/>
        <v>11</v>
      </c>
      <c r="H814">
        <f t="shared" si="170"/>
        <v>0</v>
      </c>
      <c r="I814">
        <f t="shared" si="171"/>
        <v>0</v>
      </c>
      <c r="J814">
        <f t="shared" si="172"/>
        <v>0</v>
      </c>
      <c r="K814">
        <f t="shared" si="173"/>
        <v>0</v>
      </c>
      <c r="L814">
        <f t="shared" si="174"/>
        <v>0</v>
      </c>
      <c r="M814">
        <f t="shared" si="175"/>
        <v>0</v>
      </c>
      <c r="N814">
        <f t="shared" si="176"/>
        <v>0</v>
      </c>
      <c r="O814">
        <f t="shared" si="177"/>
        <v>0</v>
      </c>
      <c r="P814">
        <f t="shared" si="178"/>
        <v>0</v>
      </c>
      <c r="Q814">
        <f t="shared" si="179"/>
        <v>0</v>
      </c>
      <c r="R814">
        <f t="shared" si="180"/>
        <v>6.6</v>
      </c>
      <c r="S814">
        <f t="shared" si="181"/>
        <v>0</v>
      </c>
    </row>
    <row r="815" spans="1:19" x14ac:dyDescent="0.3">
      <c r="A815" s="1">
        <v>41963</v>
      </c>
      <c r="B815" s="1">
        <v>41971</v>
      </c>
      <c r="C815">
        <v>8.39</v>
      </c>
      <c r="D815">
        <v>0.22</v>
      </c>
      <c r="E815">
        <v>6</v>
      </c>
      <c r="F815">
        <f t="shared" si="168"/>
        <v>8.6100000000000012</v>
      </c>
      <c r="G815">
        <f t="shared" si="169"/>
        <v>11</v>
      </c>
      <c r="H815">
        <f t="shared" si="170"/>
        <v>0</v>
      </c>
      <c r="I815">
        <f t="shared" si="171"/>
        <v>0</v>
      </c>
      <c r="J815">
        <f t="shared" si="172"/>
        <v>0</v>
      </c>
      <c r="K815">
        <f t="shared" si="173"/>
        <v>0</v>
      </c>
      <c r="L815">
        <f t="shared" si="174"/>
        <v>0</v>
      </c>
      <c r="M815">
        <f t="shared" si="175"/>
        <v>0</v>
      </c>
      <c r="N815">
        <f t="shared" si="176"/>
        <v>0</v>
      </c>
      <c r="O815">
        <f t="shared" si="177"/>
        <v>0</v>
      </c>
      <c r="P815">
        <f t="shared" si="178"/>
        <v>0</v>
      </c>
      <c r="Q815">
        <f t="shared" si="179"/>
        <v>0</v>
      </c>
      <c r="R815">
        <f t="shared" si="180"/>
        <v>8.6100000000000012</v>
      </c>
      <c r="S815">
        <f t="shared" si="181"/>
        <v>0</v>
      </c>
    </row>
    <row r="816" spans="1:19" x14ac:dyDescent="0.3">
      <c r="A816" s="1">
        <v>41963</v>
      </c>
      <c r="B816" s="1">
        <v>41968</v>
      </c>
      <c r="C816">
        <v>5.67</v>
      </c>
      <c r="D816">
        <v>0.15</v>
      </c>
      <c r="E816">
        <v>5</v>
      </c>
      <c r="F816">
        <f t="shared" si="168"/>
        <v>5.82</v>
      </c>
      <c r="G816">
        <f t="shared" si="169"/>
        <v>11</v>
      </c>
      <c r="H816">
        <f t="shared" si="170"/>
        <v>0</v>
      </c>
      <c r="I816">
        <f t="shared" si="171"/>
        <v>0</v>
      </c>
      <c r="J816">
        <f t="shared" si="172"/>
        <v>0</v>
      </c>
      <c r="K816">
        <f t="shared" si="173"/>
        <v>0</v>
      </c>
      <c r="L816">
        <f t="shared" si="174"/>
        <v>0</v>
      </c>
      <c r="M816">
        <f t="shared" si="175"/>
        <v>0</v>
      </c>
      <c r="N816">
        <f t="shared" si="176"/>
        <v>0</v>
      </c>
      <c r="O816">
        <f t="shared" si="177"/>
        <v>0</v>
      </c>
      <c r="P816">
        <f t="shared" si="178"/>
        <v>0</v>
      </c>
      <c r="Q816">
        <f t="shared" si="179"/>
        <v>0</v>
      </c>
      <c r="R816">
        <f t="shared" si="180"/>
        <v>5.82</v>
      </c>
      <c r="S816">
        <f t="shared" si="181"/>
        <v>0</v>
      </c>
    </row>
    <row r="817" spans="1:19" x14ac:dyDescent="0.3">
      <c r="A817" s="1">
        <v>41963</v>
      </c>
      <c r="B817" s="1">
        <v>41965</v>
      </c>
      <c r="C817">
        <v>2.72</v>
      </c>
      <c r="D817">
        <v>7.0000000000000007E-2</v>
      </c>
      <c r="E817">
        <v>2</v>
      </c>
      <c r="F817">
        <f t="shared" si="168"/>
        <v>2.79</v>
      </c>
      <c r="G817">
        <f t="shared" si="169"/>
        <v>11</v>
      </c>
      <c r="H817">
        <f t="shared" si="170"/>
        <v>0</v>
      </c>
      <c r="I817">
        <f t="shared" si="171"/>
        <v>0</v>
      </c>
      <c r="J817">
        <f t="shared" si="172"/>
        <v>0</v>
      </c>
      <c r="K817">
        <f t="shared" si="173"/>
        <v>0</v>
      </c>
      <c r="L817">
        <f t="shared" si="174"/>
        <v>0</v>
      </c>
      <c r="M817">
        <f t="shared" si="175"/>
        <v>0</v>
      </c>
      <c r="N817">
        <f t="shared" si="176"/>
        <v>0</v>
      </c>
      <c r="O817">
        <f t="shared" si="177"/>
        <v>0</v>
      </c>
      <c r="P817">
        <f t="shared" si="178"/>
        <v>0</v>
      </c>
      <c r="Q817">
        <f t="shared" si="179"/>
        <v>0</v>
      </c>
      <c r="R817">
        <f t="shared" si="180"/>
        <v>2.79</v>
      </c>
      <c r="S817">
        <f t="shared" si="181"/>
        <v>0</v>
      </c>
    </row>
    <row r="818" spans="1:19" x14ac:dyDescent="0.3">
      <c r="A818" s="1">
        <v>41964</v>
      </c>
      <c r="B818" s="1">
        <v>41980</v>
      </c>
      <c r="C818">
        <v>7.31</v>
      </c>
      <c r="D818">
        <v>0.19</v>
      </c>
      <c r="E818">
        <v>4</v>
      </c>
      <c r="F818">
        <f t="shared" si="168"/>
        <v>7.5</v>
      </c>
      <c r="G818">
        <f t="shared" si="169"/>
        <v>11</v>
      </c>
      <c r="H818">
        <f t="shared" si="170"/>
        <v>0</v>
      </c>
      <c r="I818">
        <f t="shared" si="171"/>
        <v>0</v>
      </c>
      <c r="J818">
        <f t="shared" si="172"/>
        <v>0</v>
      </c>
      <c r="K818">
        <f t="shared" si="173"/>
        <v>0</v>
      </c>
      <c r="L818">
        <f t="shared" si="174"/>
        <v>0</v>
      </c>
      <c r="M818">
        <f t="shared" si="175"/>
        <v>0</v>
      </c>
      <c r="N818">
        <f t="shared" si="176"/>
        <v>0</v>
      </c>
      <c r="O818">
        <f t="shared" si="177"/>
        <v>0</v>
      </c>
      <c r="P818">
        <f t="shared" si="178"/>
        <v>0</v>
      </c>
      <c r="Q818">
        <f t="shared" si="179"/>
        <v>0</v>
      </c>
      <c r="R818">
        <f t="shared" si="180"/>
        <v>7.5</v>
      </c>
      <c r="S818">
        <f t="shared" si="181"/>
        <v>0</v>
      </c>
    </row>
    <row r="819" spans="1:19" x14ac:dyDescent="0.3">
      <c r="A819" s="1">
        <v>41964</v>
      </c>
      <c r="B819" s="1">
        <v>41990</v>
      </c>
      <c r="C819">
        <v>5.23</v>
      </c>
      <c r="D819">
        <v>0.14000000000000001</v>
      </c>
      <c r="E819">
        <v>6</v>
      </c>
      <c r="F819">
        <f t="shared" si="168"/>
        <v>5.37</v>
      </c>
      <c r="G819">
        <f t="shared" si="169"/>
        <v>11</v>
      </c>
      <c r="H819">
        <f t="shared" si="170"/>
        <v>0</v>
      </c>
      <c r="I819">
        <f t="shared" si="171"/>
        <v>0</v>
      </c>
      <c r="J819">
        <f t="shared" si="172"/>
        <v>0</v>
      </c>
      <c r="K819">
        <f t="shared" si="173"/>
        <v>0</v>
      </c>
      <c r="L819">
        <f t="shared" si="174"/>
        <v>0</v>
      </c>
      <c r="M819">
        <f t="shared" si="175"/>
        <v>0</v>
      </c>
      <c r="N819">
        <f t="shared" si="176"/>
        <v>0</v>
      </c>
      <c r="O819">
        <f t="shared" si="177"/>
        <v>0</v>
      </c>
      <c r="P819">
        <f t="shared" si="178"/>
        <v>0</v>
      </c>
      <c r="Q819">
        <f t="shared" si="179"/>
        <v>0</v>
      </c>
      <c r="R819">
        <f t="shared" si="180"/>
        <v>5.37</v>
      </c>
      <c r="S819">
        <f t="shared" si="181"/>
        <v>0</v>
      </c>
    </row>
    <row r="820" spans="1:19" x14ac:dyDescent="0.3">
      <c r="A820" s="1">
        <v>41965</v>
      </c>
      <c r="B820" s="1">
        <v>41968</v>
      </c>
      <c r="C820">
        <v>8.83</v>
      </c>
      <c r="D820">
        <v>0.23</v>
      </c>
      <c r="E820">
        <v>6</v>
      </c>
      <c r="F820">
        <f t="shared" si="168"/>
        <v>9.06</v>
      </c>
      <c r="G820">
        <f t="shared" si="169"/>
        <v>11</v>
      </c>
      <c r="H820">
        <f t="shared" si="170"/>
        <v>0</v>
      </c>
      <c r="I820">
        <f t="shared" si="171"/>
        <v>0</v>
      </c>
      <c r="J820">
        <f t="shared" si="172"/>
        <v>0</v>
      </c>
      <c r="K820">
        <f t="shared" si="173"/>
        <v>0</v>
      </c>
      <c r="L820">
        <f t="shared" si="174"/>
        <v>0</v>
      </c>
      <c r="M820">
        <f t="shared" si="175"/>
        <v>0</v>
      </c>
      <c r="N820">
        <f t="shared" si="176"/>
        <v>0</v>
      </c>
      <c r="O820">
        <f t="shared" si="177"/>
        <v>0</v>
      </c>
      <c r="P820">
        <f t="shared" si="178"/>
        <v>0</v>
      </c>
      <c r="Q820">
        <f t="shared" si="179"/>
        <v>0</v>
      </c>
      <c r="R820">
        <f t="shared" si="180"/>
        <v>9.06</v>
      </c>
      <c r="S820">
        <f t="shared" si="181"/>
        <v>0</v>
      </c>
    </row>
    <row r="821" spans="1:19" x14ac:dyDescent="0.3">
      <c r="A821" s="1">
        <v>41965</v>
      </c>
      <c r="B821" s="1">
        <v>41971</v>
      </c>
      <c r="C821">
        <v>2.0099999999999998</v>
      </c>
      <c r="D821">
        <v>0.05</v>
      </c>
      <c r="E821">
        <v>5</v>
      </c>
      <c r="F821">
        <f t="shared" si="168"/>
        <v>2.0599999999999996</v>
      </c>
      <c r="G821">
        <f t="shared" si="169"/>
        <v>11</v>
      </c>
      <c r="H821">
        <f t="shared" si="170"/>
        <v>0</v>
      </c>
      <c r="I821">
        <f t="shared" si="171"/>
        <v>0</v>
      </c>
      <c r="J821">
        <f t="shared" si="172"/>
        <v>0</v>
      </c>
      <c r="K821">
        <f t="shared" si="173"/>
        <v>0</v>
      </c>
      <c r="L821">
        <f t="shared" si="174"/>
        <v>0</v>
      </c>
      <c r="M821">
        <f t="shared" si="175"/>
        <v>0</v>
      </c>
      <c r="N821">
        <f t="shared" si="176"/>
        <v>0</v>
      </c>
      <c r="O821">
        <f t="shared" si="177"/>
        <v>0</v>
      </c>
      <c r="P821">
        <f t="shared" si="178"/>
        <v>0</v>
      </c>
      <c r="Q821">
        <f t="shared" si="179"/>
        <v>0</v>
      </c>
      <c r="R821">
        <f t="shared" si="180"/>
        <v>2.0599999999999996</v>
      </c>
      <c r="S821">
        <f t="shared" si="181"/>
        <v>0</v>
      </c>
    </row>
    <row r="822" spans="1:19" x14ac:dyDescent="0.3">
      <c r="A822" s="1">
        <v>41965</v>
      </c>
      <c r="B822" s="1">
        <v>41983</v>
      </c>
      <c r="C822">
        <v>8.89</v>
      </c>
      <c r="D822">
        <v>0.23</v>
      </c>
      <c r="E822">
        <v>6</v>
      </c>
      <c r="F822">
        <f t="shared" si="168"/>
        <v>9.120000000000001</v>
      </c>
      <c r="G822">
        <f t="shared" si="169"/>
        <v>11</v>
      </c>
      <c r="H822">
        <f t="shared" si="170"/>
        <v>0</v>
      </c>
      <c r="I822">
        <f t="shared" si="171"/>
        <v>0</v>
      </c>
      <c r="J822">
        <f t="shared" si="172"/>
        <v>0</v>
      </c>
      <c r="K822">
        <f t="shared" si="173"/>
        <v>0</v>
      </c>
      <c r="L822">
        <f t="shared" si="174"/>
        <v>0</v>
      </c>
      <c r="M822">
        <f t="shared" si="175"/>
        <v>0</v>
      </c>
      <c r="N822">
        <f t="shared" si="176"/>
        <v>0</v>
      </c>
      <c r="O822">
        <f t="shared" si="177"/>
        <v>0</v>
      </c>
      <c r="P822">
        <f t="shared" si="178"/>
        <v>0</v>
      </c>
      <c r="Q822">
        <f t="shared" si="179"/>
        <v>0</v>
      </c>
      <c r="R822">
        <f t="shared" si="180"/>
        <v>9.120000000000001</v>
      </c>
      <c r="S822">
        <f t="shared" si="181"/>
        <v>0</v>
      </c>
    </row>
    <row r="823" spans="1:19" x14ac:dyDescent="0.3">
      <c r="A823" s="1">
        <v>41965</v>
      </c>
      <c r="B823" s="1">
        <v>41984</v>
      </c>
      <c r="C823">
        <v>6.34</v>
      </c>
      <c r="D823">
        <v>0.17</v>
      </c>
      <c r="E823">
        <v>6</v>
      </c>
      <c r="F823">
        <f t="shared" si="168"/>
        <v>6.51</v>
      </c>
      <c r="G823">
        <f t="shared" si="169"/>
        <v>11</v>
      </c>
      <c r="H823">
        <f t="shared" si="170"/>
        <v>0</v>
      </c>
      <c r="I823">
        <f t="shared" si="171"/>
        <v>0</v>
      </c>
      <c r="J823">
        <f t="shared" si="172"/>
        <v>0</v>
      </c>
      <c r="K823">
        <f t="shared" si="173"/>
        <v>0</v>
      </c>
      <c r="L823">
        <f t="shared" si="174"/>
        <v>0</v>
      </c>
      <c r="M823">
        <f t="shared" si="175"/>
        <v>0</v>
      </c>
      <c r="N823">
        <f t="shared" si="176"/>
        <v>0</v>
      </c>
      <c r="O823">
        <f t="shared" si="177"/>
        <v>0</v>
      </c>
      <c r="P823">
        <f t="shared" si="178"/>
        <v>0</v>
      </c>
      <c r="Q823">
        <f t="shared" si="179"/>
        <v>0</v>
      </c>
      <c r="R823">
        <f t="shared" si="180"/>
        <v>6.51</v>
      </c>
      <c r="S823">
        <f t="shared" si="181"/>
        <v>0</v>
      </c>
    </row>
    <row r="824" spans="1:19" x14ac:dyDescent="0.3">
      <c r="A824" s="1">
        <v>41965</v>
      </c>
      <c r="B824" s="1">
        <v>41968</v>
      </c>
      <c r="C824">
        <v>14.31</v>
      </c>
      <c r="D824">
        <v>0.38</v>
      </c>
      <c r="E824">
        <v>3</v>
      </c>
      <c r="F824">
        <f t="shared" si="168"/>
        <v>14.690000000000001</v>
      </c>
      <c r="G824">
        <f t="shared" si="169"/>
        <v>11</v>
      </c>
      <c r="H824">
        <f t="shared" si="170"/>
        <v>0</v>
      </c>
      <c r="I824">
        <f t="shared" si="171"/>
        <v>0</v>
      </c>
      <c r="J824">
        <f t="shared" si="172"/>
        <v>0</v>
      </c>
      <c r="K824">
        <f t="shared" si="173"/>
        <v>0</v>
      </c>
      <c r="L824">
        <f t="shared" si="174"/>
        <v>0</v>
      </c>
      <c r="M824">
        <f t="shared" si="175"/>
        <v>0</v>
      </c>
      <c r="N824">
        <f t="shared" si="176"/>
        <v>0</v>
      </c>
      <c r="O824">
        <f t="shared" si="177"/>
        <v>0</v>
      </c>
      <c r="P824">
        <f t="shared" si="178"/>
        <v>0</v>
      </c>
      <c r="Q824">
        <f t="shared" si="179"/>
        <v>0</v>
      </c>
      <c r="R824">
        <f t="shared" si="180"/>
        <v>14.690000000000001</v>
      </c>
      <c r="S824">
        <f t="shared" si="181"/>
        <v>0</v>
      </c>
    </row>
    <row r="825" spans="1:19" x14ac:dyDescent="0.3">
      <c r="A825" s="1">
        <v>41965</v>
      </c>
      <c r="B825" s="1">
        <v>41973</v>
      </c>
      <c r="C825">
        <v>11.42</v>
      </c>
      <c r="D825">
        <v>0.3</v>
      </c>
      <c r="E825">
        <v>6</v>
      </c>
      <c r="F825">
        <f t="shared" si="168"/>
        <v>11.72</v>
      </c>
      <c r="G825">
        <f t="shared" si="169"/>
        <v>11</v>
      </c>
      <c r="H825">
        <f t="shared" si="170"/>
        <v>0</v>
      </c>
      <c r="I825">
        <f t="shared" si="171"/>
        <v>0</v>
      </c>
      <c r="J825">
        <f t="shared" si="172"/>
        <v>0</v>
      </c>
      <c r="K825">
        <f t="shared" si="173"/>
        <v>0</v>
      </c>
      <c r="L825">
        <f t="shared" si="174"/>
        <v>0</v>
      </c>
      <c r="M825">
        <f t="shared" si="175"/>
        <v>0</v>
      </c>
      <c r="N825">
        <f t="shared" si="176"/>
        <v>0</v>
      </c>
      <c r="O825">
        <f t="shared" si="177"/>
        <v>0</v>
      </c>
      <c r="P825">
        <f t="shared" si="178"/>
        <v>0</v>
      </c>
      <c r="Q825">
        <f t="shared" si="179"/>
        <v>0</v>
      </c>
      <c r="R825">
        <f t="shared" si="180"/>
        <v>11.72</v>
      </c>
      <c r="S825">
        <f t="shared" si="181"/>
        <v>0</v>
      </c>
    </row>
    <row r="826" spans="1:19" x14ac:dyDescent="0.3">
      <c r="A826" s="1">
        <v>41965</v>
      </c>
      <c r="B826" s="1">
        <v>41969</v>
      </c>
      <c r="C826">
        <v>9.4600000000000009</v>
      </c>
      <c r="D826">
        <v>0.25</v>
      </c>
      <c r="E826">
        <v>4</v>
      </c>
      <c r="F826">
        <f t="shared" si="168"/>
        <v>9.7100000000000009</v>
      </c>
      <c r="G826">
        <f t="shared" si="169"/>
        <v>11</v>
      </c>
      <c r="H826">
        <f t="shared" si="170"/>
        <v>0</v>
      </c>
      <c r="I826">
        <f t="shared" si="171"/>
        <v>0</v>
      </c>
      <c r="J826">
        <f t="shared" si="172"/>
        <v>0</v>
      </c>
      <c r="K826">
        <f t="shared" si="173"/>
        <v>0</v>
      </c>
      <c r="L826">
        <f t="shared" si="174"/>
        <v>0</v>
      </c>
      <c r="M826">
        <f t="shared" si="175"/>
        <v>0</v>
      </c>
      <c r="N826">
        <f t="shared" si="176"/>
        <v>0</v>
      </c>
      <c r="O826">
        <f t="shared" si="177"/>
        <v>0</v>
      </c>
      <c r="P826">
        <f t="shared" si="178"/>
        <v>0</v>
      </c>
      <c r="Q826">
        <f t="shared" si="179"/>
        <v>0</v>
      </c>
      <c r="R826">
        <f t="shared" si="180"/>
        <v>9.7100000000000009</v>
      </c>
      <c r="S826">
        <f t="shared" si="181"/>
        <v>0</v>
      </c>
    </row>
    <row r="827" spans="1:19" x14ac:dyDescent="0.3">
      <c r="A827" s="1">
        <v>41966</v>
      </c>
      <c r="B827" s="1">
        <v>41984</v>
      </c>
      <c r="C827">
        <v>6.58</v>
      </c>
      <c r="D827">
        <v>0.17</v>
      </c>
      <c r="E827">
        <v>5</v>
      </c>
      <c r="F827">
        <f t="shared" si="168"/>
        <v>6.75</v>
      </c>
      <c r="G827">
        <f t="shared" si="169"/>
        <v>11</v>
      </c>
      <c r="H827">
        <f t="shared" si="170"/>
        <v>0</v>
      </c>
      <c r="I827">
        <f t="shared" si="171"/>
        <v>0</v>
      </c>
      <c r="J827">
        <f t="shared" si="172"/>
        <v>0</v>
      </c>
      <c r="K827">
        <f t="shared" si="173"/>
        <v>0</v>
      </c>
      <c r="L827">
        <f t="shared" si="174"/>
        <v>0</v>
      </c>
      <c r="M827">
        <f t="shared" si="175"/>
        <v>0</v>
      </c>
      <c r="N827">
        <f t="shared" si="176"/>
        <v>0</v>
      </c>
      <c r="O827">
        <f t="shared" si="177"/>
        <v>0</v>
      </c>
      <c r="P827">
        <f t="shared" si="178"/>
        <v>0</v>
      </c>
      <c r="Q827">
        <f t="shared" si="179"/>
        <v>0</v>
      </c>
      <c r="R827">
        <f t="shared" si="180"/>
        <v>6.75</v>
      </c>
      <c r="S827">
        <f t="shared" si="181"/>
        <v>0</v>
      </c>
    </row>
    <row r="828" spans="1:19" x14ac:dyDescent="0.3">
      <c r="A828" s="1">
        <v>41967</v>
      </c>
      <c r="B828" s="1">
        <v>41991</v>
      </c>
      <c r="C828">
        <v>11.42</v>
      </c>
      <c r="D828">
        <v>0.3</v>
      </c>
      <c r="E828">
        <v>4</v>
      </c>
      <c r="F828">
        <f t="shared" si="168"/>
        <v>11.72</v>
      </c>
      <c r="G828">
        <f t="shared" si="169"/>
        <v>11</v>
      </c>
      <c r="H828">
        <f t="shared" si="170"/>
        <v>0</v>
      </c>
      <c r="I828">
        <f t="shared" si="171"/>
        <v>0</v>
      </c>
      <c r="J828">
        <f t="shared" si="172"/>
        <v>0</v>
      </c>
      <c r="K828">
        <f t="shared" si="173"/>
        <v>0</v>
      </c>
      <c r="L828">
        <f t="shared" si="174"/>
        <v>0</v>
      </c>
      <c r="M828">
        <f t="shared" si="175"/>
        <v>0</v>
      </c>
      <c r="N828">
        <f t="shared" si="176"/>
        <v>0</v>
      </c>
      <c r="O828">
        <f t="shared" si="177"/>
        <v>0</v>
      </c>
      <c r="P828">
        <f t="shared" si="178"/>
        <v>0</v>
      </c>
      <c r="Q828">
        <f t="shared" si="179"/>
        <v>0</v>
      </c>
      <c r="R828">
        <f t="shared" si="180"/>
        <v>11.72</v>
      </c>
      <c r="S828">
        <f t="shared" si="181"/>
        <v>0</v>
      </c>
    </row>
    <row r="829" spans="1:19" x14ac:dyDescent="0.3">
      <c r="A829" s="1">
        <v>41967</v>
      </c>
      <c r="B829" s="1">
        <v>41988</v>
      </c>
      <c r="C829">
        <v>2.29</v>
      </c>
      <c r="D829">
        <v>0.06</v>
      </c>
      <c r="E829">
        <v>6</v>
      </c>
      <c r="F829">
        <f t="shared" si="168"/>
        <v>2.35</v>
      </c>
      <c r="G829">
        <f t="shared" si="169"/>
        <v>11</v>
      </c>
      <c r="H829">
        <f t="shared" si="170"/>
        <v>0</v>
      </c>
      <c r="I829">
        <f t="shared" si="171"/>
        <v>0</v>
      </c>
      <c r="J829">
        <f t="shared" si="172"/>
        <v>0</v>
      </c>
      <c r="K829">
        <f t="shared" si="173"/>
        <v>0</v>
      </c>
      <c r="L829">
        <f t="shared" si="174"/>
        <v>0</v>
      </c>
      <c r="M829">
        <f t="shared" si="175"/>
        <v>0</v>
      </c>
      <c r="N829">
        <f t="shared" si="176"/>
        <v>0</v>
      </c>
      <c r="O829">
        <f t="shared" si="177"/>
        <v>0</v>
      </c>
      <c r="P829">
        <f t="shared" si="178"/>
        <v>0</v>
      </c>
      <c r="Q829">
        <f t="shared" si="179"/>
        <v>0</v>
      </c>
      <c r="R829">
        <f t="shared" si="180"/>
        <v>2.35</v>
      </c>
      <c r="S829">
        <f t="shared" si="181"/>
        <v>0</v>
      </c>
    </row>
    <row r="830" spans="1:19" x14ac:dyDescent="0.3">
      <c r="A830" s="1">
        <v>41968</v>
      </c>
      <c r="B830" s="1">
        <v>41993</v>
      </c>
      <c r="C830">
        <v>8.7200000000000006</v>
      </c>
      <c r="D830">
        <v>0.23</v>
      </c>
      <c r="E830">
        <v>3</v>
      </c>
      <c r="F830">
        <f t="shared" si="168"/>
        <v>8.9500000000000011</v>
      </c>
      <c r="G830">
        <f t="shared" si="169"/>
        <v>11</v>
      </c>
      <c r="H830">
        <f t="shared" si="170"/>
        <v>0</v>
      </c>
      <c r="I830">
        <f t="shared" si="171"/>
        <v>0</v>
      </c>
      <c r="J830">
        <f t="shared" si="172"/>
        <v>0</v>
      </c>
      <c r="K830">
        <f t="shared" si="173"/>
        <v>0</v>
      </c>
      <c r="L830">
        <f t="shared" si="174"/>
        <v>0</v>
      </c>
      <c r="M830">
        <f t="shared" si="175"/>
        <v>0</v>
      </c>
      <c r="N830">
        <f t="shared" si="176"/>
        <v>0</v>
      </c>
      <c r="O830">
        <f t="shared" si="177"/>
        <v>0</v>
      </c>
      <c r="P830">
        <f t="shared" si="178"/>
        <v>0</v>
      </c>
      <c r="Q830">
        <f t="shared" si="179"/>
        <v>0</v>
      </c>
      <c r="R830">
        <f t="shared" si="180"/>
        <v>8.9500000000000011</v>
      </c>
      <c r="S830">
        <f t="shared" si="181"/>
        <v>0</v>
      </c>
    </row>
    <row r="831" spans="1:19" x14ac:dyDescent="0.3">
      <c r="A831" s="1">
        <v>41968</v>
      </c>
      <c r="B831" s="1">
        <v>41974</v>
      </c>
      <c r="C831">
        <v>2.29</v>
      </c>
      <c r="D831">
        <v>0.06</v>
      </c>
      <c r="E831">
        <v>3</v>
      </c>
      <c r="F831">
        <f t="shared" si="168"/>
        <v>2.35</v>
      </c>
      <c r="G831">
        <f t="shared" si="169"/>
        <v>11</v>
      </c>
      <c r="H831">
        <f t="shared" si="170"/>
        <v>0</v>
      </c>
      <c r="I831">
        <f t="shared" si="171"/>
        <v>0</v>
      </c>
      <c r="J831">
        <f t="shared" si="172"/>
        <v>0</v>
      </c>
      <c r="K831">
        <f t="shared" si="173"/>
        <v>0</v>
      </c>
      <c r="L831">
        <f t="shared" si="174"/>
        <v>0</v>
      </c>
      <c r="M831">
        <f t="shared" si="175"/>
        <v>0</v>
      </c>
      <c r="N831">
        <f t="shared" si="176"/>
        <v>0</v>
      </c>
      <c r="O831">
        <f t="shared" si="177"/>
        <v>0</v>
      </c>
      <c r="P831">
        <f t="shared" si="178"/>
        <v>0</v>
      </c>
      <c r="Q831">
        <f t="shared" si="179"/>
        <v>0</v>
      </c>
      <c r="R831">
        <f t="shared" si="180"/>
        <v>2.35</v>
      </c>
      <c r="S831">
        <f t="shared" si="181"/>
        <v>0</v>
      </c>
    </row>
    <row r="832" spans="1:19" x14ac:dyDescent="0.3">
      <c r="A832" s="1">
        <v>41968</v>
      </c>
      <c r="B832" s="1">
        <v>41975</v>
      </c>
      <c r="C832">
        <v>6.58</v>
      </c>
      <c r="D832">
        <v>0.17</v>
      </c>
      <c r="E832">
        <v>3</v>
      </c>
      <c r="F832">
        <f t="shared" si="168"/>
        <v>6.75</v>
      </c>
      <c r="G832">
        <f t="shared" si="169"/>
        <v>11</v>
      </c>
      <c r="H832">
        <f t="shared" si="170"/>
        <v>0</v>
      </c>
      <c r="I832">
        <f t="shared" si="171"/>
        <v>0</v>
      </c>
      <c r="J832">
        <f t="shared" si="172"/>
        <v>0</v>
      </c>
      <c r="K832">
        <f t="shared" si="173"/>
        <v>0</v>
      </c>
      <c r="L832">
        <f t="shared" si="174"/>
        <v>0</v>
      </c>
      <c r="M832">
        <f t="shared" si="175"/>
        <v>0</v>
      </c>
      <c r="N832">
        <f t="shared" si="176"/>
        <v>0</v>
      </c>
      <c r="O832">
        <f t="shared" si="177"/>
        <v>0</v>
      </c>
      <c r="P832">
        <f t="shared" si="178"/>
        <v>0</v>
      </c>
      <c r="Q832">
        <f t="shared" si="179"/>
        <v>0</v>
      </c>
      <c r="R832">
        <f t="shared" si="180"/>
        <v>6.75</v>
      </c>
      <c r="S832">
        <f t="shared" si="181"/>
        <v>0</v>
      </c>
    </row>
    <row r="833" spans="1:19" x14ac:dyDescent="0.3">
      <c r="A833" s="1">
        <v>41970</v>
      </c>
      <c r="B833" s="1">
        <v>41972</v>
      </c>
      <c r="C833">
        <v>7.35</v>
      </c>
      <c r="D833">
        <v>0.19</v>
      </c>
      <c r="E833">
        <v>6</v>
      </c>
      <c r="F833">
        <f t="shared" si="168"/>
        <v>7.54</v>
      </c>
      <c r="G833">
        <f t="shared" si="169"/>
        <v>11</v>
      </c>
      <c r="H833">
        <f t="shared" si="170"/>
        <v>0</v>
      </c>
      <c r="I833">
        <f t="shared" si="171"/>
        <v>0</v>
      </c>
      <c r="J833">
        <f t="shared" si="172"/>
        <v>0</v>
      </c>
      <c r="K833">
        <f t="shared" si="173"/>
        <v>0</v>
      </c>
      <c r="L833">
        <f t="shared" si="174"/>
        <v>0</v>
      </c>
      <c r="M833">
        <f t="shared" si="175"/>
        <v>0</v>
      </c>
      <c r="N833">
        <f t="shared" si="176"/>
        <v>0</v>
      </c>
      <c r="O833">
        <f t="shared" si="177"/>
        <v>0</v>
      </c>
      <c r="P833">
        <f t="shared" si="178"/>
        <v>0</v>
      </c>
      <c r="Q833">
        <f t="shared" si="179"/>
        <v>0</v>
      </c>
      <c r="R833">
        <f t="shared" si="180"/>
        <v>7.54</v>
      </c>
      <c r="S833">
        <f t="shared" si="181"/>
        <v>0</v>
      </c>
    </row>
    <row r="834" spans="1:19" x14ac:dyDescent="0.3">
      <c r="A834" s="1">
        <v>41970</v>
      </c>
      <c r="B834" s="1">
        <v>41982</v>
      </c>
      <c r="C834">
        <v>6.43</v>
      </c>
      <c r="D834">
        <v>0.17</v>
      </c>
      <c r="E834">
        <v>4</v>
      </c>
      <c r="F834">
        <f t="shared" si="168"/>
        <v>6.6</v>
      </c>
      <c r="G834">
        <f t="shared" si="169"/>
        <v>11</v>
      </c>
      <c r="H834">
        <f t="shared" si="170"/>
        <v>0</v>
      </c>
      <c r="I834">
        <f t="shared" si="171"/>
        <v>0</v>
      </c>
      <c r="J834">
        <f t="shared" si="172"/>
        <v>0</v>
      </c>
      <c r="K834">
        <f t="shared" si="173"/>
        <v>0</v>
      </c>
      <c r="L834">
        <f t="shared" si="174"/>
        <v>0</v>
      </c>
      <c r="M834">
        <f t="shared" si="175"/>
        <v>0</v>
      </c>
      <c r="N834">
        <f t="shared" si="176"/>
        <v>0</v>
      </c>
      <c r="O834">
        <f t="shared" si="177"/>
        <v>0</v>
      </c>
      <c r="P834">
        <f t="shared" si="178"/>
        <v>0</v>
      </c>
      <c r="Q834">
        <f t="shared" si="179"/>
        <v>0</v>
      </c>
      <c r="R834">
        <f t="shared" si="180"/>
        <v>6.6</v>
      </c>
      <c r="S834">
        <f t="shared" si="181"/>
        <v>0</v>
      </c>
    </row>
    <row r="835" spans="1:19" x14ac:dyDescent="0.3">
      <c r="A835" s="1">
        <v>41970</v>
      </c>
      <c r="B835" s="1">
        <v>41987</v>
      </c>
      <c r="C835">
        <v>8.65</v>
      </c>
      <c r="D835">
        <v>0.23</v>
      </c>
      <c r="E835">
        <v>3</v>
      </c>
      <c r="F835">
        <f t="shared" ref="F835:F898" si="182">C835+D835</f>
        <v>8.8800000000000008</v>
      </c>
      <c r="G835">
        <f t="shared" ref="G835:G898" si="183">MONTH(A835)</f>
        <v>11</v>
      </c>
      <c r="H835">
        <f t="shared" ref="H835:H898" si="184">IF(EXACT(G835,1),F835,0)</f>
        <v>0</v>
      </c>
      <c r="I835">
        <f t="shared" ref="I835:I898" si="185">IF(EXACT(G835,2),F835,0)</f>
        <v>0</v>
      </c>
      <c r="J835">
        <f t="shared" ref="J835:J898" si="186">IF(EXACT(G835,3),F835,0)</f>
        <v>0</v>
      </c>
      <c r="K835">
        <f t="shared" ref="K835:K898" si="187">IF(EXACT(G835,4),F835,0)</f>
        <v>0</v>
      </c>
      <c r="L835">
        <f t="shared" ref="L835:L898" si="188">IF(EXACT(G835,5),F835,0)</f>
        <v>0</v>
      </c>
      <c r="M835">
        <f t="shared" ref="M835:M898" si="189">IF(EXACT(G835,6),F835,0)</f>
        <v>0</v>
      </c>
      <c r="N835">
        <f t="shared" ref="N835:N898" si="190">IF(EXACT(G835,7),F835,0)</f>
        <v>0</v>
      </c>
      <c r="O835">
        <f t="shared" ref="O835:O898" si="191">IF(EXACT(G835,8),F835,0)</f>
        <v>0</v>
      </c>
      <c r="P835">
        <f t="shared" ref="P835:P898" si="192">IF(EXACT(G835,9),F835,0)</f>
        <v>0</v>
      </c>
      <c r="Q835">
        <f t="shared" ref="Q835:Q898" si="193">IF(EXACT(G835,10),F835,0)</f>
        <v>0</v>
      </c>
      <c r="R835">
        <f t="shared" ref="R835:R898" si="194">IF(EXACT(G835,11),F835,0)</f>
        <v>8.8800000000000008</v>
      </c>
      <c r="S835">
        <f t="shared" ref="S835:S898" si="195">IF(EXACT(G835,12),F835,0)</f>
        <v>0</v>
      </c>
    </row>
    <row r="836" spans="1:19" x14ac:dyDescent="0.3">
      <c r="A836" s="1">
        <v>41970</v>
      </c>
      <c r="B836" s="1">
        <v>41994</v>
      </c>
      <c r="C836">
        <v>13.82</v>
      </c>
      <c r="D836">
        <v>0.36</v>
      </c>
      <c r="E836">
        <v>3</v>
      </c>
      <c r="F836">
        <f t="shared" si="182"/>
        <v>14.18</v>
      </c>
      <c r="G836">
        <f t="shared" si="183"/>
        <v>11</v>
      </c>
      <c r="H836">
        <f t="shared" si="184"/>
        <v>0</v>
      </c>
      <c r="I836">
        <f t="shared" si="185"/>
        <v>0</v>
      </c>
      <c r="J836">
        <f t="shared" si="186"/>
        <v>0</v>
      </c>
      <c r="K836">
        <f t="shared" si="187"/>
        <v>0</v>
      </c>
      <c r="L836">
        <f t="shared" si="188"/>
        <v>0</v>
      </c>
      <c r="M836">
        <f t="shared" si="189"/>
        <v>0</v>
      </c>
      <c r="N836">
        <f t="shared" si="190"/>
        <v>0</v>
      </c>
      <c r="O836">
        <f t="shared" si="191"/>
        <v>0</v>
      </c>
      <c r="P836">
        <f t="shared" si="192"/>
        <v>0</v>
      </c>
      <c r="Q836">
        <f t="shared" si="193"/>
        <v>0</v>
      </c>
      <c r="R836">
        <f t="shared" si="194"/>
        <v>14.18</v>
      </c>
      <c r="S836">
        <f t="shared" si="195"/>
        <v>0</v>
      </c>
    </row>
    <row r="837" spans="1:19" x14ac:dyDescent="0.3">
      <c r="A837" s="1">
        <v>41970</v>
      </c>
      <c r="B837" s="1">
        <v>41992</v>
      </c>
      <c r="C837">
        <v>5.67</v>
      </c>
      <c r="D837">
        <v>0.15</v>
      </c>
      <c r="E837">
        <v>4</v>
      </c>
      <c r="F837">
        <f t="shared" si="182"/>
        <v>5.82</v>
      </c>
      <c r="G837">
        <f t="shared" si="183"/>
        <v>11</v>
      </c>
      <c r="H837">
        <f t="shared" si="184"/>
        <v>0</v>
      </c>
      <c r="I837">
        <f t="shared" si="185"/>
        <v>0</v>
      </c>
      <c r="J837">
        <f t="shared" si="186"/>
        <v>0</v>
      </c>
      <c r="K837">
        <f t="shared" si="187"/>
        <v>0</v>
      </c>
      <c r="L837">
        <f t="shared" si="188"/>
        <v>0</v>
      </c>
      <c r="M837">
        <f t="shared" si="189"/>
        <v>0</v>
      </c>
      <c r="N837">
        <f t="shared" si="190"/>
        <v>0</v>
      </c>
      <c r="O837">
        <f t="shared" si="191"/>
        <v>0</v>
      </c>
      <c r="P837">
        <f t="shared" si="192"/>
        <v>0</v>
      </c>
      <c r="Q837">
        <f t="shared" si="193"/>
        <v>0</v>
      </c>
      <c r="R837">
        <f t="shared" si="194"/>
        <v>5.82</v>
      </c>
      <c r="S837">
        <f t="shared" si="195"/>
        <v>0</v>
      </c>
    </row>
    <row r="838" spans="1:19" x14ac:dyDescent="0.3">
      <c r="A838" s="1">
        <v>41970</v>
      </c>
      <c r="B838" s="1">
        <v>41986</v>
      </c>
      <c r="C838">
        <v>6.75</v>
      </c>
      <c r="D838">
        <v>0.18</v>
      </c>
      <c r="E838">
        <v>2</v>
      </c>
      <c r="F838">
        <f t="shared" si="182"/>
        <v>6.93</v>
      </c>
      <c r="G838">
        <f t="shared" si="183"/>
        <v>11</v>
      </c>
      <c r="H838">
        <f t="shared" si="184"/>
        <v>0</v>
      </c>
      <c r="I838">
        <f t="shared" si="185"/>
        <v>0</v>
      </c>
      <c r="J838">
        <f t="shared" si="186"/>
        <v>0</v>
      </c>
      <c r="K838">
        <f t="shared" si="187"/>
        <v>0</v>
      </c>
      <c r="L838">
        <f t="shared" si="188"/>
        <v>0</v>
      </c>
      <c r="M838">
        <f t="shared" si="189"/>
        <v>0</v>
      </c>
      <c r="N838">
        <f t="shared" si="190"/>
        <v>0</v>
      </c>
      <c r="O838">
        <f t="shared" si="191"/>
        <v>0</v>
      </c>
      <c r="P838">
        <f t="shared" si="192"/>
        <v>0</v>
      </c>
      <c r="Q838">
        <f t="shared" si="193"/>
        <v>0</v>
      </c>
      <c r="R838">
        <f t="shared" si="194"/>
        <v>6.93</v>
      </c>
      <c r="S838">
        <f t="shared" si="195"/>
        <v>0</v>
      </c>
    </row>
    <row r="839" spans="1:19" x14ac:dyDescent="0.3">
      <c r="A839" s="1">
        <v>41970</v>
      </c>
      <c r="B839" s="1">
        <v>41992</v>
      </c>
      <c r="C839">
        <v>5.67</v>
      </c>
      <c r="D839">
        <v>0.15</v>
      </c>
      <c r="E839">
        <v>5</v>
      </c>
      <c r="F839">
        <f t="shared" si="182"/>
        <v>5.82</v>
      </c>
      <c r="G839">
        <f t="shared" si="183"/>
        <v>11</v>
      </c>
      <c r="H839">
        <f t="shared" si="184"/>
        <v>0</v>
      </c>
      <c r="I839">
        <f t="shared" si="185"/>
        <v>0</v>
      </c>
      <c r="J839">
        <f t="shared" si="186"/>
        <v>0</v>
      </c>
      <c r="K839">
        <f t="shared" si="187"/>
        <v>0</v>
      </c>
      <c r="L839">
        <f t="shared" si="188"/>
        <v>0</v>
      </c>
      <c r="M839">
        <f t="shared" si="189"/>
        <v>0</v>
      </c>
      <c r="N839">
        <f t="shared" si="190"/>
        <v>0</v>
      </c>
      <c r="O839">
        <f t="shared" si="191"/>
        <v>0</v>
      </c>
      <c r="P839">
        <f t="shared" si="192"/>
        <v>0</v>
      </c>
      <c r="Q839">
        <f t="shared" si="193"/>
        <v>0</v>
      </c>
      <c r="R839">
        <f t="shared" si="194"/>
        <v>5.82</v>
      </c>
      <c r="S839">
        <f t="shared" si="195"/>
        <v>0</v>
      </c>
    </row>
    <row r="840" spans="1:19" x14ac:dyDescent="0.3">
      <c r="A840" s="1">
        <v>41970</v>
      </c>
      <c r="B840" s="1">
        <v>41987</v>
      </c>
      <c r="C840">
        <v>14.31</v>
      </c>
      <c r="D840">
        <v>0.38</v>
      </c>
      <c r="E840">
        <v>3</v>
      </c>
      <c r="F840">
        <f t="shared" si="182"/>
        <v>14.690000000000001</v>
      </c>
      <c r="G840">
        <f t="shared" si="183"/>
        <v>11</v>
      </c>
      <c r="H840">
        <f t="shared" si="184"/>
        <v>0</v>
      </c>
      <c r="I840">
        <f t="shared" si="185"/>
        <v>0</v>
      </c>
      <c r="J840">
        <f t="shared" si="186"/>
        <v>0</v>
      </c>
      <c r="K840">
        <f t="shared" si="187"/>
        <v>0</v>
      </c>
      <c r="L840">
        <f t="shared" si="188"/>
        <v>0</v>
      </c>
      <c r="M840">
        <f t="shared" si="189"/>
        <v>0</v>
      </c>
      <c r="N840">
        <f t="shared" si="190"/>
        <v>0</v>
      </c>
      <c r="O840">
        <f t="shared" si="191"/>
        <v>0</v>
      </c>
      <c r="P840">
        <f t="shared" si="192"/>
        <v>0</v>
      </c>
      <c r="Q840">
        <f t="shared" si="193"/>
        <v>0</v>
      </c>
      <c r="R840">
        <f t="shared" si="194"/>
        <v>14.690000000000001</v>
      </c>
      <c r="S840">
        <f t="shared" si="195"/>
        <v>0</v>
      </c>
    </row>
    <row r="841" spans="1:19" x14ac:dyDescent="0.3">
      <c r="A841" s="1">
        <v>41970</v>
      </c>
      <c r="B841" s="1">
        <v>41979</v>
      </c>
      <c r="C841">
        <v>16.55</v>
      </c>
      <c r="D841">
        <v>0.44</v>
      </c>
      <c r="E841">
        <v>4</v>
      </c>
      <c r="F841">
        <f t="shared" si="182"/>
        <v>16.990000000000002</v>
      </c>
      <c r="G841">
        <f t="shared" si="183"/>
        <v>11</v>
      </c>
      <c r="H841">
        <f t="shared" si="184"/>
        <v>0</v>
      </c>
      <c r="I841">
        <f t="shared" si="185"/>
        <v>0</v>
      </c>
      <c r="J841">
        <f t="shared" si="186"/>
        <v>0</v>
      </c>
      <c r="K841">
        <f t="shared" si="187"/>
        <v>0</v>
      </c>
      <c r="L841">
        <f t="shared" si="188"/>
        <v>0</v>
      </c>
      <c r="M841">
        <f t="shared" si="189"/>
        <v>0</v>
      </c>
      <c r="N841">
        <f t="shared" si="190"/>
        <v>0</v>
      </c>
      <c r="O841">
        <f t="shared" si="191"/>
        <v>0</v>
      </c>
      <c r="P841">
        <f t="shared" si="192"/>
        <v>0</v>
      </c>
      <c r="Q841">
        <f t="shared" si="193"/>
        <v>0</v>
      </c>
      <c r="R841">
        <f t="shared" si="194"/>
        <v>16.990000000000002</v>
      </c>
      <c r="S841">
        <f t="shared" si="195"/>
        <v>0</v>
      </c>
    </row>
    <row r="842" spans="1:19" x14ac:dyDescent="0.3">
      <c r="A842" s="1">
        <v>41970</v>
      </c>
      <c r="B842" s="1">
        <v>41974</v>
      </c>
      <c r="C842">
        <v>11.44</v>
      </c>
      <c r="D842">
        <v>0.3</v>
      </c>
      <c r="E842">
        <v>4</v>
      </c>
      <c r="F842">
        <f t="shared" si="182"/>
        <v>11.74</v>
      </c>
      <c r="G842">
        <f t="shared" si="183"/>
        <v>11</v>
      </c>
      <c r="H842">
        <f t="shared" si="184"/>
        <v>0</v>
      </c>
      <c r="I842">
        <f t="shared" si="185"/>
        <v>0</v>
      </c>
      <c r="J842">
        <f t="shared" si="186"/>
        <v>0</v>
      </c>
      <c r="K842">
        <f t="shared" si="187"/>
        <v>0</v>
      </c>
      <c r="L842">
        <f t="shared" si="188"/>
        <v>0</v>
      </c>
      <c r="M842">
        <f t="shared" si="189"/>
        <v>0</v>
      </c>
      <c r="N842">
        <f t="shared" si="190"/>
        <v>0</v>
      </c>
      <c r="O842">
        <f t="shared" si="191"/>
        <v>0</v>
      </c>
      <c r="P842">
        <f t="shared" si="192"/>
        <v>0</v>
      </c>
      <c r="Q842">
        <f t="shared" si="193"/>
        <v>0</v>
      </c>
      <c r="R842">
        <f t="shared" si="194"/>
        <v>11.74</v>
      </c>
      <c r="S842">
        <f t="shared" si="195"/>
        <v>0</v>
      </c>
    </row>
    <row r="843" spans="1:19" x14ac:dyDescent="0.3">
      <c r="A843" s="1">
        <v>41970</v>
      </c>
      <c r="B843" s="1">
        <v>41992</v>
      </c>
      <c r="C843">
        <v>4.66</v>
      </c>
      <c r="D843">
        <v>0.12</v>
      </c>
      <c r="E843">
        <v>4</v>
      </c>
      <c r="F843">
        <f t="shared" si="182"/>
        <v>4.78</v>
      </c>
      <c r="G843">
        <f t="shared" si="183"/>
        <v>11</v>
      </c>
      <c r="H843">
        <f t="shared" si="184"/>
        <v>0</v>
      </c>
      <c r="I843">
        <f t="shared" si="185"/>
        <v>0</v>
      </c>
      <c r="J843">
        <f t="shared" si="186"/>
        <v>0</v>
      </c>
      <c r="K843">
        <f t="shared" si="187"/>
        <v>0</v>
      </c>
      <c r="L843">
        <f t="shared" si="188"/>
        <v>0</v>
      </c>
      <c r="M843">
        <f t="shared" si="189"/>
        <v>0</v>
      </c>
      <c r="N843">
        <f t="shared" si="190"/>
        <v>0</v>
      </c>
      <c r="O843">
        <f t="shared" si="191"/>
        <v>0</v>
      </c>
      <c r="P843">
        <f t="shared" si="192"/>
        <v>0</v>
      </c>
      <c r="Q843">
        <f t="shared" si="193"/>
        <v>0</v>
      </c>
      <c r="R843">
        <f t="shared" si="194"/>
        <v>4.78</v>
      </c>
      <c r="S843">
        <f t="shared" si="195"/>
        <v>0</v>
      </c>
    </row>
    <row r="844" spans="1:19" x14ac:dyDescent="0.3">
      <c r="A844" s="1">
        <v>41970</v>
      </c>
      <c r="B844" s="1">
        <v>41995</v>
      </c>
      <c r="C844">
        <v>3.73</v>
      </c>
      <c r="D844">
        <v>0.1</v>
      </c>
      <c r="E844">
        <v>6</v>
      </c>
      <c r="F844">
        <f t="shared" si="182"/>
        <v>3.83</v>
      </c>
      <c r="G844">
        <f t="shared" si="183"/>
        <v>11</v>
      </c>
      <c r="H844">
        <f t="shared" si="184"/>
        <v>0</v>
      </c>
      <c r="I844">
        <f t="shared" si="185"/>
        <v>0</v>
      </c>
      <c r="J844">
        <f t="shared" si="186"/>
        <v>0</v>
      </c>
      <c r="K844">
        <f t="shared" si="187"/>
        <v>0</v>
      </c>
      <c r="L844">
        <f t="shared" si="188"/>
        <v>0</v>
      </c>
      <c r="M844">
        <f t="shared" si="189"/>
        <v>0</v>
      </c>
      <c r="N844">
        <f t="shared" si="190"/>
        <v>0</v>
      </c>
      <c r="O844">
        <f t="shared" si="191"/>
        <v>0</v>
      </c>
      <c r="P844">
        <f t="shared" si="192"/>
        <v>0</v>
      </c>
      <c r="Q844">
        <f t="shared" si="193"/>
        <v>0</v>
      </c>
      <c r="R844">
        <f t="shared" si="194"/>
        <v>3.83</v>
      </c>
      <c r="S844">
        <f t="shared" si="195"/>
        <v>0</v>
      </c>
    </row>
    <row r="845" spans="1:19" x14ac:dyDescent="0.3">
      <c r="A845" s="1">
        <v>41970</v>
      </c>
      <c r="B845" s="1">
        <v>41982</v>
      </c>
      <c r="C845">
        <v>6.75</v>
      </c>
      <c r="D845">
        <v>0.18</v>
      </c>
      <c r="E845">
        <v>3</v>
      </c>
      <c r="F845">
        <f t="shared" si="182"/>
        <v>6.93</v>
      </c>
      <c r="G845">
        <f t="shared" si="183"/>
        <v>11</v>
      </c>
      <c r="H845">
        <f t="shared" si="184"/>
        <v>0</v>
      </c>
      <c r="I845">
        <f t="shared" si="185"/>
        <v>0</v>
      </c>
      <c r="J845">
        <f t="shared" si="186"/>
        <v>0</v>
      </c>
      <c r="K845">
        <f t="shared" si="187"/>
        <v>0</v>
      </c>
      <c r="L845">
        <f t="shared" si="188"/>
        <v>0</v>
      </c>
      <c r="M845">
        <f t="shared" si="189"/>
        <v>0</v>
      </c>
      <c r="N845">
        <f t="shared" si="190"/>
        <v>0</v>
      </c>
      <c r="O845">
        <f t="shared" si="191"/>
        <v>0</v>
      </c>
      <c r="P845">
        <f t="shared" si="192"/>
        <v>0</v>
      </c>
      <c r="Q845">
        <f t="shared" si="193"/>
        <v>0</v>
      </c>
      <c r="R845">
        <f t="shared" si="194"/>
        <v>6.93</v>
      </c>
      <c r="S845">
        <f t="shared" si="195"/>
        <v>0</v>
      </c>
    </row>
    <row r="846" spans="1:19" x14ac:dyDescent="0.3">
      <c r="A846" s="1">
        <v>41970</v>
      </c>
      <c r="B846" s="1">
        <v>41981</v>
      </c>
      <c r="C846">
        <v>2.72</v>
      </c>
      <c r="D846">
        <v>7.0000000000000007E-2</v>
      </c>
      <c r="E846">
        <v>6</v>
      </c>
      <c r="F846">
        <f t="shared" si="182"/>
        <v>2.79</v>
      </c>
      <c r="G846">
        <f t="shared" si="183"/>
        <v>11</v>
      </c>
      <c r="H846">
        <f t="shared" si="184"/>
        <v>0</v>
      </c>
      <c r="I846">
        <f t="shared" si="185"/>
        <v>0</v>
      </c>
      <c r="J846">
        <f t="shared" si="186"/>
        <v>0</v>
      </c>
      <c r="K846">
        <f t="shared" si="187"/>
        <v>0</v>
      </c>
      <c r="L846">
        <f t="shared" si="188"/>
        <v>0</v>
      </c>
      <c r="M846">
        <f t="shared" si="189"/>
        <v>0</v>
      </c>
      <c r="N846">
        <f t="shared" si="190"/>
        <v>0</v>
      </c>
      <c r="O846">
        <f t="shared" si="191"/>
        <v>0</v>
      </c>
      <c r="P846">
        <f t="shared" si="192"/>
        <v>0</v>
      </c>
      <c r="Q846">
        <f t="shared" si="193"/>
        <v>0</v>
      </c>
      <c r="R846">
        <f t="shared" si="194"/>
        <v>2.79</v>
      </c>
      <c r="S846">
        <f t="shared" si="195"/>
        <v>0</v>
      </c>
    </row>
    <row r="847" spans="1:19" x14ac:dyDescent="0.3">
      <c r="A847" s="1">
        <v>41970</v>
      </c>
      <c r="B847" s="1">
        <v>41990</v>
      </c>
      <c r="C847">
        <v>7.71</v>
      </c>
      <c r="D847">
        <v>0.2</v>
      </c>
      <c r="E847">
        <v>6</v>
      </c>
      <c r="F847">
        <f t="shared" si="182"/>
        <v>7.91</v>
      </c>
      <c r="G847">
        <f t="shared" si="183"/>
        <v>11</v>
      </c>
      <c r="H847">
        <f t="shared" si="184"/>
        <v>0</v>
      </c>
      <c r="I847">
        <f t="shared" si="185"/>
        <v>0</v>
      </c>
      <c r="J847">
        <f t="shared" si="186"/>
        <v>0</v>
      </c>
      <c r="K847">
        <f t="shared" si="187"/>
        <v>0</v>
      </c>
      <c r="L847">
        <f t="shared" si="188"/>
        <v>0</v>
      </c>
      <c r="M847">
        <f t="shared" si="189"/>
        <v>0</v>
      </c>
      <c r="N847">
        <f t="shared" si="190"/>
        <v>0</v>
      </c>
      <c r="O847">
        <f t="shared" si="191"/>
        <v>0</v>
      </c>
      <c r="P847">
        <f t="shared" si="192"/>
        <v>0</v>
      </c>
      <c r="Q847">
        <f t="shared" si="193"/>
        <v>0</v>
      </c>
      <c r="R847">
        <f t="shared" si="194"/>
        <v>7.91</v>
      </c>
      <c r="S847">
        <f t="shared" si="195"/>
        <v>0</v>
      </c>
    </row>
    <row r="848" spans="1:19" x14ac:dyDescent="0.3">
      <c r="A848" s="1">
        <v>41970</v>
      </c>
      <c r="B848" s="1">
        <v>41972</v>
      </c>
      <c r="C848">
        <v>6.58</v>
      </c>
      <c r="D848">
        <v>0.17</v>
      </c>
      <c r="E848">
        <v>6</v>
      </c>
      <c r="F848">
        <f t="shared" si="182"/>
        <v>6.75</v>
      </c>
      <c r="G848">
        <f t="shared" si="183"/>
        <v>11</v>
      </c>
      <c r="H848">
        <f t="shared" si="184"/>
        <v>0</v>
      </c>
      <c r="I848">
        <f t="shared" si="185"/>
        <v>0</v>
      </c>
      <c r="J848">
        <f t="shared" si="186"/>
        <v>0</v>
      </c>
      <c r="K848">
        <f t="shared" si="187"/>
        <v>0</v>
      </c>
      <c r="L848">
        <f t="shared" si="188"/>
        <v>0</v>
      </c>
      <c r="M848">
        <f t="shared" si="189"/>
        <v>0</v>
      </c>
      <c r="N848">
        <f t="shared" si="190"/>
        <v>0</v>
      </c>
      <c r="O848">
        <f t="shared" si="191"/>
        <v>0</v>
      </c>
      <c r="P848">
        <f t="shared" si="192"/>
        <v>0</v>
      </c>
      <c r="Q848">
        <f t="shared" si="193"/>
        <v>0</v>
      </c>
      <c r="R848">
        <f t="shared" si="194"/>
        <v>6.75</v>
      </c>
      <c r="S848">
        <f t="shared" si="195"/>
        <v>0</v>
      </c>
    </row>
    <row r="849" spans="1:19" x14ac:dyDescent="0.3">
      <c r="A849" s="1">
        <v>41970</v>
      </c>
      <c r="B849" s="1">
        <v>41986</v>
      </c>
      <c r="C849">
        <v>8.89</v>
      </c>
      <c r="D849">
        <v>0.23</v>
      </c>
      <c r="E849">
        <v>2</v>
      </c>
      <c r="F849">
        <f t="shared" si="182"/>
        <v>9.120000000000001</v>
      </c>
      <c r="G849">
        <f t="shared" si="183"/>
        <v>11</v>
      </c>
      <c r="H849">
        <f t="shared" si="184"/>
        <v>0</v>
      </c>
      <c r="I849">
        <f t="shared" si="185"/>
        <v>0</v>
      </c>
      <c r="J849">
        <f t="shared" si="186"/>
        <v>0</v>
      </c>
      <c r="K849">
        <f t="shared" si="187"/>
        <v>0</v>
      </c>
      <c r="L849">
        <f t="shared" si="188"/>
        <v>0</v>
      </c>
      <c r="M849">
        <f t="shared" si="189"/>
        <v>0</v>
      </c>
      <c r="N849">
        <f t="shared" si="190"/>
        <v>0</v>
      </c>
      <c r="O849">
        <f t="shared" si="191"/>
        <v>0</v>
      </c>
      <c r="P849">
        <f t="shared" si="192"/>
        <v>0</v>
      </c>
      <c r="Q849">
        <f t="shared" si="193"/>
        <v>0</v>
      </c>
      <c r="R849">
        <f t="shared" si="194"/>
        <v>9.120000000000001</v>
      </c>
      <c r="S849">
        <f t="shared" si="195"/>
        <v>0</v>
      </c>
    </row>
    <row r="850" spans="1:19" x14ac:dyDescent="0.3">
      <c r="A850" s="1">
        <v>41970</v>
      </c>
      <c r="B850" s="1">
        <v>41986</v>
      </c>
      <c r="C850">
        <v>5.47</v>
      </c>
      <c r="D850">
        <v>0.14000000000000001</v>
      </c>
      <c r="E850">
        <v>4</v>
      </c>
      <c r="F850">
        <f t="shared" si="182"/>
        <v>5.6099999999999994</v>
      </c>
      <c r="G850">
        <f t="shared" si="183"/>
        <v>11</v>
      </c>
      <c r="H850">
        <f t="shared" si="184"/>
        <v>0</v>
      </c>
      <c r="I850">
        <f t="shared" si="185"/>
        <v>0</v>
      </c>
      <c r="J850">
        <f t="shared" si="186"/>
        <v>0</v>
      </c>
      <c r="K850">
        <f t="shared" si="187"/>
        <v>0</v>
      </c>
      <c r="L850">
        <f t="shared" si="188"/>
        <v>0</v>
      </c>
      <c r="M850">
        <f t="shared" si="189"/>
        <v>0</v>
      </c>
      <c r="N850">
        <f t="shared" si="190"/>
        <v>0</v>
      </c>
      <c r="O850">
        <f t="shared" si="191"/>
        <v>0</v>
      </c>
      <c r="P850">
        <f t="shared" si="192"/>
        <v>0</v>
      </c>
      <c r="Q850">
        <f t="shared" si="193"/>
        <v>0</v>
      </c>
      <c r="R850">
        <f t="shared" si="194"/>
        <v>5.6099999999999994</v>
      </c>
      <c r="S850">
        <f t="shared" si="195"/>
        <v>0</v>
      </c>
    </row>
    <row r="851" spans="1:19" x14ac:dyDescent="0.3">
      <c r="A851" s="1">
        <v>41971</v>
      </c>
      <c r="B851" s="1">
        <v>41987</v>
      </c>
      <c r="C851">
        <v>12.01</v>
      </c>
      <c r="D851">
        <v>0.32</v>
      </c>
      <c r="E851">
        <v>2</v>
      </c>
      <c r="F851">
        <f t="shared" si="182"/>
        <v>12.33</v>
      </c>
      <c r="G851">
        <f t="shared" si="183"/>
        <v>11</v>
      </c>
      <c r="H851">
        <f t="shared" si="184"/>
        <v>0</v>
      </c>
      <c r="I851">
        <f t="shared" si="185"/>
        <v>0</v>
      </c>
      <c r="J851">
        <f t="shared" si="186"/>
        <v>0</v>
      </c>
      <c r="K851">
        <f t="shared" si="187"/>
        <v>0</v>
      </c>
      <c r="L851">
        <f t="shared" si="188"/>
        <v>0</v>
      </c>
      <c r="M851">
        <f t="shared" si="189"/>
        <v>0</v>
      </c>
      <c r="N851">
        <f t="shared" si="190"/>
        <v>0</v>
      </c>
      <c r="O851">
        <f t="shared" si="191"/>
        <v>0</v>
      </c>
      <c r="P851">
        <f t="shared" si="192"/>
        <v>0</v>
      </c>
      <c r="Q851">
        <f t="shared" si="193"/>
        <v>0</v>
      </c>
      <c r="R851">
        <f t="shared" si="194"/>
        <v>12.33</v>
      </c>
      <c r="S851">
        <f t="shared" si="195"/>
        <v>0</v>
      </c>
    </row>
    <row r="852" spans="1:19" x14ac:dyDescent="0.3">
      <c r="A852" s="1">
        <v>41971</v>
      </c>
      <c r="B852" s="1">
        <v>41976</v>
      </c>
      <c r="C852">
        <v>11.44</v>
      </c>
      <c r="D852">
        <v>0.3</v>
      </c>
      <c r="E852">
        <v>3</v>
      </c>
      <c r="F852">
        <f t="shared" si="182"/>
        <v>11.74</v>
      </c>
      <c r="G852">
        <f t="shared" si="183"/>
        <v>11</v>
      </c>
      <c r="H852">
        <f t="shared" si="184"/>
        <v>0</v>
      </c>
      <c r="I852">
        <f t="shared" si="185"/>
        <v>0</v>
      </c>
      <c r="J852">
        <f t="shared" si="186"/>
        <v>0</v>
      </c>
      <c r="K852">
        <f t="shared" si="187"/>
        <v>0</v>
      </c>
      <c r="L852">
        <f t="shared" si="188"/>
        <v>0</v>
      </c>
      <c r="M852">
        <f t="shared" si="189"/>
        <v>0</v>
      </c>
      <c r="N852">
        <f t="shared" si="190"/>
        <v>0</v>
      </c>
      <c r="O852">
        <f t="shared" si="191"/>
        <v>0</v>
      </c>
      <c r="P852">
        <f t="shared" si="192"/>
        <v>0</v>
      </c>
      <c r="Q852">
        <f t="shared" si="193"/>
        <v>0</v>
      </c>
      <c r="R852">
        <f t="shared" si="194"/>
        <v>11.74</v>
      </c>
      <c r="S852">
        <f t="shared" si="195"/>
        <v>0</v>
      </c>
    </row>
    <row r="853" spans="1:19" x14ac:dyDescent="0.3">
      <c r="A853" s="1">
        <v>41971</v>
      </c>
      <c r="B853" s="1">
        <v>41986</v>
      </c>
      <c r="C853">
        <v>14.13</v>
      </c>
      <c r="D853">
        <v>0.37</v>
      </c>
      <c r="E853">
        <v>3</v>
      </c>
      <c r="F853">
        <f t="shared" si="182"/>
        <v>14.5</v>
      </c>
      <c r="G853">
        <f t="shared" si="183"/>
        <v>11</v>
      </c>
      <c r="H853">
        <f t="shared" si="184"/>
        <v>0</v>
      </c>
      <c r="I853">
        <f t="shared" si="185"/>
        <v>0</v>
      </c>
      <c r="J853">
        <f t="shared" si="186"/>
        <v>0</v>
      </c>
      <c r="K853">
        <f t="shared" si="187"/>
        <v>0</v>
      </c>
      <c r="L853">
        <f t="shared" si="188"/>
        <v>0</v>
      </c>
      <c r="M853">
        <f t="shared" si="189"/>
        <v>0</v>
      </c>
      <c r="N853">
        <f t="shared" si="190"/>
        <v>0</v>
      </c>
      <c r="O853">
        <f t="shared" si="191"/>
        <v>0</v>
      </c>
      <c r="P853">
        <f t="shared" si="192"/>
        <v>0</v>
      </c>
      <c r="Q853">
        <f t="shared" si="193"/>
        <v>0</v>
      </c>
      <c r="R853">
        <f t="shared" si="194"/>
        <v>14.5</v>
      </c>
      <c r="S853">
        <f t="shared" si="195"/>
        <v>0</v>
      </c>
    </row>
    <row r="854" spans="1:19" x14ac:dyDescent="0.3">
      <c r="A854" s="1">
        <v>41971</v>
      </c>
      <c r="B854" s="1">
        <v>41983</v>
      </c>
      <c r="C854">
        <v>8.9499999999999993</v>
      </c>
      <c r="D854">
        <v>0.24</v>
      </c>
      <c r="E854">
        <v>6</v>
      </c>
      <c r="F854">
        <f t="shared" si="182"/>
        <v>9.19</v>
      </c>
      <c r="G854">
        <f t="shared" si="183"/>
        <v>11</v>
      </c>
      <c r="H854">
        <f t="shared" si="184"/>
        <v>0</v>
      </c>
      <c r="I854">
        <f t="shared" si="185"/>
        <v>0</v>
      </c>
      <c r="J854">
        <f t="shared" si="186"/>
        <v>0</v>
      </c>
      <c r="K854">
        <f t="shared" si="187"/>
        <v>0</v>
      </c>
      <c r="L854">
        <f t="shared" si="188"/>
        <v>0</v>
      </c>
      <c r="M854">
        <f t="shared" si="189"/>
        <v>0</v>
      </c>
      <c r="N854">
        <f t="shared" si="190"/>
        <v>0</v>
      </c>
      <c r="O854">
        <f t="shared" si="191"/>
        <v>0</v>
      </c>
      <c r="P854">
        <f t="shared" si="192"/>
        <v>0</v>
      </c>
      <c r="Q854">
        <f t="shared" si="193"/>
        <v>0</v>
      </c>
      <c r="R854">
        <f t="shared" si="194"/>
        <v>9.19</v>
      </c>
      <c r="S854">
        <f t="shared" si="195"/>
        <v>0</v>
      </c>
    </row>
    <row r="855" spans="1:19" x14ac:dyDescent="0.3">
      <c r="A855" s="1">
        <v>41971</v>
      </c>
      <c r="B855" s="1">
        <v>41973</v>
      </c>
      <c r="C855">
        <v>8.89</v>
      </c>
      <c r="D855">
        <v>0.23</v>
      </c>
      <c r="E855">
        <v>2</v>
      </c>
      <c r="F855">
        <f t="shared" si="182"/>
        <v>9.120000000000001</v>
      </c>
      <c r="G855">
        <f t="shared" si="183"/>
        <v>11</v>
      </c>
      <c r="H855">
        <f t="shared" si="184"/>
        <v>0</v>
      </c>
      <c r="I855">
        <f t="shared" si="185"/>
        <v>0</v>
      </c>
      <c r="J855">
        <f t="shared" si="186"/>
        <v>0</v>
      </c>
      <c r="K855">
        <f t="shared" si="187"/>
        <v>0</v>
      </c>
      <c r="L855">
        <f t="shared" si="188"/>
        <v>0</v>
      </c>
      <c r="M855">
        <f t="shared" si="189"/>
        <v>0</v>
      </c>
      <c r="N855">
        <f t="shared" si="190"/>
        <v>0</v>
      </c>
      <c r="O855">
        <f t="shared" si="191"/>
        <v>0</v>
      </c>
      <c r="P855">
        <f t="shared" si="192"/>
        <v>0</v>
      </c>
      <c r="Q855">
        <f t="shared" si="193"/>
        <v>0</v>
      </c>
      <c r="R855">
        <f t="shared" si="194"/>
        <v>9.120000000000001</v>
      </c>
      <c r="S855">
        <f t="shared" si="195"/>
        <v>0</v>
      </c>
    </row>
    <row r="856" spans="1:19" x14ac:dyDescent="0.3">
      <c r="A856" s="1">
        <v>41971</v>
      </c>
      <c r="B856" s="1">
        <v>41975</v>
      </c>
      <c r="C856">
        <v>6.43</v>
      </c>
      <c r="D856">
        <v>0.17</v>
      </c>
      <c r="E856">
        <v>5</v>
      </c>
      <c r="F856">
        <f t="shared" si="182"/>
        <v>6.6</v>
      </c>
      <c r="G856">
        <f t="shared" si="183"/>
        <v>11</v>
      </c>
      <c r="H856">
        <f t="shared" si="184"/>
        <v>0</v>
      </c>
      <c r="I856">
        <f t="shared" si="185"/>
        <v>0</v>
      </c>
      <c r="J856">
        <f t="shared" si="186"/>
        <v>0</v>
      </c>
      <c r="K856">
        <f t="shared" si="187"/>
        <v>0</v>
      </c>
      <c r="L856">
        <f t="shared" si="188"/>
        <v>0</v>
      </c>
      <c r="M856">
        <f t="shared" si="189"/>
        <v>0</v>
      </c>
      <c r="N856">
        <f t="shared" si="190"/>
        <v>0</v>
      </c>
      <c r="O856">
        <f t="shared" si="191"/>
        <v>0</v>
      </c>
      <c r="P856">
        <f t="shared" si="192"/>
        <v>0</v>
      </c>
      <c r="Q856">
        <f t="shared" si="193"/>
        <v>0</v>
      </c>
      <c r="R856">
        <f t="shared" si="194"/>
        <v>6.6</v>
      </c>
      <c r="S856">
        <f t="shared" si="195"/>
        <v>0</v>
      </c>
    </row>
    <row r="857" spans="1:19" x14ac:dyDescent="0.3">
      <c r="A857" s="1">
        <v>41971</v>
      </c>
      <c r="B857" s="1">
        <v>41974</v>
      </c>
      <c r="C857">
        <v>3.94</v>
      </c>
      <c r="D857">
        <v>0.1</v>
      </c>
      <c r="E857">
        <v>3</v>
      </c>
      <c r="F857">
        <f t="shared" si="182"/>
        <v>4.04</v>
      </c>
      <c r="G857">
        <f t="shared" si="183"/>
        <v>11</v>
      </c>
      <c r="H857">
        <f t="shared" si="184"/>
        <v>0</v>
      </c>
      <c r="I857">
        <f t="shared" si="185"/>
        <v>0</v>
      </c>
      <c r="J857">
        <f t="shared" si="186"/>
        <v>0</v>
      </c>
      <c r="K857">
        <f t="shared" si="187"/>
        <v>0</v>
      </c>
      <c r="L857">
        <f t="shared" si="188"/>
        <v>0</v>
      </c>
      <c r="M857">
        <f t="shared" si="189"/>
        <v>0</v>
      </c>
      <c r="N857">
        <f t="shared" si="190"/>
        <v>0</v>
      </c>
      <c r="O857">
        <f t="shared" si="191"/>
        <v>0</v>
      </c>
      <c r="P857">
        <f t="shared" si="192"/>
        <v>0</v>
      </c>
      <c r="Q857">
        <f t="shared" si="193"/>
        <v>0</v>
      </c>
      <c r="R857">
        <f t="shared" si="194"/>
        <v>4.04</v>
      </c>
      <c r="S857">
        <f t="shared" si="195"/>
        <v>0</v>
      </c>
    </row>
    <row r="858" spans="1:19" x14ac:dyDescent="0.3">
      <c r="A858" s="1">
        <v>41971</v>
      </c>
      <c r="B858" s="1">
        <v>41973</v>
      </c>
      <c r="C858">
        <v>6.23</v>
      </c>
      <c r="D858">
        <v>0.16</v>
      </c>
      <c r="E858">
        <v>3</v>
      </c>
      <c r="F858">
        <f t="shared" si="182"/>
        <v>6.3900000000000006</v>
      </c>
      <c r="G858">
        <f t="shared" si="183"/>
        <v>11</v>
      </c>
      <c r="H858">
        <f t="shared" si="184"/>
        <v>0</v>
      </c>
      <c r="I858">
        <f t="shared" si="185"/>
        <v>0</v>
      </c>
      <c r="J858">
        <f t="shared" si="186"/>
        <v>0</v>
      </c>
      <c r="K858">
        <f t="shared" si="187"/>
        <v>0</v>
      </c>
      <c r="L858">
        <f t="shared" si="188"/>
        <v>0</v>
      </c>
      <c r="M858">
        <f t="shared" si="189"/>
        <v>0</v>
      </c>
      <c r="N858">
        <f t="shared" si="190"/>
        <v>0</v>
      </c>
      <c r="O858">
        <f t="shared" si="191"/>
        <v>0</v>
      </c>
      <c r="P858">
        <f t="shared" si="192"/>
        <v>0</v>
      </c>
      <c r="Q858">
        <f t="shared" si="193"/>
        <v>0</v>
      </c>
      <c r="R858">
        <f t="shared" si="194"/>
        <v>6.3900000000000006</v>
      </c>
      <c r="S858">
        <f t="shared" si="195"/>
        <v>0</v>
      </c>
    </row>
    <row r="859" spans="1:19" x14ac:dyDescent="0.3">
      <c r="A859" s="1">
        <v>41971</v>
      </c>
      <c r="B859" s="1">
        <v>41999</v>
      </c>
      <c r="C859">
        <v>13.82</v>
      </c>
      <c r="D859">
        <v>0.36</v>
      </c>
      <c r="E859">
        <v>3</v>
      </c>
      <c r="F859">
        <f t="shared" si="182"/>
        <v>14.18</v>
      </c>
      <c r="G859">
        <f t="shared" si="183"/>
        <v>11</v>
      </c>
      <c r="H859">
        <f t="shared" si="184"/>
        <v>0</v>
      </c>
      <c r="I859">
        <f t="shared" si="185"/>
        <v>0</v>
      </c>
      <c r="J859">
        <f t="shared" si="186"/>
        <v>0</v>
      </c>
      <c r="K859">
        <f t="shared" si="187"/>
        <v>0</v>
      </c>
      <c r="L859">
        <f t="shared" si="188"/>
        <v>0</v>
      </c>
      <c r="M859">
        <f t="shared" si="189"/>
        <v>0</v>
      </c>
      <c r="N859">
        <f t="shared" si="190"/>
        <v>0</v>
      </c>
      <c r="O859">
        <f t="shared" si="191"/>
        <v>0</v>
      </c>
      <c r="P859">
        <f t="shared" si="192"/>
        <v>0</v>
      </c>
      <c r="Q859">
        <f t="shared" si="193"/>
        <v>0</v>
      </c>
      <c r="R859">
        <f t="shared" si="194"/>
        <v>14.18</v>
      </c>
      <c r="S859">
        <f t="shared" si="195"/>
        <v>0</v>
      </c>
    </row>
    <row r="860" spans="1:19" x14ac:dyDescent="0.3">
      <c r="A860" s="1">
        <v>41971</v>
      </c>
      <c r="B860" s="1">
        <v>41987</v>
      </c>
      <c r="C860">
        <v>4.66</v>
      </c>
      <c r="D860">
        <v>0.12</v>
      </c>
      <c r="E860">
        <v>4</v>
      </c>
      <c r="F860">
        <f t="shared" si="182"/>
        <v>4.78</v>
      </c>
      <c r="G860">
        <f t="shared" si="183"/>
        <v>11</v>
      </c>
      <c r="H860">
        <f t="shared" si="184"/>
        <v>0</v>
      </c>
      <c r="I860">
        <f t="shared" si="185"/>
        <v>0</v>
      </c>
      <c r="J860">
        <f t="shared" si="186"/>
        <v>0</v>
      </c>
      <c r="K860">
        <f t="shared" si="187"/>
        <v>0</v>
      </c>
      <c r="L860">
        <f t="shared" si="188"/>
        <v>0</v>
      </c>
      <c r="M860">
        <f t="shared" si="189"/>
        <v>0</v>
      </c>
      <c r="N860">
        <f t="shared" si="190"/>
        <v>0</v>
      </c>
      <c r="O860">
        <f t="shared" si="191"/>
        <v>0</v>
      </c>
      <c r="P860">
        <f t="shared" si="192"/>
        <v>0</v>
      </c>
      <c r="Q860">
        <f t="shared" si="193"/>
        <v>0</v>
      </c>
      <c r="R860">
        <f t="shared" si="194"/>
        <v>4.78</v>
      </c>
      <c r="S860">
        <f t="shared" si="195"/>
        <v>0</v>
      </c>
    </row>
    <row r="861" spans="1:19" x14ac:dyDescent="0.3">
      <c r="A861" s="1">
        <v>41971</v>
      </c>
      <c r="B861" s="1">
        <v>41998</v>
      </c>
      <c r="C861">
        <v>6.58</v>
      </c>
      <c r="D861">
        <v>0.17</v>
      </c>
      <c r="E861">
        <v>6</v>
      </c>
      <c r="F861">
        <f t="shared" si="182"/>
        <v>6.75</v>
      </c>
      <c r="G861">
        <f t="shared" si="183"/>
        <v>11</v>
      </c>
      <c r="H861">
        <f t="shared" si="184"/>
        <v>0</v>
      </c>
      <c r="I861">
        <f t="shared" si="185"/>
        <v>0</v>
      </c>
      <c r="J861">
        <f t="shared" si="186"/>
        <v>0</v>
      </c>
      <c r="K861">
        <f t="shared" si="187"/>
        <v>0</v>
      </c>
      <c r="L861">
        <f t="shared" si="188"/>
        <v>0</v>
      </c>
      <c r="M861">
        <f t="shared" si="189"/>
        <v>0</v>
      </c>
      <c r="N861">
        <f t="shared" si="190"/>
        <v>0</v>
      </c>
      <c r="O861">
        <f t="shared" si="191"/>
        <v>0</v>
      </c>
      <c r="P861">
        <f t="shared" si="192"/>
        <v>0</v>
      </c>
      <c r="Q861">
        <f t="shared" si="193"/>
        <v>0</v>
      </c>
      <c r="R861">
        <f t="shared" si="194"/>
        <v>6.75</v>
      </c>
      <c r="S861">
        <f t="shared" si="195"/>
        <v>0</v>
      </c>
    </row>
    <row r="862" spans="1:19" x14ac:dyDescent="0.3">
      <c r="A862" s="1">
        <v>41971</v>
      </c>
      <c r="B862" s="1">
        <v>41987</v>
      </c>
      <c r="C862">
        <v>5.23</v>
      </c>
      <c r="D862">
        <v>0.14000000000000001</v>
      </c>
      <c r="E862">
        <v>2</v>
      </c>
      <c r="F862">
        <f t="shared" si="182"/>
        <v>5.37</v>
      </c>
      <c r="G862">
        <f t="shared" si="183"/>
        <v>11</v>
      </c>
      <c r="H862">
        <f t="shared" si="184"/>
        <v>0</v>
      </c>
      <c r="I862">
        <f t="shared" si="185"/>
        <v>0</v>
      </c>
      <c r="J862">
        <f t="shared" si="186"/>
        <v>0</v>
      </c>
      <c r="K862">
        <f t="shared" si="187"/>
        <v>0</v>
      </c>
      <c r="L862">
        <f t="shared" si="188"/>
        <v>0</v>
      </c>
      <c r="M862">
        <f t="shared" si="189"/>
        <v>0</v>
      </c>
      <c r="N862">
        <f t="shared" si="190"/>
        <v>0</v>
      </c>
      <c r="O862">
        <f t="shared" si="191"/>
        <v>0</v>
      </c>
      <c r="P862">
        <f t="shared" si="192"/>
        <v>0</v>
      </c>
      <c r="Q862">
        <f t="shared" si="193"/>
        <v>0</v>
      </c>
      <c r="R862">
        <f t="shared" si="194"/>
        <v>5.37</v>
      </c>
      <c r="S862">
        <f t="shared" si="195"/>
        <v>0</v>
      </c>
    </row>
    <row r="863" spans="1:19" x14ac:dyDescent="0.3">
      <c r="A863" s="1">
        <v>41971</v>
      </c>
      <c r="B863" s="1">
        <v>41999</v>
      </c>
      <c r="C863">
        <v>14</v>
      </c>
      <c r="D863">
        <v>0.37</v>
      </c>
      <c r="E863">
        <v>6</v>
      </c>
      <c r="F863">
        <f t="shared" si="182"/>
        <v>14.37</v>
      </c>
      <c r="G863">
        <f t="shared" si="183"/>
        <v>11</v>
      </c>
      <c r="H863">
        <f t="shared" si="184"/>
        <v>0</v>
      </c>
      <c r="I863">
        <f t="shared" si="185"/>
        <v>0</v>
      </c>
      <c r="J863">
        <f t="shared" si="186"/>
        <v>0</v>
      </c>
      <c r="K863">
        <f t="shared" si="187"/>
        <v>0</v>
      </c>
      <c r="L863">
        <f t="shared" si="188"/>
        <v>0</v>
      </c>
      <c r="M863">
        <f t="shared" si="189"/>
        <v>0</v>
      </c>
      <c r="N863">
        <f t="shared" si="190"/>
        <v>0</v>
      </c>
      <c r="O863">
        <f t="shared" si="191"/>
        <v>0</v>
      </c>
      <c r="P863">
        <f t="shared" si="192"/>
        <v>0</v>
      </c>
      <c r="Q863">
        <f t="shared" si="193"/>
        <v>0</v>
      </c>
      <c r="R863">
        <f t="shared" si="194"/>
        <v>14.37</v>
      </c>
      <c r="S863">
        <f t="shared" si="195"/>
        <v>0</v>
      </c>
    </row>
    <row r="864" spans="1:19" x14ac:dyDescent="0.3">
      <c r="A864" s="1">
        <v>41971</v>
      </c>
      <c r="B864" s="1">
        <v>41993</v>
      </c>
      <c r="C864">
        <v>8.65</v>
      </c>
      <c r="D864">
        <v>0.23</v>
      </c>
      <c r="E864">
        <v>2</v>
      </c>
      <c r="F864">
        <f t="shared" si="182"/>
        <v>8.8800000000000008</v>
      </c>
      <c r="G864">
        <f t="shared" si="183"/>
        <v>11</v>
      </c>
      <c r="H864">
        <f t="shared" si="184"/>
        <v>0</v>
      </c>
      <c r="I864">
        <f t="shared" si="185"/>
        <v>0</v>
      </c>
      <c r="J864">
        <f t="shared" si="186"/>
        <v>0</v>
      </c>
      <c r="K864">
        <f t="shared" si="187"/>
        <v>0</v>
      </c>
      <c r="L864">
        <f t="shared" si="188"/>
        <v>0</v>
      </c>
      <c r="M864">
        <f t="shared" si="189"/>
        <v>0</v>
      </c>
      <c r="N864">
        <f t="shared" si="190"/>
        <v>0</v>
      </c>
      <c r="O864">
        <f t="shared" si="191"/>
        <v>0</v>
      </c>
      <c r="P864">
        <f t="shared" si="192"/>
        <v>0</v>
      </c>
      <c r="Q864">
        <f t="shared" si="193"/>
        <v>0</v>
      </c>
      <c r="R864">
        <f t="shared" si="194"/>
        <v>8.8800000000000008</v>
      </c>
      <c r="S864">
        <f t="shared" si="195"/>
        <v>0</v>
      </c>
    </row>
    <row r="865" spans="1:19" x14ac:dyDescent="0.3">
      <c r="A865" s="1">
        <v>41971</v>
      </c>
      <c r="B865" s="1">
        <v>41988</v>
      </c>
      <c r="C865">
        <v>19.54</v>
      </c>
      <c r="D865">
        <v>0.51</v>
      </c>
      <c r="E865">
        <v>6</v>
      </c>
      <c r="F865">
        <f t="shared" si="182"/>
        <v>20.05</v>
      </c>
      <c r="G865">
        <f t="shared" si="183"/>
        <v>11</v>
      </c>
      <c r="H865">
        <f t="shared" si="184"/>
        <v>0</v>
      </c>
      <c r="I865">
        <f t="shared" si="185"/>
        <v>0</v>
      </c>
      <c r="J865">
        <f t="shared" si="186"/>
        <v>0</v>
      </c>
      <c r="K865">
        <f t="shared" si="187"/>
        <v>0</v>
      </c>
      <c r="L865">
        <f t="shared" si="188"/>
        <v>0</v>
      </c>
      <c r="M865">
        <f t="shared" si="189"/>
        <v>0</v>
      </c>
      <c r="N865">
        <f t="shared" si="190"/>
        <v>0</v>
      </c>
      <c r="O865">
        <f t="shared" si="191"/>
        <v>0</v>
      </c>
      <c r="P865">
        <f t="shared" si="192"/>
        <v>0</v>
      </c>
      <c r="Q865">
        <f t="shared" si="193"/>
        <v>0</v>
      </c>
      <c r="R865">
        <f t="shared" si="194"/>
        <v>20.05</v>
      </c>
      <c r="S865">
        <f t="shared" si="195"/>
        <v>0</v>
      </c>
    </row>
    <row r="866" spans="1:19" x14ac:dyDescent="0.3">
      <c r="A866" s="1">
        <v>41971</v>
      </c>
      <c r="B866" s="1">
        <v>41994</v>
      </c>
      <c r="C866">
        <v>8.83</v>
      </c>
      <c r="D866">
        <v>0.23</v>
      </c>
      <c r="E866">
        <v>2</v>
      </c>
      <c r="F866">
        <f t="shared" si="182"/>
        <v>9.06</v>
      </c>
      <c r="G866">
        <f t="shared" si="183"/>
        <v>11</v>
      </c>
      <c r="H866">
        <f t="shared" si="184"/>
        <v>0</v>
      </c>
      <c r="I866">
        <f t="shared" si="185"/>
        <v>0</v>
      </c>
      <c r="J866">
        <f t="shared" si="186"/>
        <v>0</v>
      </c>
      <c r="K866">
        <f t="shared" si="187"/>
        <v>0</v>
      </c>
      <c r="L866">
        <f t="shared" si="188"/>
        <v>0</v>
      </c>
      <c r="M866">
        <f t="shared" si="189"/>
        <v>0</v>
      </c>
      <c r="N866">
        <f t="shared" si="190"/>
        <v>0</v>
      </c>
      <c r="O866">
        <f t="shared" si="191"/>
        <v>0</v>
      </c>
      <c r="P866">
        <f t="shared" si="192"/>
        <v>0</v>
      </c>
      <c r="Q866">
        <f t="shared" si="193"/>
        <v>0</v>
      </c>
      <c r="R866">
        <f t="shared" si="194"/>
        <v>9.06</v>
      </c>
      <c r="S866">
        <f t="shared" si="195"/>
        <v>0</v>
      </c>
    </row>
    <row r="867" spans="1:19" x14ac:dyDescent="0.3">
      <c r="A867" s="1">
        <v>41971</v>
      </c>
      <c r="B867" s="1">
        <v>41994</v>
      </c>
      <c r="C867">
        <v>5.64</v>
      </c>
      <c r="D867">
        <v>0.15</v>
      </c>
      <c r="E867">
        <v>3</v>
      </c>
      <c r="F867">
        <f t="shared" si="182"/>
        <v>5.79</v>
      </c>
      <c r="G867">
        <f t="shared" si="183"/>
        <v>11</v>
      </c>
      <c r="H867">
        <f t="shared" si="184"/>
        <v>0</v>
      </c>
      <c r="I867">
        <f t="shared" si="185"/>
        <v>0</v>
      </c>
      <c r="J867">
        <f t="shared" si="186"/>
        <v>0</v>
      </c>
      <c r="K867">
        <f t="shared" si="187"/>
        <v>0</v>
      </c>
      <c r="L867">
        <f t="shared" si="188"/>
        <v>0</v>
      </c>
      <c r="M867">
        <f t="shared" si="189"/>
        <v>0</v>
      </c>
      <c r="N867">
        <f t="shared" si="190"/>
        <v>0</v>
      </c>
      <c r="O867">
        <f t="shared" si="191"/>
        <v>0</v>
      </c>
      <c r="P867">
        <f t="shared" si="192"/>
        <v>0</v>
      </c>
      <c r="Q867">
        <f t="shared" si="193"/>
        <v>0</v>
      </c>
      <c r="R867">
        <f t="shared" si="194"/>
        <v>5.79</v>
      </c>
      <c r="S867">
        <f t="shared" si="195"/>
        <v>0</v>
      </c>
    </row>
    <row r="868" spans="1:19" x14ac:dyDescent="0.3">
      <c r="A868" s="1">
        <v>41971</v>
      </c>
      <c r="B868" s="1">
        <v>41995</v>
      </c>
      <c r="C868">
        <v>8.89</v>
      </c>
      <c r="D868">
        <v>0.23</v>
      </c>
      <c r="E868">
        <v>4</v>
      </c>
      <c r="F868">
        <f t="shared" si="182"/>
        <v>9.120000000000001</v>
      </c>
      <c r="G868">
        <f t="shared" si="183"/>
        <v>11</v>
      </c>
      <c r="H868">
        <f t="shared" si="184"/>
        <v>0</v>
      </c>
      <c r="I868">
        <f t="shared" si="185"/>
        <v>0</v>
      </c>
      <c r="J868">
        <f t="shared" si="186"/>
        <v>0</v>
      </c>
      <c r="K868">
        <f t="shared" si="187"/>
        <v>0</v>
      </c>
      <c r="L868">
        <f t="shared" si="188"/>
        <v>0</v>
      </c>
      <c r="M868">
        <f t="shared" si="189"/>
        <v>0</v>
      </c>
      <c r="N868">
        <f t="shared" si="190"/>
        <v>0</v>
      </c>
      <c r="O868">
        <f t="shared" si="191"/>
        <v>0</v>
      </c>
      <c r="P868">
        <f t="shared" si="192"/>
        <v>0</v>
      </c>
      <c r="Q868">
        <f t="shared" si="193"/>
        <v>0</v>
      </c>
      <c r="R868">
        <f t="shared" si="194"/>
        <v>9.120000000000001</v>
      </c>
      <c r="S868">
        <f t="shared" si="195"/>
        <v>0</v>
      </c>
    </row>
    <row r="869" spans="1:19" x14ac:dyDescent="0.3">
      <c r="A869" s="1">
        <v>41971</v>
      </c>
      <c r="B869" s="1">
        <v>41981</v>
      </c>
      <c r="C869">
        <v>16.829999999999998</v>
      </c>
      <c r="D869">
        <v>0.44</v>
      </c>
      <c r="E869">
        <v>2</v>
      </c>
      <c r="F869">
        <f t="shared" si="182"/>
        <v>17.27</v>
      </c>
      <c r="G869">
        <f t="shared" si="183"/>
        <v>11</v>
      </c>
      <c r="H869">
        <f t="shared" si="184"/>
        <v>0</v>
      </c>
      <c r="I869">
        <f t="shared" si="185"/>
        <v>0</v>
      </c>
      <c r="J869">
        <f t="shared" si="186"/>
        <v>0</v>
      </c>
      <c r="K869">
        <f t="shared" si="187"/>
        <v>0</v>
      </c>
      <c r="L869">
        <f t="shared" si="188"/>
        <v>0</v>
      </c>
      <c r="M869">
        <f t="shared" si="189"/>
        <v>0</v>
      </c>
      <c r="N869">
        <f t="shared" si="190"/>
        <v>0</v>
      </c>
      <c r="O869">
        <f t="shared" si="191"/>
        <v>0</v>
      </c>
      <c r="P869">
        <f t="shared" si="192"/>
        <v>0</v>
      </c>
      <c r="Q869">
        <f t="shared" si="193"/>
        <v>0</v>
      </c>
      <c r="R869">
        <f t="shared" si="194"/>
        <v>17.27</v>
      </c>
      <c r="S869">
        <f t="shared" si="195"/>
        <v>0</v>
      </c>
    </row>
    <row r="870" spans="1:19" x14ac:dyDescent="0.3">
      <c r="A870" s="1">
        <v>41971</v>
      </c>
      <c r="B870" s="1">
        <v>41982</v>
      </c>
      <c r="C870">
        <v>11.42</v>
      </c>
      <c r="D870">
        <v>0.3</v>
      </c>
      <c r="E870">
        <v>2</v>
      </c>
      <c r="F870">
        <f t="shared" si="182"/>
        <v>11.72</v>
      </c>
      <c r="G870">
        <f t="shared" si="183"/>
        <v>11</v>
      </c>
      <c r="H870">
        <f t="shared" si="184"/>
        <v>0</v>
      </c>
      <c r="I870">
        <f t="shared" si="185"/>
        <v>0</v>
      </c>
      <c r="J870">
        <f t="shared" si="186"/>
        <v>0</v>
      </c>
      <c r="K870">
        <f t="shared" si="187"/>
        <v>0</v>
      </c>
      <c r="L870">
        <f t="shared" si="188"/>
        <v>0</v>
      </c>
      <c r="M870">
        <f t="shared" si="189"/>
        <v>0</v>
      </c>
      <c r="N870">
        <f t="shared" si="190"/>
        <v>0</v>
      </c>
      <c r="O870">
        <f t="shared" si="191"/>
        <v>0</v>
      </c>
      <c r="P870">
        <f t="shared" si="192"/>
        <v>0</v>
      </c>
      <c r="Q870">
        <f t="shared" si="193"/>
        <v>0</v>
      </c>
      <c r="R870">
        <f t="shared" si="194"/>
        <v>11.72</v>
      </c>
      <c r="S870">
        <f t="shared" si="195"/>
        <v>0</v>
      </c>
    </row>
    <row r="871" spans="1:19" x14ac:dyDescent="0.3">
      <c r="A871" s="1">
        <v>41972</v>
      </c>
      <c r="B871" s="1">
        <v>41979</v>
      </c>
      <c r="C871">
        <v>5.64</v>
      </c>
      <c r="D871">
        <v>0.15</v>
      </c>
      <c r="E871">
        <v>3</v>
      </c>
      <c r="F871">
        <f t="shared" si="182"/>
        <v>5.79</v>
      </c>
      <c r="G871">
        <f t="shared" si="183"/>
        <v>11</v>
      </c>
      <c r="H871">
        <f t="shared" si="184"/>
        <v>0</v>
      </c>
      <c r="I871">
        <f t="shared" si="185"/>
        <v>0</v>
      </c>
      <c r="J871">
        <f t="shared" si="186"/>
        <v>0</v>
      </c>
      <c r="K871">
        <f t="shared" si="187"/>
        <v>0</v>
      </c>
      <c r="L871">
        <f t="shared" si="188"/>
        <v>0</v>
      </c>
      <c r="M871">
        <f t="shared" si="189"/>
        <v>0</v>
      </c>
      <c r="N871">
        <f t="shared" si="190"/>
        <v>0</v>
      </c>
      <c r="O871">
        <f t="shared" si="191"/>
        <v>0</v>
      </c>
      <c r="P871">
        <f t="shared" si="192"/>
        <v>0</v>
      </c>
      <c r="Q871">
        <f t="shared" si="193"/>
        <v>0</v>
      </c>
      <c r="R871">
        <f t="shared" si="194"/>
        <v>5.79</v>
      </c>
      <c r="S871">
        <f t="shared" si="195"/>
        <v>0</v>
      </c>
    </row>
    <row r="872" spans="1:19" x14ac:dyDescent="0.3">
      <c r="A872" s="1">
        <v>41974</v>
      </c>
      <c r="B872" s="1">
        <v>41985</v>
      </c>
      <c r="C872">
        <v>8.7200000000000006</v>
      </c>
      <c r="D872">
        <v>0.23</v>
      </c>
      <c r="E872">
        <v>6</v>
      </c>
      <c r="F872">
        <f t="shared" si="182"/>
        <v>8.9500000000000011</v>
      </c>
      <c r="G872">
        <f t="shared" si="183"/>
        <v>12</v>
      </c>
      <c r="H872">
        <f t="shared" si="184"/>
        <v>0</v>
      </c>
      <c r="I872">
        <f t="shared" si="185"/>
        <v>0</v>
      </c>
      <c r="J872">
        <f t="shared" si="186"/>
        <v>0</v>
      </c>
      <c r="K872">
        <f t="shared" si="187"/>
        <v>0</v>
      </c>
      <c r="L872">
        <f t="shared" si="188"/>
        <v>0</v>
      </c>
      <c r="M872">
        <f t="shared" si="189"/>
        <v>0</v>
      </c>
      <c r="N872">
        <f t="shared" si="190"/>
        <v>0</v>
      </c>
      <c r="O872">
        <f t="shared" si="191"/>
        <v>0</v>
      </c>
      <c r="P872">
        <f t="shared" si="192"/>
        <v>0</v>
      </c>
      <c r="Q872">
        <f t="shared" si="193"/>
        <v>0</v>
      </c>
      <c r="R872">
        <f t="shared" si="194"/>
        <v>0</v>
      </c>
      <c r="S872">
        <f t="shared" si="195"/>
        <v>8.9500000000000011</v>
      </c>
    </row>
    <row r="873" spans="1:19" x14ac:dyDescent="0.3">
      <c r="A873" s="1">
        <v>41974</v>
      </c>
      <c r="B873" s="1">
        <v>41994</v>
      </c>
      <c r="C873">
        <v>5.67</v>
      </c>
      <c r="D873">
        <v>0.15</v>
      </c>
      <c r="E873">
        <v>5</v>
      </c>
      <c r="F873">
        <f t="shared" si="182"/>
        <v>5.82</v>
      </c>
      <c r="G873">
        <f t="shared" si="183"/>
        <v>12</v>
      </c>
      <c r="H873">
        <f t="shared" si="184"/>
        <v>0</v>
      </c>
      <c r="I873">
        <f t="shared" si="185"/>
        <v>0</v>
      </c>
      <c r="J873">
        <f t="shared" si="186"/>
        <v>0</v>
      </c>
      <c r="K873">
        <f t="shared" si="187"/>
        <v>0</v>
      </c>
      <c r="L873">
        <f t="shared" si="188"/>
        <v>0</v>
      </c>
      <c r="M873">
        <f t="shared" si="189"/>
        <v>0</v>
      </c>
      <c r="N873">
        <f t="shared" si="190"/>
        <v>0</v>
      </c>
      <c r="O873">
        <f t="shared" si="191"/>
        <v>0</v>
      </c>
      <c r="P873">
        <f t="shared" si="192"/>
        <v>0</v>
      </c>
      <c r="Q873">
        <f t="shared" si="193"/>
        <v>0</v>
      </c>
      <c r="R873">
        <f t="shared" si="194"/>
        <v>0</v>
      </c>
      <c r="S873">
        <f t="shared" si="195"/>
        <v>5.82</v>
      </c>
    </row>
    <row r="874" spans="1:19" x14ac:dyDescent="0.3">
      <c r="A874" s="1">
        <v>41974</v>
      </c>
      <c r="B874" s="1">
        <v>41995</v>
      </c>
      <c r="C874">
        <v>3.88</v>
      </c>
      <c r="D874">
        <v>0.1</v>
      </c>
      <c r="E874">
        <v>5</v>
      </c>
      <c r="F874">
        <f t="shared" si="182"/>
        <v>3.98</v>
      </c>
      <c r="G874">
        <f t="shared" si="183"/>
        <v>12</v>
      </c>
      <c r="H874">
        <f t="shared" si="184"/>
        <v>0</v>
      </c>
      <c r="I874">
        <f t="shared" si="185"/>
        <v>0</v>
      </c>
      <c r="J874">
        <f t="shared" si="186"/>
        <v>0</v>
      </c>
      <c r="K874">
        <f t="shared" si="187"/>
        <v>0</v>
      </c>
      <c r="L874">
        <f t="shared" si="188"/>
        <v>0</v>
      </c>
      <c r="M874">
        <f t="shared" si="189"/>
        <v>0</v>
      </c>
      <c r="N874">
        <f t="shared" si="190"/>
        <v>0</v>
      </c>
      <c r="O874">
        <f t="shared" si="191"/>
        <v>0</v>
      </c>
      <c r="P874">
        <f t="shared" si="192"/>
        <v>0</v>
      </c>
      <c r="Q874">
        <f t="shared" si="193"/>
        <v>0</v>
      </c>
      <c r="R874">
        <f t="shared" si="194"/>
        <v>0</v>
      </c>
      <c r="S874">
        <f t="shared" si="195"/>
        <v>3.98</v>
      </c>
    </row>
    <row r="875" spans="1:19" x14ac:dyDescent="0.3">
      <c r="A875" s="1">
        <v>41974</v>
      </c>
      <c r="B875" s="1">
        <v>41989</v>
      </c>
      <c r="C875">
        <v>6.58</v>
      </c>
      <c r="D875">
        <v>0.17</v>
      </c>
      <c r="E875">
        <v>5</v>
      </c>
      <c r="F875">
        <f t="shared" si="182"/>
        <v>6.75</v>
      </c>
      <c r="G875">
        <f t="shared" si="183"/>
        <v>12</v>
      </c>
      <c r="H875">
        <f t="shared" si="184"/>
        <v>0</v>
      </c>
      <c r="I875">
        <f t="shared" si="185"/>
        <v>0</v>
      </c>
      <c r="J875">
        <f t="shared" si="186"/>
        <v>0</v>
      </c>
      <c r="K875">
        <f t="shared" si="187"/>
        <v>0</v>
      </c>
      <c r="L875">
        <f t="shared" si="188"/>
        <v>0</v>
      </c>
      <c r="M875">
        <f t="shared" si="189"/>
        <v>0</v>
      </c>
      <c r="N875">
        <f t="shared" si="190"/>
        <v>0</v>
      </c>
      <c r="O875">
        <f t="shared" si="191"/>
        <v>0</v>
      </c>
      <c r="P875">
        <f t="shared" si="192"/>
        <v>0</v>
      </c>
      <c r="Q875">
        <f t="shared" si="193"/>
        <v>0</v>
      </c>
      <c r="R875">
        <f t="shared" si="194"/>
        <v>0</v>
      </c>
      <c r="S875">
        <f t="shared" si="195"/>
        <v>6.75</v>
      </c>
    </row>
    <row r="876" spans="1:19" x14ac:dyDescent="0.3">
      <c r="A876" s="1">
        <v>41974</v>
      </c>
      <c r="B876" s="1">
        <v>41994</v>
      </c>
      <c r="C876">
        <v>5.67</v>
      </c>
      <c r="D876">
        <v>0.15</v>
      </c>
      <c r="E876">
        <v>2</v>
      </c>
      <c r="F876">
        <f t="shared" si="182"/>
        <v>5.82</v>
      </c>
      <c r="G876">
        <f t="shared" si="183"/>
        <v>12</v>
      </c>
      <c r="H876">
        <f t="shared" si="184"/>
        <v>0</v>
      </c>
      <c r="I876">
        <f t="shared" si="185"/>
        <v>0</v>
      </c>
      <c r="J876">
        <f t="shared" si="186"/>
        <v>0</v>
      </c>
      <c r="K876">
        <f t="shared" si="187"/>
        <v>0</v>
      </c>
      <c r="L876">
        <f t="shared" si="188"/>
        <v>0</v>
      </c>
      <c r="M876">
        <f t="shared" si="189"/>
        <v>0</v>
      </c>
      <c r="N876">
        <f t="shared" si="190"/>
        <v>0</v>
      </c>
      <c r="O876">
        <f t="shared" si="191"/>
        <v>0</v>
      </c>
      <c r="P876">
        <f t="shared" si="192"/>
        <v>0</v>
      </c>
      <c r="Q876">
        <f t="shared" si="193"/>
        <v>0</v>
      </c>
      <c r="R876">
        <f t="shared" si="194"/>
        <v>0</v>
      </c>
      <c r="S876">
        <f t="shared" si="195"/>
        <v>5.82</v>
      </c>
    </row>
    <row r="877" spans="1:19" x14ac:dyDescent="0.3">
      <c r="A877" s="1">
        <v>41974</v>
      </c>
      <c r="B877" s="1">
        <v>41994</v>
      </c>
      <c r="C877">
        <v>6.34</v>
      </c>
      <c r="D877">
        <v>0.17</v>
      </c>
      <c r="E877">
        <v>6</v>
      </c>
      <c r="F877">
        <f t="shared" si="182"/>
        <v>6.51</v>
      </c>
      <c r="G877">
        <f t="shared" si="183"/>
        <v>12</v>
      </c>
      <c r="H877">
        <f t="shared" si="184"/>
        <v>0</v>
      </c>
      <c r="I877">
        <f t="shared" si="185"/>
        <v>0</v>
      </c>
      <c r="J877">
        <f t="shared" si="186"/>
        <v>0</v>
      </c>
      <c r="K877">
        <f t="shared" si="187"/>
        <v>0</v>
      </c>
      <c r="L877">
        <f t="shared" si="188"/>
        <v>0</v>
      </c>
      <c r="M877">
        <f t="shared" si="189"/>
        <v>0</v>
      </c>
      <c r="N877">
        <f t="shared" si="190"/>
        <v>0</v>
      </c>
      <c r="O877">
        <f t="shared" si="191"/>
        <v>0</v>
      </c>
      <c r="P877">
        <f t="shared" si="192"/>
        <v>0</v>
      </c>
      <c r="Q877">
        <f t="shared" si="193"/>
        <v>0</v>
      </c>
      <c r="R877">
        <f t="shared" si="194"/>
        <v>0</v>
      </c>
      <c r="S877">
        <f t="shared" si="195"/>
        <v>6.51</v>
      </c>
    </row>
    <row r="878" spans="1:19" x14ac:dyDescent="0.3">
      <c r="A878" s="1">
        <v>41974</v>
      </c>
      <c r="B878" s="1">
        <v>41985</v>
      </c>
      <c r="C878">
        <v>6.58</v>
      </c>
      <c r="D878">
        <v>0.17</v>
      </c>
      <c r="E878">
        <v>6</v>
      </c>
      <c r="F878">
        <f t="shared" si="182"/>
        <v>6.75</v>
      </c>
      <c r="G878">
        <f t="shared" si="183"/>
        <v>12</v>
      </c>
      <c r="H878">
        <f t="shared" si="184"/>
        <v>0</v>
      </c>
      <c r="I878">
        <f t="shared" si="185"/>
        <v>0</v>
      </c>
      <c r="J878">
        <f t="shared" si="186"/>
        <v>0</v>
      </c>
      <c r="K878">
        <f t="shared" si="187"/>
        <v>0</v>
      </c>
      <c r="L878">
        <f t="shared" si="188"/>
        <v>0</v>
      </c>
      <c r="M878">
        <f t="shared" si="189"/>
        <v>0</v>
      </c>
      <c r="N878">
        <f t="shared" si="190"/>
        <v>0</v>
      </c>
      <c r="O878">
        <f t="shared" si="191"/>
        <v>0</v>
      </c>
      <c r="P878">
        <f t="shared" si="192"/>
        <v>0</v>
      </c>
      <c r="Q878">
        <f t="shared" si="193"/>
        <v>0</v>
      </c>
      <c r="R878">
        <f t="shared" si="194"/>
        <v>0</v>
      </c>
      <c r="S878">
        <f t="shared" si="195"/>
        <v>6.75</v>
      </c>
    </row>
    <row r="879" spans="1:19" x14ac:dyDescent="0.3">
      <c r="A879" s="1">
        <v>41975</v>
      </c>
      <c r="B879" s="1">
        <v>41977</v>
      </c>
      <c r="C879">
        <v>5.67</v>
      </c>
      <c r="D879">
        <v>0.15</v>
      </c>
      <c r="E879">
        <v>3</v>
      </c>
      <c r="F879">
        <f t="shared" si="182"/>
        <v>5.82</v>
      </c>
      <c r="G879">
        <f t="shared" si="183"/>
        <v>12</v>
      </c>
      <c r="H879">
        <f t="shared" si="184"/>
        <v>0</v>
      </c>
      <c r="I879">
        <f t="shared" si="185"/>
        <v>0</v>
      </c>
      <c r="J879">
        <f t="shared" si="186"/>
        <v>0</v>
      </c>
      <c r="K879">
        <f t="shared" si="187"/>
        <v>0</v>
      </c>
      <c r="L879">
        <f t="shared" si="188"/>
        <v>0</v>
      </c>
      <c r="M879">
        <f t="shared" si="189"/>
        <v>0</v>
      </c>
      <c r="N879">
        <f t="shared" si="190"/>
        <v>0</v>
      </c>
      <c r="O879">
        <f t="shared" si="191"/>
        <v>0</v>
      </c>
      <c r="P879">
        <f t="shared" si="192"/>
        <v>0</v>
      </c>
      <c r="Q879">
        <f t="shared" si="193"/>
        <v>0</v>
      </c>
      <c r="R879">
        <f t="shared" si="194"/>
        <v>0</v>
      </c>
      <c r="S879">
        <f t="shared" si="195"/>
        <v>5.82</v>
      </c>
    </row>
    <row r="880" spans="1:19" x14ac:dyDescent="0.3">
      <c r="A880" s="1">
        <v>41975</v>
      </c>
      <c r="B880" s="1">
        <v>41981</v>
      </c>
      <c r="C880">
        <v>4.25</v>
      </c>
      <c r="D880">
        <v>0.11</v>
      </c>
      <c r="E880">
        <v>3</v>
      </c>
      <c r="F880">
        <f t="shared" si="182"/>
        <v>4.3600000000000003</v>
      </c>
      <c r="G880">
        <f t="shared" si="183"/>
        <v>12</v>
      </c>
      <c r="H880">
        <f t="shared" si="184"/>
        <v>0</v>
      </c>
      <c r="I880">
        <f t="shared" si="185"/>
        <v>0</v>
      </c>
      <c r="J880">
        <f t="shared" si="186"/>
        <v>0</v>
      </c>
      <c r="K880">
        <f t="shared" si="187"/>
        <v>0</v>
      </c>
      <c r="L880">
        <f t="shared" si="188"/>
        <v>0</v>
      </c>
      <c r="M880">
        <f t="shared" si="189"/>
        <v>0</v>
      </c>
      <c r="N880">
        <f t="shared" si="190"/>
        <v>0</v>
      </c>
      <c r="O880">
        <f t="shared" si="191"/>
        <v>0</v>
      </c>
      <c r="P880">
        <f t="shared" si="192"/>
        <v>0</v>
      </c>
      <c r="Q880">
        <f t="shared" si="193"/>
        <v>0</v>
      </c>
      <c r="R880">
        <f t="shared" si="194"/>
        <v>0</v>
      </c>
      <c r="S880">
        <f t="shared" si="195"/>
        <v>4.3600000000000003</v>
      </c>
    </row>
    <row r="881" spans="1:19" x14ac:dyDescent="0.3">
      <c r="A881" s="1">
        <v>41975</v>
      </c>
      <c r="B881" s="1">
        <v>41992</v>
      </c>
      <c r="C881">
        <v>8.84</v>
      </c>
      <c r="D881">
        <v>0.23</v>
      </c>
      <c r="E881">
        <v>3</v>
      </c>
      <c r="F881">
        <f t="shared" si="182"/>
        <v>9.07</v>
      </c>
      <c r="G881">
        <f t="shared" si="183"/>
        <v>12</v>
      </c>
      <c r="H881">
        <f t="shared" si="184"/>
        <v>0</v>
      </c>
      <c r="I881">
        <f t="shared" si="185"/>
        <v>0</v>
      </c>
      <c r="J881">
        <f t="shared" si="186"/>
        <v>0</v>
      </c>
      <c r="K881">
        <f t="shared" si="187"/>
        <v>0</v>
      </c>
      <c r="L881">
        <f t="shared" si="188"/>
        <v>0</v>
      </c>
      <c r="M881">
        <f t="shared" si="189"/>
        <v>0</v>
      </c>
      <c r="N881">
        <f t="shared" si="190"/>
        <v>0</v>
      </c>
      <c r="O881">
        <f t="shared" si="191"/>
        <v>0</v>
      </c>
      <c r="P881">
        <f t="shared" si="192"/>
        <v>0</v>
      </c>
      <c r="Q881">
        <f t="shared" si="193"/>
        <v>0</v>
      </c>
      <c r="R881">
        <f t="shared" si="194"/>
        <v>0</v>
      </c>
      <c r="S881">
        <f t="shared" si="195"/>
        <v>9.07</v>
      </c>
    </row>
    <row r="882" spans="1:19" x14ac:dyDescent="0.3">
      <c r="A882" s="1">
        <v>41975</v>
      </c>
      <c r="B882" s="1">
        <v>41990</v>
      </c>
      <c r="C882">
        <v>3.57</v>
      </c>
      <c r="D882">
        <v>0.09</v>
      </c>
      <c r="E882">
        <v>5</v>
      </c>
      <c r="F882">
        <f t="shared" si="182"/>
        <v>3.6599999999999997</v>
      </c>
      <c r="G882">
        <f t="shared" si="183"/>
        <v>12</v>
      </c>
      <c r="H882">
        <f t="shared" si="184"/>
        <v>0</v>
      </c>
      <c r="I882">
        <f t="shared" si="185"/>
        <v>0</v>
      </c>
      <c r="J882">
        <f t="shared" si="186"/>
        <v>0</v>
      </c>
      <c r="K882">
        <f t="shared" si="187"/>
        <v>0</v>
      </c>
      <c r="L882">
        <f t="shared" si="188"/>
        <v>0</v>
      </c>
      <c r="M882">
        <f t="shared" si="189"/>
        <v>0</v>
      </c>
      <c r="N882">
        <f t="shared" si="190"/>
        <v>0</v>
      </c>
      <c r="O882">
        <f t="shared" si="191"/>
        <v>0</v>
      </c>
      <c r="P882">
        <f t="shared" si="192"/>
        <v>0</v>
      </c>
      <c r="Q882">
        <f t="shared" si="193"/>
        <v>0</v>
      </c>
      <c r="R882">
        <f t="shared" si="194"/>
        <v>0</v>
      </c>
      <c r="S882">
        <f t="shared" si="195"/>
        <v>3.6599999999999997</v>
      </c>
    </row>
    <row r="883" spans="1:19" x14ac:dyDescent="0.3">
      <c r="A883" s="1">
        <v>41975</v>
      </c>
      <c r="B883" s="1">
        <v>41990</v>
      </c>
      <c r="C883">
        <v>2.0099999999999998</v>
      </c>
      <c r="D883">
        <v>0.05</v>
      </c>
      <c r="E883">
        <v>2</v>
      </c>
      <c r="F883">
        <f t="shared" si="182"/>
        <v>2.0599999999999996</v>
      </c>
      <c r="G883">
        <f t="shared" si="183"/>
        <v>12</v>
      </c>
      <c r="H883">
        <f t="shared" si="184"/>
        <v>0</v>
      </c>
      <c r="I883">
        <f t="shared" si="185"/>
        <v>0</v>
      </c>
      <c r="J883">
        <f t="shared" si="186"/>
        <v>0</v>
      </c>
      <c r="K883">
        <f t="shared" si="187"/>
        <v>0</v>
      </c>
      <c r="L883">
        <f t="shared" si="188"/>
        <v>0</v>
      </c>
      <c r="M883">
        <f t="shared" si="189"/>
        <v>0</v>
      </c>
      <c r="N883">
        <f t="shared" si="190"/>
        <v>0</v>
      </c>
      <c r="O883">
        <f t="shared" si="191"/>
        <v>0</v>
      </c>
      <c r="P883">
        <f t="shared" si="192"/>
        <v>0</v>
      </c>
      <c r="Q883">
        <f t="shared" si="193"/>
        <v>0</v>
      </c>
      <c r="R883">
        <f t="shared" si="194"/>
        <v>0</v>
      </c>
      <c r="S883">
        <f t="shared" si="195"/>
        <v>2.0599999999999996</v>
      </c>
    </row>
    <row r="884" spans="1:19" x14ac:dyDescent="0.3">
      <c r="A884" s="1">
        <v>41975</v>
      </c>
      <c r="B884" s="1">
        <v>41992</v>
      </c>
      <c r="C884">
        <v>3.73</v>
      </c>
      <c r="D884">
        <v>0.1</v>
      </c>
      <c r="E884">
        <v>3</v>
      </c>
      <c r="F884">
        <f t="shared" si="182"/>
        <v>3.83</v>
      </c>
      <c r="G884">
        <f t="shared" si="183"/>
        <v>12</v>
      </c>
      <c r="H884">
        <f t="shared" si="184"/>
        <v>0</v>
      </c>
      <c r="I884">
        <f t="shared" si="185"/>
        <v>0</v>
      </c>
      <c r="J884">
        <f t="shared" si="186"/>
        <v>0</v>
      </c>
      <c r="K884">
        <f t="shared" si="187"/>
        <v>0</v>
      </c>
      <c r="L884">
        <f t="shared" si="188"/>
        <v>0</v>
      </c>
      <c r="M884">
        <f t="shared" si="189"/>
        <v>0</v>
      </c>
      <c r="N884">
        <f t="shared" si="190"/>
        <v>0</v>
      </c>
      <c r="O884">
        <f t="shared" si="191"/>
        <v>0</v>
      </c>
      <c r="P884">
        <f t="shared" si="192"/>
        <v>0</v>
      </c>
      <c r="Q884">
        <f t="shared" si="193"/>
        <v>0</v>
      </c>
      <c r="R884">
        <f t="shared" si="194"/>
        <v>0</v>
      </c>
      <c r="S884">
        <f t="shared" si="195"/>
        <v>3.83</v>
      </c>
    </row>
    <row r="885" spans="1:19" x14ac:dyDescent="0.3">
      <c r="A885" s="1">
        <v>41976</v>
      </c>
      <c r="B885" s="1">
        <v>41978</v>
      </c>
      <c r="C885">
        <v>3.57</v>
      </c>
      <c r="D885">
        <v>0.09</v>
      </c>
      <c r="E885">
        <v>5</v>
      </c>
      <c r="F885">
        <f t="shared" si="182"/>
        <v>3.6599999999999997</v>
      </c>
      <c r="G885">
        <f t="shared" si="183"/>
        <v>12</v>
      </c>
      <c r="H885">
        <f t="shared" si="184"/>
        <v>0</v>
      </c>
      <c r="I885">
        <f t="shared" si="185"/>
        <v>0</v>
      </c>
      <c r="J885">
        <f t="shared" si="186"/>
        <v>0</v>
      </c>
      <c r="K885">
        <f t="shared" si="187"/>
        <v>0</v>
      </c>
      <c r="L885">
        <f t="shared" si="188"/>
        <v>0</v>
      </c>
      <c r="M885">
        <f t="shared" si="189"/>
        <v>0</v>
      </c>
      <c r="N885">
        <f t="shared" si="190"/>
        <v>0</v>
      </c>
      <c r="O885">
        <f t="shared" si="191"/>
        <v>0</v>
      </c>
      <c r="P885">
        <f t="shared" si="192"/>
        <v>0</v>
      </c>
      <c r="Q885">
        <f t="shared" si="193"/>
        <v>0</v>
      </c>
      <c r="R885">
        <f t="shared" si="194"/>
        <v>0</v>
      </c>
      <c r="S885">
        <f t="shared" si="195"/>
        <v>3.6599999999999997</v>
      </c>
    </row>
    <row r="886" spans="1:19" x14ac:dyDescent="0.3">
      <c r="A886" s="1">
        <v>41977</v>
      </c>
      <c r="B886" s="1">
        <v>41993</v>
      </c>
      <c r="C886">
        <v>6.58</v>
      </c>
      <c r="D886">
        <v>0.17</v>
      </c>
      <c r="E886">
        <v>4</v>
      </c>
      <c r="F886">
        <f t="shared" si="182"/>
        <v>6.75</v>
      </c>
      <c r="G886">
        <f t="shared" si="183"/>
        <v>12</v>
      </c>
      <c r="H886">
        <f t="shared" si="184"/>
        <v>0</v>
      </c>
      <c r="I886">
        <f t="shared" si="185"/>
        <v>0</v>
      </c>
      <c r="J886">
        <f t="shared" si="186"/>
        <v>0</v>
      </c>
      <c r="K886">
        <f t="shared" si="187"/>
        <v>0</v>
      </c>
      <c r="L886">
        <f t="shared" si="188"/>
        <v>0</v>
      </c>
      <c r="M886">
        <f t="shared" si="189"/>
        <v>0</v>
      </c>
      <c r="N886">
        <f t="shared" si="190"/>
        <v>0</v>
      </c>
      <c r="O886">
        <f t="shared" si="191"/>
        <v>0</v>
      </c>
      <c r="P886">
        <f t="shared" si="192"/>
        <v>0</v>
      </c>
      <c r="Q886">
        <f t="shared" si="193"/>
        <v>0</v>
      </c>
      <c r="R886">
        <f t="shared" si="194"/>
        <v>0</v>
      </c>
      <c r="S886">
        <f t="shared" si="195"/>
        <v>6.75</v>
      </c>
    </row>
    <row r="887" spans="1:19" x14ac:dyDescent="0.3">
      <c r="A887" s="1">
        <v>41977</v>
      </c>
      <c r="B887" s="1">
        <v>42005</v>
      </c>
      <c r="C887">
        <v>5.64</v>
      </c>
      <c r="D887">
        <v>0.15</v>
      </c>
      <c r="E887">
        <v>6</v>
      </c>
      <c r="F887">
        <f t="shared" si="182"/>
        <v>5.79</v>
      </c>
      <c r="G887">
        <f t="shared" si="183"/>
        <v>12</v>
      </c>
      <c r="H887">
        <f t="shared" si="184"/>
        <v>0</v>
      </c>
      <c r="I887">
        <f t="shared" si="185"/>
        <v>0</v>
      </c>
      <c r="J887">
        <f t="shared" si="186"/>
        <v>0</v>
      </c>
      <c r="K887">
        <f t="shared" si="187"/>
        <v>0</v>
      </c>
      <c r="L887">
        <f t="shared" si="188"/>
        <v>0</v>
      </c>
      <c r="M887">
        <f t="shared" si="189"/>
        <v>0</v>
      </c>
      <c r="N887">
        <f t="shared" si="190"/>
        <v>0</v>
      </c>
      <c r="O887">
        <f t="shared" si="191"/>
        <v>0</v>
      </c>
      <c r="P887">
        <f t="shared" si="192"/>
        <v>0</v>
      </c>
      <c r="Q887">
        <f t="shared" si="193"/>
        <v>0</v>
      </c>
      <c r="R887">
        <f t="shared" si="194"/>
        <v>0</v>
      </c>
      <c r="S887">
        <f t="shared" si="195"/>
        <v>5.79</v>
      </c>
    </row>
    <row r="888" spans="1:19" x14ac:dyDescent="0.3">
      <c r="A888" s="1">
        <v>41977</v>
      </c>
      <c r="B888" s="1">
        <v>41989</v>
      </c>
      <c r="C888">
        <v>3.88</v>
      </c>
      <c r="D888">
        <v>0.1</v>
      </c>
      <c r="E888">
        <v>2</v>
      </c>
      <c r="F888">
        <f t="shared" si="182"/>
        <v>3.98</v>
      </c>
      <c r="G888">
        <f t="shared" si="183"/>
        <v>12</v>
      </c>
      <c r="H888">
        <f t="shared" si="184"/>
        <v>0</v>
      </c>
      <c r="I888">
        <f t="shared" si="185"/>
        <v>0</v>
      </c>
      <c r="J888">
        <f t="shared" si="186"/>
        <v>0</v>
      </c>
      <c r="K888">
        <f t="shared" si="187"/>
        <v>0</v>
      </c>
      <c r="L888">
        <f t="shared" si="188"/>
        <v>0</v>
      </c>
      <c r="M888">
        <f t="shared" si="189"/>
        <v>0</v>
      </c>
      <c r="N888">
        <f t="shared" si="190"/>
        <v>0</v>
      </c>
      <c r="O888">
        <f t="shared" si="191"/>
        <v>0</v>
      </c>
      <c r="P888">
        <f t="shared" si="192"/>
        <v>0</v>
      </c>
      <c r="Q888">
        <f t="shared" si="193"/>
        <v>0</v>
      </c>
      <c r="R888">
        <f t="shared" si="194"/>
        <v>0</v>
      </c>
      <c r="S888">
        <f t="shared" si="195"/>
        <v>3.98</v>
      </c>
    </row>
    <row r="889" spans="1:19" x14ac:dyDescent="0.3">
      <c r="A889" s="1">
        <v>41977</v>
      </c>
      <c r="B889" s="1">
        <v>42000</v>
      </c>
      <c r="C889">
        <v>3.79</v>
      </c>
      <c r="D889">
        <v>0.1</v>
      </c>
      <c r="E889">
        <v>6</v>
      </c>
      <c r="F889">
        <f t="shared" si="182"/>
        <v>3.89</v>
      </c>
      <c r="G889">
        <f t="shared" si="183"/>
        <v>12</v>
      </c>
      <c r="H889">
        <f t="shared" si="184"/>
        <v>0</v>
      </c>
      <c r="I889">
        <f t="shared" si="185"/>
        <v>0</v>
      </c>
      <c r="J889">
        <f t="shared" si="186"/>
        <v>0</v>
      </c>
      <c r="K889">
        <f t="shared" si="187"/>
        <v>0</v>
      </c>
      <c r="L889">
        <f t="shared" si="188"/>
        <v>0</v>
      </c>
      <c r="M889">
        <f t="shared" si="189"/>
        <v>0</v>
      </c>
      <c r="N889">
        <f t="shared" si="190"/>
        <v>0</v>
      </c>
      <c r="O889">
        <f t="shared" si="191"/>
        <v>0</v>
      </c>
      <c r="P889">
        <f t="shared" si="192"/>
        <v>0</v>
      </c>
      <c r="Q889">
        <f t="shared" si="193"/>
        <v>0</v>
      </c>
      <c r="R889">
        <f t="shared" si="194"/>
        <v>0</v>
      </c>
      <c r="S889">
        <f t="shared" si="195"/>
        <v>3.89</v>
      </c>
    </row>
    <row r="890" spans="1:19" x14ac:dyDescent="0.3">
      <c r="A890" s="1">
        <v>41977</v>
      </c>
      <c r="B890" s="1">
        <v>41984</v>
      </c>
      <c r="C890">
        <v>11.37</v>
      </c>
      <c r="D890">
        <v>0.3</v>
      </c>
      <c r="E890">
        <v>2</v>
      </c>
      <c r="F890">
        <f t="shared" si="182"/>
        <v>11.67</v>
      </c>
      <c r="G890">
        <f t="shared" si="183"/>
        <v>12</v>
      </c>
      <c r="H890">
        <f t="shared" si="184"/>
        <v>0</v>
      </c>
      <c r="I890">
        <f t="shared" si="185"/>
        <v>0</v>
      </c>
      <c r="J890">
        <f t="shared" si="186"/>
        <v>0</v>
      </c>
      <c r="K890">
        <f t="shared" si="187"/>
        <v>0</v>
      </c>
      <c r="L890">
        <f t="shared" si="188"/>
        <v>0</v>
      </c>
      <c r="M890">
        <f t="shared" si="189"/>
        <v>0</v>
      </c>
      <c r="N890">
        <f t="shared" si="190"/>
        <v>0</v>
      </c>
      <c r="O890">
        <f t="shared" si="191"/>
        <v>0</v>
      </c>
      <c r="P890">
        <f t="shared" si="192"/>
        <v>0</v>
      </c>
      <c r="Q890">
        <f t="shared" si="193"/>
        <v>0</v>
      </c>
      <c r="R890">
        <f t="shared" si="194"/>
        <v>0</v>
      </c>
      <c r="S890">
        <f t="shared" si="195"/>
        <v>11.67</v>
      </c>
    </row>
    <row r="891" spans="1:19" x14ac:dyDescent="0.3">
      <c r="A891" s="1">
        <v>41977</v>
      </c>
      <c r="B891" s="1">
        <v>41994</v>
      </c>
      <c r="C891">
        <v>16.55</v>
      </c>
      <c r="D891">
        <v>0.44</v>
      </c>
      <c r="E891">
        <v>6</v>
      </c>
      <c r="F891">
        <f t="shared" si="182"/>
        <v>16.990000000000002</v>
      </c>
      <c r="G891">
        <f t="shared" si="183"/>
        <v>12</v>
      </c>
      <c r="H891">
        <f t="shared" si="184"/>
        <v>0</v>
      </c>
      <c r="I891">
        <f t="shared" si="185"/>
        <v>0</v>
      </c>
      <c r="J891">
        <f t="shared" si="186"/>
        <v>0</v>
      </c>
      <c r="K891">
        <f t="shared" si="187"/>
        <v>0</v>
      </c>
      <c r="L891">
        <f t="shared" si="188"/>
        <v>0</v>
      </c>
      <c r="M891">
        <f t="shared" si="189"/>
        <v>0</v>
      </c>
      <c r="N891">
        <f t="shared" si="190"/>
        <v>0</v>
      </c>
      <c r="O891">
        <f t="shared" si="191"/>
        <v>0</v>
      </c>
      <c r="P891">
        <f t="shared" si="192"/>
        <v>0</v>
      </c>
      <c r="Q891">
        <f t="shared" si="193"/>
        <v>0</v>
      </c>
      <c r="R891">
        <f t="shared" si="194"/>
        <v>0</v>
      </c>
      <c r="S891">
        <f t="shared" si="195"/>
        <v>16.990000000000002</v>
      </c>
    </row>
    <row r="892" spans="1:19" x14ac:dyDescent="0.3">
      <c r="A892" s="1">
        <v>41977</v>
      </c>
      <c r="B892" s="1">
        <v>42001</v>
      </c>
      <c r="C892">
        <v>6.88</v>
      </c>
      <c r="D892">
        <v>0.18</v>
      </c>
      <c r="E892">
        <v>4</v>
      </c>
      <c r="F892">
        <f t="shared" si="182"/>
        <v>7.06</v>
      </c>
      <c r="G892">
        <f t="shared" si="183"/>
        <v>12</v>
      </c>
      <c r="H892">
        <f t="shared" si="184"/>
        <v>0</v>
      </c>
      <c r="I892">
        <f t="shared" si="185"/>
        <v>0</v>
      </c>
      <c r="J892">
        <f t="shared" si="186"/>
        <v>0</v>
      </c>
      <c r="K892">
        <f t="shared" si="187"/>
        <v>0</v>
      </c>
      <c r="L892">
        <f t="shared" si="188"/>
        <v>0</v>
      </c>
      <c r="M892">
        <f t="shared" si="189"/>
        <v>0</v>
      </c>
      <c r="N892">
        <f t="shared" si="190"/>
        <v>0</v>
      </c>
      <c r="O892">
        <f t="shared" si="191"/>
        <v>0</v>
      </c>
      <c r="P892">
        <f t="shared" si="192"/>
        <v>0</v>
      </c>
      <c r="Q892">
        <f t="shared" si="193"/>
        <v>0</v>
      </c>
      <c r="R892">
        <f t="shared" si="194"/>
        <v>0</v>
      </c>
      <c r="S892">
        <f t="shared" si="195"/>
        <v>7.06</v>
      </c>
    </row>
    <row r="893" spans="1:19" x14ac:dyDescent="0.3">
      <c r="A893" s="1">
        <v>41982</v>
      </c>
      <c r="B893" s="1">
        <v>42001</v>
      </c>
      <c r="C893">
        <v>5.64</v>
      </c>
      <c r="D893">
        <v>0.15</v>
      </c>
      <c r="E893">
        <v>4</v>
      </c>
      <c r="F893">
        <f t="shared" si="182"/>
        <v>5.79</v>
      </c>
      <c r="G893">
        <f t="shared" si="183"/>
        <v>12</v>
      </c>
      <c r="H893">
        <f t="shared" si="184"/>
        <v>0</v>
      </c>
      <c r="I893">
        <f t="shared" si="185"/>
        <v>0</v>
      </c>
      <c r="J893">
        <f t="shared" si="186"/>
        <v>0</v>
      </c>
      <c r="K893">
        <f t="shared" si="187"/>
        <v>0</v>
      </c>
      <c r="L893">
        <f t="shared" si="188"/>
        <v>0</v>
      </c>
      <c r="M893">
        <f t="shared" si="189"/>
        <v>0</v>
      </c>
      <c r="N893">
        <f t="shared" si="190"/>
        <v>0</v>
      </c>
      <c r="O893">
        <f t="shared" si="191"/>
        <v>0</v>
      </c>
      <c r="P893">
        <f t="shared" si="192"/>
        <v>0</v>
      </c>
      <c r="Q893">
        <f t="shared" si="193"/>
        <v>0</v>
      </c>
      <c r="R893">
        <f t="shared" si="194"/>
        <v>0</v>
      </c>
      <c r="S893">
        <f t="shared" si="195"/>
        <v>5.79</v>
      </c>
    </row>
    <row r="894" spans="1:19" x14ac:dyDescent="0.3">
      <c r="A894" s="1">
        <v>41982</v>
      </c>
      <c r="B894" s="1">
        <v>42004</v>
      </c>
      <c r="C894">
        <v>3.57</v>
      </c>
      <c r="D894">
        <v>0.09</v>
      </c>
      <c r="E894">
        <v>4</v>
      </c>
      <c r="F894">
        <f t="shared" si="182"/>
        <v>3.6599999999999997</v>
      </c>
      <c r="G894">
        <f t="shared" si="183"/>
        <v>12</v>
      </c>
      <c r="H894">
        <f t="shared" si="184"/>
        <v>0</v>
      </c>
      <c r="I894">
        <f t="shared" si="185"/>
        <v>0</v>
      </c>
      <c r="J894">
        <f t="shared" si="186"/>
        <v>0</v>
      </c>
      <c r="K894">
        <f t="shared" si="187"/>
        <v>0</v>
      </c>
      <c r="L894">
        <f t="shared" si="188"/>
        <v>0</v>
      </c>
      <c r="M894">
        <f t="shared" si="189"/>
        <v>0</v>
      </c>
      <c r="N894">
        <f t="shared" si="190"/>
        <v>0</v>
      </c>
      <c r="O894">
        <f t="shared" si="191"/>
        <v>0</v>
      </c>
      <c r="P894">
        <f t="shared" si="192"/>
        <v>0</v>
      </c>
      <c r="Q894">
        <f t="shared" si="193"/>
        <v>0</v>
      </c>
      <c r="R894">
        <f t="shared" si="194"/>
        <v>0</v>
      </c>
      <c r="S894">
        <f t="shared" si="195"/>
        <v>3.6599999999999997</v>
      </c>
    </row>
    <row r="895" spans="1:19" x14ac:dyDescent="0.3">
      <c r="A895" s="1">
        <v>41982</v>
      </c>
      <c r="B895" s="1">
        <v>42007</v>
      </c>
      <c r="C895">
        <v>9.4600000000000009</v>
      </c>
      <c r="D895">
        <v>0.25</v>
      </c>
      <c r="E895">
        <v>6</v>
      </c>
      <c r="F895">
        <f t="shared" si="182"/>
        <v>9.7100000000000009</v>
      </c>
      <c r="G895">
        <f t="shared" si="183"/>
        <v>12</v>
      </c>
      <c r="H895">
        <f t="shared" si="184"/>
        <v>0</v>
      </c>
      <c r="I895">
        <f t="shared" si="185"/>
        <v>0</v>
      </c>
      <c r="J895">
        <f t="shared" si="186"/>
        <v>0</v>
      </c>
      <c r="K895">
        <f t="shared" si="187"/>
        <v>0</v>
      </c>
      <c r="L895">
        <f t="shared" si="188"/>
        <v>0</v>
      </c>
      <c r="M895">
        <f t="shared" si="189"/>
        <v>0</v>
      </c>
      <c r="N895">
        <f t="shared" si="190"/>
        <v>0</v>
      </c>
      <c r="O895">
        <f t="shared" si="191"/>
        <v>0</v>
      </c>
      <c r="P895">
        <f t="shared" si="192"/>
        <v>0</v>
      </c>
      <c r="Q895">
        <f t="shared" si="193"/>
        <v>0</v>
      </c>
      <c r="R895">
        <f t="shared" si="194"/>
        <v>0</v>
      </c>
      <c r="S895">
        <f t="shared" si="195"/>
        <v>9.7100000000000009</v>
      </c>
    </row>
    <row r="896" spans="1:19" x14ac:dyDescent="0.3">
      <c r="A896" s="1">
        <v>41982</v>
      </c>
      <c r="B896" s="1">
        <v>41992</v>
      </c>
      <c r="C896">
        <v>4.25</v>
      </c>
      <c r="D896">
        <v>0.11</v>
      </c>
      <c r="E896">
        <v>5</v>
      </c>
      <c r="F896">
        <f t="shared" si="182"/>
        <v>4.3600000000000003</v>
      </c>
      <c r="G896">
        <f t="shared" si="183"/>
        <v>12</v>
      </c>
      <c r="H896">
        <f t="shared" si="184"/>
        <v>0</v>
      </c>
      <c r="I896">
        <f t="shared" si="185"/>
        <v>0</v>
      </c>
      <c r="J896">
        <f t="shared" si="186"/>
        <v>0</v>
      </c>
      <c r="K896">
        <f t="shared" si="187"/>
        <v>0</v>
      </c>
      <c r="L896">
        <f t="shared" si="188"/>
        <v>0</v>
      </c>
      <c r="M896">
        <f t="shared" si="189"/>
        <v>0</v>
      </c>
      <c r="N896">
        <f t="shared" si="190"/>
        <v>0</v>
      </c>
      <c r="O896">
        <f t="shared" si="191"/>
        <v>0</v>
      </c>
      <c r="P896">
        <f t="shared" si="192"/>
        <v>0</v>
      </c>
      <c r="Q896">
        <f t="shared" si="193"/>
        <v>0</v>
      </c>
      <c r="R896">
        <f t="shared" si="194"/>
        <v>0</v>
      </c>
      <c r="S896">
        <f t="shared" si="195"/>
        <v>4.3600000000000003</v>
      </c>
    </row>
    <row r="897" spans="1:19" x14ac:dyDescent="0.3">
      <c r="A897" s="1">
        <v>41982</v>
      </c>
      <c r="B897" s="1">
        <v>41988</v>
      </c>
      <c r="C897">
        <v>5.67</v>
      </c>
      <c r="D897">
        <v>0.15</v>
      </c>
      <c r="E897">
        <v>5</v>
      </c>
      <c r="F897">
        <f t="shared" si="182"/>
        <v>5.82</v>
      </c>
      <c r="G897">
        <f t="shared" si="183"/>
        <v>12</v>
      </c>
      <c r="H897">
        <f t="shared" si="184"/>
        <v>0</v>
      </c>
      <c r="I897">
        <f t="shared" si="185"/>
        <v>0</v>
      </c>
      <c r="J897">
        <f t="shared" si="186"/>
        <v>0</v>
      </c>
      <c r="K897">
        <f t="shared" si="187"/>
        <v>0</v>
      </c>
      <c r="L897">
        <f t="shared" si="188"/>
        <v>0</v>
      </c>
      <c r="M897">
        <f t="shared" si="189"/>
        <v>0</v>
      </c>
      <c r="N897">
        <f t="shared" si="190"/>
        <v>0</v>
      </c>
      <c r="O897">
        <f t="shared" si="191"/>
        <v>0</v>
      </c>
      <c r="P897">
        <f t="shared" si="192"/>
        <v>0</v>
      </c>
      <c r="Q897">
        <f t="shared" si="193"/>
        <v>0</v>
      </c>
      <c r="R897">
        <f t="shared" si="194"/>
        <v>0</v>
      </c>
      <c r="S897">
        <f t="shared" si="195"/>
        <v>5.82</v>
      </c>
    </row>
    <row r="898" spans="1:19" x14ac:dyDescent="0.3">
      <c r="A898" s="1">
        <v>41982</v>
      </c>
      <c r="B898" s="1">
        <v>41999</v>
      </c>
      <c r="C898">
        <v>6.34</v>
      </c>
      <c r="D898">
        <v>0.17</v>
      </c>
      <c r="E898">
        <v>2</v>
      </c>
      <c r="F898">
        <f t="shared" si="182"/>
        <v>6.51</v>
      </c>
      <c r="G898">
        <f t="shared" si="183"/>
        <v>12</v>
      </c>
      <c r="H898">
        <f t="shared" si="184"/>
        <v>0</v>
      </c>
      <c r="I898">
        <f t="shared" si="185"/>
        <v>0</v>
      </c>
      <c r="J898">
        <f t="shared" si="186"/>
        <v>0</v>
      </c>
      <c r="K898">
        <f t="shared" si="187"/>
        <v>0</v>
      </c>
      <c r="L898">
        <f t="shared" si="188"/>
        <v>0</v>
      </c>
      <c r="M898">
        <f t="shared" si="189"/>
        <v>0</v>
      </c>
      <c r="N898">
        <f t="shared" si="190"/>
        <v>0</v>
      </c>
      <c r="O898">
        <f t="shared" si="191"/>
        <v>0</v>
      </c>
      <c r="P898">
        <f t="shared" si="192"/>
        <v>0</v>
      </c>
      <c r="Q898">
        <f t="shared" si="193"/>
        <v>0</v>
      </c>
      <c r="R898">
        <f t="shared" si="194"/>
        <v>0</v>
      </c>
      <c r="S898">
        <f t="shared" si="195"/>
        <v>6.51</v>
      </c>
    </row>
    <row r="899" spans="1:19" x14ac:dyDescent="0.3">
      <c r="A899" s="1">
        <v>41982</v>
      </c>
      <c r="B899" s="1">
        <v>41991</v>
      </c>
      <c r="C899">
        <v>14.13</v>
      </c>
      <c r="D899">
        <v>0.37</v>
      </c>
      <c r="E899">
        <v>6</v>
      </c>
      <c r="F899">
        <f t="shared" ref="F899:F962" si="196">C899+D899</f>
        <v>14.5</v>
      </c>
      <c r="G899">
        <f t="shared" ref="G899:G962" si="197">MONTH(A899)</f>
        <v>12</v>
      </c>
      <c r="H899">
        <f t="shared" ref="H899:H962" si="198">IF(EXACT(G899,1),F899,0)</f>
        <v>0</v>
      </c>
      <c r="I899">
        <f t="shared" ref="I899:I962" si="199">IF(EXACT(G899,2),F899,0)</f>
        <v>0</v>
      </c>
      <c r="J899">
        <f t="shared" ref="J899:J962" si="200">IF(EXACT(G899,3),F899,0)</f>
        <v>0</v>
      </c>
      <c r="K899">
        <f t="shared" ref="K899:K962" si="201">IF(EXACT(G899,4),F899,0)</f>
        <v>0</v>
      </c>
      <c r="L899">
        <f t="shared" ref="L899:L962" si="202">IF(EXACT(G899,5),F899,0)</f>
        <v>0</v>
      </c>
      <c r="M899">
        <f t="shared" ref="M899:M962" si="203">IF(EXACT(G899,6),F899,0)</f>
        <v>0</v>
      </c>
      <c r="N899">
        <f t="shared" ref="N899:N962" si="204">IF(EXACT(G899,7),F899,0)</f>
        <v>0</v>
      </c>
      <c r="O899">
        <f t="shared" ref="O899:O962" si="205">IF(EXACT(G899,8),F899,0)</f>
        <v>0</v>
      </c>
      <c r="P899">
        <f t="shared" ref="P899:P962" si="206">IF(EXACT(G899,9),F899,0)</f>
        <v>0</v>
      </c>
      <c r="Q899">
        <f t="shared" ref="Q899:Q962" si="207">IF(EXACT(G899,10),F899,0)</f>
        <v>0</v>
      </c>
      <c r="R899">
        <f t="shared" ref="R899:R962" si="208">IF(EXACT(G899,11),F899,0)</f>
        <v>0</v>
      </c>
      <c r="S899">
        <f t="shared" ref="S899:S962" si="209">IF(EXACT(G899,12),F899,0)</f>
        <v>14.5</v>
      </c>
    </row>
    <row r="900" spans="1:19" x14ac:dyDescent="0.3">
      <c r="A900" s="1">
        <v>41982</v>
      </c>
      <c r="B900" s="1">
        <v>42007</v>
      </c>
      <c r="C900">
        <v>8.83</v>
      </c>
      <c r="D900">
        <v>0.23</v>
      </c>
      <c r="E900">
        <v>5</v>
      </c>
      <c r="F900">
        <f t="shared" si="196"/>
        <v>9.06</v>
      </c>
      <c r="G900">
        <f t="shared" si="197"/>
        <v>12</v>
      </c>
      <c r="H900">
        <f t="shared" si="198"/>
        <v>0</v>
      </c>
      <c r="I900">
        <f t="shared" si="199"/>
        <v>0</v>
      </c>
      <c r="J900">
        <f t="shared" si="200"/>
        <v>0</v>
      </c>
      <c r="K900">
        <f t="shared" si="201"/>
        <v>0</v>
      </c>
      <c r="L900">
        <f t="shared" si="202"/>
        <v>0</v>
      </c>
      <c r="M900">
        <f t="shared" si="203"/>
        <v>0</v>
      </c>
      <c r="N900">
        <f t="shared" si="204"/>
        <v>0</v>
      </c>
      <c r="O900">
        <f t="shared" si="205"/>
        <v>0</v>
      </c>
      <c r="P900">
        <f t="shared" si="206"/>
        <v>0</v>
      </c>
      <c r="Q900">
        <f t="shared" si="207"/>
        <v>0</v>
      </c>
      <c r="R900">
        <f t="shared" si="208"/>
        <v>0</v>
      </c>
      <c r="S900">
        <f t="shared" si="209"/>
        <v>9.06</v>
      </c>
    </row>
    <row r="901" spans="1:19" x14ac:dyDescent="0.3">
      <c r="A901" s="1">
        <v>41982</v>
      </c>
      <c r="B901" s="1">
        <v>42003</v>
      </c>
      <c r="C901">
        <v>7.31</v>
      </c>
      <c r="D901">
        <v>0.19</v>
      </c>
      <c r="E901">
        <v>2</v>
      </c>
      <c r="F901">
        <f t="shared" si="196"/>
        <v>7.5</v>
      </c>
      <c r="G901">
        <f t="shared" si="197"/>
        <v>12</v>
      </c>
      <c r="H901">
        <f t="shared" si="198"/>
        <v>0</v>
      </c>
      <c r="I901">
        <f t="shared" si="199"/>
        <v>0</v>
      </c>
      <c r="J901">
        <f t="shared" si="200"/>
        <v>0</v>
      </c>
      <c r="K901">
        <f t="shared" si="201"/>
        <v>0</v>
      </c>
      <c r="L901">
        <f t="shared" si="202"/>
        <v>0</v>
      </c>
      <c r="M901">
        <f t="shared" si="203"/>
        <v>0</v>
      </c>
      <c r="N901">
        <f t="shared" si="204"/>
        <v>0</v>
      </c>
      <c r="O901">
        <f t="shared" si="205"/>
        <v>0</v>
      </c>
      <c r="P901">
        <f t="shared" si="206"/>
        <v>0</v>
      </c>
      <c r="Q901">
        <f t="shared" si="207"/>
        <v>0</v>
      </c>
      <c r="R901">
        <f t="shared" si="208"/>
        <v>0</v>
      </c>
      <c r="S901">
        <f t="shared" si="209"/>
        <v>7.5</v>
      </c>
    </row>
    <row r="902" spans="1:19" x14ac:dyDescent="0.3">
      <c r="A902" s="1">
        <v>41982</v>
      </c>
      <c r="B902" s="1">
        <v>41997</v>
      </c>
      <c r="C902">
        <v>9.74</v>
      </c>
      <c r="D902">
        <v>0.26</v>
      </c>
      <c r="E902">
        <v>6</v>
      </c>
      <c r="F902">
        <f t="shared" si="196"/>
        <v>10</v>
      </c>
      <c r="G902">
        <f t="shared" si="197"/>
        <v>12</v>
      </c>
      <c r="H902">
        <f t="shared" si="198"/>
        <v>0</v>
      </c>
      <c r="I902">
        <f t="shared" si="199"/>
        <v>0</v>
      </c>
      <c r="J902">
        <f t="shared" si="200"/>
        <v>0</v>
      </c>
      <c r="K902">
        <f t="shared" si="201"/>
        <v>0</v>
      </c>
      <c r="L902">
        <f t="shared" si="202"/>
        <v>0</v>
      </c>
      <c r="M902">
        <f t="shared" si="203"/>
        <v>0</v>
      </c>
      <c r="N902">
        <f t="shared" si="204"/>
        <v>0</v>
      </c>
      <c r="O902">
        <f t="shared" si="205"/>
        <v>0</v>
      </c>
      <c r="P902">
        <f t="shared" si="206"/>
        <v>0</v>
      </c>
      <c r="Q902">
        <f t="shared" si="207"/>
        <v>0</v>
      </c>
      <c r="R902">
        <f t="shared" si="208"/>
        <v>0</v>
      </c>
      <c r="S902">
        <f t="shared" si="209"/>
        <v>10</v>
      </c>
    </row>
    <row r="903" spans="1:19" x14ac:dyDescent="0.3">
      <c r="A903" s="1">
        <v>41982</v>
      </c>
      <c r="B903" s="1">
        <v>42006</v>
      </c>
      <c r="C903">
        <v>11.42</v>
      </c>
      <c r="D903">
        <v>0.3</v>
      </c>
      <c r="E903">
        <v>4</v>
      </c>
      <c r="F903">
        <f t="shared" si="196"/>
        <v>11.72</v>
      </c>
      <c r="G903">
        <f t="shared" si="197"/>
        <v>12</v>
      </c>
      <c r="H903">
        <f t="shared" si="198"/>
        <v>0</v>
      </c>
      <c r="I903">
        <f t="shared" si="199"/>
        <v>0</v>
      </c>
      <c r="J903">
        <f t="shared" si="200"/>
        <v>0</v>
      </c>
      <c r="K903">
        <f t="shared" si="201"/>
        <v>0</v>
      </c>
      <c r="L903">
        <f t="shared" si="202"/>
        <v>0</v>
      </c>
      <c r="M903">
        <f t="shared" si="203"/>
        <v>0</v>
      </c>
      <c r="N903">
        <f t="shared" si="204"/>
        <v>0</v>
      </c>
      <c r="O903">
        <f t="shared" si="205"/>
        <v>0</v>
      </c>
      <c r="P903">
        <f t="shared" si="206"/>
        <v>0</v>
      </c>
      <c r="Q903">
        <f t="shared" si="207"/>
        <v>0</v>
      </c>
      <c r="R903">
        <f t="shared" si="208"/>
        <v>0</v>
      </c>
      <c r="S903">
        <f t="shared" si="209"/>
        <v>11.72</v>
      </c>
    </row>
    <row r="904" spans="1:19" x14ac:dyDescent="0.3">
      <c r="A904" s="1">
        <v>41982</v>
      </c>
      <c r="B904" s="1">
        <v>41995</v>
      </c>
      <c r="C904">
        <v>11.44</v>
      </c>
      <c r="D904">
        <v>0.3</v>
      </c>
      <c r="E904">
        <v>4</v>
      </c>
      <c r="F904">
        <f t="shared" si="196"/>
        <v>11.74</v>
      </c>
      <c r="G904">
        <f t="shared" si="197"/>
        <v>12</v>
      </c>
      <c r="H904">
        <f t="shared" si="198"/>
        <v>0</v>
      </c>
      <c r="I904">
        <f t="shared" si="199"/>
        <v>0</v>
      </c>
      <c r="J904">
        <f t="shared" si="200"/>
        <v>0</v>
      </c>
      <c r="K904">
        <f t="shared" si="201"/>
        <v>0</v>
      </c>
      <c r="L904">
        <f t="shared" si="202"/>
        <v>0</v>
      </c>
      <c r="M904">
        <f t="shared" si="203"/>
        <v>0</v>
      </c>
      <c r="N904">
        <f t="shared" si="204"/>
        <v>0</v>
      </c>
      <c r="O904">
        <f t="shared" si="205"/>
        <v>0</v>
      </c>
      <c r="P904">
        <f t="shared" si="206"/>
        <v>0</v>
      </c>
      <c r="Q904">
        <f t="shared" si="207"/>
        <v>0</v>
      </c>
      <c r="R904">
        <f t="shared" si="208"/>
        <v>0</v>
      </c>
      <c r="S904">
        <f t="shared" si="209"/>
        <v>11.74</v>
      </c>
    </row>
    <row r="905" spans="1:19" x14ac:dyDescent="0.3">
      <c r="A905" s="1">
        <v>41982</v>
      </c>
      <c r="B905" s="1">
        <v>41988</v>
      </c>
      <c r="C905">
        <v>7.35</v>
      </c>
      <c r="D905">
        <v>0.19</v>
      </c>
      <c r="E905">
        <v>3</v>
      </c>
      <c r="F905">
        <f t="shared" si="196"/>
        <v>7.54</v>
      </c>
      <c r="G905">
        <f t="shared" si="197"/>
        <v>12</v>
      </c>
      <c r="H905">
        <f t="shared" si="198"/>
        <v>0</v>
      </c>
      <c r="I905">
        <f t="shared" si="199"/>
        <v>0</v>
      </c>
      <c r="J905">
        <f t="shared" si="200"/>
        <v>0</v>
      </c>
      <c r="K905">
        <f t="shared" si="201"/>
        <v>0</v>
      </c>
      <c r="L905">
        <f t="shared" si="202"/>
        <v>0</v>
      </c>
      <c r="M905">
        <f t="shared" si="203"/>
        <v>0</v>
      </c>
      <c r="N905">
        <f t="shared" si="204"/>
        <v>0</v>
      </c>
      <c r="O905">
        <f t="shared" si="205"/>
        <v>0</v>
      </c>
      <c r="P905">
        <f t="shared" si="206"/>
        <v>0</v>
      </c>
      <c r="Q905">
        <f t="shared" si="207"/>
        <v>0</v>
      </c>
      <c r="R905">
        <f t="shared" si="208"/>
        <v>0</v>
      </c>
      <c r="S905">
        <f t="shared" si="209"/>
        <v>7.54</v>
      </c>
    </row>
    <row r="906" spans="1:19" x14ac:dyDescent="0.3">
      <c r="A906" s="1">
        <v>41982</v>
      </c>
      <c r="B906" s="1">
        <v>41993</v>
      </c>
      <c r="C906">
        <v>7.3</v>
      </c>
      <c r="D906">
        <v>0.19</v>
      </c>
      <c r="E906">
        <v>2</v>
      </c>
      <c r="F906">
        <f t="shared" si="196"/>
        <v>7.49</v>
      </c>
      <c r="G906">
        <f t="shared" si="197"/>
        <v>12</v>
      </c>
      <c r="H906">
        <f t="shared" si="198"/>
        <v>0</v>
      </c>
      <c r="I906">
        <f t="shared" si="199"/>
        <v>0</v>
      </c>
      <c r="J906">
        <f t="shared" si="200"/>
        <v>0</v>
      </c>
      <c r="K906">
        <f t="shared" si="201"/>
        <v>0</v>
      </c>
      <c r="L906">
        <f t="shared" si="202"/>
        <v>0</v>
      </c>
      <c r="M906">
        <f t="shared" si="203"/>
        <v>0</v>
      </c>
      <c r="N906">
        <f t="shared" si="204"/>
        <v>0</v>
      </c>
      <c r="O906">
        <f t="shared" si="205"/>
        <v>0</v>
      </c>
      <c r="P906">
        <f t="shared" si="206"/>
        <v>0</v>
      </c>
      <c r="Q906">
        <f t="shared" si="207"/>
        <v>0</v>
      </c>
      <c r="R906">
        <f t="shared" si="208"/>
        <v>0</v>
      </c>
      <c r="S906">
        <f t="shared" si="209"/>
        <v>7.49</v>
      </c>
    </row>
    <row r="907" spans="1:19" x14ac:dyDescent="0.3">
      <c r="A907" s="1">
        <v>41982</v>
      </c>
      <c r="B907" s="1">
        <v>41989</v>
      </c>
      <c r="C907">
        <v>8.65</v>
      </c>
      <c r="D907">
        <v>0.23</v>
      </c>
      <c r="E907">
        <v>4</v>
      </c>
      <c r="F907">
        <f t="shared" si="196"/>
        <v>8.8800000000000008</v>
      </c>
      <c r="G907">
        <f t="shared" si="197"/>
        <v>12</v>
      </c>
      <c r="H907">
        <f t="shared" si="198"/>
        <v>0</v>
      </c>
      <c r="I907">
        <f t="shared" si="199"/>
        <v>0</v>
      </c>
      <c r="J907">
        <f t="shared" si="200"/>
        <v>0</v>
      </c>
      <c r="K907">
        <f t="shared" si="201"/>
        <v>0</v>
      </c>
      <c r="L907">
        <f t="shared" si="202"/>
        <v>0</v>
      </c>
      <c r="M907">
        <f t="shared" si="203"/>
        <v>0</v>
      </c>
      <c r="N907">
        <f t="shared" si="204"/>
        <v>0</v>
      </c>
      <c r="O907">
        <f t="shared" si="205"/>
        <v>0</v>
      </c>
      <c r="P907">
        <f t="shared" si="206"/>
        <v>0</v>
      </c>
      <c r="Q907">
        <f t="shared" si="207"/>
        <v>0</v>
      </c>
      <c r="R907">
        <f t="shared" si="208"/>
        <v>0</v>
      </c>
      <c r="S907">
        <f t="shared" si="209"/>
        <v>8.8800000000000008</v>
      </c>
    </row>
    <row r="908" spans="1:19" x14ac:dyDescent="0.3">
      <c r="A908" s="1">
        <v>41982</v>
      </c>
      <c r="B908" s="1">
        <v>41991</v>
      </c>
      <c r="C908">
        <v>8.39</v>
      </c>
      <c r="D908">
        <v>0.22</v>
      </c>
      <c r="E908">
        <v>2</v>
      </c>
      <c r="F908">
        <f t="shared" si="196"/>
        <v>8.6100000000000012</v>
      </c>
      <c r="G908">
        <f t="shared" si="197"/>
        <v>12</v>
      </c>
      <c r="H908">
        <f t="shared" si="198"/>
        <v>0</v>
      </c>
      <c r="I908">
        <f t="shared" si="199"/>
        <v>0</v>
      </c>
      <c r="J908">
        <f t="shared" si="200"/>
        <v>0</v>
      </c>
      <c r="K908">
        <f t="shared" si="201"/>
        <v>0</v>
      </c>
      <c r="L908">
        <f t="shared" si="202"/>
        <v>0</v>
      </c>
      <c r="M908">
        <f t="shared" si="203"/>
        <v>0</v>
      </c>
      <c r="N908">
        <f t="shared" si="204"/>
        <v>0</v>
      </c>
      <c r="O908">
        <f t="shared" si="205"/>
        <v>0</v>
      </c>
      <c r="P908">
        <f t="shared" si="206"/>
        <v>0</v>
      </c>
      <c r="Q908">
        <f t="shared" si="207"/>
        <v>0</v>
      </c>
      <c r="R908">
        <f t="shared" si="208"/>
        <v>0</v>
      </c>
      <c r="S908">
        <f t="shared" si="209"/>
        <v>8.6100000000000012</v>
      </c>
    </row>
    <row r="909" spans="1:19" x14ac:dyDescent="0.3">
      <c r="A909" s="1">
        <v>41982</v>
      </c>
      <c r="B909" s="1">
        <v>41993</v>
      </c>
      <c r="C909">
        <v>11.42</v>
      </c>
      <c r="D909">
        <v>0.3</v>
      </c>
      <c r="E909">
        <v>3</v>
      </c>
      <c r="F909">
        <f t="shared" si="196"/>
        <v>11.72</v>
      </c>
      <c r="G909">
        <f t="shared" si="197"/>
        <v>12</v>
      </c>
      <c r="H909">
        <f t="shared" si="198"/>
        <v>0</v>
      </c>
      <c r="I909">
        <f t="shared" si="199"/>
        <v>0</v>
      </c>
      <c r="J909">
        <f t="shared" si="200"/>
        <v>0</v>
      </c>
      <c r="K909">
        <f t="shared" si="201"/>
        <v>0</v>
      </c>
      <c r="L909">
        <f t="shared" si="202"/>
        <v>0</v>
      </c>
      <c r="M909">
        <f t="shared" si="203"/>
        <v>0</v>
      </c>
      <c r="N909">
        <f t="shared" si="204"/>
        <v>0</v>
      </c>
      <c r="O909">
        <f t="shared" si="205"/>
        <v>0</v>
      </c>
      <c r="P909">
        <f t="shared" si="206"/>
        <v>0</v>
      </c>
      <c r="Q909">
        <f t="shared" si="207"/>
        <v>0</v>
      </c>
      <c r="R909">
        <f t="shared" si="208"/>
        <v>0</v>
      </c>
      <c r="S909">
        <f t="shared" si="209"/>
        <v>11.72</v>
      </c>
    </row>
    <row r="910" spans="1:19" x14ac:dyDescent="0.3">
      <c r="A910" s="1">
        <v>41982</v>
      </c>
      <c r="B910" s="1">
        <v>41994</v>
      </c>
      <c r="C910">
        <v>9.74</v>
      </c>
      <c r="D910">
        <v>0.26</v>
      </c>
      <c r="E910">
        <v>2</v>
      </c>
      <c r="F910">
        <f t="shared" si="196"/>
        <v>10</v>
      </c>
      <c r="G910">
        <f t="shared" si="197"/>
        <v>12</v>
      </c>
      <c r="H910">
        <f t="shared" si="198"/>
        <v>0</v>
      </c>
      <c r="I910">
        <f t="shared" si="199"/>
        <v>0</v>
      </c>
      <c r="J910">
        <f t="shared" si="200"/>
        <v>0</v>
      </c>
      <c r="K910">
        <f t="shared" si="201"/>
        <v>0</v>
      </c>
      <c r="L910">
        <f t="shared" si="202"/>
        <v>0</v>
      </c>
      <c r="M910">
        <f t="shared" si="203"/>
        <v>0</v>
      </c>
      <c r="N910">
        <f t="shared" si="204"/>
        <v>0</v>
      </c>
      <c r="O910">
        <f t="shared" si="205"/>
        <v>0</v>
      </c>
      <c r="P910">
        <f t="shared" si="206"/>
        <v>0</v>
      </c>
      <c r="Q910">
        <f t="shared" si="207"/>
        <v>0</v>
      </c>
      <c r="R910">
        <f t="shared" si="208"/>
        <v>0</v>
      </c>
      <c r="S910">
        <f t="shared" si="209"/>
        <v>10</v>
      </c>
    </row>
    <row r="911" spans="1:19" x14ac:dyDescent="0.3">
      <c r="A911" s="1">
        <v>41982</v>
      </c>
      <c r="B911" s="1">
        <v>42002</v>
      </c>
      <c r="C911">
        <v>13.07</v>
      </c>
      <c r="D911">
        <v>0.34</v>
      </c>
      <c r="E911">
        <v>2</v>
      </c>
      <c r="F911">
        <f t="shared" si="196"/>
        <v>13.41</v>
      </c>
      <c r="G911">
        <f t="shared" si="197"/>
        <v>12</v>
      </c>
      <c r="H911">
        <f t="shared" si="198"/>
        <v>0</v>
      </c>
      <c r="I911">
        <f t="shared" si="199"/>
        <v>0</v>
      </c>
      <c r="J911">
        <f t="shared" si="200"/>
        <v>0</v>
      </c>
      <c r="K911">
        <f t="shared" si="201"/>
        <v>0</v>
      </c>
      <c r="L911">
        <f t="shared" si="202"/>
        <v>0</v>
      </c>
      <c r="M911">
        <f t="shared" si="203"/>
        <v>0</v>
      </c>
      <c r="N911">
        <f t="shared" si="204"/>
        <v>0</v>
      </c>
      <c r="O911">
        <f t="shared" si="205"/>
        <v>0</v>
      </c>
      <c r="P911">
        <f t="shared" si="206"/>
        <v>0</v>
      </c>
      <c r="Q911">
        <f t="shared" si="207"/>
        <v>0</v>
      </c>
      <c r="R911">
        <f t="shared" si="208"/>
        <v>0</v>
      </c>
      <c r="S911">
        <f t="shared" si="209"/>
        <v>13.41</v>
      </c>
    </row>
    <row r="912" spans="1:19" x14ac:dyDescent="0.3">
      <c r="A912" s="1">
        <v>41982</v>
      </c>
      <c r="B912" s="1">
        <v>42006</v>
      </c>
      <c r="C912">
        <v>6.75</v>
      </c>
      <c r="D912">
        <v>0.18</v>
      </c>
      <c r="E912">
        <v>4</v>
      </c>
      <c r="F912">
        <f t="shared" si="196"/>
        <v>6.93</v>
      </c>
      <c r="G912">
        <f t="shared" si="197"/>
        <v>12</v>
      </c>
      <c r="H912">
        <f t="shared" si="198"/>
        <v>0</v>
      </c>
      <c r="I912">
        <f t="shared" si="199"/>
        <v>0</v>
      </c>
      <c r="J912">
        <f t="shared" si="200"/>
        <v>0</v>
      </c>
      <c r="K912">
        <f t="shared" si="201"/>
        <v>0</v>
      </c>
      <c r="L912">
        <f t="shared" si="202"/>
        <v>0</v>
      </c>
      <c r="M912">
        <f t="shared" si="203"/>
        <v>0</v>
      </c>
      <c r="N912">
        <f t="shared" si="204"/>
        <v>0</v>
      </c>
      <c r="O912">
        <f t="shared" si="205"/>
        <v>0</v>
      </c>
      <c r="P912">
        <f t="shared" si="206"/>
        <v>0</v>
      </c>
      <c r="Q912">
        <f t="shared" si="207"/>
        <v>0</v>
      </c>
      <c r="R912">
        <f t="shared" si="208"/>
        <v>0</v>
      </c>
      <c r="S912">
        <f t="shared" si="209"/>
        <v>6.93</v>
      </c>
    </row>
    <row r="913" spans="1:19" x14ac:dyDescent="0.3">
      <c r="A913" s="1">
        <v>41982</v>
      </c>
      <c r="B913" s="1">
        <v>42010</v>
      </c>
      <c r="C913">
        <v>6.75</v>
      </c>
      <c r="D913">
        <v>0.18</v>
      </c>
      <c r="E913">
        <v>2</v>
      </c>
      <c r="F913">
        <f t="shared" si="196"/>
        <v>6.93</v>
      </c>
      <c r="G913">
        <f t="shared" si="197"/>
        <v>12</v>
      </c>
      <c r="H913">
        <f t="shared" si="198"/>
        <v>0</v>
      </c>
      <c r="I913">
        <f t="shared" si="199"/>
        <v>0</v>
      </c>
      <c r="J913">
        <f t="shared" si="200"/>
        <v>0</v>
      </c>
      <c r="K913">
        <f t="shared" si="201"/>
        <v>0</v>
      </c>
      <c r="L913">
        <f t="shared" si="202"/>
        <v>0</v>
      </c>
      <c r="M913">
        <f t="shared" si="203"/>
        <v>0</v>
      </c>
      <c r="N913">
        <f t="shared" si="204"/>
        <v>0</v>
      </c>
      <c r="O913">
        <f t="shared" si="205"/>
        <v>0</v>
      </c>
      <c r="P913">
        <f t="shared" si="206"/>
        <v>0</v>
      </c>
      <c r="Q913">
        <f t="shared" si="207"/>
        <v>0</v>
      </c>
      <c r="R913">
        <f t="shared" si="208"/>
        <v>0</v>
      </c>
      <c r="S913">
        <f t="shared" si="209"/>
        <v>6.93</v>
      </c>
    </row>
    <row r="914" spans="1:19" x14ac:dyDescent="0.3">
      <c r="A914" s="1">
        <v>41983</v>
      </c>
      <c r="B914" s="1">
        <v>41990</v>
      </c>
      <c r="C914">
        <v>9.06</v>
      </c>
      <c r="D914">
        <v>0.24</v>
      </c>
      <c r="E914">
        <v>4</v>
      </c>
      <c r="F914">
        <f t="shared" si="196"/>
        <v>9.3000000000000007</v>
      </c>
      <c r="G914">
        <f t="shared" si="197"/>
        <v>12</v>
      </c>
      <c r="H914">
        <f t="shared" si="198"/>
        <v>0</v>
      </c>
      <c r="I914">
        <f t="shared" si="199"/>
        <v>0</v>
      </c>
      <c r="J914">
        <f t="shared" si="200"/>
        <v>0</v>
      </c>
      <c r="K914">
        <f t="shared" si="201"/>
        <v>0</v>
      </c>
      <c r="L914">
        <f t="shared" si="202"/>
        <v>0</v>
      </c>
      <c r="M914">
        <f t="shared" si="203"/>
        <v>0</v>
      </c>
      <c r="N914">
        <f t="shared" si="204"/>
        <v>0</v>
      </c>
      <c r="O914">
        <f t="shared" si="205"/>
        <v>0</v>
      </c>
      <c r="P914">
        <f t="shared" si="206"/>
        <v>0</v>
      </c>
      <c r="Q914">
        <f t="shared" si="207"/>
        <v>0</v>
      </c>
      <c r="R914">
        <f t="shared" si="208"/>
        <v>0</v>
      </c>
      <c r="S914">
        <f t="shared" si="209"/>
        <v>9.3000000000000007</v>
      </c>
    </row>
    <row r="915" spans="1:19" x14ac:dyDescent="0.3">
      <c r="A915" s="1">
        <v>41983</v>
      </c>
      <c r="B915" s="1">
        <v>42004</v>
      </c>
      <c r="C915">
        <v>4.25</v>
      </c>
      <c r="D915">
        <v>0.11</v>
      </c>
      <c r="E915">
        <v>5</v>
      </c>
      <c r="F915">
        <f t="shared" si="196"/>
        <v>4.3600000000000003</v>
      </c>
      <c r="G915">
        <f t="shared" si="197"/>
        <v>12</v>
      </c>
      <c r="H915">
        <f t="shared" si="198"/>
        <v>0</v>
      </c>
      <c r="I915">
        <f t="shared" si="199"/>
        <v>0</v>
      </c>
      <c r="J915">
        <f t="shared" si="200"/>
        <v>0</v>
      </c>
      <c r="K915">
        <f t="shared" si="201"/>
        <v>0</v>
      </c>
      <c r="L915">
        <f t="shared" si="202"/>
        <v>0</v>
      </c>
      <c r="M915">
        <f t="shared" si="203"/>
        <v>0</v>
      </c>
      <c r="N915">
        <f t="shared" si="204"/>
        <v>0</v>
      </c>
      <c r="O915">
        <f t="shared" si="205"/>
        <v>0</v>
      </c>
      <c r="P915">
        <f t="shared" si="206"/>
        <v>0</v>
      </c>
      <c r="Q915">
        <f t="shared" si="207"/>
        <v>0</v>
      </c>
      <c r="R915">
        <f t="shared" si="208"/>
        <v>0</v>
      </c>
      <c r="S915">
        <f t="shared" si="209"/>
        <v>4.3600000000000003</v>
      </c>
    </row>
    <row r="916" spans="1:19" x14ac:dyDescent="0.3">
      <c r="A916" s="1">
        <v>41983</v>
      </c>
      <c r="B916" s="1">
        <v>41993</v>
      </c>
      <c r="C916">
        <v>7.06</v>
      </c>
      <c r="D916">
        <v>0.19</v>
      </c>
      <c r="E916">
        <v>2</v>
      </c>
      <c r="F916">
        <f t="shared" si="196"/>
        <v>7.25</v>
      </c>
      <c r="G916">
        <f t="shared" si="197"/>
        <v>12</v>
      </c>
      <c r="H916">
        <f t="shared" si="198"/>
        <v>0</v>
      </c>
      <c r="I916">
        <f t="shared" si="199"/>
        <v>0</v>
      </c>
      <c r="J916">
        <f t="shared" si="200"/>
        <v>0</v>
      </c>
      <c r="K916">
        <f t="shared" si="201"/>
        <v>0</v>
      </c>
      <c r="L916">
        <f t="shared" si="202"/>
        <v>0</v>
      </c>
      <c r="M916">
        <f t="shared" si="203"/>
        <v>0</v>
      </c>
      <c r="N916">
        <f t="shared" si="204"/>
        <v>0</v>
      </c>
      <c r="O916">
        <f t="shared" si="205"/>
        <v>0</v>
      </c>
      <c r="P916">
        <f t="shared" si="206"/>
        <v>0</v>
      </c>
      <c r="Q916">
        <f t="shared" si="207"/>
        <v>0</v>
      </c>
      <c r="R916">
        <f t="shared" si="208"/>
        <v>0</v>
      </c>
      <c r="S916">
        <f t="shared" si="209"/>
        <v>7.25</v>
      </c>
    </row>
    <row r="917" spans="1:19" x14ac:dyDescent="0.3">
      <c r="A917" s="1">
        <v>41983</v>
      </c>
      <c r="B917" s="1">
        <v>41992</v>
      </c>
      <c r="C917">
        <v>14.31</v>
      </c>
      <c r="D917">
        <v>0.38</v>
      </c>
      <c r="E917">
        <v>4</v>
      </c>
      <c r="F917">
        <f t="shared" si="196"/>
        <v>14.690000000000001</v>
      </c>
      <c r="G917">
        <f t="shared" si="197"/>
        <v>12</v>
      </c>
      <c r="H917">
        <f t="shared" si="198"/>
        <v>0</v>
      </c>
      <c r="I917">
        <f t="shared" si="199"/>
        <v>0</v>
      </c>
      <c r="J917">
        <f t="shared" si="200"/>
        <v>0</v>
      </c>
      <c r="K917">
        <f t="shared" si="201"/>
        <v>0</v>
      </c>
      <c r="L917">
        <f t="shared" si="202"/>
        <v>0</v>
      </c>
      <c r="M917">
        <f t="shared" si="203"/>
        <v>0</v>
      </c>
      <c r="N917">
        <f t="shared" si="204"/>
        <v>0</v>
      </c>
      <c r="O917">
        <f t="shared" si="205"/>
        <v>0</v>
      </c>
      <c r="P917">
        <f t="shared" si="206"/>
        <v>0</v>
      </c>
      <c r="Q917">
        <f t="shared" si="207"/>
        <v>0</v>
      </c>
      <c r="R917">
        <f t="shared" si="208"/>
        <v>0</v>
      </c>
      <c r="S917">
        <f t="shared" si="209"/>
        <v>14.690000000000001</v>
      </c>
    </row>
    <row r="918" spans="1:19" x14ac:dyDescent="0.3">
      <c r="A918" s="1">
        <v>41983</v>
      </c>
      <c r="B918" s="1">
        <v>42011</v>
      </c>
      <c r="C918">
        <v>5.64</v>
      </c>
      <c r="D918">
        <v>0.15</v>
      </c>
      <c r="E918">
        <v>5</v>
      </c>
      <c r="F918">
        <f t="shared" si="196"/>
        <v>5.79</v>
      </c>
      <c r="G918">
        <f t="shared" si="197"/>
        <v>12</v>
      </c>
      <c r="H918">
        <f t="shared" si="198"/>
        <v>0</v>
      </c>
      <c r="I918">
        <f t="shared" si="199"/>
        <v>0</v>
      </c>
      <c r="J918">
        <f t="shared" si="200"/>
        <v>0</v>
      </c>
      <c r="K918">
        <f t="shared" si="201"/>
        <v>0</v>
      </c>
      <c r="L918">
        <f t="shared" si="202"/>
        <v>0</v>
      </c>
      <c r="M918">
        <f t="shared" si="203"/>
        <v>0</v>
      </c>
      <c r="N918">
        <f t="shared" si="204"/>
        <v>0</v>
      </c>
      <c r="O918">
        <f t="shared" si="205"/>
        <v>0</v>
      </c>
      <c r="P918">
        <f t="shared" si="206"/>
        <v>0</v>
      </c>
      <c r="Q918">
        <f t="shared" si="207"/>
        <v>0</v>
      </c>
      <c r="R918">
        <f t="shared" si="208"/>
        <v>0</v>
      </c>
      <c r="S918">
        <f t="shared" si="209"/>
        <v>5.79</v>
      </c>
    </row>
    <row r="919" spans="1:19" x14ac:dyDescent="0.3">
      <c r="A919" s="1">
        <v>41983</v>
      </c>
      <c r="B919" s="1">
        <v>41996</v>
      </c>
      <c r="C919">
        <v>5.67</v>
      </c>
      <c r="D919">
        <v>0.15</v>
      </c>
      <c r="E919">
        <v>3</v>
      </c>
      <c r="F919">
        <f t="shared" si="196"/>
        <v>5.82</v>
      </c>
      <c r="G919">
        <f t="shared" si="197"/>
        <v>12</v>
      </c>
      <c r="H919">
        <f t="shared" si="198"/>
        <v>0</v>
      </c>
      <c r="I919">
        <f t="shared" si="199"/>
        <v>0</v>
      </c>
      <c r="J919">
        <f t="shared" si="200"/>
        <v>0</v>
      </c>
      <c r="K919">
        <f t="shared" si="201"/>
        <v>0</v>
      </c>
      <c r="L919">
        <f t="shared" si="202"/>
        <v>0</v>
      </c>
      <c r="M919">
        <f t="shared" si="203"/>
        <v>0</v>
      </c>
      <c r="N919">
        <f t="shared" si="204"/>
        <v>0</v>
      </c>
      <c r="O919">
        <f t="shared" si="205"/>
        <v>0</v>
      </c>
      <c r="P919">
        <f t="shared" si="206"/>
        <v>0</v>
      </c>
      <c r="Q919">
        <f t="shared" si="207"/>
        <v>0</v>
      </c>
      <c r="R919">
        <f t="shared" si="208"/>
        <v>0</v>
      </c>
      <c r="S919">
        <f t="shared" si="209"/>
        <v>5.82</v>
      </c>
    </row>
    <row r="920" spans="1:19" x14ac:dyDescent="0.3">
      <c r="A920" s="1">
        <v>41983</v>
      </c>
      <c r="B920" s="1">
        <v>41990</v>
      </c>
      <c r="C920">
        <v>11.69</v>
      </c>
      <c r="D920">
        <v>0.31</v>
      </c>
      <c r="E920">
        <v>2</v>
      </c>
      <c r="F920">
        <f t="shared" si="196"/>
        <v>12</v>
      </c>
      <c r="G920">
        <f t="shared" si="197"/>
        <v>12</v>
      </c>
      <c r="H920">
        <f t="shared" si="198"/>
        <v>0</v>
      </c>
      <c r="I920">
        <f t="shared" si="199"/>
        <v>0</v>
      </c>
      <c r="J920">
        <f t="shared" si="200"/>
        <v>0</v>
      </c>
      <c r="K920">
        <f t="shared" si="201"/>
        <v>0</v>
      </c>
      <c r="L920">
        <f t="shared" si="202"/>
        <v>0</v>
      </c>
      <c r="M920">
        <f t="shared" si="203"/>
        <v>0</v>
      </c>
      <c r="N920">
        <f t="shared" si="204"/>
        <v>0</v>
      </c>
      <c r="O920">
        <f t="shared" si="205"/>
        <v>0</v>
      </c>
      <c r="P920">
        <f t="shared" si="206"/>
        <v>0</v>
      </c>
      <c r="Q920">
        <f t="shared" si="207"/>
        <v>0</v>
      </c>
      <c r="R920">
        <f t="shared" si="208"/>
        <v>0</v>
      </c>
      <c r="S920">
        <f t="shared" si="209"/>
        <v>12</v>
      </c>
    </row>
    <row r="921" spans="1:19" x14ac:dyDescent="0.3">
      <c r="A921" s="1">
        <v>41983</v>
      </c>
      <c r="B921" s="1">
        <v>42002</v>
      </c>
      <c r="C921">
        <v>13.02</v>
      </c>
      <c r="D921">
        <v>0.34</v>
      </c>
      <c r="E921">
        <v>3</v>
      </c>
      <c r="F921">
        <f t="shared" si="196"/>
        <v>13.36</v>
      </c>
      <c r="G921">
        <f t="shared" si="197"/>
        <v>12</v>
      </c>
      <c r="H921">
        <f t="shared" si="198"/>
        <v>0</v>
      </c>
      <c r="I921">
        <f t="shared" si="199"/>
        <v>0</v>
      </c>
      <c r="J921">
        <f t="shared" si="200"/>
        <v>0</v>
      </c>
      <c r="K921">
        <f t="shared" si="201"/>
        <v>0</v>
      </c>
      <c r="L921">
        <f t="shared" si="202"/>
        <v>0</v>
      </c>
      <c r="M921">
        <f t="shared" si="203"/>
        <v>0</v>
      </c>
      <c r="N921">
        <f t="shared" si="204"/>
        <v>0</v>
      </c>
      <c r="O921">
        <f t="shared" si="205"/>
        <v>0</v>
      </c>
      <c r="P921">
        <f t="shared" si="206"/>
        <v>0</v>
      </c>
      <c r="Q921">
        <f t="shared" si="207"/>
        <v>0</v>
      </c>
      <c r="R921">
        <f t="shared" si="208"/>
        <v>0</v>
      </c>
      <c r="S921">
        <f t="shared" si="209"/>
        <v>13.36</v>
      </c>
    </row>
    <row r="922" spans="1:19" x14ac:dyDescent="0.3">
      <c r="A922" s="1">
        <v>41983</v>
      </c>
      <c r="B922" s="1">
        <v>41986</v>
      </c>
      <c r="C922">
        <v>4.25</v>
      </c>
      <c r="D922">
        <v>0.11</v>
      </c>
      <c r="E922">
        <v>3</v>
      </c>
      <c r="F922">
        <f t="shared" si="196"/>
        <v>4.3600000000000003</v>
      </c>
      <c r="G922">
        <f t="shared" si="197"/>
        <v>12</v>
      </c>
      <c r="H922">
        <f t="shared" si="198"/>
        <v>0</v>
      </c>
      <c r="I922">
        <f t="shared" si="199"/>
        <v>0</v>
      </c>
      <c r="J922">
        <f t="shared" si="200"/>
        <v>0</v>
      </c>
      <c r="K922">
        <f t="shared" si="201"/>
        <v>0</v>
      </c>
      <c r="L922">
        <f t="shared" si="202"/>
        <v>0</v>
      </c>
      <c r="M922">
        <f t="shared" si="203"/>
        <v>0</v>
      </c>
      <c r="N922">
        <f t="shared" si="204"/>
        <v>0</v>
      </c>
      <c r="O922">
        <f t="shared" si="205"/>
        <v>0</v>
      </c>
      <c r="P922">
        <f t="shared" si="206"/>
        <v>0</v>
      </c>
      <c r="Q922">
        <f t="shared" si="207"/>
        <v>0</v>
      </c>
      <c r="R922">
        <f t="shared" si="208"/>
        <v>0</v>
      </c>
      <c r="S922">
        <f t="shared" si="209"/>
        <v>4.3600000000000003</v>
      </c>
    </row>
    <row r="923" spans="1:19" x14ac:dyDescent="0.3">
      <c r="A923" s="1">
        <v>41983</v>
      </c>
      <c r="B923" s="1">
        <v>41995</v>
      </c>
      <c r="C923">
        <v>12.23</v>
      </c>
      <c r="D923">
        <v>0.32</v>
      </c>
      <c r="E923">
        <v>3</v>
      </c>
      <c r="F923">
        <f t="shared" si="196"/>
        <v>12.55</v>
      </c>
      <c r="G923">
        <f t="shared" si="197"/>
        <v>12</v>
      </c>
      <c r="H923">
        <f t="shared" si="198"/>
        <v>0</v>
      </c>
      <c r="I923">
        <f t="shared" si="199"/>
        <v>0</v>
      </c>
      <c r="J923">
        <f t="shared" si="200"/>
        <v>0</v>
      </c>
      <c r="K923">
        <f t="shared" si="201"/>
        <v>0</v>
      </c>
      <c r="L923">
        <f t="shared" si="202"/>
        <v>0</v>
      </c>
      <c r="M923">
        <f t="shared" si="203"/>
        <v>0</v>
      </c>
      <c r="N923">
        <f t="shared" si="204"/>
        <v>0</v>
      </c>
      <c r="O923">
        <f t="shared" si="205"/>
        <v>0</v>
      </c>
      <c r="P923">
        <f t="shared" si="206"/>
        <v>0</v>
      </c>
      <c r="Q923">
        <f t="shared" si="207"/>
        <v>0</v>
      </c>
      <c r="R923">
        <f t="shared" si="208"/>
        <v>0</v>
      </c>
      <c r="S923">
        <f t="shared" si="209"/>
        <v>12.55</v>
      </c>
    </row>
    <row r="924" spans="1:19" x14ac:dyDescent="0.3">
      <c r="A924" s="1">
        <v>41983</v>
      </c>
      <c r="B924" s="1">
        <v>42009</v>
      </c>
      <c r="C924">
        <v>14.13</v>
      </c>
      <c r="D924">
        <v>0.37</v>
      </c>
      <c r="E924">
        <v>5</v>
      </c>
      <c r="F924">
        <f t="shared" si="196"/>
        <v>14.5</v>
      </c>
      <c r="G924">
        <f t="shared" si="197"/>
        <v>12</v>
      </c>
      <c r="H924">
        <f t="shared" si="198"/>
        <v>0</v>
      </c>
      <c r="I924">
        <f t="shared" si="199"/>
        <v>0</v>
      </c>
      <c r="J924">
        <f t="shared" si="200"/>
        <v>0</v>
      </c>
      <c r="K924">
        <f t="shared" si="201"/>
        <v>0</v>
      </c>
      <c r="L924">
        <f t="shared" si="202"/>
        <v>0</v>
      </c>
      <c r="M924">
        <f t="shared" si="203"/>
        <v>0</v>
      </c>
      <c r="N924">
        <f t="shared" si="204"/>
        <v>0</v>
      </c>
      <c r="O924">
        <f t="shared" si="205"/>
        <v>0</v>
      </c>
      <c r="P924">
        <f t="shared" si="206"/>
        <v>0</v>
      </c>
      <c r="Q924">
        <f t="shared" si="207"/>
        <v>0</v>
      </c>
      <c r="R924">
        <f t="shared" si="208"/>
        <v>0</v>
      </c>
      <c r="S924">
        <f t="shared" si="209"/>
        <v>14.5</v>
      </c>
    </row>
    <row r="925" spans="1:19" x14ac:dyDescent="0.3">
      <c r="A925" s="1">
        <v>41983</v>
      </c>
      <c r="B925" s="1">
        <v>42008</v>
      </c>
      <c r="C925">
        <v>6.23</v>
      </c>
      <c r="D925">
        <v>0.16</v>
      </c>
      <c r="E925">
        <v>3</v>
      </c>
      <c r="F925">
        <f t="shared" si="196"/>
        <v>6.3900000000000006</v>
      </c>
      <c r="G925">
        <f t="shared" si="197"/>
        <v>12</v>
      </c>
      <c r="H925">
        <f t="shared" si="198"/>
        <v>0</v>
      </c>
      <c r="I925">
        <f t="shared" si="199"/>
        <v>0</v>
      </c>
      <c r="J925">
        <f t="shared" si="200"/>
        <v>0</v>
      </c>
      <c r="K925">
        <f t="shared" si="201"/>
        <v>0</v>
      </c>
      <c r="L925">
        <f t="shared" si="202"/>
        <v>0</v>
      </c>
      <c r="M925">
        <f t="shared" si="203"/>
        <v>0</v>
      </c>
      <c r="N925">
        <f t="shared" si="204"/>
        <v>0</v>
      </c>
      <c r="O925">
        <f t="shared" si="205"/>
        <v>0</v>
      </c>
      <c r="P925">
        <f t="shared" si="206"/>
        <v>0</v>
      </c>
      <c r="Q925">
        <f t="shared" si="207"/>
        <v>0</v>
      </c>
      <c r="R925">
        <f t="shared" si="208"/>
        <v>0</v>
      </c>
      <c r="S925">
        <f t="shared" si="209"/>
        <v>6.3900000000000006</v>
      </c>
    </row>
    <row r="926" spans="1:19" x14ac:dyDescent="0.3">
      <c r="A926" s="1">
        <v>41983</v>
      </c>
      <c r="B926" s="1">
        <v>42006</v>
      </c>
      <c r="C926">
        <v>8.5399999999999991</v>
      </c>
      <c r="D926">
        <v>0.22</v>
      </c>
      <c r="E926">
        <v>2</v>
      </c>
      <c r="F926">
        <f t="shared" si="196"/>
        <v>8.76</v>
      </c>
      <c r="G926">
        <f t="shared" si="197"/>
        <v>12</v>
      </c>
      <c r="H926">
        <f t="shared" si="198"/>
        <v>0</v>
      </c>
      <c r="I926">
        <f t="shared" si="199"/>
        <v>0</v>
      </c>
      <c r="J926">
        <f t="shared" si="200"/>
        <v>0</v>
      </c>
      <c r="K926">
        <f t="shared" si="201"/>
        <v>0</v>
      </c>
      <c r="L926">
        <f t="shared" si="202"/>
        <v>0</v>
      </c>
      <c r="M926">
        <f t="shared" si="203"/>
        <v>0</v>
      </c>
      <c r="N926">
        <f t="shared" si="204"/>
        <v>0</v>
      </c>
      <c r="O926">
        <f t="shared" si="205"/>
        <v>0</v>
      </c>
      <c r="P926">
        <f t="shared" si="206"/>
        <v>0</v>
      </c>
      <c r="Q926">
        <f t="shared" si="207"/>
        <v>0</v>
      </c>
      <c r="R926">
        <f t="shared" si="208"/>
        <v>0</v>
      </c>
      <c r="S926">
        <f t="shared" si="209"/>
        <v>8.76</v>
      </c>
    </row>
    <row r="927" spans="1:19" x14ac:dyDescent="0.3">
      <c r="A927" s="1">
        <v>41983</v>
      </c>
      <c r="B927" s="1">
        <v>42001</v>
      </c>
      <c r="C927">
        <v>7.55</v>
      </c>
      <c r="D927">
        <v>0.2</v>
      </c>
      <c r="E927">
        <v>2</v>
      </c>
      <c r="F927">
        <f t="shared" si="196"/>
        <v>7.75</v>
      </c>
      <c r="G927">
        <f t="shared" si="197"/>
        <v>12</v>
      </c>
      <c r="H927">
        <f t="shared" si="198"/>
        <v>0</v>
      </c>
      <c r="I927">
        <f t="shared" si="199"/>
        <v>0</v>
      </c>
      <c r="J927">
        <f t="shared" si="200"/>
        <v>0</v>
      </c>
      <c r="K927">
        <f t="shared" si="201"/>
        <v>0</v>
      </c>
      <c r="L927">
        <f t="shared" si="202"/>
        <v>0</v>
      </c>
      <c r="M927">
        <f t="shared" si="203"/>
        <v>0</v>
      </c>
      <c r="N927">
        <f t="shared" si="204"/>
        <v>0</v>
      </c>
      <c r="O927">
        <f t="shared" si="205"/>
        <v>0</v>
      </c>
      <c r="P927">
        <f t="shared" si="206"/>
        <v>0</v>
      </c>
      <c r="Q927">
        <f t="shared" si="207"/>
        <v>0</v>
      </c>
      <c r="R927">
        <f t="shared" si="208"/>
        <v>0</v>
      </c>
      <c r="S927">
        <f t="shared" si="209"/>
        <v>7.75</v>
      </c>
    </row>
    <row r="928" spans="1:19" x14ac:dyDescent="0.3">
      <c r="A928" s="1">
        <v>41983</v>
      </c>
      <c r="B928" s="1">
        <v>41989</v>
      </c>
      <c r="C928">
        <v>14</v>
      </c>
      <c r="D928">
        <v>0.37</v>
      </c>
      <c r="E928">
        <v>4</v>
      </c>
      <c r="F928">
        <f t="shared" si="196"/>
        <v>14.37</v>
      </c>
      <c r="G928">
        <f t="shared" si="197"/>
        <v>12</v>
      </c>
      <c r="H928">
        <f t="shared" si="198"/>
        <v>0</v>
      </c>
      <c r="I928">
        <f t="shared" si="199"/>
        <v>0</v>
      </c>
      <c r="J928">
        <f t="shared" si="200"/>
        <v>0</v>
      </c>
      <c r="K928">
        <f t="shared" si="201"/>
        <v>0</v>
      </c>
      <c r="L928">
        <f t="shared" si="202"/>
        <v>0</v>
      </c>
      <c r="M928">
        <f t="shared" si="203"/>
        <v>0</v>
      </c>
      <c r="N928">
        <f t="shared" si="204"/>
        <v>0</v>
      </c>
      <c r="O928">
        <f t="shared" si="205"/>
        <v>0</v>
      </c>
      <c r="P928">
        <f t="shared" si="206"/>
        <v>0</v>
      </c>
      <c r="Q928">
        <f t="shared" si="207"/>
        <v>0</v>
      </c>
      <c r="R928">
        <f t="shared" si="208"/>
        <v>0</v>
      </c>
      <c r="S928">
        <f t="shared" si="209"/>
        <v>14.37</v>
      </c>
    </row>
    <row r="929" spans="1:19" x14ac:dyDescent="0.3">
      <c r="A929" s="1">
        <v>41983</v>
      </c>
      <c r="B929" s="1">
        <v>41986</v>
      </c>
      <c r="C929">
        <v>13.02</v>
      </c>
      <c r="D929">
        <v>0.34</v>
      </c>
      <c r="E929">
        <v>2</v>
      </c>
      <c r="F929">
        <f t="shared" si="196"/>
        <v>13.36</v>
      </c>
      <c r="G929">
        <f t="shared" si="197"/>
        <v>12</v>
      </c>
      <c r="H929">
        <f t="shared" si="198"/>
        <v>0</v>
      </c>
      <c r="I929">
        <f t="shared" si="199"/>
        <v>0</v>
      </c>
      <c r="J929">
        <f t="shared" si="200"/>
        <v>0</v>
      </c>
      <c r="K929">
        <f t="shared" si="201"/>
        <v>0</v>
      </c>
      <c r="L929">
        <f t="shared" si="202"/>
        <v>0</v>
      </c>
      <c r="M929">
        <f t="shared" si="203"/>
        <v>0</v>
      </c>
      <c r="N929">
        <f t="shared" si="204"/>
        <v>0</v>
      </c>
      <c r="O929">
        <f t="shared" si="205"/>
        <v>0</v>
      </c>
      <c r="P929">
        <f t="shared" si="206"/>
        <v>0</v>
      </c>
      <c r="Q929">
        <f t="shared" si="207"/>
        <v>0</v>
      </c>
      <c r="R929">
        <f t="shared" si="208"/>
        <v>0</v>
      </c>
      <c r="S929">
        <f t="shared" si="209"/>
        <v>13.36</v>
      </c>
    </row>
    <row r="930" spans="1:19" x14ac:dyDescent="0.3">
      <c r="A930" s="1">
        <v>41983</v>
      </c>
      <c r="B930" s="1">
        <v>42009</v>
      </c>
      <c r="C930">
        <v>8.39</v>
      </c>
      <c r="D930">
        <v>0.22</v>
      </c>
      <c r="E930">
        <v>6</v>
      </c>
      <c r="F930">
        <f t="shared" si="196"/>
        <v>8.6100000000000012</v>
      </c>
      <c r="G930">
        <f t="shared" si="197"/>
        <v>12</v>
      </c>
      <c r="H930">
        <f t="shared" si="198"/>
        <v>0</v>
      </c>
      <c r="I930">
        <f t="shared" si="199"/>
        <v>0</v>
      </c>
      <c r="J930">
        <f t="shared" si="200"/>
        <v>0</v>
      </c>
      <c r="K930">
        <f t="shared" si="201"/>
        <v>0</v>
      </c>
      <c r="L930">
        <f t="shared" si="202"/>
        <v>0</v>
      </c>
      <c r="M930">
        <f t="shared" si="203"/>
        <v>0</v>
      </c>
      <c r="N930">
        <f t="shared" si="204"/>
        <v>0</v>
      </c>
      <c r="O930">
        <f t="shared" si="205"/>
        <v>0</v>
      </c>
      <c r="P930">
        <f t="shared" si="206"/>
        <v>0</v>
      </c>
      <c r="Q930">
        <f t="shared" si="207"/>
        <v>0</v>
      </c>
      <c r="R930">
        <f t="shared" si="208"/>
        <v>0</v>
      </c>
      <c r="S930">
        <f t="shared" si="209"/>
        <v>8.6100000000000012</v>
      </c>
    </row>
    <row r="931" spans="1:19" x14ac:dyDescent="0.3">
      <c r="A931" s="1">
        <v>41983</v>
      </c>
      <c r="B931" s="1">
        <v>41990</v>
      </c>
      <c r="C931">
        <v>5.23</v>
      </c>
      <c r="D931">
        <v>0.14000000000000001</v>
      </c>
      <c r="E931">
        <v>4</v>
      </c>
      <c r="F931">
        <f t="shared" si="196"/>
        <v>5.37</v>
      </c>
      <c r="G931">
        <f t="shared" si="197"/>
        <v>12</v>
      </c>
      <c r="H931">
        <f t="shared" si="198"/>
        <v>0</v>
      </c>
      <c r="I931">
        <f t="shared" si="199"/>
        <v>0</v>
      </c>
      <c r="J931">
        <f t="shared" si="200"/>
        <v>0</v>
      </c>
      <c r="K931">
        <f t="shared" si="201"/>
        <v>0</v>
      </c>
      <c r="L931">
        <f t="shared" si="202"/>
        <v>0</v>
      </c>
      <c r="M931">
        <f t="shared" si="203"/>
        <v>0</v>
      </c>
      <c r="N931">
        <f t="shared" si="204"/>
        <v>0</v>
      </c>
      <c r="O931">
        <f t="shared" si="205"/>
        <v>0</v>
      </c>
      <c r="P931">
        <f t="shared" si="206"/>
        <v>0</v>
      </c>
      <c r="Q931">
        <f t="shared" si="207"/>
        <v>0</v>
      </c>
      <c r="R931">
        <f t="shared" si="208"/>
        <v>0</v>
      </c>
      <c r="S931">
        <f t="shared" si="209"/>
        <v>5.37</v>
      </c>
    </row>
    <row r="932" spans="1:19" x14ac:dyDescent="0.3">
      <c r="A932" s="1">
        <v>41983</v>
      </c>
      <c r="B932" s="1">
        <v>41988</v>
      </c>
      <c r="C932">
        <v>2.0099999999999998</v>
      </c>
      <c r="D932">
        <v>0.05</v>
      </c>
      <c r="E932">
        <v>2</v>
      </c>
      <c r="F932">
        <f t="shared" si="196"/>
        <v>2.0599999999999996</v>
      </c>
      <c r="G932">
        <f t="shared" si="197"/>
        <v>12</v>
      </c>
      <c r="H932">
        <f t="shared" si="198"/>
        <v>0</v>
      </c>
      <c r="I932">
        <f t="shared" si="199"/>
        <v>0</v>
      </c>
      <c r="J932">
        <f t="shared" si="200"/>
        <v>0</v>
      </c>
      <c r="K932">
        <f t="shared" si="201"/>
        <v>0</v>
      </c>
      <c r="L932">
        <f t="shared" si="202"/>
        <v>0</v>
      </c>
      <c r="M932">
        <f t="shared" si="203"/>
        <v>0</v>
      </c>
      <c r="N932">
        <f t="shared" si="204"/>
        <v>0</v>
      </c>
      <c r="O932">
        <f t="shared" si="205"/>
        <v>0</v>
      </c>
      <c r="P932">
        <f t="shared" si="206"/>
        <v>0</v>
      </c>
      <c r="Q932">
        <f t="shared" si="207"/>
        <v>0</v>
      </c>
      <c r="R932">
        <f t="shared" si="208"/>
        <v>0</v>
      </c>
      <c r="S932">
        <f t="shared" si="209"/>
        <v>2.0599999999999996</v>
      </c>
    </row>
    <row r="933" spans="1:19" x14ac:dyDescent="0.3">
      <c r="A933" s="1">
        <v>41983</v>
      </c>
      <c r="B933" s="1">
        <v>42008</v>
      </c>
      <c r="C933">
        <v>7.06</v>
      </c>
      <c r="D933">
        <v>0.19</v>
      </c>
      <c r="E933">
        <v>5</v>
      </c>
      <c r="F933">
        <f t="shared" si="196"/>
        <v>7.25</v>
      </c>
      <c r="G933">
        <f t="shared" si="197"/>
        <v>12</v>
      </c>
      <c r="H933">
        <f t="shared" si="198"/>
        <v>0</v>
      </c>
      <c r="I933">
        <f t="shared" si="199"/>
        <v>0</v>
      </c>
      <c r="J933">
        <f t="shared" si="200"/>
        <v>0</v>
      </c>
      <c r="K933">
        <f t="shared" si="201"/>
        <v>0</v>
      </c>
      <c r="L933">
        <f t="shared" si="202"/>
        <v>0</v>
      </c>
      <c r="M933">
        <f t="shared" si="203"/>
        <v>0</v>
      </c>
      <c r="N933">
        <f t="shared" si="204"/>
        <v>0</v>
      </c>
      <c r="O933">
        <f t="shared" si="205"/>
        <v>0</v>
      </c>
      <c r="P933">
        <f t="shared" si="206"/>
        <v>0</v>
      </c>
      <c r="Q933">
        <f t="shared" si="207"/>
        <v>0</v>
      </c>
      <c r="R933">
        <f t="shared" si="208"/>
        <v>0</v>
      </c>
      <c r="S933">
        <f t="shared" si="209"/>
        <v>7.25</v>
      </c>
    </row>
    <row r="934" spans="1:19" x14ac:dyDescent="0.3">
      <c r="A934" s="1">
        <v>41983</v>
      </c>
      <c r="B934" s="1">
        <v>42004</v>
      </c>
      <c r="C934">
        <v>19.54</v>
      </c>
      <c r="D934">
        <v>0.51</v>
      </c>
      <c r="E934">
        <v>3</v>
      </c>
      <c r="F934">
        <f t="shared" si="196"/>
        <v>20.05</v>
      </c>
      <c r="G934">
        <f t="shared" si="197"/>
        <v>12</v>
      </c>
      <c r="H934">
        <f t="shared" si="198"/>
        <v>0</v>
      </c>
      <c r="I934">
        <f t="shared" si="199"/>
        <v>0</v>
      </c>
      <c r="J934">
        <f t="shared" si="200"/>
        <v>0</v>
      </c>
      <c r="K934">
        <f t="shared" si="201"/>
        <v>0</v>
      </c>
      <c r="L934">
        <f t="shared" si="202"/>
        <v>0</v>
      </c>
      <c r="M934">
        <f t="shared" si="203"/>
        <v>0</v>
      </c>
      <c r="N934">
        <f t="shared" si="204"/>
        <v>0</v>
      </c>
      <c r="O934">
        <f t="shared" si="205"/>
        <v>0</v>
      </c>
      <c r="P934">
        <f t="shared" si="206"/>
        <v>0</v>
      </c>
      <c r="Q934">
        <f t="shared" si="207"/>
        <v>0</v>
      </c>
      <c r="R934">
        <f t="shared" si="208"/>
        <v>0</v>
      </c>
      <c r="S934">
        <f t="shared" si="209"/>
        <v>20.05</v>
      </c>
    </row>
    <row r="935" spans="1:19" x14ac:dyDescent="0.3">
      <c r="A935" s="1">
        <v>41983</v>
      </c>
      <c r="B935" s="1">
        <v>41993</v>
      </c>
      <c r="C935">
        <v>5.23</v>
      </c>
      <c r="D935">
        <v>0.14000000000000001</v>
      </c>
      <c r="E935">
        <v>4</v>
      </c>
      <c r="F935">
        <f t="shared" si="196"/>
        <v>5.37</v>
      </c>
      <c r="G935">
        <f t="shared" si="197"/>
        <v>12</v>
      </c>
      <c r="H935">
        <f t="shared" si="198"/>
        <v>0</v>
      </c>
      <c r="I935">
        <f t="shared" si="199"/>
        <v>0</v>
      </c>
      <c r="J935">
        <f t="shared" si="200"/>
        <v>0</v>
      </c>
      <c r="K935">
        <f t="shared" si="201"/>
        <v>0</v>
      </c>
      <c r="L935">
        <f t="shared" si="202"/>
        <v>0</v>
      </c>
      <c r="M935">
        <f t="shared" si="203"/>
        <v>0</v>
      </c>
      <c r="N935">
        <f t="shared" si="204"/>
        <v>0</v>
      </c>
      <c r="O935">
        <f t="shared" si="205"/>
        <v>0</v>
      </c>
      <c r="P935">
        <f t="shared" si="206"/>
        <v>0</v>
      </c>
      <c r="Q935">
        <f t="shared" si="207"/>
        <v>0</v>
      </c>
      <c r="R935">
        <f t="shared" si="208"/>
        <v>0</v>
      </c>
      <c r="S935">
        <f t="shared" si="209"/>
        <v>5.37</v>
      </c>
    </row>
    <row r="936" spans="1:19" x14ac:dyDescent="0.3">
      <c r="A936" s="1">
        <v>41984</v>
      </c>
      <c r="B936" s="1">
        <v>42002</v>
      </c>
      <c r="C936">
        <v>9.06</v>
      </c>
      <c r="D936">
        <v>0.24</v>
      </c>
      <c r="E936">
        <v>4</v>
      </c>
      <c r="F936">
        <f t="shared" si="196"/>
        <v>9.3000000000000007</v>
      </c>
      <c r="G936">
        <f t="shared" si="197"/>
        <v>12</v>
      </c>
      <c r="H936">
        <f t="shared" si="198"/>
        <v>0</v>
      </c>
      <c r="I936">
        <f t="shared" si="199"/>
        <v>0</v>
      </c>
      <c r="J936">
        <f t="shared" si="200"/>
        <v>0</v>
      </c>
      <c r="K936">
        <f t="shared" si="201"/>
        <v>0</v>
      </c>
      <c r="L936">
        <f t="shared" si="202"/>
        <v>0</v>
      </c>
      <c r="M936">
        <f t="shared" si="203"/>
        <v>0</v>
      </c>
      <c r="N936">
        <f t="shared" si="204"/>
        <v>0</v>
      </c>
      <c r="O936">
        <f t="shared" si="205"/>
        <v>0</v>
      </c>
      <c r="P936">
        <f t="shared" si="206"/>
        <v>0</v>
      </c>
      <c r="Q936">
        <f t="shared" si="207"/>
        <v>0</v>
      </c>
      <c r="R936">
        <f t="shared" si="208"/>
        <v>0</v>
      </c>
      <c r="S936">
        <f t="shared" si="209"/>
        <v>9.3000000000000007</v>
      </c>
    </row>
    <row r="937" spans="1:19" x14ac:dyDescent="0.3">
      <c r="A937" s="1">
        <v>41984</v>
      </c>
      <c r="B937" s="1">
        <v>41988</v>
      </c>
      <c r="C937">
        <v>3.73</v>
      </c>
      <c r="D937">
        <v>0.1</v>
      </c>
      <c r="E937">
        <v>6</v>
      </c>
      <c r="F937">
        <f t="shared" si="196"/>
        <v>3.83</v>
      </c>
      <c r="G937">
        <f t="shared" si="197"/>
        <v>12</v>
      </c>
      <c r="H937">
        <f t="shared" si="198"/>
        <v>0</v>
      </c>
      <c r="I937">
        <f t="shared" si="199"/>
        <v>0</v>
      </c>
      <c r="J937">
        <f t="shared" si="200"/>
        <v>0</v>
      </c>
      <c r="K937">
        <f t="shared" si="201"/>
        <v>0</v>
      </c>
      <c r="L937">
        <f t="shared" si="202"/>
        <v>0</v>
      </c>
      <c r="M937">
        <f t="shared" si="203"/>
        <v>0</v>
      </c>
      <c r="N937">
        <f t="shared" si="204"/>
        <v>0</v>
      </c>
      <c r="O937">
        <f t="shared" si="205"/>
        <v>0</v>
      </c>
      <c r="P937">
        <f t="shared" si="206"/>
        <v>0</v>
      </c>
      <c r="Q937">
        <f t="shared" si="207"/>
        <v>0</v>
      </c>
      <c r="R937">
        <f t="shared" si="208"/>
        <v>0</v>
      </c>
      <c r="S937">
        <f t="shared" si="209"/>
        <v>3.83</v>
      </c>
    </row>
    <row r="938" spans="1:19" x14ac:dyDescent="0.3">
      <c r="A938" s="1">
        <v>41985</v>
      </c>
      <c r="B938" s="1">
        <v>42012</v>
      </c>
      <c r="C938">
        <v>5.67</v>
      </c>
      <c r="D938">
        <v>0.15</v>
      </c>
      <c r="E938">
        <v>2</v>
      </c>
      <c r="F938">
        <f t="shared" si="196"/>
        <v>5.82</v>
      </c>
      <c r="G938">
        <f t="shared" si="197"/>
        <v>12</v>
      </c>
      <c r="H938">
        <f t="shared" si="198"/>
        <v>0</v>
      </c>
      <c r="I938">
        <f t="shared" si="199"/>
        <v>0</v>
      </c>
      <c r="J938">
        <f t="shared" si="200"/>
        <v>0</v>
      </c>
      <c r="K938">
        <f t="shared" si="201"/>
        <v>0</v>
      </c>
      <c r="L938">
        <f t="shared" si="202"/>
        <v>0</v>
      </c>
      <c r="M938">
        <f t="shared" si="203"/>
        <v>0</v>
      </c>
      <c r="N938">
        <f t="shared" si="204"/>
        <v>0</v>
      </c>
      <c r="O938">
        <f t="shared" si="205"/>
        <v>0</v>
      </c>
      <c r="P938">
        <f t="shared" si="206"/>
        <v>0</v>
      </c>
      <c r="Q938">
        <f t="shared" si="207"/>
        <v>0</v>
      </c>
      <c r="R938">
        <f t="shared" si="208"/>
        <v>0</v>
      </c>
      <c r="S938">
        <f t="shared" si="209"/>
        <v>5.82</v>
      </c>
    </row>
    <row r="939" spans="1:19" x14ac:dyDescent="0.3">
      <c r="A939" s="1">
        <v>41985</v>
      </c>
      <c r="B939" s="1">
        <v>41989</v>
      </c>
      <c r="C939">
        <v>5.67</v>
      </c>
      <c r="D939">
        <v>0.15</v>
      </c>
      <c r="E939">
        <v>4</v>
      </c>
      <c r="F939">
        <f t="shared" si="196"/>
        <v>5.82</v>
      </c>
      <c r="G939">
        <f t="shared" si="197"/>
        <v>12</v>
      </c>
      <c r="H939">
        <f t="shared" si="198"/>
        <v>0</v>
      </c>
      <c r="I939">
        <f t="shared" si="199"/>
        <v>0</v>
      </c>
      <c r="J939">
        <f t="shared" si="200"/>
        <v>0</v>
      </c>
      <c r="K939">
        <f t="shared" si="201"/>
        <v>0</v>
      </c>
      <c r="L939">
        <f t="shared" si="202"/>
        <v>0</v>
      </c>
      <c r="M939">
        <f t="shared" si="203"/>
        <v>0</v>
      </c>
      <c r="N939">
        <f t="shared" si="204"/>
        <v>0</v>
      </c>
      <c r="O939">
        <f t="shared" si="205"/>
        <v>0</v>
      </c>
      <c r="P939">
        <f t="shared" si="206"/>
        <v>0</v>
      </c>
      <c r="Q939">
        <f t="shared" si="207"/>
        <v>0</v>
      </c>
      <c r="R939">
        <f t="shared" si="208"/>
        <v>0</v>
      </c>
      <c r="S939">
        <f t="shared" si="209"/>
        <v>5.82</v>
      </c>
    </row>
    <row r="940" spans="1:19" x14ac:dyDescent="0.3">
      <c r="A940" s="1">
        <v>41985</v>
      </c>
      <c r="B940" s="1">
        <v>41995</v>
      </c>
      <c r="C940">
        <v>3.57</v>
      </c>
      <c r="D940">
        <v>0.09</v>
      </c>
      <c r="E940">
        <v>2</v>
      </c>
      <c r="F940">
        <f t="shared" si="196"/>
        <v>3.6599999999999997</v>
      </c>
      <c r="G940">
        <f t="shared" si="197"/>
        <v>12</v>
      </c>
      <c r="H940">
        <f t="shared" si="198"/>
        <v>0</v>
      </c>
      <c r="I940">
        <f t="shared" si="199"/>
        <v>0</v>
      </c>
      <c r="J940">
        <f t="shared" si="200"/>
        <v>0</v>
      </c>
      <c r="K940">
        <f t="shared" si="201"/>
        <v>0</v>
      </c>
      <c r="L940">
        <f t="shared" si="202"/>
        <v>0</v>
      </c>
      <c r="M940">
        <f t="shared" si="203"/>
        <v>0</v>
      </c>
      <c r="N940">
        <f t="shared" si="204"/>
        <v>0</v>
      </c>
      <c r="O940">
        <f t="shared" si="205"/>
        <v>0</v>
      </c>
      <c r="P940">
        <f t="shared" si="206"/>
        <v>0</v>
      </c>
      <c r="Q940">
        <f t="shared" si="207"/>
        <v>0</v>
      </c>
      <c r="R940">
        <f t="shared" si="208"/>
        <v>0</v>
      </c>
      <c r="S940">
        <f t="shared" si="209"/>
        <v>3.6599999999999997</v>
      </c>
    </row>
    <row r="941" spans="1:19" x14ac:dyDescent="0.3">
      <c r="A941" s="1">
        <v>41985</v>
      </c>
      <c r="B941" s="1">
        <v>41995</v>
      </c>
      <c r="C941">
        <v>3.57</v>
      </c>
      <c r="D941">
        <v>0.09</v>
      </c>
      <c r="E941">
        <v>3</v>
      </c>
      <c r="F941">
        <f t="shared" si="196"/>
        <v>3.6599999999999997</v>
      </c>
      <c r="G941">
        <f t="shared" si="197"/>
        <v>12</v>
      </c>
      <c r="H941">
        <f t="shared" si="198"/>
        <v>0</v>
      </c>
      <c r="I941">
        <f t="shared" si="199"/>
        <v>0</v>
      </c>
      <c r="J941">
        <f t="shared" si="200"/>
        <v>0</v>
      </c>
      <c r="K941">
        <f t="shared" si="201"/>
        <v>0</v>
      </c>
      <c r="L941">
        <f t="shared" si="202"/>
        <v>0</v>
      </c>
      <c r="M941">
        <f t="shared" si="203"/>
        <v>0</v>
      </c>
      <c r="N941">
        <f t="shared" si="204"/>
        <v>0</v>
      </c>
      <c r="O941">
        <f t="shared" si="205"/>
        <v>0</v>
      </c>
      <c r="P941">
        <f t="shared" si="206"/>
        <v>0</v>
      </c>
      <c r="Q941">
        <f t="shared" si="207"/>
        <v>0</v>
      </c>
      <c r="R941">
        <f t="shared" si="208"/>
        <v>0</v>
      </c>
      <c r="S941">
        <f t="shared" si="209"/>
        <v>3.6599999999999997</v>
      </c>
    </row>
    <row r="942" spans="1:19" x14ac:dyDescent="0.3">
      <c r="A942" s="1">
        <v>41985</v>
      </c>
      <c r="B942" s="1">
        <v>42013</v>
      </c>
      <c r="C942">
        <v>2.29</v>
      </c>
      <c r="D942">
        <v>0.06</v>
      </c>
      <c r="E942">
        <v>2</v>
      </c>
      <c r="F942">
        <f t="shared" si="196"/>
        <v>2.35</v>
      </c>
      <c r="G942">
        <f t="shared" si="197"/>
        <v>12</v>
      </c>
      <c r="H942">
        <f t="shared" si="198"/>
        <v>0</v>
      </c>
      <c r="I942">
        <f t="shared" si="199"/>
        <v>0</v>
      </c>
      <c r="J942">
        <f t="shared" si="200"/>
        <v>0</v>
      </c>
      <c r="K942">
        <f t="shared" si="201"/>
        <v>0</v>
      </c>
      <c r="L942">
        <f t="shared" si="202"/>
        <v>0</v>
      </c>
      <c r="M942">
        <f t="shared" si="203"/>
        <v>0</v>
      </c>
      <c r="N942">
        <f t="shared" si="204"/>
        <v>0</v>
      </c>
      <c r="O942">
        <f t="shared" si="205"/>
        <v>0</v>
      </c>
      <c r="P942">
        <f t="shared" si="206"/>
        <v>0</v>
      </c>
      <c r="Q942">
        <f t="shared" si="207"/>
        <v>0</v>
      </c>
      <c r="R942">
        <f t="shared" si="208"/>
        <v>0</v>
      </c>
      <c r="S942">
        <f t="shared" si="209"/>
        <v>2.35</v>
      </c>
    </row>
    <row r="943" spans="1:19" x14ac:dyDescent="0.3">
      <c r="A943" s="1">
        <v>41985</v>
      </c>
      <c r="B943" s="1">
        <v>42003</v>
      </c>
      <c r="C943">
        <v>7.35</v>
      </c>
      <c r="D943">
        <v>0.19</v>
      </c>
      <c r="E943">
        <v>5</v>
      </c>
      <c r="F943">
        <f t="shared" si="196"/>
        <v>7.54</v>
      </c>
      <c r="G943">
        <f t="shared" si="197"/>
        <v>12</v>
      </c>
      <c r="H943">
        <f t="shared" si="198"/>
        <v>0</v>
      </c>
      <c r="I943">
        <f t="shared" si="199"/>
        <v>0</v>
      </c>
      <c r="J943">
        <f t="shared" si="200"/>
        <v>0</v>
      </c>
      <c r="K943">
        <f t="shared" si="201"/>
        <v>0</v>
      </c>
      <c r="L943">
        <f t="shared" si="202"/>
        <v>0</v>
      </c>
      <c r="M943">
        <f t="shared" si="203"/>
        <v>0</v>
      </c>
      <c r="N943">
        <f t="shared" si="204"/>
        <v>0</v>
      </c>
      <c r="O943">
        <f t="shared" si="205"/>
        <v>0</v>
      </c>
      <c r="P943">
        <f t="shared" si="206"/>
        <v>0</v>
      </c>
      <c r="Q943">
        <f t="shared" si="207"/>
        <v>0</v>
      </c>
      <c r="R943">
        <f t="shared" si="208"/>
        <v>0</v>
      </c>
      <c r="S943">
        <f t="shared" si="209"/>
        <v>7.54</v>
      </c>
    </row>
    <row r="944" spans="1:19" x14ac:dyDescent="0.3">
      <c r="A944" s="1">
        <v>41985</v>
      </c>
      <c r="B944" s="1">
        <v>42011</v>
      </c>
      <c r="C944">
        <v>3.94</v>
      </c>
      <c r="D944">
        <v>0.1</v>
      </c>
      <c r="E944">
        <v>4</v>
      </c>
      <c r="F944">
        <f t="shared" si="196"/>
        <v>4.04</v>
      </c>
      <c r="G944">
        <f t="shared" si="197"/>
        <v>12</v>
      </c>
      <c r="H944">
        <f t="shared" si="198"/>
        <v>0</v>
      </c>
      <c r="I944">
        <f t="shared" si="199"/>
        <v>0</v>
      </c>
      <c r="J944">
        <f t="shared" si="200"/>
        <v>0</v>
      </c>
      <c r="K944">
        <f t="shared" si="201"/>
        <v>0</v>
      </c>
      <c r="L944">
        <f t="shared" si="202"/>
        <v>0</v>
      </c>
      <c r="M944">
        <f t="shared" si="203"/>
        <v>0</v>
      </c>
      <c r="N944">
        <f t="shared" si="204"/>
        <v>0</v>
      </c>
      <c r="O944">
        <f t="shared" si="205"/>
        <v>0</v>
      </c>
      <c r="P944">
        <f t="shared" si="206"/>
        <v>0</v>
      </c>
      <c r="Q944">
        <f t="shared" si="207"/>
        <v>0</v>
      </c>
      <c r="R944">
        <f t="shared" si="208"/>
        <v>0</v>
      </c>
      <c r="S944">
        <f t="shared" si="209"/>
        <v>4.04</v>
      </c>
    </row>
    <row r="945" spans="1:19" x14ac:dyDescent="0.3">
      <c r="A945" s="1">
        <v>41985</v>
      </c>
      <c r="B945" s="1">
        <v>41995</v>
      </c>
      <c r="C945">
        <v>3.94</v>
      </c>
      <c r="D945">
        <v>0.1</v>
      </c>
      <c r="E945">
        <v>2</v>
      </c>
      <c r="F945">
        <f t="shared" si="196"/>
        <v>4.04</v>
      </c>
      <c r="G945">
        <f t="shared" si="197"/>
        <v>12</v>
      </c>
      <c r="H945">
        <f t="shared" si="198"/>
        <v>0</v>
      </c>
      <c r="I945">
        <f t="shared" si="199"/>
        <v>0</v>
      </c>
      <c r="J945">
        <f t="shared" si="200"/>
        <v>0</v>
      </c>
      <c r="K945">
        <f t="shared" si="201"/>
        <v>0</v>
      </c>
      <c r="L945">
        <f t="shared" si="202"/>
        <v>0</v>
      </c>
      <c r="M945">
        <f t="shared" si="203"/>
        <v>0</v>
      </c>
      <c r="N945">
        <f t="shared" si="204"/>
        <v>0</v>
      </c>
      <c r="O945">
        <f t="shared" si="205"/>
        <v>0</v>
      </c>
      <c r="P945">
        <f t="shared" si="206"/>
        <v>0</v>
      </c>
      <c r="Q945">
        <f t="shared" si="207"/>
        <v>0</v>
      </c>
      <c r="R945">
        <f t="shared" si="208"/>
        <v>0</v>
      </c>
      <c r="S945">
        <f t="shared" si="209"/>
        <v>4.04</v>
      </c>
    </row>
    <row r="946" spans="1:19" x14ac:dyDescent="0.3">
      <c r="A946" s="1">
        <v>41985</v>
      </c>
      <c r="B946" s="1">
        <v>42006</v>
      </c>
      <c r="C946">
        <v>13.07</v>
      </c>
      <c r="D946">
        <v>0.34</v>
      </c>
      <c r="E946">
        <v>3</v>
      </c>
      <c r="F946">
        <f t="shared" si="196"/>
        <v>13.41</v>
      </c>
      <c r="G946">
        <f t="shared" si="197"/>
        <v>12</v>
      </c>
      <c r="H946">
        <f t="shared" si="198"/>
        <v>0</v>
      </c>
      <c r="I946">
        <f t="shared" si="199"/>
        <v>0</v>
      </c>
      <c r="J946">
        <f t="shared" si="200"/>
        <v>0</v>
      </c>
      <c r="K946">
        <f t="shared" si="201"/>
        <v>0</v>
      </c>
      <c r="L946">
        <f t="shared" si="202"/>
        <v>0</v>
      </c>
      <c r="M946">
        <f t="shared" si="203"/>
        <v>0</v>
      </c>
      <c r="N946">
        <f t="shared" si="204"/>
        <v>0</v>
      </c>
      <c r="O946">
        <f t="shared" si="205"/>
        <v>0</v>
      </c>
      <c r="P946">
        <f t="shared" si="206"/>
        <v>0</v>
      </c>
      <c r="Q946">
        <f t="shared" si="207"/>
        <v>0</v>
      </c>
      <c r="R946">
        <f t="shared" si="208"/>
        <v>0</v>
      </c>
      <c r="S946">
        <f t="shared" si="209"/>
        <v>13.41</v>
      </c>
    </row>
    <row r="947" spans="1:19" x14ac:dyDescent="0.3">
      <c r="A947" s="1">
        <v>41986</v>
      </c>
      <c r="B947" s="1">
        <v>41990</v>
      </c>
      <c r="C947">
        <v>6.43</v>
      </c>
      <c r="D947">
        <v>0.17</v>
      </c>
      <c r="E947">
        <v>5</v>
      </c>
      <c r="F947">
        <f t="shared" si="196"/>
        <v>6.6</v>
      </c>
      <c r="G947">
        <f t="shared" si="197"/>
        <v>12</v>
      </c>
      <c r="H947">
        <f t="shared" si="198"/>
        <v>0</v>
      </c>
      <c r="I947">
        <f t="shared" si="199"/>
        <v>0</v>
      </c>
      <c r="J947">
        <f t="shared" si="200"/>
        <v>0</v>
      </c>
      <c r="K947">
        <f t="shared" si="201"/>
        <v>0</v>
      </c>
      <c r="L947">
        <f t="shared" si="202"/>
        <v>0</v>
      </c>
      <c r="M947">
        <f t="shared" si="203"/>
        <v>0</v>
      </c>
      <c r="N947">
        <f t="shared" si="204"/>
        <v>0</v>
      </c>
      <c r="O947">
        <f t="shared" si="205"/>
        <v>0</v>
      </c>
      <c r="P947">
        <f t="shared" si="206"/>
        <v>0</v>
      </c>
      <c r="Q947">
        <f t="shared" si="207"/>
        <v>0</v>
      </c>
      <c r="R947">
        <f t="shared" si="208"/>
        <v>0</v>
      </c>
      <c r="S947">
        <f t="shared" si="209"/>
        <v>6.6</v>
      </c>
    </row>
    <row r="948" spans="1:19" x14ac:dyDescent="0.3">
      <c r="A948" s="1">
        <v>41986</v>
      </c>
      <c r="B948" s="1">
        <v>42005</v>
      </c>
      <c r="C948">
        <v>6.43</v>
      </c>
      <c r="D948">
        <v>0.17</v>
      </c>
      <c r="E948">
        <v>3</v>
      </c>
      <c r="F948">
        <f t="shared" si="196"/>
        <v>6.6</v>
      </c>
      <c r="G948">
        <f t="shared" si="197"/>
        <v>12</v>
      </c>
      <c r="H948">
        <f t="shared" si="198"/>
        <v>0</v>
      </c>
      <c r="I948">
        <f t="shared" si="199"/>
        <v>0</v>
      </c>
      <c r="J948">
        <f t="shared" si="200"/>
        <v>0</v>
      </c>
      <c r="K948">
        <f t="shared" si="201"/>
        <v>0</v>
      </c>
      <c r="L948">
        <f t="shared" si="202"/>
        <v>0</v>
      </c>
      <c r="M948">
        <f t="shared" si="203"/>
        <v>0</v>
      </c>
      <c r="N948">
        <f t="shared" si="204"/>
        <v>0</v>
      </c>
      <c r="O948">
        <f t="shared" si="205"/>
        <v>0</v>
      </c>
      <c r="P948">
        <f t="shared" si="206"/>
        <v>0</v>
      </c>
      <c r="Q948">
        <f t="shared" si="207"/>
        <v>0</v>
      </c>
      <c r="R948">
        <f t="shared" si="208"/>
        <v>0</v>
      </c>
      <c r="S948">
        <f t="shared" si="209"/>
        <v>6.6</v>
      </c>
    </row>
    <row r="949" spans="1:19" x14ac:dyDescent="0.3">
      <c r="A949" s="1">
        <v>41987</v>
      </c>
      <c r="B949" s="1">
        <v>42012</v>
      </c>
      <c r="C949">
        <v>2.72</v>
      </c>
      <c r="D949">
        <v>7.0000000000000007E-2</v>
      </c>
      <c r="E949">
        <v>4</v>
      </c>
      <c r="F949">
        <f t="shared" si="196"/>
        <v>2.79</v>
      </c>
      <c r="G949">
        <f t="shared" si="197"/>
        <v>12</v>
      </c>
      <c r="H949">
        <f t="shared" si="198"/>
        <v>0</v>
      </c>
      <c r="I949">
        <f t="shared" si="199"/>
        <v>0</v>
      </c>
      <c r="J949">
        <f t="shared" si="200"/>
        <v>0</v>
      </c>
      <c r="K949">
        <f t="shared" si="201"/>
        <v>0</v>
      </c>
      <c r="L949">
        <f t="shared" si="202"/>
        <v>0</v>
      </c>
      <c r="M949">
        <f t="shared" si="203"/>
        <v>0</v>
      </c>
      <c r="N949">
        <f t="shared" si="204"/>
        <v>0</v>
      </c>
      <c r="O949">
        <f t="shared" si="205"/>
        <v>0</v>
      </c>
      <c r="P949">
        <f t="shared" si="206"/>
        <v>0</v>
      </c>
      <c r="Q949">
        <f t="shared" si="207"/>
        <v>0</v>
      </c>
      <c r="R949">
        <f t="shared" si="208"/>
        <v>0</v>
      </c>
      <c r="S949">
        <f t="shared" si="209"/>
        <v>2.79</v>
      </c>
    </row>
    <row r="950" spans="1:19" x14ac:dyDescent="0.3">
      <c r="A950" s="1">
        <v>41987</v>
      </c>
      <c r="B950" s="1">
        <v>42007</v>
      </c>
      <c r="C950">
        <v>6.43</v>
      </c>
      <c r="D950">
        <v>0.17</v>
      </c>
      <c r="E950">
        <v>6</v>
      </c>
      <c r="F950">
        <f t="shared" si="196"/>
        <v>6.6</v>
      </c>
      <c r="G950">
        <f t="shared" si="197"/>
        <v>12</v>
      </c>
      <c r="H950">
        <f t="shared" si="198"/>
        <v>0</v>
      </c>
      <c r="I950">
        <f t="shared" si="199"/>
        <v>0</v>
      </c>
      <c r="J950">
        <f t="shared" si="200"/>
        <v>0</v>
      </c>
      <c r="K950">
        <f t="shared" si="201"/>
        <v>0</v>
      </c>
      <c r="L950">
        <f t="shared" si="202"/>
        <v>0</v>
      </c>
      <c r="M950">
        <f t="shared" si="203"/>
        <v>0</v>
      </c>
      <c r="N950">
        <f t="shared" si="204"/>
        <v>0</v>
      </c>
      <c r="O950">
        <f t="shared" si="205"/>
        <v>0</v>
      </c>
      <c r="P950">
        <f t="shared" si="206"/>
        <v>0</v>
      </c>
      <c r="Q950">
        <f t="shared" si="207"/>
        <v>0</v>
      </c>
      <c r="R950">
        <f t="shared" si="208"/>
        <v>0</v>
      </c>
      <c r="S950">
        <f t="shared" si="209"/>
        <v>6.6</v>
      </c>
    </row>
    <row r="951" spans="1:19" x14ac:dyDescent="0.3">
      <c r="A951" s="1">
        <v>41988</v>
      </c>
      <c r="B951" s="1">
        <v>42014</v>
      </c>
      <c r="C951">
        <v>2.0099999999999998</v>
      </c>
      <c r="D951">
        <v>0.05</v>
      </c>
      <c r="E951">
        <v>3</v>
      </c>
      <c r="F951">
        <f t="shared" si="196"/>
        <v>2.0599999999999996</v>
      </c>
      <c r="G951">
        <f t="shared" si="197"/>
        <v>12</v>
      </c>
      <c r="H951">
        <f t="shared" si="198"/>
        <v>0</v>
      </c>
      <c r="I951">
        <f t="shared" si="199"/>
        <v>0</v>
      </c>
      <c r="J951">
        <f t="shared" si="200"/>
        <v>0</v>
      </c>
      <c r="K951">
        <f t="shared" si="201"/>
        <v>0</v>
      </c>
      <c r="L951">
        <f t="shared" si="202"/>
        <v>0</v>
      </c>
      <c r="M951">
        <f t="shared" si="203"/>
        <v>0</v>
      </c>
      <c r="N951">
        <f t="shared" si="204"/>
        <v>0</v>
      </c>
      <c r="O951">
        <f t="shared" si="205"/>
        <v>0</v>
      </c>
      <c r="P951">
        <f t="shared" si="206"/>
        <v>0</v>
      </c>
      <c r="Q951">
        <f t="shared" si="207"/>
        <v>0</v>
      </c>
      <c r="R951">
        <f t="shared" si="208"/>
        <v>0</v>
      </c>
      <c r="S951">
        <f t="shared" si="209"/>
        <v>2.0599999999999996</v>
      </c>
    </row>
    <row r="952" spans="1:19" x14ac:dyDescent="0.3">
      <c r="A952" s="1">
        <v>41988</v>
      </c>
      <c r="B952" s="1">
        <v>42005</v>
      </c>
      <c r="C952">
        <v>2.72</v>
      </c>
      <c r="D952">
        <v>7.0000000000000007E-2</v>
      </c>
      <c r="E952">
        <v>2</v>
      </c>
      <c r="F952">
        <f t="shared" si="196"/>
        <v>2.79</v>
      </c>
      <c r="G952">
        <f t="shared" si="197"/>
        <v>12</v>
      </c>
      <c r="H952">
        <f t="shared" si="198"/>
        <v>0</v>
      </c>
      <c r="I952">
        <f t="shared" si="199"/>
        <v>0</v>
      </c>
      <c r="J952">
        <f t="shared" si="200"/>
        <v>0</v>
      </c>
      <c r="K952">
        <f t="shared" si="201"/>
        <v>0</v>
      </c>
      <c r="L952">
        <f t="shared" si="202"/>
        <v>0</v>
      </c>
      <c r="M952">
        <f t="shared" si="203"/>
        <v>0</v>
      </c>
      <c r="N952">
        <f t="shared" si="204"/>
        <v>0</v>
      </c>
      <c r="O952">
        <f t="shared" si="205"/>
        <v>0</v>
      </c>
      <c r="P952">
        <f t="shared" si="206"/>
        <v>0</v>
      </c>
      <c r="Q952">
        <f t="shared" si="207"/>
        <v>0</v>
      </c>
      <c r="R952">
        <f t="shared" si="208"/>
        <v>0</v>
      </c>
      <c r="S952">
        <f t="shared" si="209"/>
        <v>2.79</v>
      </c>
    </row>
    <row r="953" spans="1:19" x14ac:dyDescent="0.3">
      <c r="A953" s="1">
        <v>41988</v>
      </c>
      <c r="B953" s="1">
        <v>41996</v>
      </c>
      <c r="C953">
        <v>2.0099999999999998</v>
      </c>
      <c r="D953">
        <v>0.05</v>
      </c>
      <c r="E953">
        <v>5</v>
      </c>
      <c r="F953">
        <f t="shared" si="196"/>
        <v>2.0599999999999996</v>
      </c>
      <c r="G953">
        <f t="shared" si="197"/>
        <v>12</v>
      </c>
      <c r="H953">
        <f t="shared" si="198"/>
        <v>0</v>
      </c>
      <c r="I953">
        <f t="shared" si="199"/>
        <v>0</v>
      </c>
      <c r="J953">
        <f t="shared" si="200"/>
        <v>0</v>
      </c>
      <c r="K953">
        <f t="shared" si="201"/>
        <v>0</v>
      </c>
      <c r="L953">
        <f t="shared" si="202"/>
        <v>0</v>
      </c>
      <c r="M953">
        <f t="shared" si="203"/>
        <v>0</v>
      </c>
      <c r="N953">
        <f t="shared" si="204"/>
        <v>0</v>
      </c>
      <c r="O953">
        <f t="shared" si="205"/>
        <v>0</v>
      </c>
      <c r="P953">
        <f t="shared" si="206"/>
        <v>0</v>
      </c>
      <c r="Q953">
        <f t="shared" si="207"/>
        <v>0</v>
      </c>
      <c r="R953">
        <f t="shared" si="208"/>
        <v>0</v>
      </c>
      <c r="S953">
        <f t="shared" si="209"/>
        <v>2.0599999999999996</v>
      </c>
    </row>
    <row r="954" spans="1:19" x14ac:dyDescent="0.3">
      <c r="A954" s="1">
        <v>41989</v>
      </c>
      <c r="B954" s="1">
        <v>41991</v>
      </c>
      <c r="C954">
        <v>11.42</v>
      </c>
      <c r="D954">
        <v>0.3</v>
      </c>
      <c r="E954">
        <v>5</v>
      </c>
      <c r="F954">
        <f t="shared" si="196"/>
        <v>11.72</v>
      </c>
      <c r="G954">
        <f t="shared" si="197"/>
        <v>12</v>
      </c>
      <c r="H954">
        <f t="shared" si="198"/>
        <v>0</v>
      </c>
      <c r="I954">
        <f t="shared" si="199"/>
        <v>0</v>
      </c>
      <c r="J954">
        <f t="shared" si="200"/>
        <v>0</v>
      </c>
      <c r="K954">
        <f t="shared" si="201"/>
        <v>0</v>
      </c>
      <c r="L954">
        <f t="shared" si="202"/>
        <v>0</v>
      </c>
      <c r="M954">
        <f t="shared" si="203"/>
        <v>0</v>
      </c>
      <c r="N954">
        <f t="shared" si="204"/>
        <v>0</v>
      </c>
      <c r="O954">
        <f t="shared" si="205"/>
        <v>0</v>
      </c>
      <c r="P954">
        <f t="shared" si="206"/>
        <v>0</v>
      </c>
      <c r="Q954">
        <f t="shared" si="207"/>
        <v>0</v>
      </c>
      <c r="R954">
        <f t="shared" si="208"/>
        <v>0</v>
      </c>
      <c r="S954">
        <f t="shared" si="209"/>
        <v>11.72</v>
      </c>
    </row>
    <row r="955" spans="1:19" x14ac:dyDescent="0.3">
      <c r="A955" s="1">
        <v>41989</v>
      </c>
      <c r="B955" s="1">
        <v>42003</v>
      </c>
      <c r="C955">
        <v>10.93</v>
      </c>
      <c r="D955">
        <v>0.28999999999999998</v>
      </c>
      <c r="E955">
        <v>3</v>
      </c>
      <c r="F955">
        <f t="shared" si="196"/>
        <v>11.219999999999999</v>
      </c>
      <c r="G955">
        <f t="shared" si="197"/>
        <v>12</v>
      </c>
      <c r="H955">
        <f t="shared" si="198"/>
        <v>0</v>
      </c>
      <c r="I955">
        <f t="shared" si="199"/>
        <v>0</v>
      </c>
      <c r="J955">
        <f t="shared" si="200"/>
        <v>0</v>
      </c>
      <c r="K955">
        <f t="shared" si="201"/>
        <v>0</v>
      </c>
      <c r="L955">
        <f t="shared" si="202"/>
        <v>0</v>
      </c>
      <c r="M955">
        <f t="shared" si="203"/>
        <v>0</v>
      </c>
      <c r="N955">
        <f t="shared" si="204"/>
        <v>0</v>
      </c>
      <c r="O955">
        <f t="shared" si="205"/>
        <v>0</v>
      </c>
      <c r="P955">
        <f t="shared" si="206"/>
        <v>0</v>
      </c>
      <c r="Q955">
        <f t="shared" si="207"/>
        <v>0</v>
      </c>
      <c r="R955">
        <f t="shared" si="208"/>
        <v>0</v>
      </c>
      <c r="S955">
        <f t="shared" si="209"/>
        <v>11.219999999999999</v>
      </c>
    </row>
    <row r="956" spans="1:19" x14ac:dyDescent="0.3">
      <c r="A956" s="1">
        <v>41989</v>
      </c>
      <c r="B956" s="1">
        <v>41997</v>
      </c>
      <c r="C956">
        <v>9.06</v>
      </c>
      <c r="D956">
        <v>0.24</v>
      </c>
      <c r="E956">
        <v>2</v>
      </c>
      <c r="F956">
        <f t="shared" si="196"/>
        <v>9.3000000000000007</v>
      </c>
      <c r="G956">
        <f t="shared" si="197"/>
        <v>12</v>
      </c>
      <c r="H956">
        <f t="shared" si="198"/>
        <v>0</v>
      </c>
      <c r="I956">
        <f t="shared" si="199"/>
        <v>0</v>
      </c>
      <c r="J956">
        <f t="shared" si="200"/>
        <v>0</v>
      </c>
      <c r="K956">
        <f t="shared" si="201"/>
        <v>0</v>
      </c>
      <c r="L956">
        <f t="shared" si="202"/>
        <v>0</v>
      </c>
      <c r="M956">
        <f t="shared" si="203"/>
        <v>0</v>
      </c>
      <c r="N956">
        <f t="shared" si="204"/>
        <v>0</v>
      </c>
      <c r="O956">
        <f t="shared" si="205"/>
        <v>0</v>
      </c>
      <c r="P956">
        <f t="shared" si="206"/>
        <v>0</v>
      </c>
      <c r="Q956">
        <f t="shared" si="207"/>
        <v>0</v>
      </c>
      <c r="R956">
        <f t="shared" si="208"/>
        <v>0</v>
      </c>
      <c r="S956">
        <f t="shared" si="209"/>
        <v>9.3000000000000007</v>
      </c>
    </row>
    <row r="957" spans="1:19" x14ac:dyDescent="0.3">
      <c r="A957" s="1">
        <v>41989</v>
      </c>
      <c r="B957" s="1">
        <v>41998</v>
      </c>
      <c r="C957">
        <v>5.67</v>
      </c>
      <c r="D957">
        <v>0.15</v>
      </c>
      <c r="E957">
        <v>3</v>
      </c>
      <c r="F957">
        <f t="shared" si="196"/>
        <v>5.82</v>
      </c>
      <c r="G957">
        <f t="shared" si="197"/>
        <v>12</v>
      </c>
      <c r="H957">
        <f t="shared" si="198"/>
        <v>0</v>
      </c>
      <c r="I957">
        <f t="shared" si="199"/>
        <v>0</v>
      </c>
      <c r="J957">
        <f t="shared" si="200"/>
        <v>0</v>
      </c>
      <c r="K957">
        <f t="shared" si="201"/>
        <v>0</v>
      </c>
      <c r="L957">
        <f t="shared" si="202"/>
        <v>0</v>
      </c>
      <c r="M957">
        <f t="shared" si="203"/>
        <v>0</v>
      </c>
      <c r="N957">
        <f t="shared" si="204"/>
        <v>0</v>
      </c>
      <c r="O957">
        <f t="shared" si="205"/>
        <v>0</v>
      </c>
      <c r="P957">
        <f t="shared" si="206"/>
        <v>0</v>
      </c>
      <c r="Q957">
        <f t="shared" si="207"/>
        <v>0</v>
      </c>
      <c r="R957">
        <f t="shared" si="208"/>
        <v>0</v>
      </c>
      <c r="S957">
        <f t="shared" si="209"/>
        <v>5.82</v>
      </c>
    </row>
    <row r="958" spans="1:19" x14ac:dyDescent="0.3">
      <c r="A958" s="1">
        <v>41989</v>
      </c>
      <c r="B958" s="1">
        <v>42015</v>
      </c>
      <c r="C958">
        <v>3.57</v>
      </c>
      <c r="D958">
        <v>0.09</v>
      </c>
      <c r="E958">
        <v>4</v>
      </c>
      <c r="F958">
        <f t="shared" si="196"/>
        <v>3.6599999999999997</v>
      </c>
      <c r="G958">
        <f t="shared" si="197"/>
        <v>12</v>
      </c>
      <c r="H958">
        <f t="shared" si="198"/>
        <v>0</v>
      </c>
      <c r="I958">
        <f t="shared" si="199"/>
        <v>0</v>
      </c>
      <c r="J958">
        <f t="shared" si="200"/>
        <v>0</v>
      </c>
      <c r="K958">
        <f t="shared" si="201"/>
        <v>0</v>
      </c>
      <c r="L958">
        <f t="shared" si="202"/>
        <v>0</v>
      </c>
      <c r="M958">
        <f t="shared" si="203"/>
        <v>0</v>
      </c>
      <c r="N958">
        <f t="shared" si="204"/>
        <v>0</v>
      </c>
      <c r="O958">
        <f t="shared" si="205"/>
        <v>0</v>
      </c>
      <c r="P958">
        <f t="shared" si="206"/>
        <v>0</v>
      </c>
      <c r="Q958">
        <f t="shared" si="207"/>
        <v>0</v>
      </c>
      <c r="R958">
        <f t="shared" si="208"/>
        <v>0</v>
      </c>
      <c r="S958">
        <f t="shared" si="209"/>
        <v>3.6599999999999997</v>
      </c>
    </row>
    <row r="959" spans="1:19" x14ac:dyDescent="0.3">
      <c r="A959" s="1">
        <v>41989</v>
      </c>
      <c r="B959" s="1">
        <v>42011</v>
      </c>
      <c r="C959">
        <v>3.79</v>
      </c>
      <c r="D959">
        <v>0.1</v>
      </c>
      <c r="E959">
        <v>5</v>
      </c>
      <c r="F959">
        <f t="shared" si="196"/>
        <v>3.89</v>
      </c>
      <c r="G959">
        <f t="shared" si="197"/>
        <v>12</v>
      </c>
      <c r="H959">
        <f t="shared" si="198"/>
        <v>0</v>
      </c>
      <c r="I959">
        <f t="shared" si="199"/>
        <v>0</v>
      </c>
      <c r="J959">
        <f t="shared" si="200"/>
        <v>0</v>
      </c>
      <c r="K959">
        <f t="shared" si="201"/>
        <v>0</v>
      </c>
      <c r="L959">
        <f t="shared" si="202"/>
        <v>0</v>
      </c>
      <c r="M959">
        <f t="shared" si="203"/>
        <v>0</v>
      </c>
      <c r="N959">
        <f t="shared" si="204"/>
        <v>0</v>
      </c>
      <c r="O959">
        <f t="shared" si="205"/>
        <v>0</v>
      </c>
      <c r="P959">
        <f t="shared" si="206"/>
        <v>0</v>
      </c>
      <c r="Q959">
        <f t="shared" si="207"/>
        <v>0</v>
      </c>
      <c r="R959">
        <f t="shared" si="208"/>
        <v>0</v>
      </c>
      <c r="S959">
        <f t="shared" si="209"/>
        <v>3.89</v>
      </c>
    </row>
    <row r="960" spans="1:19" x14ac:dyDescent="0.3">
      <c r="A960" s="1">
        <v>41990</v>
      </c>
      <c r="B960" s="1">
        <v>41996</v>
      </c>
      <c r="C960">
        <v>4.66</v>
      </c>
      <c r="D960">
        <v>0.12</v>
      </c>
      <c r="E960">
        <v>3</v>
      </c>
      <c r="F960">
        <f t="shared" si="196"/>
        <v>4.78</v>
      </c>
      <c r="G960">
        <f t="shared" si="197"/>
        <v>12</v>
      </c>
      <c r="H960">
        <f t="shared" si="198"/>
        <v>0</v>
      </c>
      <c r="I960">
        <f t="shared" si="199"/>
        <v>0</v>
      </c>
      <c r="J960">
        <f t="shared" si="200"/>
        <v>0</v>
      </c>
      <c r="K960">
        <f t="shared" si="201"/>
        <v>0</v>
      </c>
      <c r="L960">
        <f t="shared" si="202"/>
        <v>0</v>
      </c>
      <c r="M960">
        <f t="shared" si="203"/>
        <v>0</v>
      </c>
      <c r="N960">
        <f t="shared" si="204"/>
        <v>0</v>
      </c>
      <c r="O960">
        <f t="shared" si="205"/>
        <v>0</v>
      </c>
      <c r="P960">
        <f t="shared" si="206"/>
        <v>0</v>
      </c>
      <c r="Q960">
        <f t="shared" si="207"/>
        <v>0</v>
      </c>
      <c r="R960">
        <f t="shared" si="208"/>
        <v>0</v>
      </c>
      <c r="S960">
        <f t="shared" si="209"/>
        <v>4.78</v>
      </c>
    </row>
    <row r="961" spans="1:19" x14ac:dyDescent="0.3">
      <c r="A961" s="1">
        <v>41990</v>
      </c>
      <c r="B961" s="1">
        <v>42004</v>
      </c>
      <c r="C961">
        <v>6.43</v>
      </c>
      <c r="D961">
        <v>0.17</v>
      </c>
      <c r="E961">
        <v>6</v>
      </c>
      <c r="F961">
        <f t="shared" si="196"/>
        <v>6.6</v>
      </c>
      <c r="G961">
        <f t="shared" si="197"/>
        <v>12</v>
      </c>
      <c r="H961">
        <f t="shared" si="198"/>
        <v>0</v>
      </c>
      <c r="I961">
        <f t="shared" si="199"/>
        <v>0</v>
      </c>
      <c r="J961">
        <f t="shared" si="200"/>
        <v>0</v>
      </c>
      <c r="K961">
        <f t="shared" si="201"/>
        <v>0</v>
      </c>
      <c r="L961">
        <f t="shared" si="202"/>
        <v>0</v>
      </c>
      <c r="M961">
        <f t="shared" si="203"/>
        <v>0</v>
      </c>
      <c r="N961">
        <f t="shared" si="204"/>
        <v>0</v>
      </c>
      <c r="O961">
        <f t="shared" si="205"/>
        <v>0</v>
      </c>
      <c r="P961">
        <f t="shared" si="206"/>
        <v>0</v>
      </c>
      <c r="Q961">
        <f t="shared" si="207"/>
        <v>0</v>
      </c>
      <c r="R961">
        <f t="shared" si="208"/>
        <v>0</v>
      </c>
      <c r="S961">
        <f t="shared" si="209"/>
        <v>6.6</v>
      </c>
    </row>
    <row r="962" spans="1:19" x14ac:dyDescent="0.3">
      <c r="A962" s="1">
        <v>41990</v>
      </c>
      <c r="B962" s="1">
        <v>41998</v>
      </c>
      <c r="C962">
        <v>6.58</v>
      </c>
      <c r="D962">
        <v>0.17</v>
      </c>
      <c r="E962">
        <v>4</v>
      </c>
      <c r="F962">
        <f t="shared" si="196"/>
        <v>6.75</v>
      </c>
      <c r="G962">
        <f t="shared" si="197"/>
        <v>12</v>
      </c>
      <c r="H962">
        <f t="shared" si="198"/>
        <v>0</v>
      </c>
      <c r="I962">
        <f t="shared" si="199"/>
        <v>0</v>
      </c>
      <c r="J962">
        <f t="shared" si="200"/>
        <v>0</v>
      </c>
      <c r="K962">
        <f t="shared" si="201"/>
        <v>0</v>
      </c>
      <c r="L962">
        <f t="shared" si="202"/>
        <v>0</v>
      </c>
      <c r="M962">
        <f t="shared" si="203"/>
        <v>0</v>
      </c>
      <c r="N962">
        <f t="shared" si="204"/>
        <v>0</v>
      </c>
      <c r="O962">
        <f t="shared" si="205"/>
        <v>0</v>
      </c>
      <c r="P962">
        <f t="shared" si="206"/>
        <v>0</v>
      </c>
      <c r="Q962">
        <f t="shared" si="207"/>
        <v>0</v>
      </c>
      <c r="R962">
        <f t="shared" si="208"/>
        <v>0</v>
      </c>
      <c r="S962">
        <f t="shared" si="209"/>
        <v>6.75</v>
      </c>
    </row>
    <row r="963" spans="1:19" x14ac:dyDescent="0.3">
      <c r="A963" s="1">
        <v>41991</v>
      </c>
      <c r="B963" s="1">
        <v>41998</v>
      </c>
      <c r="C963">
        <v>4.66</v>
      </c>
      <c r="D963">
        <v>0.12</v>
      </c>
      <c r="E963">
        <v>6</v>
      </c>
      <c r="F963">
        <f t="shared" ref="F963:F1001" si="210">C963+D963</f>
        <v>4.78</v>
      </c>
      <c r="G963">
        <f t="shared" ref="G963:G1001" si="211">MONTH(A963)</f>
        <v>12</v>
      </c>
      <c r="H963">
        <f t="shared" ref="H963:H1001" si="212">IF(EXACT(G963,1),F963,0)</f>
        <v>0</v>
      </c>
      <c r="I963">
        <f t="shared" ref="I963:I1001" si="213">IF(EXACT(G963,2),F963,0)</f>
        <v>0</v>
      </c>
      <c r="J963">
        <f t="shared" ref="J963:J1001" si="214">IF(EXACT(G963,3),F963,0)</f>
        <v>0</v>
      </c>
      <c r="K963">
        <f t="shared" ref="K963:K1001" si="215">IF(EXACT(G963,4),F963,0)</f>
        <v>0</v>
      </c>
      <c r="L963">
        <f t="shared" ref="L963:L1001" si="216">IF(EXACT(G963,5),F963,0)</f>
        <v>0</v>
      </c>
      <c r="M963">
        <f t="shared" ref="M963:M1001" si="217">IF(EXACT(G963,6),F963,0)</f>
        <v>0</v>
      </c>
      <c r="N963">
        <f t="shared" ref="N963:N1001" si="218">IF(EXACT(G963,7),F963,0)</f>
        <v>0</v>
      </c>
      <c r="O963">
        <f t="shared" ref="O963:O1001" si="219">IF(EXACT(G963,8),F963,0)</f>
        <v>0</v>
      </c>
      <c r="P963">
        <f t="shared" ref="P963:P1001" si="220">IF(EXACT(G963,9),F963,0)</f>
        <v>0</v>
      </c>
      <c r="Q963">
        <f t="shared" ref="Q963:Q1001" si="221">IF(EXACT(G963,10),F963,0)</f>
        <v>0</v>
      </c>
      <c r="R963">
        <f t="shared" ref="R963:R1001" si="222">IF(EXACT(G963,11),F963,0)</f>
        <v>0</v>
      </c>
      <c r="S963">
        <f t="shared" ref="S963:S1001" si="223">IF(EXACT(G963,12),F963,0)</f>
        <v>4.78</v>
      </c>
    </row>
    <row r="964" spans="1:19" x14ac:dyDescent="0.3">
      <c r="A964" s="1">
        <v>41991</v>
      </c>
      <c r="B964" s="1">
        <v>42003</v>
      </c>
      <c r="C964">
        <v>4.66</v>
      </c>
      <c r="D964">
        <v>0.12</v>
      </c>
      <c r="E964">
        <v>5</v>
      </c>
      <c r="F964">
        <f t="shared" si="210"/>
        <v>4.78</v>
      </c>
      <c r="G964">
        <f t="shared" si="211"/>
        <v>12</v>
      </c>
      <c r="H964">
        <f t="shared" si="212"/>
        <v>0</v>
      </c>
      <c r="I964">
        <f t="shared" si="213"/>
        <v>0</v>
      </c>
      <c r="J964">
        <f t="shared" si="214"/>
        <v>0</v>
      </c>
      <c r="K964">
        <f t="shared" si="215"/>
        <v>0</v>
      </c>
      <c r="L964">
        <f t="shared" si="216"/>
        <v>0</v>
      </c>
      <c r="M964">
        <f t="shared" si="217"/>
        <v>0</v>
      </c>
      <c r="N964">
        <f t="shared" si="218"/>
        <v>0</v>
      </c>
      <c r="O964">
        <f t="shared" si="219"/>
        <v>0</v>
      </c>
      <c r="P964">
        <f t="shared" si="220"/>
        <v>0</v>
      </c>
      <c r="Q964">
        <f t="shared" si="221"/>
        <v>0</v>
      </c>
      <c r="R964">
        <f t="shared" si="222"/>
        <v>0</v>
      </c>
      <c r="S964">
        <f t="shared" si="223"/>
        <v>4.78</v>
      </c>
    </row>
    <row r="965" spans="1:19" x14ac:dyDescent="0.3">
      <c r="A965" s="1">
        <v>41991</v>
      </c>
      <c r="B965" s="1">
        <v>41999</v>
      </c>
      <c r="C965">
        <v>3.73</v>
      </c>
      <c r="D965">
        <v>0.1</v>
      </c>
      <c r="E965">
        <v>5</v>
      </c>
      <c r="F965">
        <f t="shared" si="210"/>
        <v>3.83</v>
      </c>
      <c r="G965">
        <f t="shared" si="211"/>
        <v>12</v>
      </c>
      <c r="H965">
        <f t="shared" si="212"/>
        <v>0</v>
      </c>
      <c r="I965">
        <f t="shared" si="213"/>
        <v>0</v>
      </c>
      <c r="J965">
        <f t="shared" si="214"/>
        <v>0</v>
      </c>
      <c r="K965">
        <f t="shared" si="215"/>
        <v>0</v>
      </c>
      <c r="L965">
        <f t="shared" si="216"/>
        <v>0</v>
      </c>
      <c r="M965">
        <f t="shared" si="217"/>
        <v>0</v>
      </c>
      <c r="N965">
        <f t="shared" si="218"/>
        <v>0</v>
      </c>
      <c r="O965">
        <f t="shared" si="219"/>
        <v>0</v>
      </c>
      <c r="P965">
        <f t="shared" si="220"/>
        <v>0</v>
      </c>
      <c r="Q965">
        <f t="shared" si="221"/>
        <v>0</v>
      </c>
      <c r="R965">
        <f t="shared" si="222"/>
        <v>0</v>
      </c>
      <c r="S965">
        <f t="shared" si="223"/>
        <v>3.83</v>
      </c>
    </row>
    <row r="966" spans="1:19" x14ac:dyDescent="0.3">
      <c r="A966" s="1">
        <v>41991</v>
      </c>
      <c r="B966" s="1">
        <v>41995</v>
      </c>
      <c r="C966">
        <v>4.25</v>
      </c>
      <c r="D966">
        <v>0.11</v>
      </c>
      <c r="E966">
        <v>4</v>
      </c>
      <c r="F966">
        <f t="shared" si="210"/>
        <v>4.3600000000000003</v>
      </c>
      <c r="G966">
        <f t="shared" si="211"/>
        <v>12</v>
      </c>
      <c r="H966">
        <f t="shared" si="212"/>
        <v>0</v>
      </c>
      <c r="I966">
        <f t="shared" si="213"/>
        <v>0</v>
      </c>
      <c r="J966">
        <f t="shared" si="214"/>
        <v>0</v>
      </c>
      <c r="K966">
        <f t="shared" si="215"/>
        <v>0</v>
      </c>
      <c r="L966">
        <f t="shared" si="216"/>
        <v>0</v>
      </c>
      <c r="M966">
        <f t="shared" si="217"/>
        <v>0</v>
      </c>
      <c r="N966">
        <f t="shared" si="218"/>
        <v>0</v>
      </c>
      <c r="O966">
        <f t="shared" si="219"/>
        <v>0</v>
      </c>
      <c r="P966">
        <f t="shared" si="220"/>
        <v>0</v>
      </c>
      <c r="Q966">
        <f t="shared" si="221"/>
        <v>0</v>
      </c>
      <c r="R966">
        <f t="shared" si="222"/>
        <v>0</v>
      </c>
      <c r="S966">
        <f t="shared" si="223"/>
        <v>4.3600000000000003</v>
      </c>
    </row>
    <row r="967" spans="1:19" x14ac:dyDescent="0.3">
      <c r="A967" s="1">
        <v>41991</v>
      </c>
      <c r="B967" s="1">
        <v>42014</v>
      </c>
      <c r="C967">
        <v>6.34</v>
      </c>
      <c r="D967">
        <v>0.17</v>
      </c>
      <c r="E967">
        <v>5</v>
      </c>
      <c r="F967">
        <f t="shared" si="210"/>
        <v>6.51</v>
      </c>
      <c r="G967">
        <f t="shared" si="211"/>
        <v>12</v>
      </c>
      <c r="H967">
        <f t="shared" si="212"/>
        <v>0</v>
      </c>
      <c r="I967">
        <f t="shared" si="213"/>
        <v>0</v>
      </c>
      <c r="J967">
        <f t="shared" si="214"/>
        <v>0</v>
      </c>
      <c r="K967">
        <f t="shared" si="215"/>
        <v>0</v>
      </c>
      <c r="L967">
        <f t="shared" si="216"/>
        <v>0</v>
      </c>
      <c r="M967">
        <f t="shared" si="217"/>
        <v>0</v>
      </c>
      <c r="N967">
        <f t="shared" si="218"/>
        <v>0</v>
      </c>
      <c r="O967">
        <f t="shared" si="219"/>
        <v>0</v>
      </c>
      <c r="P967">
        <f t="shared" si="220"/>
        <v>0</v>
      </c>
      <c r="Q967">
        <f t="shared" si="221"/>
        <v>0</v>
      </c>
      <c r="R967">
        <f t="shared" si="222"/>
        <v>0</v>
      </c>
      <c r="S967">
        <f t="shared" si="223"/>
        <v>6.51</v>
      </c>
    </row>
    <row r="968" spans="1:19" x14ac:dyDescent="0.3">
      <c r="A968" s="1">
        <v>41992</v>
      </c>
      <c r="B968" s="1">
        <v>42016</v>
      </c>
      <c r="C968">
        <v>2.0099999999999998</v>
      </c>
      <c r="D968">
        <v>0.05</v>
      </c>
      <c r="E968">
        <v>6</v>
      </c>
      <c r="F968">
        <f t="shared" si="210"/>
        <v>2.0599999999999996</v>
      </c>
      <c r="G968">
        <f t="shared" si="211"/>
        <v>12</v>
      </c>
      <c r="H968">
        <f t="shared" si="212"/>
        <v>0</v>
      </c>
      <c r="I968">
        <f t="shared" si="213"/>
        <v>0</v>
      </c>
      <c r="J968">
        <f t="shared" si="214"/>
        <v>0</v>
      </c>
      <c r="K968">
        <f t="shared" si="215"/>
        <v>0</v>
      </c>
      <c r="L968">
        <f t="shared" si="216"/>
        <v>0</v>
      </c>
      <c r="M968">
        <f t="shared" si="217"/>
        <v>0</v>
      </c>
      <c r="N968">
        <f t="shared" si="218"/>
        <v>0</v>
      </c>
      <c r="O968">
        <f t="shared" si="219"/>
        <v>0</v>
      </c>
      <c r="P968">
        <f t="shared" si="220"/>
        <v>0</v>
      </c>
      <c r="Q968">
        <f t="shared" si="221"/>
        <v>0</v>
      </c>
      <c r="R968">
        <f t="shared" si="222"/>
        <v>0</v>
      </c>
      <c r="S968">
        <f t="shared" si="223"/>
        <v>2.0599999999999996</v>
      </c>
    </row>
    <row r="969" spans="1:19" x14ac:dyDescent="0.3">
      <c r="A969" s="1">
        <v>41992</v>
      </c>
      <c r="B969" s="1">
        <v>42007</v>
      </c>
      <c r="C969">
        <v>6.34</v>
      </c>
      <c r="D969">
        <v>0.17</v>
      </c>
      <c r="E969">
        <v>6</v>
      </c>
      <c r="F969">
        <f t="shared" si="210"/>
        <v>6.51</v>
      </c>
      <c r="G969">
        <f t="shared" si="211"/>
        <v>12</v>
      </c>
      <c r="H969">
        <f t="shared" si="212"/>
        <v>0</v>
      </c>
      <c r="I969">
        <f t="shared" si="213"/>
        <v>0</v>
      </c>
      <c r="J969">
        <f t="shared" si="214"/>
        <v>0</v>
      </c>
      <c r="K969">
        <f t="shared" si="215"/>
        <v>0</v>
      </c>
      <c r="L969">
        <f t="shared" si="216"/>
        <v>0</v>
      </c>
      <c r="M969">
        <f t="shared" si="217"/>
        <v>0</v>
      </c>
      <c r="N969">
        <f t="shared" si="218"/>
        <v>0</v>
      </c>
      <c r="O969">
        <f t="shared" si="219"/>
        <v>0</v>
      </c>
      <c r="P969">
        <f t="shared" si="220"/>
        <v>0</v>
      </c>
      <c r="Q969">
        <f t="shared" si="221"/>
        <v>0</v>
      </c>
      <c r="R969">
        <f t="shared" si="222"/>
        <v>0</v>
      </c>
      <c r="S969">
        <f t="shared" si="223"/>
        <v>6.51</v>
      </c>
    </row>
    <row r="970" spans="1:19" x14ac:dyDescent="0.3">
      <c r="A970" s="1">
        <v>41993</v>
      </c>
      <c r="B970" s="1">
        <v>42014</v>
      </c>
      <c r="C970">
        <v>3.94</v>
      </c>
      <c r="D970">
        <v>0.1</v>
      </c>
      <c r="E970">
        <v>4</v>
      </c>
      <c r="F970">
        <f t="shared" si="210"/>
        <v>4.04</v>
      </c>
      <c r="G970">
        <f t="shared" si="211"/>
        <v>12</v>
      </c>
      <c r="H970">
        <f t="shared" si="212"/>
        <v>0</v>
      </c>
      <c r="I970">
        <f t="shared" si="213"/>
        <v>0</v>
      </c>
      <c r="J970">
        <f t="shared" si="214"/>
        <v>0</v>
      </c>
      <c r="K970">
        <f t="shared" si="215"/>
        <v>0</v>
      </c>
      <c r="L970">
        <f t="shared" si="216"/>
        <v>0</v>
      </c>
      <c r="M970">
        <f t="shared" si="217"/>
        <v>0</v>
      </c>
      <c r="N970">
        <f t="shared" si="218"/>
        <v>0</v>
      </c>
      <c r="O970">
        <f t="shared" si="219"/>
        <v>0</v>
      </c>
      <c r="P970">
        <f t="shared" si="220"/>
        <v>0</v>
      </c>
      <c r="Q970">
        <f t="shared" si="221"/>
        <v>0</v>
      </c>
      <c r="R970">
        <f t="shared" si="222"/>
        <v>0</v>
      </c>
      <c r="S970">
        <f t="shared" si="223"/>
        <v>4.04</v>
      </c>
    </row>
    <row r="971" spans="1:19" x14ac:dyDescent="0.3">
      <c r="A971" s="1">
        <v>41993</v>
      </c>
      <c r="B971" s="1">
        <v>42021</v>
      </c>
      <c r="C971">
        <v>8.7200000000000006</v>
      </c>
      <c r="D971">
        <v>0.23</v>
      </c>
      <c r="E971">
        <v>4</v>
      </c>
      <c r="F971">
        <f t="shared" si="210"/>
        <v>8.9500000000000011</v>
      </c>
      <c r="G971">
        <f t="shared" si="211"/>
        <v>12</v>
      </c>
      <c r="H971">
        <f t="shared" si="212"/>
        <v>0</v>
      </c>
      <c r="I971">
        <f t="shared" si="213"/>
        <v>0</v>
      </c>
      <c r="J971">
        <f t="shared" si="214"/>
        <v>0</v>
      </c>
      <c r="K971">
        <f t="shared" si="215"/>
        <v>0</v>
      </c>
      <c r="L971">
        <f t="shared" si="216"/>
        <v>0</v>
      </c>
      <c r="M971">
        <f t="shared" si="217"/>
        <v>0</v>
      </c>
      <c r="N971">
        <f t="shared" si="218"/>
        <v>0</v>
      </c>
      <c r="O971">
        <f t="shared" si="219"/>
        <v>0</v>
      </c>
      <c r="P971">
        <f t="shared" si="220"/>
        <v>0</v>
      </c>
      <c r="Q971">
        <f t="shared" si="221"/>
        <v>0</v>
      </c>
      <c r="R971">
        <f t="shared" si="222"/>
        <v>0</v>
      </c>
      <c r="S971">
        <f t="shared" si="223"/>
        <v>8.9500000000000011</v>
      </c>
    </row>
    <row r="972" spans="1:19" x14ac:dyDescent="0.3">
      <c r="A972" s="1">
        <v>41994</v>
      </c>
      <c r="B972" s="1">
        <v>42012</v>
      </c>
      <c r="C972">
        <v>5.67</v>
      </c>
      <c r="D972">
        <v>0.15</v>
      </c>
      <c r="E972">
        <v>6</v>
      </c>
      <c r="F972">
        <f t="shared" si="210"/>
        <v>5.82</v>
      </c>
      <c r="G972">
        <f t="shared" si="211"/>
        <v>12</v>
      </c>
      <c r="H972">
        <f t="shared" si="212"/>
        <v>0</v>
      </c>
      <c r="I972">
        <f t="shared" si="213"/>
        <v>0</v>
      </c>
      <c r="J972">
        <f t="shared" si="214"/>
        <v>0</v>
      </c>
      <c r="K972">
        <f t="shared" si="215"/>
        <v>0</v>
      </c>
      <c r="L972">
        <f t="shared" si="216"/>
        <v>0</v>
      </c>
      <c r="M972">
        <f t="shared" si="217"/>
        <v>0</v>
      </c>
      <c r="N972">
        <f t="shared" si="218"/>
        <v>0</v>
      </c>
      <c r="O972">
        <f t="shared" si="219"/>
        <v>0</v>
      </c>
      <c r="P972">
        <f t="shared" si="220"/>
        <v>0</v>
      </c>
      <c r="Q972">
        <f t="shared" si="221"/>
        <v>0</v>
      </c>
      <c r="R972">
        <f t="shared" si="222"/>
        <v>0</v>
      </c>
      <c r="S972">
        <f t="shared" si="223"/>
        <v>5.82</v>
      </c>
    </row>
    <row r="973" spans="1:19" x14ac:dyDescent="0.3">
      <c r="A973" s="1">
        <v>41994</v>
      </c>
      <c r="B973" s="1">
        <v>42021</v>
      </c>
      <c r="C973">
        <v>6.58</v>
      </c>
      <c r="D973">
        <v>0.17</v>
      </c>
      <c r="E973">
        <v>5</v>
      </c>
      <c r="F973">
        <f t="shared" si="210"/>
        <v>6.75</v>
      </c>
      <c r="G973">
        <f t="shared" si="211"/>
        <v>12</v>
      </c>
      <c r="H973">
        <f t="shared" si="212"/>
        <v>0</v>
      </c>
      <c r="I973">
        <f t="shared" si="213"/>
        <v>0</v>
      </c>
      <c r="J973">
        <f t="shared" si="214"/>
        <v>0</v>
      </c>
      <c r="K973">
        <f t="shared" si="215"/>
        <v>0</v>
      </c>
      <c r="L973">
        <f t="shared" si="216"/>
        <v>0</v>
      </c>
      <c r="M973">
        <f t="shared" si="217"/>
        <v>0</v>
      </c>
      <c r="N973">
        <f t="shared" si="218"/>
        <v>0</v>
      </c>
      <c r="O973">
        <f t="shared" si="219"/>
        <v>0</v>
      </c>
      <c r="P973">
        <f t="shared" si="220"/>
        <v>0</v>
      </c>
      <c r="Q973">
        <f t="shared" si="221"/>
        <v>0</v>
      </c>
      <c r="R973">
        <f t="shared" si="222"/>
        <v>0</v>
      </c>
      <c r="S973">
        <f t="shared" si="223"/>
        <v>6.75</v>
      </c>
    </row>
    <row r="974" spans="1:19" x14ac:dyDescent="0.3">
      <c r="A974" s="1">
        <v>41994</v>
      </c>
      <c r="B974" s="1">
        <v>42022</v>
      </c>
      <c r="C974">
        <v>8.7200000000000006</v>
      </c>
      <c r="D974">
        <v>0.23</v>
      </c>
      <c r="E974">
        <v>6</v>
      </c>
      <c r="F974">
        <f t="shared" si="210"/>
        <v>8.9500000000000011</v>
      </c>
      <c r="G974">
        <f t="shared" si="211"/>
        <v>12</v>
      </c>
      <c r="H974">
        <f t="shared" si="212"/>
        <v>0</v>
      </c>
      <c r="I974">
        <f t="shared" si="213"/>
        <v>0</v>
      </c>
      <c r="J974">
        <f t="shared" si="214"/>
        <v>0</v>
      </c>
      <c r="K974">
        <f t="shared" si="215"/>
        <v>0</v>
      </c>
      <c r="L974">
        <f t="shared" si="216"/>
        <v>0</v>
      </c>
      <c r="M974">
        <f t="shared" si="217"/>
        <v>0</v>
      </c>
      <c r="N974">
        <f t="shared" si="218"/>
        <v>0</v>
      </c>
      <c r="O974">
        <f t="shared" si="219"/>
        <v>0</v>
      </c>
      <c r="P974">
        <f t="shared" si="220"/>
        <v>0</v>
      </c>
      <c r="Q974">
        <f t="shared" si="221"/>
        <v>0</v>
      </c>
      <c r="R974">
        <f t="shared" si="222"/>
        <v>0</v>
      </c>
      <c r="S974">
        <f t="shared" si="223"/>
        <v>8.9500000000000011</v>
      </c>
    </row>
    <row r="975" spans="1:19" x14ac:dyDescent="0.3">
      <c r="A975" s="1">
        <v>41994</v>
      </c>
      <c r="B975" s="1">
        <v>42000</v>
      </c>
      <c r="C975">
        <v>6.43</v>
      </c>
      <c r="D975">
        <v>0.17</v>
      </c>
      <c r="E975">
        <v>2</v>
      </c>
      <c r="F975">
        <f t="shared" si="210"/>
        <v>6.6</v>
      </c>
      <c r="G975">
        <f t="shared" si="211"/>
        <v>12</v>
      </c>
      <c r="H975">
        <f t="shared" si="212"/>
        <v>0</v>
      </c>
      <c r="I975">
        <f t="shared" si="213"/>
        <v>0</v>
      </c>
      <c r="J975">
        <f t="shared" si="214"/>
        <v>0</v>
      </c>
      <c r="K975">
        <f t="shared" si="215"/>
        <v>0</v>
      </c>
      <c r="L975">
        <f t="shared" si="216"/>
        <v>0</v>
      </c>
      <c r="M975">
        <f t="shared" si="217"/>
        <v>0</v>
      </c>
      <c r="N975">
        <f t="shared" si="218"/>
        <v>0</v>
      </c>
      <c r="O975">
        <f t="shared" si="219"/>
        <v>0</v>
      </c>
      <c r="P975">
        <f t="shared" si="220"/>
        <v>0</v>
      </c>
      <c r="Q975">
        <f t="shared" si="221"/>
        <v>0</v>
      </c>
      <c r="R975">
        <f t="shared" si="222"/>
        <v>0</v>
      </c>
      <c r="S975">
        <f t="shared" si="223"/>
        <v>6.6</v>
      </c>
    </row>
    <row r="976" spans="1:19" x14ac:dyDescent="0.3">
      <c r="A976" s="1">
        <v>41994</v>
      </c>
      <c r="B976" s="1">
        <v>42001</v>
      </c>
      <c r="C976">
        <v>3.73</v>
      </c>
      <c r="D976">
        <v>0.1</v>
      </c>
      <c r="E976">
        <v>2</v>
      </c>
      <c r="F976">
        <f t="shared" si="210"/>
        <v>3.83</v>
      </c>
      <c r="G976">
        <f t="shared" si="211"/>
        <v>12</v>
      </c>
      <c r="H976">
        <f t="shared" si="212"/>
        <v>0</v>
      </c>
      <c r="I976">
        <f t="shared" si="213"/>
        <v>0</v>
      </c>
      <c r="J976">
        <f t="shared" si="214"/>
        <v>0</v>
      </c>
      <c r="K976">
        <f t="shared" si="215"/>
        <v>0</v>
      </c>
      <c r="L976">
        <f t="shared" si="216"/>
        <v>0</v>
      </c>
      <c r="M976">
        <f t="shared" si="217"/>
        <v>0</v>
      </c>
      <c r="N976">
        <f t="shared" si="218"/>
        <v>0</v>
      </c>
      <c r="O976">
        <f t="shared" si="219"/>
        <v>0</v>
      </c>
      <c r="P976">
        <f t="shared" si="220"/>
        <v>0</v>
      </c>
      <c r="Q976">
        <f t="shared" si="221"/>
        <v>0</v>
      </c>
      <c r="R976">
        <f t="shared" si="222"/>
        <v>0</v>
      </c>
      <c r="S976">
        <f t="shared" si="223"/>
        <v>3.83</v>
      </c>
    </row>
    <row r="977" spans="1:19" x14ac:dyDescent="0.3">
      <c r="A977" s="1">
        <v>41994</v>
      </c>
      <c r="B977" s="1">
        <v>42015</v>
      </c>
      <c r="C977">
        <v>7.71</v>
      </c>
      <c r="D977">
        <v>0.2</v>
      </c>
      <c r="E977">
        <v>6</v>
      </c>
      <c r="F977">
        <f t="shared" si="210"/>
        <v>7.91</v>
      </c>
      <c r="G977">
        <f t="shared" si="211"/>
        <v>12</v>
      </c>
      <c r="H977">
        <f t="shared" si="212"/>
        <v>0</v>
      </c>
      <c r="I977">
        <f t="shared" si="213"/>
        <v>0</v>
      </c>
      <c r="J977">
        <f t="shared" si="214"/>
        <v>0</v>
      </c>
      <c r="K977">
        <f t="shared" si="215"/>
        <v>0</v>
      </c>
      <c r="L977">
        <f t="shared" si="216"/>
        <v>0</v>
      </c>
      <c r="M977">
        <f t="shared" si="217"/>
        <v>0</v>
      </c>
      <c r="N977">
        <f t="shared" si="218"/>
        <v>0</v>
      </c>
      <c r="O977">
        <f t="shared" si="219"/>
        <v>0</v>
      </c>
      <c r="P977">
        <f t="shared" si="220"/>
        <v>0</v>
      </c>
      <c r="Q977">
        <f t="shared" si="221"/>
        <v>0</v>
      </c>
      <c r="R977">
        <f t="shared" si="222"/>
        <v>0</v>
      </c>
      <c r="S977">
        <f t="shared" si="223"/>
        <v>7.91</v>
      </c>
    </row>
    <row r="978" spans="1:19" x14ac:dyDescent="0.3">
      <c r="A978" s="1">
        <v>41994</v>
      </c>
      <c r="B978" s="1">
        <v>42007</v>
      </c>
      <c r="C978">
        <v>7.31</v>
      </c>
      <c r="D978">
        <v>0.19</v>
      </c>
      <c r="E978">
        <v>5</v>
      </c>
      <c r="F978">
        <f t="shared" si="210"/>
        <v>7.5</v>
      </c>
      <c r="G978">
        <f t="shared" si="211"/>
        <v>12</v>
      </c>
      <c r="H978">
        <f t="shared" si="212"/>
        <v>0</v>
      </c>
      <c r="I978">
        <f t="shared" si="213"/>
        <v>0</v>
      </c>
      <c r="J978">
        <f t="shared" si="214"/>
        <v>0</v>
      </c>
      <c r="K978">
        <f t="shared" si="215"/>
        <v>0</v>
      </c>
      <c r="L978">
        <f t="shared" si="216"/>
        <v>0</v>
      </c>
      <c r="M978">
        <f t="shared" si="217"/>
        <v>0</v>
      </c>
      <c r="N978">
        <f t="shared" si="218"/>
        <v>0</v>
      </c>
      <c r="O978">
        <f t="shared" si="219"/>
        <v>0</v>
      </c>
      <c r="P978">
        <f t="shared" si="220"/>
        <v>0</v>
      </c>
      <c r="Q978">
        <f t="shared" si="221"/>
        <v>0</v>
      </c>
      <c r="R978">
        <f t="shared" si="222"/>
        <v>0</v>
      </c>
      <c r="S978">
        <f t="shared" si="223"/>
        <v>7.5</v>
      </c>
    </row>
    <row r="979" spans="1:19" x14ac:dyDescent="0.3">
      <c r="A979" s="1">
        <v>41994</v>
      </c>
      <c r="B979" s="1">
        <v>42016</v>
      </c>
      <c r="C979">
        <v>4.25</v>
      </c>
      <c r="D979">
        <v>0.11</v>
      </c>
      <c r="E979">
        <v>4</v>
      </c>
      <c r="F979">
        <f t="shared" si="210"/>
        <v>4.3600000000000003</v>
      </c>
      <c r="G979">
        <f t="shared" si="211"/>
        <v>12</v>
      </c>
      <c r="H979">
        <f t="shared" si="212"/>
        <v>0</v>
      </c>
      <c r="I979">
        <f t="shared" si="213"/>
        <v>0</v>
      </c>
      <c r="J979">
        <f t="shared" si="214"/>
        <v>0</v>
      </c>
      <c r="K979">
        <f t="shared" si="215"/>
        <v>0</v>
      </c>
      <c r="L979">
        <f t="shared" si="216"/>
        <v>0</v>
      </c>
      <c r="M979">
        <f t="shared" si="217"/>
        <v>0</v>
      </c>
      <c r="N979">
        <f t="shared" si="218"/>
        <v>0</v>
      </c>
      <c r="O979">
        <f t="shared" si="219"/>
        <v>0</v>
      </c>
      <c r="P979">
        <f t="shared" si="220"/>
        <v>0</v>
      </c>
      <c r="Q979">
        <f t="shared" si="221"/>
        <v>0</v>
      </c>
      <c r="R979">
        <f t="shared" si="222"/>
        <v>0</v>
      </c>
      <c r="S979">
        <f t="shared" si="223"/>
        <v>4.3600000000000003</v>
      </c>
    </row>
    <row r="980" spans="1:19" x14ac:dyDescent="0.3">
      <c r="A980" s="1">
        <v>41995</v>
      </c>
      <c r="B980" s="1">
        <v>42018</v>
      </c>
      <c r="C980">
        <v>6.43</v>
      </c>
      <c r="D980">
        <v>0.17</v>
      </c>
      <c r="E980">
        <v>2</v>
      </c>
      <c r="F980">
        <f t="shared" si="210"/>
        <v>6.6</v>
      </c>
      <c r="G980">
        <f t="shared" si="211"/>
        <v>12</v>
      </c>
      <c r="H980">
        <f t="shared" si="212"/>
        <v>0</v>
      </c>
      <c r="I980">
        <f t="shared" si="213"/>
        <v>0</v>
      </c>
      <c r="J980">
        <f t="shared" si="214"/>
        <v>0</v>
      </c>
      <c r="K980">
        <f t="shared" si="215"/>
        <v>0</v>
      </c>
      <c r="L980">
        <f t="shared" si="216"/>
        <v>0</v>
      </c>
      <c r="M980">
        <f t="shared" si="217"/>
        <v>0</v>
      </c>
      <c r="N980">
        <f t="shared" si="218"/>
        <v>0</v>
      </c>
      <c r="O980">
        <f t="shared" si="219"/>
        <v>0</v>
      </c>
      <c r="P980">
        <f t="shared" si="220"/>
        <v>0</v>
      </c>
      <c r="Q980">
        <f t="shared" si="221"/>
        <v>0</v>
      </c>
      <c r="R980">
        <f t="shared" si="222"/>
        <v>0</v>
      </c>
      <c r="S980">
        <f t="shared" si="223"/>
        <v>6.6</v>
      </c>
    </row>
    <row r="981" spans="1:19" x14ac:dyDescent="0.3">
      <c r="A981" s="1">
        <v>41995</v>
      </c>
      <c r="B981" s="1">
        <v>42017</v>
      </c>
      <c r="C981">
        <v>4.66</v>
      </c>
      <c r="D981">
        <v>0.12</v>
      </c>
      <c r="E981">
        <v>5</v>
      </c>
      <c r="F981">
        <f t="shared" si="210"/>
        <v>4.78</v>
      </c>
      <c r="G981">
        <f t="shared" si="211"/>
        <v>12</v>
      </c>
      <c r="H981">
        <f t="shared" si="212"/>
        <v>0</v>
      </c>
      <c r="I981">
        <f t="shared" si="213"/>
        <v>0</v>
      </c>
      <c r="J981">
        <f t="shared" si="214"/>
        <v>0</v>
      </c>
      <c r="K981">
        <f t="shared" si="215"/>
        <v>0</v>
      </c>
      <c r="L981">
        <f t="shared" si="216"/>
        <v>0</v>
      </c>
      <c r="M981">
        <f t="shared" si="217"/>
        <v>0</v>
      </c>
      <c r="N981">
        <f t="shared" si="218"/>
        <v>0</v>
      </c>
      <c r="O981">
        <f t="shared" si="219"/>
        <v>0</v>
      </c>
      <c r="P981">
        <f t="shared" si="220"/>
        <v>0</v>
      </c>
      <c r="Q981">
        <f t="shared" si="221"/>
        <v>0</v>
      </c>
      <c r="R981">
        <f t="shared" si="222"/>
        <v>0</v>
      </c>
      <c r="S981">
        <f t="shared" si="223"/>
        <v>4.78</v>
      </c>
    </row>
    <row r="982" spans="1:19" x14ac:dyDescent="0.3">
      <c r="A982" s="1">
        <v>41995</v>
      </c>
      <c r="B982" s="1">
        <v>42006</v>
      </c>
      <c r="C982">
        <v>6.23</v>
      </c>
      <c r="D982">
        <v>0.16</v>
      </c>
      <c r="E982">
        <v>5</v>
      </c>
      <c r="F982">
        <f t="shared" si="210"/>
        <v>6.3900000000000006</v>
      </c>
      <c r="G982">
        <f t="shared" si="211"/>
        <v>12</v>
      </c>
      <c r="H982">
        <f t="shared" si="212"/>
        <v>0</v>
      </c>
      <c r="I982">
        <f t="shared" si="213"/>
        <v>0</v>
      </c>
      <c r="J982">
        <f t="shared" si="214"/>
        <v>0</v>
      </c>
      <c r="K982">
        <f t="shared" si="215"/>
        <v>0</v>
      </c>
      <c r="L982">
        <f t="shared" si="216"/>
        <v>0</v>
      </c>
      <c r="M982">
        <f t="shared" si="217"/>
        <v>0</v>
      </c>
      <c r="N982">
        <f t="shared" si="218"/>
        <v>0</v>
      </c>
      <c r="O982">
        <f t="shared" si="219"/>
        <v>0</v>
      </c>
      <c r="P982">
        <f t="shared" si="220"/>
        <v>0</v>
      </c>
      <c r="Q982">
        <f t="shared" si="221"/>
        <v>0</v>
      </c>
      <c r="R982">
        <f t="shared" si="222"/>
        <v>0</v>
      </c>
      <c r="S982">
        <f t="shared" si="223"/>
        <v>6.3900000000000006</v>
      </c>
    </row>
    <row r="983" spans="1:19" x14ac:dyDescent="0.3">
      <c r="A983" s="1">
        <v>41995</v>
      </c>
      <c r="B983" s="1">
        <v>42018</v>
      </c>
      <c r="C983">
        <v>3.73</v>
      </c>
      <c r="D983">
        <v>0.1</v>
      </c>
      <c r="E983">
        <v>3</v>
      </c>
      <c r="F983">
        <f t="shared" si="210"/>
        <v>3.83</v>
      </c>
      <c r="G983">
        <f t="shared" si="211"/>
        <v>12</v>
      </c>
      <c r="H983">
        <f t="shared" si="212"/>
        <v>0</v>
      </c>
      <c r="I983">
        <f t="shared" si="213"/>
        <v>0</v>
      </c>
      <c r="J983">
        <f t="shared" si="214"/>
        <v>0</v>
      </c>
      <c r="K983">
        <f t="shared" si="215"/>
        <v>0</v>
      </c>
      <c r="L983">
        <f t="shared" si="216"/>
        <v>0</v>
      </c>
      <c r="M983">
        <f t="shared" si="217"/>
        <v>0</v>
      </c>
      <c r="N983">
        <f t="shared" si="218"/>
        <v>0</v>
      </c>
      <c r="O983">
        <f t="shared" si="219"/>
        <v>0</v>
      </c>
      <c r="P983">
        <f t="shared" si="220"/>
        <v>0</v>
      </c>
      <c r="Q983">
        <f t="shared" si="221"/>
        <v>0</v>
      </c>
      <c r="R983">
        <f t="shared" si="222"/>
        <v>0</v>
      </c>
      <c r="S983">
        <f t="shared" si="223"/>
        <v>3.83</v>
      </c>
    </row>
    <row r="984" spans="1:19" x14ac:dyDescent="0.3">
      <c r="A984" s="1">
        <v>41995</v>
      </c>
      <c r="B984" s="1">
        <v>42006</v>
      </c>
      <c r="C984">
        <v>3.79</v>
      </c>
      <c r="D984">
        <v>0.1</v>
      </c>
      <c r="E984">
        <v>2</v>
      </c>
      <c r="F984">
        <f t="shared" si="210"/>
        <v>3.89</v>
      </c>
      <c r="G984">
        <f t="shared" si="211"/>
        <v>12</v>
      </c>
      <c r="H984">
        <f t="shared" si="212"/>
        <v>0</v>
      </c>
      <c r="I984">
        <f t="shared" si="213"/>
        <v>0</v>
      </c>
      <c r="J984">
        <f t="shared" si="214"/>
        <v>0</v>
      </c>
      <c r="K984">
        <f t="shared" si="215"/>
        <v>0</v>
      </c>
      <c r="L984">
        <f t="shared" si="216"/>
        <v>0</v>
      </c>
      <c r="M984">
        <f t="shared" si="217"/>
        <v>0</v>
      </c>
      <c r="N984">
        <f t="shared" si="218"/>
        <v>0</v>
      </c>
      <c r="O984">
        <f t="shared" si="219"/>
        <v>0</v>
      </c>
      <c r="P984">
        <f t="shared" si="220"/>
        <v>0</v>
      </c>
      <c r="Q984">
        <f t="shared" si="221"/>
        <v>0</v>
      </c>
      <c r="R984">
        <f t="shared" si="222"/>
        <v>0</v>
      </c>
      <c r="S984">
        <f t="shared" si="223"/>
        <v>3.89</v>
      </c>
    </row>
    <row r="985" spans="1:19" x14ac:dyDescent="0.3">
      <c r="A985" s="1">
        <v>41995</v>
      </c>
      <c r="B985" s="1">
        <v>42000</v>
      </c>
      <c r="C985">
        <v>2.0099999999999998</v>
      </c>
      <c r="D985">
        <v>0.05</v>
      </c>
      <c r="E985">
        <v>6</v>
      </c>
      <c r="F985">
        <f t="shared" si="210"/>
        <v>2.0599999999999996</v>
      </c>
      <c r="G985">
        <f t="shared" si="211"/>
        <v>12</v>
      </c>
      <c r="H985">
        <f t="shared" si="212"/>
        <v>0</v>
      </c>
      <c r="I985">
        <f t="shared" si="213"/>
        <v>0</v>
      </c>
      <c r="J985">
        <f t="shared" si="214"/>
        <v>0</v>
      </c>
      <c r="K985">
        <f t="shared" si="215"/>
        <v>0</v>
      </c>
      <c r="L985">
        <f t="shared" si="216"/>
        <v>0</v>
      </c>
      <c r="M985">
        <f t="shared" si="217"/>
        <v>0</v>
      </c>
      <c r="N985">
        <f t="shared" si="218"/>
        <v>0</v>
      </c>
      <c r="O985">
        <f t="shared" si="219"/>
        <v>0</v>
      </c>
      <c r="P985">
        <f t="shared" si="220"/>
        <v>0</v>
      </c>
      <c r="Q985">
        <f t="shared" si="221"/>
        <v>0</v>
      </c>
      <c r="R985">
        <f t="shared" si="222"/>
        <v>0</v>
      </c>
      <c r="S985">
        <f t="shared" si="223"/>
        <v>2.0599999999999996</v>
      </c>
    </row>
    <row r="986" spans="1:19" x14ac:dyDescent="0.3">
      <c r="A986" s="1">
        <v>41995</v>
      </c>
      <c r="B986" s="1">
        <v>42003</v>
      </c>
      <c r="C986">
        <v>6.43</v>
      </c>
      <c r="D986">
        <v>0.17</v>
      </c>
      <c r="E986">
        <v>3</v>
      </c>
      <c r="F986">
        <f t="shared" si="210"/>
        <v>6.6</v>
      </c>
      <c r="G986">
        <f t="shared" si="211"/>
        <v>12</v>
      </c>
      <c r="H986">
        <f t="shared" si="212"/>
        <v>0</v>
      </c>
      <c r="I986">
        <f t="shared" si="213"/>
        <v>0</v>
      </c>
      <c r="J986">
        <f t="shared" si="214"/>
        <v>0</v>
      </c>
      <c r="K986">
        <f t="shared" si="215"/>
        <v>0</v>
      </c>
      <c r="L986">
        <f t="shared" si="216"/>
        <v>0</v>
      </c>
      <c r="M986">
        <f t="shared" si="217"/>
        <v>0</v>
      </c>
      <c r="N986">
        <f t="shared" si="218"/>
        <v>0</v>
      </c>
      <c r="O986">
        <f t="shared" si="219"/>
        <v>0</v>
      </c>
      <c r="P986">
        <f t="shared" si="220"/>
        <v>0</v>
      </c>
      <c r="Q986">
        <f t="shared" si="221"/>
        <v>0</v>
      </c>
      <c r="R986">
        <f t="shared" si="222"/>
        <v>0</v>
      </c>
      <c r="S986">
        <f t="shared" si="223"/>
        <v>6.6</v>
      </c>
    </row>
    <row r="987" spans="1:19" x14ac:dyDescent="0.3">
      <c r="A987" s="1">
        <v>41995</v>
      </c>
      <c r="B987" s="1">
        <v>42022</v>
      </c>
      <c r="C987">
        <v>2.72</v>
      </c>
      <c r="D987">
        <v>7.0000000000000007E-2</v>
      </c>
      <c r="E987">
        <v>3</v>
      </c>
      <c r="F987">
        <f t="shared" si="210"/>
        <v>2.79</v>
      </c>
      <c r="G987">
        <f t="shared" si="211"/>
        <v>12</v>
      </c>
      <c r="H987">
        <f t="shared" si="212"/>
        <v>0</v>
      </c>
      <c r="I987">
        <f t="shared" si="213"/>
        <v>0</v>
      </c>
      <c r="J987">
        <f t="shared" si="214"/>
        <v>0</v>
      </c>
      <c r="K987">
        <f t="shared" si="215"/>
        <v>0</v>
      </c>
      <c r="L987">
        <f t="shared" si="216"/>
        <v>0</v>
      </c>
      <c r="M987">
        <f t="shared" si="217"/>
        <v>0</v>
      </c>
      <c r="N987">
        <f t="shared" si="218"/>
        <v>0</v>
      </c>
      <c r="O987">
        <f t="shared" si="219"/>
        <v>0</v>
      </c>
      <c r="P987">
        <f t="shared" si="220"/>
        <v>0</v>
      </c>
      <c r="Q987">
        <f t="shared" si="221"/>
        <v>0</v>
      </c>
      <c r="R987">
        <f t="shared" si="222"/>
        <v>0</v>
      </c>
      <c r="S987">
        <f t="shared" si="223"/>
        <v>2.79</v>
      </c>
    </row>
    <row r="988" spans="1:19" x14ac:dyDescent="0.3">
      <c r="A988" s="1">
        <v>41995</v>
      </c>
      <c r="B988" s="1">
        <v>42005</v>
      </c>
      <c r="C988">
        <v>9.06</v>
      </c>
      <c r="D988">
        <v>0.24</v>
      </c>
      <c r="E988">
        <v>3</v>
      </c>
      <c r="F988">
        <f t="shared" si="210"/>
        <v>9.3000000000000007</v>
      </c>
      <c r="G988">
        <f t="shared" si="211"/>
        <v>12</v>
      </c>
      <c r="H988">
        <f t="shared" si="212"/>
        <v>0</v>
      </c>
      <c r="I988">
        <f t="shared" si="213"/>
        <v>0</v>
      </c>
      <c r="J988">
        <f t="shared" si="214"/>
        <v>0</v>
      </c>
      <c r="K988">
        <f t="shared" si="215"/>
        <v>0</v>
      </c>
      <c r="L988">
        <f t="shared" si="216"/>
        <v>0</v>
      </c>
      <c r="M988">
        <f t="shared" si="217"/>
        <v>0</v>
      </c>
      <c r="N988">
        <f t="shared" si="218"/>
        <v>0</v>
      </c>
      <c r="O988">
        <f t="shared" si="219"/>
        <v>0</v>
      </c>
      <c r="P988">
        <f t="shared" si="220"/>
        <v>0</v>
      </c>
      <c r="Q988">
        <f t="shared" si="221"/>
        <v>0</v>
      </c>
      <c r="R988">
        <f t="shared" si="222"/>
        <v>0</v>
      </c>
      <c r="S988">
        <f t="shared" si="223"/>
        <v>9.3000000000000007</v>
      </c>
    </row>
    <row r="989" spans="1:19" x14ac:dyDescent="0.3">
      <c r="A989" s="1">
        <v>41995</v>
      </c>
      <c r="B989" s="1">
        <v>42007</v>
      </c>
      <c r="C989">
        <v>5.67</v>
      </c>
      <c r="D989">
        <v>0.15</v>
      </c>
      <c r="E989">
        <v>3</v>
      </c>
      <c r="F989">
        <f t="shared" si="210"/>
        <v>5.82</v>
      </c>
      <c r="G989">
        <f t="shared" si="211"/>
        <v>12</v>
      </c>
      <c r="H989">
        <f t="shared" si="212"/>
        <v>0</v>
      </c>
      <c r="I989">
        <f t="shared" si="213"/>
        <v>0</v>
      </c>
      <c r="J989">
        <f t="shared" si="214"/>
        <v>0</v>
      </c>
      <c r="K989">
        <f t="shared" si="215"/>
        <v>0</v>
      </c>
      <c r="L989">
        <f t="shared" si="216"/>
        <v>0</v>
      </c>
      <c r="M989">
        <f t="shared" si="217"/>
        <v>0</v>
      </c>
      <c r="N989">
        <f t="shared" si="218"/>
        <v>0</v>
      </c>
      <c r="O989">
        <f t="shared" si="219"/>
        <v>0</v>
      </c>
      <c r="P989">
        <f t="shared" si="220"/>
        <v>0</v>
      </c>
      <c r="Q989">
        <f t="shared" si="221"/>
        <v>0</v>
      </c>
      <c r="R989">
        <f t="shared" si="222"/>
        <v>0</v>
      </c>
      <c r="S989">
        <f t="shared" si="223"/>
        <v>5.82</v>
      </c>
    </row>
    <row r="990" spans="1:19" x14ac:dyDescent="0.3">
      <c r="A990" s="1">
        <v>41995</v>
      </c>
      <c r="B990" s="1">
        <v>42009</v>
      </c>
      <c r="C990">
        <v>4.25</v>
      </c>
      <c r="D990">
        <v>0.11</v>
      </c>
      <c r="E990">
        <v>6</v>
      </c>
      <c r="F990">
        <f t="shared" si="210"/>
        <v>4.3600000000000003</v>
      </c>
      <c r="G990">
        <f t="shared" si="211"/>
        <v>12</v>
      </c>
      <c r="H990">
        <f t="shared" si="212"/>
        <v>0</v>
      </c>
      <c r="I990">
        <f t="shared" si="213"/>
        <v>0</v>
      </c>
      <c r="J990">
        <f t="shared" si="214"/>
        <v>0</v>
      </c>
      <c r="K990">
        <f t="shared" si="215"/>
        <v>0</v>
      </c>
      <c r="L990">
        <f t="shared" si="216"/>
        <v>0</v>
      </c>
      <c r="M990">
        <f t="shared" si="217"/>
        <v>0</v>
      </c>
      <c r="N990">
        <f t="shared" si="218"/>
        <v>0</v>
      </c>
      <c r="O990">
        <f t="shared" si="219"/>
        <v>0</v>
      </c>
      <c r="P990">
        <f t="shared" si="220"/>
        <v>0</v>
      </c>
      <c r="Q990">
        <f t="shared" si="221"/>
        <v>0</v>
      </c>
      <c r="R990">
        <f t="shared" si="222"/>
        <v>0</v>
      </c>
      <c r="S990">
        <f t="shared" si="223"/>
        <v>4.3600000000000003</v>
      </c>
    </row>
    <row r="991" spans="1:19" x14ac:dyDescent="0.3">
      <c r="A991" s="1">
        <v>41995</v>
      </c>
      <c r="B991" s="1">
        <v>42009</v>
      </c>
      <c r="C991">
        <v>3.57</v>
      </c>
      <c r="D991">
        <v>0.09</v>
      </c>
      <c r="E991">
        <v>2</v>
      </c>
      <c r="F991">
        <f t="shared" si="210"/>
        <v>3.6599999999999997</v>
      </c>
      <c r="G991">
        <f t="shared" si="211"/>
        <v>12</v>
      </c>
      <c r="H991">
        <f t="shared" si="212"/>
        <v>0</v>
      </c>
      <c r="I991">
        <f t="shared" si="213"/>
        <v>0</v>
      </c>
      <c r="J991">
        <f t="shared" si="214"/>
        <v>0</v>
      </c>
      <c r="K991">
        <f t="shared" si="215"/>
        <v>0</v>
      </c>
      <c r="L991">
        <f t="shared" si="216"/>
        <v>0</v>
      </c>
      <c r="M991">
        <f t="shared" si="217"/>
        <v>0</v>
      </c>
      <c r="N991">
        <f t="shared" si="218"/>
        <v>0</v>
      </c>
      <c r="O991">
        <f t="shared" si="219"/>
        <v>0</v>
      </c>
      <c r="P991">
        <f t="shared" si="220"/>
        <v>0</v>
      </c>
      <c r="Q991">
        <f t="shared" si="221"/>
        <v>0</v>
      </c>
      <c r="R991">
        <f t="shared" si="222"/>
        <v>0</v>
      </c>
      <c r="S991">
        <f t="shared" si="223"/>
        <v>3.6599999999999997</v>
      </c>
    </row>
    <row r="992" spans="1:19" x14ac:dyDescent="0.3">
      <c r="A992" s="1">
        <v>41995</v>
      </c>
      <c r="B992" s="1">
        <v>42008</v>
      </c>
      <c r="C992">
        <v>8.39</v>
      </c>
      <c r="D992">
        <v>0.22</v>
      </c>
      <c r="E992">
        <v>5</v>
      </c>
      <c r="F992">
        <f t="shared" si="210"/>
        <v>8.6100000000000012</v>
      </c>
      <c r="G992">
        <f t="shared" si="211"/>
        <v>12</v>
      </c>
      <c r="H992">
        <f t="shared" si="212"/>
        <v>0</v>
      </c>
      <c r="I992">
        <f t="shared" si="213"/>
        <v>0</v>
      </c>
      <c r="J992">
        <f t="shared" si="214"/>
        <v>0</v>
      </c>
      <c r="K992">
        <f t="shared" si="215"/>
        <v>0</v>
      </c>
      <c r="L992">
        <f t="shared" si="216"/>
        <v>0</v>
      </c>
      <c r="M992">
        <f t="shared" si="217"/>
        <v>0</v>
      </c>
      <c r="N992">
        <f t="shared" si="218"/>
        <v>0</v>
      </c>
      <c r="O992">
        <f t="shared" si="219"/>
        <v>0</v>
      </c>
      <c r="P992">
        <f t="shared" si="220"/>
        <v>0</v>
      </c>
      <c r="Q992">
        <f t="shared" si="221"/>
        <v>0</v>
      </c>
      <c r="R992">
        <f t="shared" si="222"/>
        <v>0</v>
      </c>
      <c r="S992">
        <f t="shared" si="223"/>
        <v>8.6100000000000012</v>
      </c>
    </row>
    <row r="993" spans="1:19" x14ac:dyDescent="0.3">
      <c r="A993" s="1">
        <v>41995</v>
      </c>
      <c r="B993" s="1">
        <v>42021</v>
      </c>
      <c r="C993">
        <v>2.29</v>
      </c>
      <c r="D993">
        <v>0.06</v>
      </c>
      <c r="E993">
        <v>5</v>
      </c>
      <c r="F993">
        <f t="shared" si="210"/>
        <v>2.35</v>
      </c>
      <c r="G993">
        <f t="shared" si="211"/>
        <v>12</v>
      </c>
      <c r="H993">
        <f t="shared" si="212"/>
        <v>0</v>
      </c>
      <c r="I993">
        <f t="shared" si="213"/>
        <v>0</v>
      </c>
      <c r="J993">
        <f t="shared" si="214"/>
        <v>0</v>
      </c>
      <c r="K993">
        <f t="shared" si="215"/>
        <v>0</v>
      </c>
      <c r="L993">
        <f t="shared" si="216"/>
        <v>0</v>
      </c>
      <c r="M993">
        <f t="shared" si="217"/>
        <v>0</v>
      </c>
      <c r="N993">
        <f t="shared" si="218"/>
        <v>0</v>
      </c>
      <c r="O993">
        <f t="shared" si="219"/>
        <v>0</v>
      </c>
      <c r="P993">
        <f t="shared" si="220"/>
        <v>0</v>
      </c>
      <c r="Q993">
        <f t="shared" si="221"/>
        <v>0</v>
      </c>
      <c r="R993">
        <f t="shared" si="222"/>
        <v>0</v>
      </c>
      <c r="S993">
        <f t="shared" si="223"/>
        <v>2.35</v>
      </c>
    </row>
    <row r="994" spans="1:19" x14ac:dyDescent="0.3">
      <c r="A994" s="1">
        <v>42001</v>
      </c>
      <c r="B994" s="1">
        <v>42010</v>
      </c>
      <c r="C994">
        <v>3.79</v>
      </c>
      <c r="D994">
        <v>0.1</v>
      </c>
      <c r="E994">
        <v>4</v>
      </c>
      <c r="F994">
        <f t="shared" si="210"/>
        <v>3.89</v>
      </c>
      <c r="G994">
        <f t="shared" si="211"/>
        <v>12</v>
      </c>
      <c r="H994">
        <f t="shared" si="212"/>
        <v>0</v>
      </c>
      <c r="I994">
        <f t="shared" si="213"/>
        <v>0</v>
      </c>
      <c r="J994">
        <f t="shared" si="214"/>
        <v>0</v>
      </c>
      <c r="K994">
        <f t="shared" si="215"/>
        <v>0</v>
      </c>
      <c r="L994">
        <f t="shared" si="216"/>
        <v>0</v>
      </c>
      <c r="M994">
        <f t="shared" si="217"/>
        <v>0</v>
      </c>
      <c r="N994">
        <f t="shared" si="218"/>
        <v>0</v>
      </c>
      <c r="O994">
        <f t="shared" si="219"/>
        <v>0</v>
      </c>
      <c r="P994">
        <f t="shared" si="220"/>
        <v>0</v>
      </c>
      <c r="Q994">
        <f t="shared" si="221"/>
        <v>0</v>
      </c>
      <c r="R994">
        <f t="shared" si="222"/>
        <v>0</v>
      </c>
      <c r="S994">
        <f t="shared" si="223"/>
        <v>3.89</v>
      </c>
    </row>
    <row r="995" spans="1:19" x14ac:dyDescent="0.3">
      <c r="A995" s="1">
        <v>42001</v>
      </c>
      <c r="B995" s="1">
        <v>42006</v>
      </c>
      <c r="C995">
        <v>7.55</v>
      </c>
      <c r="D995">
        <v>0.2</v>
      </c>
      <c r="E995">
        <v>3</v>
      </c>
      <c r="F995">
        <f t="shared" si="210"/>
        <v>7.75</v>
      </c>
      <c r="G995">
        <f t="shared" si="211"/>
        <v>12</v>
      </c>
      <c r="H995">
        <f t="shared" si="212"/>
        <v>0</v>
      </c>
      <c r="I995">
        <f t="shared" si="213"/>
        <v>0</v>
      </c>
      <c r="J995">
        <f t="shared" si="214"/>
        <v>0</v>
      </c>
      <c r="K995">
        <f t="shared" si="215"/>
        <v>0</v>
      </c>
      <c r="L995">
        <f t="shared" si="216"/>
        <v>0</v>
      </c>
      <c r="M995">
        <f t="shared" si="217"/>
        <v>0</v>
      </c>
      <c r="N995">
        <f t="shared" si="218"/>
        <v>0</v>
      </c>
      <c r="O995">
        <f t="shared" si="219"/>
        <v>0</v>
      </c>
      <c r="P995">
        <f t="shared" si="220"/>
        <v>0</v>
      </c>
      <c r="Q995">
        <f t="shared" si="221"/>
        <v>0</v>
      </c>
      <c r="R995">
        <f t="shared" si="222"/>
        <v>0</v>
      </c>
      <c r="S995">
        <f t="shared" si="223"/>
        <v>7.75</v>
      </c>
    </row>
    <row r="996" spans="1:19" x14ac:dyDescent="0.3">
      <c r="A996" s="1">
        <v>42002</v>
      </c>
      <c r="B996" s="1">
        <v>42028</v>
      </c>
      <c r="C996">
        <v>7.71</v>
      </c>
      <c r="D996">
        <v>0.2</v>
      </c>
      <c r="E996">
        <v>6</v>
      </c>
      <c r="F996">
        <f t="shared" si="210"/>
        <v>7.91</v>
      </c>
      <c r="G996">
        <f t="shared" si="211"/>
        <v>12</v>
      </c>
      <c r="H996">
        <f t="shared" si="212"/>
        <v>0</v>
      </c>
      <c r="I996">
        <f t="shared" si="213"/>
        <v>0</v>
      </c>
      <c r="J996">
        <f t="shared" si="214"/>
        <v>0</v>
      </c>
      <c r="K996">
        <f t="shared" si="215"/>
        <v>0</v>
      </c>
      <c r="L996">
        <f t="shared" si="216"/>
        <v>0</v>
      </c>
      <c r="M996">
        <f t="shared" si="217"/>
        <v>0</v>
      </c>
      <c r="N996">
        <f t="shared" si="218"/>
        <v>0</v>
      </c>
      <c r="O996">
        <f t="shared" si="219"/>
        <v>0</v>
      </c>
      <c r="P996">
        <f t="shared" si="220"/>
        <v>0</v>
      </c>
      <c r="Q996">
        <f t="shared" si="221"/>
        <v>0</v>
      </c>
      <c r="R996">
        <f t="shared" si="222"/>
        <v>0</v>
      </c>
      <c r="S996">
        <f t="shared" si="223"/>
        <v>7.91</v>
      </c>
    </row>
    <row r="997" spans="1:19" x14ac:dyDescent="0.3">
      <c r="A997" s="1">
        <v>42002</v>
      </c>
      <c r="B997" s="1">
        <v>42004</v>
      </c>
      <c r="C997">
        <v>6.34</v>
      </c>
      <c r="D997">
        <v>0.17</v>
      </c>
      <c r="E997">
        <v>4</v>
      </c>
      <c r="F997">
        <f t="shared" si="210"/>
        <v>6.51</v>
      </c>
      <c r="G997">
        <f t="shared" si="211"/>
        <v>12</v>
      </c>
      <c r="H997">
        <f t="shared" si="212"/>
        <v>0</v>
      </c>
      <c r="I997">
        <f t="shared" si="213"/>
        <v>0</v>
      </c>
      <c r="J997">
        <f t="shared" si="214"/>
        <v>0</v>
      </c>
      <c r="K997">
        <f t="shared" si="215"/>
        <v>0</v>
      </c>
      <c r="L997">
        <f t="shared" si="216"/>
        <v>0</v>
      </c>
      <c r="M997">
        <f t="shared" si="217"/>
        <v>0</v>
      </c>
      <c r="N997">
        <f t="shared" si="218"/>
        <v>0</v>
      </c>
      <c r="O997">
        <f t="shared" si="219"/>
        <v>0</v>
      </c>
      <c r="P997">
        <f t="shared" si="220"/>
        <v>0</v>
      </c>
      <c r="Q997">
        <f t="shared" si="221"/>
        <v>0</v>
      </c>
      <c r="R997">
        <f t="shared" si="222"/>
        <v>0</v>
      </c>
      <c r="S997">
        <f t="shared" si="223"/>
        <v>6.51</v>
      </c>
    </row>
    <row r="998" spans="1:19" x14ac:dyDescent="0.3">
      <c r="A998" s="1">
        <v>42002</v>
      </c>
      <c r="B998" s="1">
        <v>42012</v>
      </c>
      <c r="C998">
        <v>6.58</v>
      </c>
      <c r="D998">
        <v>0.17</v>
      </c>
      <c r="E998">
        <v>2</v>
      </c>
      <c r="F998">
        <f t="shared" si="210"/>
        <v>6.75</v>
      </c>
      <c r="G998">
        <f t="shared" si="211"/>
        <v>12</v>
      </c>
      <c r="H998">
        <f t="shared" si="212"/>
        <v>0</v>
      </c>
      <c r="I998">
        <f t="shared" si="213"/>
        <v>0</v>
      </c>
      <c r="J998">
        <f t="shared" si="214"/>
        <v>0</v>
      </c>
      <c r="K998">
        <f t="shared" si="215"/>
        <v>0</v>
      </c>
      <c r="L998">
        <f t="shared" si="216"/>
        <v>0</v>
      </c>
      <c r="M998">
        <f t="shared" si="217"/>
        <v>0</v>
      </c>
      <c r="N998">
        <f t="shared" si="218"/>
        <v>0</v>
      </c>
      <c r="O998">
        <f t="shared" si="219"/>
        <v>0</v>
      </c>
      <c r="P998">
        <f t="shared" si="220"/>
        <v>0</v>
      </c>
      <c r="Q998">
        <f t="shared" si="221"/>
        <v>0</v>
      </c>
      <c r="R998">
        <f t="shared" si="222"/>
        <v>0</v>
      </c>
      <c r="S998">
        <f t="shared" si="223"/>
        <v>6.75</v>
      </c>
    </row>
    <row r="999" spans="1:19" x14ac:dyDescent="0.3">
      <c r="A999" s="1">
        <v>42002</v>
      </c>
      <c r="B999" s="1">
        <v>42028</v>
      </c>
      <c r="C999">
        <v>6.34</v>
      </c>
      <c r="D999">
        <v>0.17</v>
      </c>
      <c r="E999">
        <v>6</v>
      </c>
      <c r="F999">
        <f t="shared" si="210"/>
        <v>6.51</v>
      </c>
      <c r="G999">
        <f t="shared" si="211"/>
        <v>12</v>
      </c>
      <c r="H999">
        <f t="shared" si="212"/>
        <v>0</v>
      </c>
      <c r="I999">
        <f t="shared" si="213"/>
        <v>0</v>
      </c>
      <c r="J999">
        <f t="shared" si="214"/>
        <v>0</v>
      </c>
      <c r="K999">
        <f t="shared" si="215"/>
        <v>0</v>
      </c>
      <c r="L999">
        <f t="shared" si="216"/>
        <v>0</v>
      </c>
      <c r="M999">
        <f t="shared" si="217"/>
        <v>0</v>
      </c>
      <c r="N999">
        <f t="shared" si="218"/>
        <v>0</v>
      </c>
      <c r="O999">
        <f t="shared" si="219"/>
        <v>0</v>
      </c>
      <c r="P999">
        <f t="shared" si="220"/>
        <v>0</v>
      </c>
      <c r="Q999">
        <f t="shared" si="221"/>
        <v>0</v>
      </c>
      <c r="R999">
        <f t="shared" si="222"/>
        <v>0</v>
      </c>
      <c r="S999">
        <f t="shared" si="223"/>
        <v>6.51</v>
      </c>
    </row>
    <row r="1000" spans="1:19" x14ac:dyDescent="0.3">
      <c r="A1000" s="1">
        <v>42002</v>
      </c>
      <c r="B1000" s="1">
        <v>42019</v>
      </c>
      <c r="C1000">
        <v>5.67</v>
      </c>
      <c r="D1000">
        <v>0.15</v>
      </c>
      <c r="E1000">
        <v>4</v>
      </c>
      <c r="F1000">
        <f t="shared" si="210"/>
        <v>5.82</v>
      </c>
      <c r="G1000">
        <f t="shared" si="211"/>
        <v>12</v>
      </c>
      <c r="H1000">
        <f t="shared" si="212"/>
        <v>0</v>
      </c>
      <c r="I1000">
        <f t="shared" si="213"/>
        <v>0</v>
      </c>
      <c r="J1000">
        <f t="shared" si="214"/>
        <v>0</v>
      </c>
      <c r="K1000">
        <f t="shared" si="215"/>
        <v>0</v>
      </c>
      <c r="L1000">
        <f t="shared" si="216"/>
        <v>0</v>
      </c>
      <c r="M1000">
        <f t="shared" si="217"/>
        <v>0</v>
      </c>
      <c r="N1000">
        <f t="shared" si="218"/>
        <v>0</v>
      </c>
      <c r="O1000">
        <f t="shared" si="219"/>
        <v>0</v>
      </c>
      <c r="P1000">
        <f t="shared" si="220"/>
        <v>0</v>
      </c>
      <c r="Q1000">
        <f t="shared" si="221"/>
        <v>0</v>
      </c>
      <c r="R1000">
        <f t="shared" si="222"/>
        <v>0</v>
      </c>
      <c r="S1000">
        <f t="shared" si="223"/>
        <v>5.82</v>
      </c>
    </row>
    <row r="1001" spans="1:19" x14ac:dyDescent="0.3">
      <c r="A1001" s="1">
        <v>42002</v>
      </c>
      <c r="B1001" s="1">
        <v>42009</v>
      </c>
      <c r="C1001">
        <v>4.25</v>
      </c>
      <c r="D1001">
        <v>0.11</v>
      </c>
      <c r="E1001">
        <v>4</v>
      </c>
      <c r="F1001">
        <f t="shared" si="210"/>
        <v>4.3600000000000003</v>
      </c>
      <c r="G1001">
        <f t="shared" si="211"/>
        <v>12</v>
      </c>
      <c r="H1001">
        <f t="shared" si="212"/>
        <v>0</v>
      </c>
      <c r="I1001">
        <f t="shared" si="213"/>
        <v>0</v>
      </c>
      <c r="J1001">
        <f t="shared" si="214"/>
        <v>0</v>
      </c>
      <c r="K1001">
        <f t="shared" si="215"/>
        <v>0</v>
      </c>
      <c r="L1001">
        <f t="shared" si="216"/>
        <v>0</v>
      </c>
      <c r="M1001">
        <f t="shared" si="217"/>
        <v>0</v>
      </c>
      <c r="N1001">
        <f t="shared" si="218"/>
        <v>0</v>
      </c>
      <c r="O1001">
        <f t="shared" si="219"/>
        <v>0</v>
      </c>
      <c r="P1001">
        <f t="shared" si="220"/>
        <v>0</v>
      </c>
      <c r="Q1001">
        <f t="shared" si="221"/>
        <v>0</v>
      </c>
      <c r="R1001">
        <f t="shared" si="222"/>
        <v>0</v>
      </c>
      <c r="S1001">
        <f t="shared" si="223"/>
        <v>4.3600000000000003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Zakresy nazwane</vt:lpstr>
      </vt:variant>
      <vt:variant>
        <vt:i4>4</vt:i4>
      </vt:variant>
    </vt:vector>
  </HeadingPairs>
  <TitlesOfParts>
    <vt:vector size="8" baseType="lpstr">
      <vt:lpstr>Arkusz1</vt:lpstr>
      <vt:lpstr>Arkusz2</vt:lpstr>
      <vt:lpstr>Arkusz3</vt:lpstr>
      <vt:lpstr>Arkusz4</vt:lpstr>
      <vt:lpstr>Arkusz1!wynajem</vt:lpstr>
      <vt:lpstr>Arkusz2!wynajem</vt:lpstr>
      <vt:lpstr>Arkusz3!wynajem</vt:lpstr>
      <vt:lpstr>Arkusz4!wynajem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Gębala</dc:creator>
  <cp:lastModifiedBy>Filip Gębala</cp:lastModifiedBy>
  <dcterms:created xsi:type="dcterms:W3CDTF">2025-11-13T10:25:00Z</dcterms:created>
  <dcterms:modified xsi:type="dcterms:W3CDTF">2025-11-13T10:52:21Z</dcterms:modified>
</cp:coreProperties>
</file>