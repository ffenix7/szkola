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48" windowWidth="16260" windowHeight="6648" activeTab="2"/>
  </bookViews>
  <sheets>
    <sheet name="Arkusz1" sheetId="1" r:id="rId1"/>
    <sheet name="Arkusz2" sheetId="2" r:id="rId2"/>
    <sheet name="Arkusz3" sheetId="3" r:id="rId3"/>
    <sheet name="Arkusz5" sheetId="5" r:id="rId4"/>
    <sheet name="Arkusz6" sheetId="6" r:id="rId5"/>
    <sheet name="Arkusz7" sheetId="7" r:id="rId6"/>
  </sheets>
  <definedNames>
    <definedName name="loty" localSheetId="0">Arkusz1!$A$1:$K$158</definedName>
  </definedNames>
  <calcPr calcId="145621"/>
</workbook>
</file>

<file path=xl/calcChain.xml><?xml version="1.0" encoding="utf-8"?>
<calcChain xmlns="http://schemas.openxmlformats.org/spreadsheetml/2006/main">
  <c r="K162" i="3" l="1"/>
  <c r="K161" i="3"/>
  <c r="O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2" i="7"/>
  <c r="L158" i="7" l="1"/>
  <c r="K158" i="7"/>
  <c r="J158" i="7"/>
  <c r="L157" i="7"/>
  <c r="M157" i="7" s="1"/>
  <c r="K157" i="7"/>
  <c r="J157" i="7"/>
  <c r="L156" i="7"/>
  <c r="M156" i="7" s="1"/>
  <c r="K156" i="7"/>
  <c r="J156" i="7"/>
  <c r="L155" i="7"/>
  <c r="M155" i="7" s="1"/>
  <c r="K155" i="7"/>
  <c r="J155" i="7"/>
  <c r="L154" i="7"/>
  <c r="M154" i="7" s="1"/>
  <c r="K154" i="7"/>
  <c r="J154" i="7"/>
  <c r="L153" i="7"/>
  <c r="M153" i="7" s="1"/>
  <c r="K153" i="7"/>
  <c r="J153" i="7"/>
  <c r="L152" i="7"/>
  <c r="M152" i="7" s="1"/>
  <c r="K152" i="7"/>
  <c r="J152" i="7"/>
  <c r="L151" i="7"/>
  <c r="M151" i="7" s="1"/>
  <c r="K151" i="7"/>
  <c r="J151" i="7"/>
  <c r="L150" i="7"/>
  <c r="M150" i="7" s="1"/>
  <c r="K150" i="7"/>
  <c r="J150" i="7"/>
  <c r="L149" i="7"/>
  <c r="M149" i="7" s="1"/>
  <c r="K149" i="7"/>
  <c r="J149" i="7"/>
  <c r="L148" i="7"/>
  <c r="K148" i="7"/>
  <c r="J148" i="7"/>
  <c r="L147" i="7"/>
  <c r="K147" i="7"/>
  <c r="J147" i="7"/>
  <c r="L146" i="7"/>
  <c r="M146" i="7" s="1"/>
  <c r="K146" i="7"/>
  <c r="J146" i="7"/>
  <c r="L145" i="7"/>
  <c r="M145" i="7" s="1"/>
  <c r="K145" i="7"/>
  <c r="J145" i="7"/>
  <c r="L144" i="7"/>
  <c r="M144" i="7" s="1"/>
  <c r="K144" i="7"/>
  <c r="J144" i="7"/>
  <c r="L143" i="7"/>
  <c r="M143" i="7" s="1"/>
  <c r="K143" i="7"/>
  <c r="J143" i="7"/>
  <c r="L142" i="7"/>
  <c r="M142" i="7" s="1"/>
  <c r="K142" i="7"/>
  <c r="J142" i="7"/>
  <c r="L141" i="7"/>
  <c r="M141" i="7" s="1"/>
  <c r="K141" i="7"/>
  <c r="J141" i="7"/>
  <c r="L140" i="7"/>
  <c r="M140" i="7" s="1"/>
  <c r="K140" i="7"/>
  <c r="J140" i="7"/>
  <c r="L139" i="7"/>
  <c r="M139" i="7" s="1"/>
  <c r="K139" i="7"/>
  <c r="J139" i="7"/>
  <c r="L138" i="7"/>
  <c r="K138" i="7"/>
  <c r="J138" i="7"/>
  <c r="L137" i="7"/>
  <c r="M137" i="7" s="1"/>
  <c r="K137" i="7"/>
  <c r="J137" i="7"/>
  <c r="L136" i="7"/>
  <c r="K136" i="7"/>
  <c r="J136" i="7"/>
  <c r="L135" i="7"/>
  <c r="M135" i="7" s="1"/>
  <c r="K135" i="7"/>
  <c r="J135" i="7"/>
  <c r="L134" i="7"/>
  <c r="M134" i="7" s="1"/>
  <c r="K134" i="7"/>
  <c r="J134" i="7"/>
  <c r="L133" i="7"/>
  <c r="M133" i="7" s="1"/>
  <c r="K133" i="7"/>
  <c r="J133" i="7"/>
  <c r="L132" i="7"/>
  <c r="M132" i="7" s="1"/>
  <c r="K132" i="7"/>
  <c r="J132" i="7"/>
  <c r="L131" i="7"/>
  <c r="K131" i="7"/>
  <c r="J131" i="7"/>
  <c r="L130" i="7"/>
  <c r="M130" i="7" s="1"/>
  <c r="K130" i="7"/>
  <c r="J130" i="7"/>
  <c r="L129" i="7"/>
  <c r="M129" i="7" s="1"/>
  <c r="K129" i="7"/>
  <c r="J129" i="7"/>
  <c r="L128" i="7"/>
  <c r="K128" i="7"/>
  <c r="J128" i="7"/>
  <c r="L127" i="7"/>
  <c r="K127" i="7"/>
  <c r="J127" i="7"/>
  <c r="L126" i="7"/>
  <c r="K126" i="7"/>
  <c r="J126" i="7"/>
  <c r="L125" i="7"/>
  <c r="M125" i="7" s="1"/>
  <c r="K125" i="7"/>
  <c r="J125" i="7"/>
  <c r="L124" i="7"/>
  <c r="M124" i="7" s="1"/>
  <c r="K124" i="7"/>
  <c r="J124" i="7"/>
  <c r="L123" i="7"/>
  <c r="M123" i="7" s="1"/>
  <c r="K123" i="7"/>
  <c r="J123" i="7"/>
  <c r="L122" i="7"/>
  <c r="M122" i="7" s="1"/>
  <c r="K122" i="7"/>
  <c r="J122" i="7"/>
  <c r="L121" i="7"/>
  <c r="M121" i="7" s="1"/>
  <c r="K121" i="7"/>
  <c r="J121" i="7"/>
  <c r="L120" i="7"/>
  <c r="M120" i="7" s="1"/>
  <c r="K120" i="7"/>
  <c r="J120" i="7"/>
  <c r="L119" i="7"/>
  <c r="M119" i="7" s="1"/>
  <c r="K119" i="7"/>
  <c r="J119" i="7"/>
  <c r="L118" i="7"/>
  <c r="K118" i="7"/>
  <c r="J118" i="7"/>
  <c r="M117" i="7"/>
  <c r="L117" i="7"/>
  <c r="K117" i="7"/>
  <c r="J117" i="7"/>
  <c r="L116" i="7"/>
  <c r="K116" i="7"/>
  <c r="J116" i="7"/>
  <c r="L115" i="7"/>
  <c r="M115" i="7" s="1"/>
  <c r="K115" i="7"/>
  <c r="J115" i="7"/>
  <c r="L114" i="7"/>
  <c r="M114" i="7" s="1"/>
  <c r="K114" i="7"/>
  <c r="J114" i="7"/>
  <c r="L113" i="7"/>
  <c r="M113" i="7" s="1"/>
  <c r="K113" i="7"/>
  <c r="J113" i="7"/>
  <c r="L112" i="7"/>
  <c r="M112" i="7" s="1"/>
  <c r="K112" i="7"/>
  <c r="J112" i="7"/>
  <c r="L111" i="7"/>
  <c r="M111" i="7" s="1"/>
  <c r="K111" i="7"/>
  <c r="J111" i="7"/>
  <c r="M110" i="7"/>
  <c r="L110" i="7"/>
  <c r="K110" i="7"/>
  <c r="J110" i="7"/>
  <c r="M109" i="7"/>
  <c r="L109" i="7"/>
  <c r="K109" i="7"/>
  <c r="J109" i="7"/>
  <c r="L108" i="7"/>
  <c r="K108" i="7"/>
  <c r="J108" i="7"/>
  <c r="L107" i="7"/>
  <c r="M107" i="7" s="1"/>
  <c r="K107" i="7"/>
  <c r="J107" i="7"/>
  <c r="L106" i="7"/>
  <c r="K106" i="7"/>
  <c r="J106" i="7"/>
  <c r="M105" i="7"/>
  <c r="L105" i="7"/>
  <c r="K105" i="7"/>
  <c r="J105" i="7"/>
  <c r="L104" i="7"/>
  <c r="M104" i="7" s="1"/>
  <c r="K104" i="7"/>
  <c r="J104" i="7"/>
  <c r="L103" i="7"/>
  <c r="M103" i="7" s="1"/>
  <c r="K103" i="7"/>
  <c r="J103" i="7"/>
  <c r="L102" i="7"/>
  <c r="M102" i="7" s="1"/>
  <c r="K102" i="7"/>
  <c r="J102" i="7"/>
  <c r="L101" i="7"/>
  <c r="M101" i="7" s="1"/>
  <c r="K101" i="7"/>
  <c r="J101" i="7"/>
  <c r="L100" i="7"/>
  <c r="M100" i="7" s="1"/>
  <c r="K100" i="7"/>
  <c r="J100" i="7"/>
  <c r="L99" i="7"/>
  <c r="M99" i="7" s="1"/>
  <c r="K99" i="7"/>
  <c r="J99" i="7"/>
  <c r="L98" i="7"/>
  <c r="K98" i="7"/>
  <c r="J98" i="7"/>
  <c r="L97" i="7"/>
  <c r="M97" i="7" s="1"/>
  <c r="K97" i="7"/>
  <c r="J97" i="7"/>
  <c r="L96" i="7"/>
  <c r="K96" i="7"/>
  <c r="J96" i="7"/>
  <c r="L95" i="7"/>
  <c r="M95" i="7" s="1"/>
  <c r="K95" i="7"/>
  <c r="J95" i="7"/>
  <c r="L94" i="7"/>
  <c r="M94" i="7" s="1"/>
  <c r="K94" i="7"/>
  <c r="J94" i="7"/>
  <c r="L93" i="7"/>
  <c r="K93" i="7"/>
  <c r="J93" i="7"/>
  <c r="L92" i="7"/>
  <c r="K92" i="7"/>
  <c r="J92" i="7"/>
  <c r="L91" i="7"/>
  <c r="M91" i="7" s="1"/>
  <c r="K91" i="7"/>
  <c r="J91" i="7"/>
  <c r="L90" i="7"/>
  <c r="M90" i="7" s="1"/>
  <c r="K90" i="7"/>
  <c r="J90" i="7"/>
  <c r="L89" i="7"/>
  <c r="M89" i="7" s="1"/>
  <c r="K89" i="7"/>
  <c r="J89" i="7"/>
  <c r="L88" i="7"/>
  <c r="K88" i="7"/>
  <c r="J88" i="7"/>
  <c r="L87" i="7"/>
  <c r="M87" i="7" s="1"/>
  <c r="K87" i="7"/>
  <c r="J87" i="7"/>
  <c r="L86" i="7"/>
  <c r="M86" i="7" s="1"/>
  <c r="K86" i="7"/>
  <c r="J86" i="7"/>
  <c r="L85" i="7"/>
  <c r="M85" i="7" s="1"/>
  <c r="K85" i="7"/>
  <c r="J85" i="7"/>
  <c r="L84" i="7"/>
  <c r="K84" i="7"/>
  <c r="J84" i="7"/>
  <c r="L83" i="7"/>
  <c r="K83" i="7"/>
  <c r="J83" i="7"/>
  <c r="M82" i="7"/>
  <c r="L82" i="7"/>
  <c r="K82" i="7"/>
  <c r="J82" i="7"/>
  <c r="L81" i="7"/>
  <c r="M81" i="7" s="1"/>
  <c r="K81" i="7"/>
  <c r="J81" i="7"/>
  <c r="L80" i="7"/>
  <c r="M80" i="7" s="1"/>
  <c r="K80" i="7"/>
  <c r="J80" i="7"/>
  <c r="L79" i="7"/>
  <c r="M79" i="7" s="1"/>
  <c r="K79" i="7"/>
  <c r="J79" i="7"/>
  <c r="L78" i="7"/>
  <c r="K78" i="7"/>
  <c r="J78" i="7"/>
  <c r="L77" i="7"/>
  <c r="M77" i="7" s="1"/>
  <c r="K77" i="7"/>
  <c r="J77" i="7"/>
  <c r="L76" i="7"/>
  <c r="M76" i="7" s="1"/>
  <c r="K76" i="7"/>
  <c r="J76" i="7"/>
  <c r="L75" i="7"/>
  <c r="M75" i="7" s="1"/>
  <c r="K75" i="7"/>
  <c r="J75" i="7"/>
  <c r="L74" i="7"/>
  <c r="M74" i="7" s="1"/>
  <c r="K74" i="7"/>
  <c r="J74" i="7"/>
  <c r="L73" i="7"/>
  <c r="K73" i="7"/>
  <c r="J73" i="7"/>
  <c r="L72" i="7"/>
  <c r="M72" i="7" s="1"/>
  <c r="K72" i="7"/>
  <c r="J72" i="7"/>
  <c r="L71" i="7"/>
  <c r="M71" i="7" s="1"/>
  <c r="K71" i="7"/>
  <c r="J71" i="7"/>
  <c r="L70" i="7"/>
  <c r="M70" i="7" s="1"/>
  <c r="K70" i="7"/>
  <c r="J70" i="7"/>
  <c r="L69" i="7"/>
  <c r="K69" i="7"/>
  <c r="J69" i="7"/>
  <c r="L68" i="7"/>
  <c r="K68" i="7"/>
  <c r="J68" i="7"/>
  <c r="L67" i="7"/>
  <c r="M67" i="7" s="1"/>
  <c r="K67" i="7"/>
  <c r="J67" i="7"/>
  <c r="L66" i="7"/>
  <c r="K66" i="7"/>
  <c r="J66" i="7"/>
  <c r="L65" i="7"/>
  <c r="M65" i="7" s="1"/>
  <c r="K65" i="7"/>
  <c r="J65" i="7"/>
  <c r="L64" i="7"/>
  <c r="M64" i="7" s="1"/>
  <c r="K64" i="7"/>
  <c r="J64" i="7"/>
  <c r="L63" i="7"/>
  <c r="M63" i="7" s="1"/>
  <c r="K63" i="7"/>
  <c r="J63" i="7"/>
  <c r="L62" i="7"/>
  <c r="M62" i="7" s="1"/>
  <c r="K62" i="7"/>
  <c r="J62" i="7"/>
  <c r="L61" i="7"/>
  <c r="K61" i="7"/>
  <c r="J61" i="7"/>
  <c r="M60" i="7"/>
  <c r="L60" i="7"/>
  <c r="K60" i="7"/>
  <c r="J60" i="7"/>
  <c r="L59" i="7"/>
  <c r="M59" i="7" s="1"/>
  <c r="K59" i="7"/>
  <c r="J59" i="7"/>
  <c r="L58" i="7"/>
  <c r="K58" i="7"/>
  <c r="J58" i="7"/>
  <c r="L57" i="7"/>
  <c r="M57" i="7" s="1"/>
  <c r="K57" i="7"/>
  <c r="J57" i="7"/>
  <c r="L56" i="7"/>
  <c r="K56" i="7"/>
  <c r="J56" i="7"/>
  <c r="L55" i="7"/>
  <c r="M55" i="7" s="1"/>
  <c r="K55" i="7"/>
  <c r="J55" i="7"/>
  <c r="L54" i="7"/>
  <c r="M54" i="7" s="1"/>
  <c r="K54" i="7"/>
  <c r="J54" i="7"/>
  <c r="L53" i="7"/>
  <c r="M53" i="7" s="1"/>
  <c r="K53" i="7"/>
  <c r="J53" i="7"/>
  <c r="L52" i="7"/>
  <c r="M52" i="7" s="1"/>
  <c r="K52" i="7"/>
  <c r="J52" i="7"/>
  <c r="M51" i="7"/>
  <c r="L51" i="7"/>
  <c r="K51" i="7"/>
  <c r="J51" i="7"/>
  <c r="L50" i="7"/>
  <c r="M50" i="7" s="1"/>
  <c r="K50" i="7"/>
  <c r="J50" i="7"/>
  <c r="L49" i="7"/>
  <c r="M49" i="7" s="1"/>
  <c r="K49" i="7"/>
  <c r="J49" i="7"/>
  <c r="L48" i="7"/>
  <c r="K48" i="7"/>
  <c r="J48" i="7"/>
  <c r="L47" i="7"/>
  <c r="M47" i="7" s="1"/>
  <c r="K47" i="7"/>
  <c r="J47" i="7"/>
  <c r="L46" i="7"/>
  <c r="K46" i="7"/>
  <c r="J46" i="7"/>
  <c r="L45" i="7"/>
  <c r="M45" i="7" s="1"/>
  <c r="K45" i="7"/>
  <c r="J45" i="7"/>
  <c r="L44" i="7"/>
  <c r="M44" i="7" s="1"/>
  <c r="K44" i="7"/>
  <c r="J44" i="7"/>
  <c r="L43" i="7"/>
  <c r="K43" i="7"/>
  <c r="J43" i="7"/>
  <c r="L42" i="7"/>
  <c r="K42" i="7"/>
  <c r="J42" i="7"/>
  <c r="L41" i="7"/>
  <c r="M41" i="7" s="1"/>
  <c r="K41" i="7"/>
  <c r="J41" i="7"/>
  <c r="L40" i="7"/>
  <c r="M40" i="7" s="1"/>
  <c r="K40" i="7"/>
  <c r="J40" i="7"/>
  <c r="L39" i="7"/>
  <c r="M39" i="7" s="1"/>
  <c r="K39" i="7"/>
  <c r="J39" i="7"/>
  <c r="L38" i="7"/>
  <c r="K38" i="7"/>
  <c r="J38" i="7"/>
  <c r="L37" i="7"/>
  <c r="M37" i="7" s="1"/>
  <c r="K37" i="7"/>
  <c r="J37" i="7"/>
  <c r="L36" i="7"/>
  <c r="K36" i="7"/>
  <c r="J36" i="7"/>
  <c r="L35" i="7"/>
  <c r="M35" i="7" s="1"/>
  <c r="K35" i="7"/>
  <c r="J35" i="7"/>
  <c r="L34" i="7"/>
  <c r="K34" i="7"/>
  <c r="J34" i="7"/>
  <c r="L33" i="7"/>
  <c r="K33" i="7"/>
  <c r="J33" i="7"/>
  <c r="M32" i="7"/>
  <c r="L32" i="7"/>
  <c r="K32" i="7"/>
  <c r="J32" i="7"/>
  <c r="L31" i="7"/>
  <c r="M31" i="7" s="1"/>
  <c r="K31" i="7"/>
  <c r="J31" i="7"/>
  <c r="L30" i="7"/>
  <c r="M30" i="7" s="1"/>
  <c r="K30" i="7"/>
  <c r="J30" i="7"/>
  <c r="L29" i="7"/>
  <c r="M29" i="7" s="1"/>
  <c r="K29" i="7"/>
  <c r="J29" i="7"/>
  <c r="L28" i="7"/>
  <c r="K28" i="7"/>
  <c r="J28" i="7"/>
  <c r="L27" i="7"/>
  <c r="M27" i="7" s="1"/>
  <c r="K27" i="7"/>
  <c r="J27" i="7"/>
  <c r="L26" i="7"/>
  <c r="K26" i="7"/>
  <c r="J26" i="7"/>
  <c r="L25" i="7"/>
  <c r="M25" i="7" s="1"/>
  <c r="K25" i="7"/>
  <c r="J25" i="7"/>
  <c r="L24" i="7"/>
  <c r="M24" i="7" s="1"/>
  <c r="K24" i="7"/>
  <c r="J24" i="7"/>
  <c r="L23" i="7"/>
  <c r="K23" i="7"/>
  <c r="J23" i="7"/>
  <c r="M22" i="7"/>
  <c r="L22" i="7"/>
  <c r="K22" i="7"/>
  <c r="J22" i="7"/>
  <c r="L21" i="7"/>
  <c r="M21" i="7" s="1"/>
  <c r="K21" i="7"/>
  <c r="J21" i="7"/>
  <c r="L20" i="7"/>
  <c r="M20" i="7" s="1"/>
  <c r="K20" i="7"/>
  <c r="J20" i="7"/>
  <c r="L19" i="7"/>
  <c r="K19" i="7"/>
  <c r="J19" i="7"/>
  <c r="L18" i="7"/>
  <c r="K18" i="7"/>
  <c r="J18" i="7"/>
  <c r="L17" i="7"/>
  <c r="M17" i="7" s="1"/>
  <c r="K17" i="7"/>
  <c r="J17" i="7"/>
  <c r="L16" i="7"/>
  <c r="K16" i="7"/>
  <c r="J16" i="7"/>
  <c r="L15" i="7"/>
  <c r="M15" i="7" s="1"/>
  <c r="K15" i="7"/>
  <c r="J15" i="7"/>
  <c r="L14" i="7"/>
  <c r="M14" i="7" s="1"/>
  <c r="K14" i="7"/>
  <c r="J14" i="7"/>
  <c r="L13" i="7"/>
  <c r="M13" i="7" s="1"/>
  <c r="K13" i="7"/>
  <c r="J13" i="7"/>
  <c r="L12" i="7"/>
  <c r="M12" i="7" s="1"/>
  <c r="K12" i="7"/>
  <c r="J12" i="7"/>
  <c r="L11" i="7"/>
  <c r="K11" i="7"/>
  <c r="J11" i="7"/>
  <c r="L10" i="7"/>
  <c r="M10" i="7" s="1"/>
  <c r="K10" i="7"/>
  <c r="J10" i="7"/>
  <c r="L9" i="7"/>
  <c r="M9" i="7" s="1"/>
  <c r="K9" i="7"/>
  <c r="J9" i="7"/>
  <c r="L8" i="7"/>
  <c r="K8" i="7"/>
  <c r="J8" i="7"/>
  <c r="L7" i="7"/>
  <c r="M7" i="7" s="1"/>
  <c r="K7" i="7"/>
  <c r="J7" i="7"/>
  <c r="L6" i="7"/>
  <c r="K6" i="7"/>
  <c r="J6" i="7"/>
  <c r="L5" i="7"/>
  <c r="M5" i="7" s="1"/>
  <c r="K5" i="7"/>
  <c r="J5" i="7"/>
  <c r="L4" i="7"/>
  <c r="M4" i="7" s="1"/>
  <c r="K4" i="7"/>
  <c r="J4" i="7"/>
  <c r="L3" i="7"/>
  <c r="M3" i="7" s="1"/>
  <c r="K3" i="7"/>
  <c r="J3" i="7"/>
  <c r="L2" i="7"/>
  <c r="M2" i="7" s="1"/>
  <c r="K2" i="7"/>
  <c r="J2" i="7"/>
  <c r="G2" i="7"/>
  <c r="I2" i="7" s="1"/>
  <c r="G3" i="7" s="1"/>
  <c r="I3" i="7" s="1"/>
  <c r="G4" i="7" s="1"/>
  <c r="I4" i="7" s="1"/>
  <c r="G5" i="7" s="1"/>
  <c r="I5" i="7" s="1"/>
  <c r="G6" i="7" s="1"/>
  <c r="I6" i="7" s="1"/>
  <c r="G7" i="7" s="1"/>
  <c r="I7" i="7" s="1"/>
  <c r="G8" i="7" s="1"/>
  <c r="I8" i="7" s="1"/>
  <c r="G9" i="7" s="1"/>
  <c r="I9" i="7" s="1"/>
  <c r="G10" i="7" s="1"/>
  <c r="I10" i="7" s="1"/>
  <c r="G11" i="7" s="1"/>
  <c r="I11" i="7" s="1"/>
  <c r="G12" i="7" s="1"/>
  <c r="I12" i="7" s="1"/>
  <c r="G13" i="7" s="1"/>
  <c r="I13" i="7" s="1"/>
  <c r="G14" i="7" s="1"/>
  <c r="I14" i="7" s="1"/>
  <c r="G15" i="7" s="1"/>
  <c r="I15" i="7" s="1"/>
  <c r="G16" i="7" s="1"/>
  <c r="I16" i="7" s="1"/>
  <c r="G17" i="7" s="1"/>
  <c r="I17" i="7" s="1"/>
  <c r="G18" i="7" s="1"/>
  <c r="I18" i="7" s="1"/>
  <c r="G19" i="7" s="1"/>
  <c r="I19" i="7" s="1"/>
  <c r="G20" i="7" s="1"/>
  <c r="I20" i="7" s="1"/>
  <c r="G21" i="7" s="1"/>
  <c r="I21" i="7" s="1"/>
  <c r="G22" i="7" s="1"/>
  <c r="I22" i="7" s="1"/>
  <c r="G23" i="7" s="1"/>
  <c r="I23" i="7" s="1"/>
  <c r="G24" i="7" s="1"/>
  <c r="I24" i="7" s="1"/>
  <c r="G25" i="7" s="1"/>
  <c r="I25" i="7" s="1"/>
  <c r="G26" i="7" s="1"/>
  <c r="I26" i="7" s="1"/>
  <c r="G27" i="7" s="1"/>
  <c r="I27" i="7" s="1"/>
  <c r="G28" i="7" s="1"/>
  <c r="I28" i="7" s="1"/>
  <c r="G29" i="7" s="1"/>
  <c r="I29" i="7" s="1"/>
  <c r="G30" i="7" s="1"/>
  <c r="I30" i="7" s="1"/>
  <c r="G31" i="7" s="1"/>
  <c r="I31" i="7" s="1"/>
  <c r="G32" i="7" s="1"/>
  <c r="I32" i="7" s="1"/>
  <c r="G33" i="7" s="1"/>
  <c r="I33" i="7" s="1"/>
  <c r="G34" i="7" s="1"/>
  <c r="I34" i="7" s="1"/>
  <c r="G35" i="7" s="1"/>
  <c r="I35" i="7" s="1"/>
  <c r="G36" i="7" s="1"/>
  <c r="I36" i="7" s="1"/>
  <c r="G37" i="7" s="1"/>
  <c r="I37" i="7" s="1"/>
  <c r="G38" i="7" s="1"/>
  <c r="I38" i="7" s="1"/>
  <c r="G39" i="7" s="1"/>
  <c r="I39" i="7" s="1"/>
  <c r="G40" i="7" s="1"/>
  <c r="I40" i="7" s="1"/>
  <c r="G41" i="7" s="1"/>
  <c r="I41" i="7" s="1"/>
  <c r="G42" i="7" s="1"/>
  <c r="I42" i="7" s="1"/>
  <c r="G43" i="7" s="1"/>
  <c r="I43" i="7" s="1"/>
  <c r="G44" i="7" s="1"/>
  <c r="I44" i="7" s="1"/>
  <c r="G45" i="7" s="1"/>
  <c r="I45" i="7" s="1"/>
  <c r="G46" i="7" s="1"/>
  <c r="I46" i="7" s="1"/>
  <c r="G47" i="7" s="1"/>
  <c r="I47" i="7" s="1"/>
  <c r="G48" i="7" s="1"/>
  <c r="I48" i="7" s="1"/>
  <c r="G49" i="7" s="1"/>
  <c r="I49" i="7" s="1"/>
  <c r="G50" i="7" s="1"/>
  <c r="I50" i="7" s="1"/>
  <c r="G51" i="7" s="1"/>
  <c r="I51" i="7" s="1"/>
  <c r="G52" i="7" s="1"/>
  <c r="I52" i="7" s="1"/>
  <c r="G53" i="7" s="1"/>
  <c r="I53" i="7" s="1"/>
  <c r="G54" i="7" s="1"/>
  <c r="I54" i="7" s="1"/>
  <c r="G55" i="7" s="1"/>
  <c r="I55" i="7" s="1"/>
  <c r="G56" i="7" s="1"/>
  <c r="I56" i="7" s="1"/>
  <c r="G57" i="7" s="1"/>
  <c r="I57" i="7" s="1"/>
  <c r="G58" i="7" s="1"/>
  <c r="I58" i="7" s="1"/>
  <c r="G59" i="7" s="1"/>
  <c r="I59" i="7" s="1"/>
  <c r="G60" i="7" s="1"/>
  <c r="I60" i="7" s="1"/>
  <c r="G61" i="7" s="1"/>
  <c r="I61" i="7" s="1"/>
  <c r="G62" i="7" s="1"/>
  <c r="I62" i="7" s="1"/>
  <c r="G63" i="7" s="1"/>
  <c r="I63" i="7" s="1"/>
  <c r="G64" i="7" s="1"/>
  <c r="I64" i="7" s="1"/>
  <c r="G65" i="7" s="1"/>
  <c r="I65" i="7" s="1"/>
  <c r="G66" i="7" s="1"/>
  <c r="I66" i="7" s="1"/>
  <c r="G67" i="7" s="1"/>
  <c r="I67" i="7" s="1"/>
  <c r="G68" i="7" s="1"/>
  <c r="I68" i="7" s="1"/>
  <c r="G69" i="7" s="1"/>
  <c r="I69" i="7" s="1"/>
  <c r="G70" i="7" s="1"/>
  <c r="I70" i="7" s="1"/>
  <c r="G71" i="7" s="1"/>
  <c r="I71" i="7" s="1"/>
  <c r="G72" i="7" s="1"/>
  <c r="I72" i="7" s="1"/>
  <c r="G73" i="7" s="1"/>
  <c r="I73" i="7" s="1"/>
  <c r="G74" i="7" s="1"/>
  <c r="I74" i="7" s="1"/>
  <c r="G75" i="7" s="1"/>
  <c r="I75" i="7" s="1"/>
  <c r="G76" i="7" s="1"/>
  <c r="I76" i="7" s="1"/>
  <c r="G77" i="7" s="1"/>
  <c r="I77" i="7" s="1"/>
  <c r="G78" i="7" s="1"/>
  <c r="I78" i="7" s="1"/>
  <c r="G79" i="7" s="1"/>
  <c r="I79" i="7" s="1"/>
  <c r="G80" i="7" s="1"/>
  <c r="I80" i="7" s="1"/>
  <c r="G81" i="7" s="1"/>
  <c r="I81" i="7" s="1"/>
  <c r="G82" i="7" s="1"/>
  <c r="I82" i="7" s="1"/>
  <c r="G83" i="7" s="1"/>
  <c r="I83" i="7" s="1"/>
  <c r="G84" i="7" s="1"/>
  <c r="I84" i="7" s="1"/>
  <c r="G85" i="7" s="1"/>
  <c r="I85" i="7" s="1"/>
  <c r="G86" i="7" s="1"/>
  <c r="I86" i="7" s="1"/>
  <c r="G87" i="7" s="1"/>
  <c r="I87" i="7" s="1"/>
  <c r="G88" i="7" s="1"/>
  <c r="I88" i="7" s="1"/>
  <c r="G89" i="7" s="1"/>
  <c r="I89" i="7" s="1"/>
  <c r="G90" i="7" s="1"/>
  <c r="I90" i="7" s="1"/>
  <c r="G91" i="7" s="1"/>
  <c r="I91" i="7" s="1"/>
  <c r="G92" i="7" s="1"/>
  <c r="I92" i="7" s="1"/>
  <c r="G93" i="7" s="1"/>
  <c r="I93" i="7" s="1"/>
  <c r="G94" i="7" s="1"/>
  <c r="I94" i="7" s="1"/>
  <c r="G95" i="7" s="1"/>
  <c r="I95" i="7" s="1"/>
  <c r="G96" i="7" s="1"/>
  <c r="I96" i="7" s="1"/>
  <c r="G97" i="7" s="1"/>
  <c r="I97" i="7" s="1"/>
  <c r="G98" i="7" s="1"/>
  <c r="I98" i="7" s="1"/>
  <c r="G99" i="7" s="1"/>
  <c r="I99" i="7" s="1"/>
  <c r="G100" i="7" s="1"/>
  <c r="I100" i="7" s="1"/>
  <c r="G101" i="7" s="1"/>
  <c r="I101" i="7" s="1"/>
  <c r="G102" i="7" s="1"/>
  <c r="I102" i="7" s="1"/>
  <c r="G103" i="7" s="1"/>
  <c r="I103" i="7" s="1"/>
  <c r="G104" i="7" s="1"/>
  <c r="I104" i="7" s="1"/>
  <c r="G105" i="7" s="1"/>
  <c r="I105" i="7" s="1"/>
  <c r="G106" i="7" s="1"/>
  <c r="I106" i="7" s="1"/>
  <c r="G107" i="7" s="1"/>
  <c r="I107" i="7" s="1"/>
  <c r="G108" i="7" s="1"/>
  <c r="I108" i="7" s="1"/>
  <c r="G109" i="7" s="1"/>
  <c r="I109" i="7" s="1"/>
  <c r="G110" i="7" s="1"/>
  <c r="I110" i="7" s="1"/>
  <c r="G111" i="7" s="1"/>
  <c r="I111" i="7" s="1"/>
  <c r="G112" i="7" s="1"/>
  <c r="I112" i="7" s="1"/>
  <c r="G113" i="7" s="1"/>
  <c r="I113" i="7" s="1"/>
  <c r="G114" i="7" s="1"/>
  <c r="I114" i="7" s="1"/>
  <c r="G115" i="7" s="1"/>
  <c r="I115" i="7" s="1"/>
  <c r="G116" i="7" s="1"/>
  <c r="I116" i="7" s="1"/>
  <c r="G117" i="7" s="1"/>
  <c r="I117" i="7" s="1"/>
  <c r="G118" i="7" s="1"/>
  <c r="I118" i="7" s="1"/>
  <c r="G119" i="7" s="1"/>
  <c r="I119" i="7" s="1"/>
  <c r="G120" i="7" s="1"/>
  <c r="I120" i="7" s="1"/>
  <c r="G121" i="7" s="1"/>
  <c r="I121" i="7" s="1"/>
  <c r="G122" i="7" s="1"/>
  <c r="I122" i="7" s="1"/>
  <c r="G123" i="7" s="1"/>
  <c r="I123" i="7" s="1"/>
  <c r="G124" i="7" s="1"/>
  <c r="I124" i="7" s="1"/>
  <c r="G125" i="7" s="1"/>
  <c r="I125" i="7" s="1"/>
  <c r="G126" i="7" s="1"/>
  <c r="I126" i="7" s="1"/>
  <c r="G127" i="7" s="1"/>
  <c r="I127" i="7" s="1"/>
  <c r="G128" i="7" s="1"/>
  <c r="I128" i="7" s="1"/>
  <c r="G129" i="7" s="1"/>
  <c r="I129" i="7" s="1"/>
  <c r="G130" i="7" s="1"/>
  <c r="I130" i="7" s="1"/>
  <c r="G131" i="7" s="1"/>
  <c r="I131" i="7" s="1"/>
  <c r="G132" i="7" s="1"/>
  <c r="I132" i="7" s="1"/>
  <c r="G133" i="7" s="1"/>
  <c r="I133" i="7" s="1"/>
  <c r="G134" i="7" s="1"/>
  <c r="I134" i="7" s="1"/>
  <c r="G135" i="7" s="1"/>
  <c r="I135" i="7" s="1"/>
  <c r="G136" i="7" s="1"/>
  <c r="I136" i="7" s="1"/>
  <c r="G137" i="7" s="1"/>
  <c r="I137" i="7" s="1"/>
  <c r="G138" i="7" s="1"/>
  <c r="I138" i="7" s="1"/>
  <c r="G139" i="7" s="1"/>
  <c r="I139" i="7" s="1"/>
  <c r="G140" i="7" s="1"/>
  <c r="I140" i="7" s="1"/>
  <c r="G141" i="7" s="1"/>
  <c r="I141" i="7" s="1"/>
  <c r="G142" i="7" s="1"/>
  <c r="I142" i="7" s="1"/>
  <c r="G143" i="7" s="1"/>
  <c r="I143" i="7" s="1"/>
  <c r="G144" i="7" s="1"/>
  <c r="I144" i="7" s="1"/>
  <c r="G145" i="7" s="1"/>
  <c r="I145" i="7" s="1"/>
  <c r="G146" i="7" s="1"/>
  <c r="I146" i="7" s="1"/>
  <c r="G147" i="7" s="1"/>
  <c r="I147" i="7" s="1"/>
  <c r="G148" i="7" s="1"/>
  <c r="I148" i="7" s="1"/>
  <c r="G149" i="7" s="1"/>
  <c r="I149" i="7" s="1"/>
  <c r="G150" i="7" s="1"/>
  <c r="I150" i="7" s="1"/>
  <c r="G151" i="7" s="1"/>
  <c r="I151" i="7" s="1"/>
  <c r="G152" i="7" s="1"/>
  <c r="I152" i="7" s="1"/>
  <c r="G153" i="7" s="1"/>
  <c r="I153" i="7" s="1"/>
  <c r="G154" i="7" s="1"/>
  <c r="I154" i="7" s="1"/>
  <c r="G155" i="7" s="1"/>
  <c r="I155" i="7" s="1"/>
  <c r="G156" i="7" s="1"/>
  <c r="I156" i="7" s="1"/>
  <c r="G157" i="7" s="1"/>
  <c r="I157" i="7" s="1"/>
  <c r="G158" i="7" s="1"/>
  <c r="I158" i="7" s="1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M62" i="6" s="1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M82" i="6" s="1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M102" i="6" s="1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K2" i="6"/>
  <c r="J2" i="6"/>
  <c r="G2" i="6"/>
  <c r="I2" i="6" s="1"/>
  <c r="J4" i="5"/>
  <c r="J5" i="5"/>
  <c r="J6" i="5"/>
  <c r="J7" i="5"/>
  <c r="J8" i="5"/>
  <c r="J9" i="5"/>
  <c r="J10" i="5"/>
  <c r="J11" i="5"/>
  <c r="J12" i="5"/>
  <c r="J13" i="5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2" i="5" s="1"/>
  <c r="J103" i="5" s="1"/>
  <c r="J104" i="5" s="1"/>
  <c r="J105" i="5" s="1"/>
  <c r="J106" i="5" s="1"/>
  <c r="J107" i="5" s="1"/>
  <c r="J108" i="5" s="1"/>
  <c r="J109" i="5" s="1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29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49" i="5" s="1"/>
  <c r="J150" i="5" s="1"/>
  <c r="J151" i="5" s="1"/>
  <c r="J152" i="5" s="1"/>
  <c r="J153" i="5" s="1"/>
  <c r="J154" i="5" s="1"/>
  <c r="J155" i="5" s="1"/>
  <c r="J156" i="5" s="1"/>
  <c r="J157" i="5" s="1"/>
  <c r="J158" i="5" s="1"/>
  <c r="J3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2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71" i="3"/>
  <c r="M172" i="3"/>
  <c r="M173" i="3"/>
  <c r="M174" i="3"/>
  <c r="M175" i="3"/>
  <c r="M176" i="3"/>
  <c r="M168" i="3"/>
  <c r="M169" i="3"/>
  <c r="M170" i="3"/>
  <c r="M167" i="3"/>
  <c r="M166" i="3"/>
  <c r="M165" i="3"/>
  <c r="M164" i="3"/>
  <c r="M163" i="3"/>
  <c r="M162" i="3"/>
  <c r="M161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2" i="3"/>
  <c r="K3" i="3"/>
  <c r="K4" i="3"/>
  <c r="K5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55" i="3"/>
  <c r="AO156" i="3"/>
  <c r="AO157" i="3"/>
  <c r="AO158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9" i="3"/>
  <c r="AN150" i="3"/>
  <c r="AN151" i="3"/>
  <c r="AN152" i="3"/>
  <c r="AN153" i="3"/>
  <c r="AN154" i="3"/>
  <c r="AN155" i="3"/>
  <c r="AN156" i="3"/>
  <c r="AN157" i="3"/>
  <c r="AN158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M127" i="7" l="1"/>
  <c r="M18" i="7"/>
  <c r="M147" i="7"/>
  <c r="M6" i="7"/>
  <c r="M34" i="7"/>
  <c r="M11" i="7"/>
  <c r="M68" i="7"/>
  <c r="M106" i="7"/>
  <c r="M92" i="7"/>
  <c r="M131" i="7"/>
  <c r="M126" i="7"/>
  <c r="M26" i="7"/>
  <c r="M36" i="7"/>
  <c r="M69" i="7"/>
  <c r="M83" i="7"/>
  <c r="M98" i="7"/>
  <c r="M42" i="7"/>
  <c r="M56" i="7"/>
  <c r="M84" i="7"/>
  <c r="M61" i="7"/>
  <c r="M118" i="7"/>
  <c r="M138" i="7"/>
  <c r="M19" i="7"/>
  <c r="M33" i="7"/>
  <c r="M48" i="7"/>
  <c r="M158" i="7"/>
  <c r="M38" i="7"/>
  <c r="M88" i="7"/>
  <c r="M23" i="7"/>
  <c r="M73" i="7"/>
  <c r="M46" i="7"/>
  <c r="M96" i="7"/>
  <c r="M108" i="7"/>
  <c r="M8" i="7"/>
  <c r="M58" i="7"/>
  <c r="M116" i="7"/>
  <c r="M128" i="7"/>
  <c r="M43" i="7"/>
  <c r="M93" i="7"/>
  <c r="M16" i="7"/>
  <c r="M66" i="7"/>
  <c r="M136" i="7"/>
  <c r="M148" i="7"/>
  <c r="M28" i="7"/>
  <c r="M78" i="7"/>
  <c r="M119" i="6"/>
  <c r="M39" i="6"/>
  <c r="M19" i="6"/>
  <c r="M141" i="6"/>
  <c r="M101" i="6"/>
  <c r="M81" i="6"/>
  <c r="M61" i="6"/>
  <c r="M157" i="6"/>
  <c r="M137" i="6"/>
  <c r="M117" i="6"/>
  <c r="M97" i="6"/>
  <c r="M77" i="6"/>
  <c r="M57" i="6"/>
  <c r="M37" i="6"/>
  <c r="M17" i="6"/>
  <c r="M154" i="6"/>
  <c r="M134" i="6"/>
  <c r="M114" i="6"/>
  <c r="M94" i="6"/>
  <c r="M74" i="6"/>
  <c r="M54" i="6"/>
  <c r="M34" i="6"/>
  <c r="M14" i="6"/>
  <c r="M2" i="6"/>
  <c r="M140" i="6"/>
  <c r="M100" i="6"/>
  <c r="M80" i="6"/>
  <c r="M60" i="6"/>
  <c r="M156" i="6"/>
  <c r="M136" i="6"/>
  <c r="M116" i="6"/>
  <c r="M96" i="6"/>
  <c r="M76" i="6"/>
  <c r="M56" i="6"/>
  <c r="M36" i="6"/>
  <c r="M16" i="6"/>
  <c r="M153" i="6"/>
  <c r="M133" i="6"/>
  <c r="M113" i="6"/>
  <c r="M93" i="6"/>
  <c r="M73" i="6"/>
  <c r="M53" i="6"/>
  <c r="M33" i="6"/>
  <c r="M13" i="6"/>
  <c r="M139" i="6"/>
  <c r="M99" i="6"/>
  <c r="M79" i="6"/>
  <c r="M59" i="6"/>
  <c r="M145" i="6"/>
  <c r="M125" i="6"/>
  <c r="M85" i="6"/>
  <c r="M65" i="6"/>
  <c r="M45" i="6"/>
  <c r="M5" i="6"/>
  <c r="M144" i="6"/>
  <c r="M124" i="6"/>
  <c r="M104" i="6"/>
  <c r="M84" i="6"/>
  <c r="M64" i="6"/>
  <c r="M44" i="6"/>
  <c r="M4" i="6"/>
  <c r="M123" i="6"/>
  <c r="M83" i="6"/>
  <c r="M43" i="6"/>
  <c r="M23" i="6"/>
  <c r="M122" i="6"/>
  <c r="M42" i="6"/>
  <c r="M121" i="6"/>
  <c r="M41" i="6"/>
  <c r="M21" i="6"/>
  <c r="M105" i="6"/>
  <c r="M25" i="6"/>
  <c r="M24" i="6"/>
  <c r="M143" i="6"/>
  <c r="M103" i="6"/>
  <c r="M63" i="6"/>
  <c r="M3" i="6"/>
  <c r="M142" i="6"/>
  <c r="M22" i="6"/>
  <c r="M120" i="6"/>
  <c r="M40" i="6"/>
  <c r="M20" i="6"/>
  <c r="M132" i="6"/>
  <c r="M92" i="6"/>
  <c r="M12" i="6"/>
  <c r="M130" i="6"/>
  <c r="M90" i="6"/>
  <c r="M50" i="6"/>
  <c r="M10" i="6"/>
  <c r="M149" i="6"/>
  <c r="M109" i="6"/>
  <c r="M89" i="6"/>
  <c r="M69" i="6"/>
  <c r="M49" i="6"/>
  <c r="M9" i="6"/>
  <c r="M148" i="6"/>
  <c r="M128" i="6"/>
  <c r="M108" i="6"/>
  <c r="M88" i="6"/>
  <c r="M68" i="6"/>
  <c r="M48" i="6"/>
  <c r="M28" i="6"/>
  <c r="M8" i="6"/>
  <c r="M147" i="6"/>
  <c r="M127" i="6"/>
  <c r="M107" i="6"/>
  <c r="M87" i="6"/>
  <c r="M67" i="6"/>
  <c r="M47" i="6"/>
  <c r="M27" i="6"/>
  <c r="M7" i="6"/>
  <c r="M146" i="6"/>
  <c r="M126" i="6"/>
  <c r="M106" i="6"/>
  <c r="M86" i="6"/>
  <c r="M66" i="6"/>
  <c r="M46" i="6"/>
  <c r="M26" i="6"/>
  <c r="M6" i="6"/>
  <c r="M72" i="6"/>
  <c r="M152" i="6"/>
  <c r="M112" i="6"/>
  <c r="M52" i="6"/>
  <c r="M32" i="6"/>
  <c r="M151" i="6"/>
  <c r="M131" i="6"/>
  <c r="M111" i="6"/>
  <c r="M91" i="6"/>
  <c r="M71" i="6"/>
  <c r="M51" i="6"/>
  <c r="M31" i="6"/>
  <c r="M11" i="6"/>
  <c r="M150" i="6"/>
  <c r="M110" i="6"/>
  <c r="M70" i="6"/>
  <c r="M30" i="6"/>
  <c r="M129" i="6"/>
  <c r="M29" i="6"/>
  <c r="M158" i="6"/>
  <c r="M138" i="6"/>
  <c r="M118" i="6"/>
  <c r="M98" i="6"/>
  <c r="M78" i="6"/>
  <c r="M58" i="6"/>
  <c r="M38" i="6"/>
  <c r="M18" i="6"/>
  <c r="M155" i="6"/>
  <c r="M135" i="6"/>
  <c r="M115" i="6"/>
  <c r="M95" i="6"/>
  <c r="M75" i="6"/>
  <c r="M55" i="6"/>
  <c r="M35" i="6"/>
  <c r="M15" i="6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2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2" i="3"/>
  <c r="N3" i="3"/>
  <c r="N4" i="3"/>
  <c r="N5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2" i="3"/>
  <c r="O3" i="3"/>
  <c r="O4" i="3"/>
  <c r="O5" i="3"/>
  <c r="O6" i="3"/>
  <c r="O7" i="3"/>
  <c r="O8" i="3"/>
  <c r="O9" i="3"/>
  <c r="O10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2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O11" i="3"/>
  <c r="Q27" i="3"/>
  <c r="R29" i="3"/>
  <c r="R30" i="3"/>
  <c r="R31" i="3"/>
  <c r="AF109" i="3"/>
  <c r="AG110" i="3"/>
  <c r="AG11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I11" i="3"/>
  <c r="I27" i="3"/>
  <c r="I29" i="3"/>
  <c r="I30" i="3"/>
  <c r="I31" i="3"/>
  <c r="I36" i="3"/>
  <c r="S36" i="3" s="1"/>
  <c r="I39" i="3"/>
  <c r="I49" i="3"/>
  <c r="I50" i="3"/>
  <c r="I54" i="3"/>
  <c r="I69" i="3"/>
  <c r="Z69" i="3" s="1"/>
  <c r="I70" i="3"/>
  <c r="Z70" i="3" s="1"/>
  <c r="I71" i="3"/>
  <c r="Z71" i="3" s="1"/>
  <c r="I79" i="3"/>
  <c r="I89" i="3"/>
  <c r="AC89" i="3" s="1"/>
  <c r="I90" i="3"/>
  <c r="AC90" i="3" s="1"/>
  <c r="I91" i="3"/>
  <c r="AC91" i="3" s="1"/>
  <c r="I101" i="3"/>
  <c r="I109" i="3"/>
  <c r="I110" i="3"/>
  <c r="I111" i="3"/>
  <c r="I119" i="3"/>
  <c r="I120" i="3"/>
  <c r="I129" i="3"/>
  <c r="AJ129" i="3" s="1"/>
  <c r="I130" i="3"/>
  <c r="AK130" i="3" s="1"/>
  <c r="I131" i="3"/>
  <c r="AK131" i="3" s="1"/>
  <c r="I149" i="3"/>
  <c r="I150" i="3"/>
  <c r="I151" i="3"/>
  <c r="AO151" i="3" s="1"/>
  <c r="I154" i="3"/>
  <c r="I2" i="3"/>
  <c r="J2" i="3"/>
  <c r="I3" i="1"/>
  <c r="K2" i="1" s="1"/>
  <c r="L2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2" i="1"/>
  <c r="H158" i="3"/>
  <c r="H157" i="3"/>
  <c r="I157" i="3" s="1"/>
  <c r="H156" i="3"/>
  <c r="I156" i="3" s="1"/>
  <c r="AP156" i="3" s="1"/>
  <c r="H155" i="3"/>
  <c r="I155" i="3" s="1"/>
  <c r="AP155" i="3" s="1"/>
  <c r="H154" i="3"/>
  <c r="AO154" i="3" s="1"/>
  <c r="H153" i="3"/>
  <c r="H152" i="3"/>
  <c r="H151" i="3"/>
  <c r="H150" i="3"/>
  <c r="AO150" i="3" s="1"/>
  <c r="H149" i="3"/>
  <c r="AO149" i="3" s="1"/>
  <c r="H148" i="3"/>
  <c r="I148" i="3" s="1"/>
  <c r="AN148" i="3" s="1"/>
  <c r="H147" i="3"/>
  <c r="I147" i="3" s="1"/>
  <c r="AN147" i="3" s="1"/>
  <c r="H146" i="3"/>
  <c r="I146" i="3" s="1"/>
  <c r="AN146" i="3" s="1"/>
  <c r="H145" i="3"/>
  <c r="I145" i="3" s="1"/>
  <c r="AN145" i="3" s="1"/>
  <c r="H144" i="3"/>
  <c r="H143" i="3"/>
  <c r="I143" i="3" s="1"/>
  <c r="H142" i="3"/>
  <c r="I142" i="3" s="1"/>
  <c r="H141" i="3"/>
  <c r="I141" i="3" s="1"/>
  <c r="H140" i="3"/>
  <c r="I140" i="3" s="1"/>
  <c r="H139" i="3"/>
  <c r="H138" i="3"/>
  <c r="H137" i="3"/>
  <c r="I137" i="3" s="1"/>
  <c r="H136" i="3"/>
  <c r="I136" i="3" s="1"/>
  <c r="AL136" i="3" s="1"/>
  <c r="H135" i="3"/>
  <c r="I135" i="3" s="1"/>
  <c r="AL135" i="3" s="1"/>
  <c r="H134" i="3"/>
  <c r="I134" i="3" s="1"/>
  <c r="H133" i="3"/>
  <c r="H132" i="3"/>
  <c r="I132" i="3" s="1"/>
  <c r="H131" i="3"/>
  <c r="H130" i="3"/>
  <c r="H129" i="3"/>
  <c r="H128" i="3"/>
  <c r="I128" i="3" s="1"/>
  <c r="AJ128" i="3" s="1"/>
  <c r="H127" i="3"/>
  <c r="I127" i="3" s="1"/>
  <c r="AJ127" i="3" s="1"/>
  <c r="H126" i="3"/>
  <c r="I126" i="3" s="1"/>
  <c r="AJ126" i="3" s="1"/>
  <c r="H125" i="3"/>
  <c r="I125" i="3" s="1"/>
  <c r="AI125" i="3" s="1"/>
  <c r="H124" i="3"/>
  <c r="H123" i="3"/>
  <c r="H122" i="3"/>
  <c r="I122" i="3" s="1"/>
  <c r="H121" i="3"/>
  <c r="I121" i="3" s="1"/>
  <c r="H120" i="3"/>
  <c r="H119" i="3"/>
  <c r="H118" i="3"/>
  <c r="H117" i="3"/>
  <c r="I117" i="3" s="1"/>
  <c r="H116" i="3"/>
  <c r="I116" i="3" s="1"/>
  <c r="AH116" i="3" s="1"/>
  <c r="H115" i="3"/>
  <c r="I115" i="3" s="1"/>
  <c r="AH115" i="3" s="1"/>
  <c r="H114" i="3"/>
  <c r="H113" i="3"/>
  <c r="H112" i="3"/>
  <c r="H111" i="3"/>
  <c r="H110" i="3"/>
  <c r="H109" i="3"/>
  <c r="H108" i="3"/>
  <c r="I108" i="3" s="1"/>
  <c r="AF108" i="3" s="1"/>
  <c r="H107" i="3"/>
  <c r="I107" i="3" s="1"/>
  <c r="AF107" i="3" s="1"/>
  <c r="H106" i="3"/>
  <c r="I106" i="3" s="1"/>
  <c r="AF106" i="3" s="1"/>
  <c r="H105" i="3"/>
  <c r="I105" i="3" s="1"/>
  <c r="AF105" i="3" s="1"/>
  <c r="H104" i="3"/>
  <c r="H103" i="3"/>
  <c r="I103" i="3" s="1"/>
  <c r="H102" i="3"/>
  <c r="I102" i="3" s="1"/>
  <c r="H101" i="3"/>
  <c r="AE101" i="3" s="1"/>
  <c r="H100" i="3"/>
  <c r="I100" i="3" s="1"/>
  <c r="H99" i="3"/>
  <c r="H98" i="3"/>
  <c r="I98" i="3" s="1"/>
  <c r="H97" i="3"/>
  <c r="I97" i="3" s="1"/>
  <c r="H96" i="3"/>
  <c r="I96" i="3" s="1"/>
  <c r="AD96" i="3" s="1"/>
  <c r="H95" i="3"/>
  <c r="I95" i="3" s="1"/>
  <c r="AD95" i="3" s="1"/>
  <c r="H94" i="3"/>
  <c r="I94" i="3" s="1"/>
  <c r="H93" i="3"/>
  <c r="I93" i="3" s="1"/>
  <c r="H92" i="3"/>
  <c r="I92" i="3" s="1"/>
  <c r="H91" i="3"/>
  <c r="H90" i="3"/>
  <c r="H89" i="3"/>
  <c r="H88" i="3"/>
  <c r="I88" i="3" s="1"/>
  <c r="AC88" i="3" s="1"/>
  <c r="H87" i="3"/>
  <c r="I87" i="3" s="1"/>
  <c r="AC87" i="3" s="1"/>
  <c r="H86" i="3"/>
  <c r="I86" i="3" s="1"/>
  <c r="AB86" i="3" s="1"/>
  <c r="H85" i="3"/>
  <c r="I85" i="3" s="1"/>
  <c r="AB85" i="3" s="1"/>
  <c r="H84" i="3"/>
  <c r="I84" i="3" s="1"/>
  <c r="H83" i="3"/>
  <c r="I83" i="3" s="1"/>
  <c r="H82" i="3"/>
  <c r="I82" i="3" s="1"/>
  <c r="H81" i="3"/>
  <c r="I81" i="3" s="1"/>
  <c r="H80" i="3"/>
  <c r="I80" i="3" s="1"/>
  <c r="H79" i="3"/>
  <c r="H78" i="3"/>
  <c r="I78" i="3" s="1"/>
  <c r="H77" i="3"/>
  <c r="I77" i="3" s="1"/>
  <c r="H76" i="3"/>
  <c r="I76" i="3" s="1"/>
  <c r="AA76" i="3" s="1"/>
  <c r="H75" i="3"/>
  <c r="I75" i="3" s="1"/>
  <c r="AA75" i="3" s="1"/>
  <c r="H74" i="3"/>
  <c r="H73" i="3"/>
  <c r="H72" i="3"/>
  <c r="I72" i="3" s="1"/>
  <c r="H71" i="3"/>
  <c r="H70" i="3"/>
  <c r="H69" i="3"/>
  <c r="H68" i="3"/>
  <c r="I68" i="3" s="1"/>
  <c r="Y68" i="3" s="1"/>
  <c r="H67" i="3"/>
  <c r="I67" i="3" s="1"/>
  <c r="Y67" i="3" s="1"/>
  <c r="H66" i="3"/>
  <c r="I66" i="3" s="1"/>
  <c r="Y66" i="3" s="1"/>
  <c r="H65" i="3"/>
  <c r="I65" i="3" s="1"/>
  <c r="Y65" i="3" s="1"/>
  <c r="H64" i="3"/>
  <c r="H63" i="3"/>
  <c r="I63" i="3" s="1"/>
  <c r="H62" i="3"/>
  <c r="I62" i="3" s="1"/>
  <c r="H61" i="3"/>
  <c r="I61" i="3" s="1"/>
  <c r="H60" i="3"/>
  <c r="I60" i="3" s="1"/>
  <c r="H59" i="3"/>
  <c r="H58" i="3"/>
  <c r="H57" i="3"/>
  <c r="H56" i="3"/>
  <c r="I56" i="3" s="1"/>
  <c r="W56" i="3" s="1"/>
  <c r="H55" i="3"/>
  <c r="I55" i="3" s="1"/>
  <c r="W55" i="3" s="1"/>
  <c r="H54" i="3"/>
  <c r="V54" i="3" s="1"/>
  <c r="H53" i="3"/>
  <c r="H52" i="3"/>
  <c r="I52" i="3" s="1"/>
  <c r="H51" i="3"/>
  <c r="I51" i="3" s="1"/>
  <c r="V51" i="3" s="1"/>
  <c r="H50" i="3"/>
  <c r="V50" i="3" s="1"/>
  <c r="H49" i="3"/>
  <c r="V49" i="3" s="1"/>
  <c r="H48" i="3"/>
  <c r="I48" i="3" s="1"/>
  <c r="U48" i="3" s="1"/>
  <c r="H47" i="3"/>
  <c r="I47" i="3" s="1"/>
  <c r="U47" i="3" s="1"/>
  <c r="H46" i="3"/>
  <c r="I46" i="3" s="1"/>
  <c r="U46" i="3" s="1"/>
  <c r="H45" i="3"/>
  <c r="I45" i="3" s="1"/>
  <c r="U45" i="3" s="1"/>
  <c r="H44" i="3"/>
  <c r="H43" i="3"/>
  <c r="H42" i="3"/>
  <c r="I42" i="3" s="1"/>
  <c r="H41" i="3"/>
  <c r="I41" i="3" s="1"/>
  <c r="H40" i="3"/>
  <c r="I40" i="3" s="1"/>
  <c r="H39" i="3"/>
  <c r="H38" i="3"/>
  <c r="I38" i="3" s="1"/>
  <c r="H37" i="3"/>
  <c r="I37" i="3" s="1"/>
  <c r="H36" i="3"/>
  <c r="H35" i="3"/>
  <c r="I35" i="3" s="1"/>
  <c r="S35" i="3" s="1"/>
  <c r="H34" i="3"/>
  <c r="H33" i="3"/>
  <c r="H32" i="3"/>
  <c r="I32" i="3" s="1"/>
  <c r="R32" i="3" s="1"/>
  <c r="H31" i="3"/>
  <c r="H30" i="3"/>
  <c r="H29" i="3"/>
  <c r="H28" i="3"/>
  <c r="I28" i="3" s="1"/>
  <c r="R28" i="3" s="1"/>
  <c r="H27" i="3"/>
  <c r="H26" i="3"/>
  <c r="I26" i="3" s="1"/>
  <c r="Q26" i="3" s="1"/>
  <c r="H25" i="3"/>
  <c r="I25" i="3" s="1"/>
  <c r="Q25" i="3" s="1"/>
  <c r="H24" i="3"/>
  <c r="H23" i="3"/>
  <c r="H22" i="3"/>
  <c r="I22" i="3" s="1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P16" i="3" s="1"/>
  <c r="H15" i="3"/>
  <c r="I15" i="3" s="1"/>
  <c r="O15" i="3" s="1"/>
  <c r="H14" i="3"/>
  <c r="H13" i="3"/>
  <c r="H12" i="3"/>
  <c r="I12" i="3" s="1"/>
  <c r="H11" i="3"/>
  <c r="H10" i="3"/>
  <c r="I10" i="3" s="1"/>
  <c r="N10" i="3" s="1"/>
  <c r="H9" i="3"/>
  <c r="I9" i="3" s="1"/>
  <c r="N9" i="3" s="1"/>
  <c r="H8" i="3"/>
  <c r="I8" i="3" s="1"/>
  <c r="N8" i="3" s="1"/>
  <c r="H7" i="3"/>
  <c r="I7" i="3" s="1"/>
  <c r="N7" i="3" s="1"/>
  <c r="H6" i="3"/>
  <c r="I6" i="3" s="1"/>
  <c r="N6" i="3" s="1"/>
  <c r="H5" i="3"/>
  <c r="I5" i="3" s="1"/>
  <c r="M5" i="3" s="1"/>
  <c r="H4" i="3"/>
  <c r="H3" i="3"/>
  <c r="I3" i="3" s="1"/>
  <c r="H2" i="3"/>
  <c r="G4" i="2"/>
  <c r="G3" i="2"/>
  <c r="G2" i="2"/>
  <c r="I2" i="2" s="1"/>
  <c r="I3" i="2" s="1"/>
  <c r="I4" i="2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2" i="1"/>
  <c r="AK132" i="3" l="1"/>
  <c r="S33" i="3"/>
  <c r="V53" i="3"/>
  <c r="Z73" i="3"/>
  <c r="AG113" i="3"/>
  <c r="AK133" i="3"/>
  <c r="AO153" i="3"/>
  <c r="O14" i="3"/>
  <c r="I33" i="3"/>
  <c r="O12" i="3"/>
  <c r="I74" i="3"/>
  <c r="Z74" i="3" s="1"/>
  <c r="T39" i="3"/>
  <c r="W59" i="3"/>
  <c r="AA79" i="3"/>
  <c r="AE99" i="3"/>
  <c r="AH119" i="3"/>
  <c r="AL139" i="3"/>
  <c r="I114" i="3"/>
  <c r="AG114" i="3" s="1"/>
  <c r="I73" i="3"/>
  <c r="AH120" i="3"/>
  <c r="I113" i="3"/>
  <c r="AD92" i="3"/>
  <c r="I153" i="3"/>
  <c r="I112" i="3"/>
  <c r="AG112" i="3" s="1"/>
  <c r="M2" i="3"/>
  <c r="I152" i="3"/>
  <c r="AO152" i="3" s="1"/>
  <c r="I59" i="3"/>
  <c r="Z72" i="3"/>
  <c r="I139" i="3"/>
  <c r="I99" i="3"/>
  <c r="I14" i="3"/>
  <c r="I53" i="3"/>
  <c r="V52" i="3"/>
  <c r="I133" i="3"/>
  <c r="AD93" i="3"/>
  <c r="AD94" i="3"/>
  <c r="AK134" i="3"/>
  <c r="I34" i="3"/>
  <c r="S34" i="3" s="1"/>
  <c r="P19" i="3"/>
  <c r="I13" i="3"/>
  <c r="O13" i="3" s="1"/>
  <c r="AL138" i="3"/>
  <c r="AF104" i="3"/>
  <c r="Q24" i="3"/>
  <c r="Y64" i="3"/>
  <c r="I158" i="3"/>
  <c r="AP158" i="3" s="1"/>
  <c r="I58" i="3"/>
  <c r="W58" i="3" s="1"/>
  <c r="I57" i="3"/>
  <c r="W57" i="3" s="1"/>
  <c r="AB84" i="3"/>
  <c r="AM143" i="3"/>
  <c r="X63" i="3"/>
  <c r="AB82" i="3"/>
  <c r="I144" i="3"/>
  <c r="AM144" i="3" s="1"/>
  <c r="I124" i="3"/>
  <c r="AI124" i="3" s="1"/>
  <c r="I104" i="3"/>
  <c r="I64" i="3"/>
  <c r="I44" i="3"/>
  <c r="U44" i="3" s="1"/>
  <c r="I24" i="3"/>
  <c r="I4" i="3"/>
  <c r="M4" i="3" s="1"/>
  <c r="AP157" i="3"/>
  <c r="AL137" i="3"/>
  <c r="AH117" i="3"/>
  <c r="AE97" i="3"/>
  <c r="AA77" i="3"/>
  <c r="S37" i="3"/>
  <c r="P17" i="3"/>
  <c r="I118" i="3"/>
  <c r="AH118" i="3" s="1"/>
  <c r="AB83" i="3"/>
  <c r="M3" i="3"/>
  <c r="AI122" i="3"/>
  <c r="X62" i="3"/>
  <c r="Q22" i="3"/>
  <c r="P21" i="3"/>
  <c r="AA80" i="3"/>
  <c r="AE98" i="3"/>
  <c r="P18" i="3"/>
  <c r="I43" i="3"/>
  <c r="T43" i="3" s="1"/>
  <c r="I23" i="3"/>
  <c r="Q23" i="3" s="1"/>
  <c r="AM141" i="3"/>
  <c r="X61" i="3"/>
  <c r="AL140" i="3"/>
  <c r="X60" i="3"/>
  <c r="T38" i="3"/>
  <c r="AF103" i="3"/>
  <c r="AM142" i="3"/>
  <c r="AF102" i="3"/>
  <c r="T42" i="3"/>
  <c r="AI121" i="3"/>
  <c r="T41" i="3"/>
  <c r="P20" i="3"/>
  <c r="AA78" i="3"/>
  <c r="I123" i="3"/>
  <c r="AI123" i="3" s="1"/>
  <c r="I138" i="3"/>
  <c r="AB81" i="3"/>
  <c r="AE100" i="3"/>
  <c r="T40" i="3"/>
  <c r="G5" i="2"/>
  <c r="I5" i="2" s="1"/>
  <c r="G6" i="2" l="1"/>
  <c r="I6" i="2" s="1"/>
  <c r="G7" i="2" l="1"/>
  <c r="I7" i="2" s="1"/>
  <c r="G8" i="2" l="1"/>
  <c r="I8" i="2" s="1"/>
  <c r="G9" i="2" l="1"/>
  <c r="I9" i="2" s="1"/>
  <c r="G10" i="2" l="1"/>
  <c r="I10" i="2" s="1"/>
  <c r="G11" i="2" l="1"/>
  <c r="I11" i="2" s="1"/>
  <c r="G12" i="2" l="1"/>
  <c r="I12" i="2" s="1"/>
  <c r="G13" i="2" l="1"/>
  <c r="I13" i="2" s="1"/>
  <c r="G14" i="2" l="1"/>
  <c r="I14" i="2" s="1"/>
  <c r="G15" i="2" l="1"/>
  <c r="I15" i="2" s="1"/>
  <c r="G16" i="2" l="1"/>
  <c r="I16" i="2" s="1"/>
  <c r="G17" i="2" l="1"/>
  <c r="I17" i="2" s="1"/>
  <c r="G18" i="2" l="1"/>
  <c r="I18" i="2" s="1"/>
  <c r="G19" i="2" l="1"/>
  <c r="I19" i="2" s="1"/>
  <c r="G20" i="2" l="1"/>
  <c r="I20" i="2" s="1"/>
  <c r="G21" i="2" l="1"/>
  <c r="I21" i="2" s="1"/>
  <c r="G22" i="2" l="1"/>
  <c r="I22" i="2" s="1"/>
  <c r="G23" i="2" l="1"/>
  <c r="I23" i="2" s="1"/>
  <c r="G24" i="2" l="1"/>
  <c r="I24" i="2" s="1"/>
  <c r="G25" i="2" l="1"/>
  <c r="I25" i="2" s="1"/>
  <c r="G26" i="2" l="1"/>
  <c r="I26" i="2" s="1"/>
  <c r="G27" i="2" l="1"/>
  <c r="I27" i="2" s="1"/>
  <c r="G28" i="2" l="1"/>
  <c r="I28" i="2" s="1"/>
  <c r="G29" i="2" l="1"/>
  <c r="I29" i="2" s="1"/>
  <c r="G30" i="2" l="1"/>
  <c r="I30" i="2" s="1"/>
  <c r="G31" i="2" l="1"/>
  <c r="I31" i="2" s="1"/>
  <c r="G32" i="2" l="1"/>
  <c r="I32" i="2" s="1"/>
  <c r="G33" i="2" l="1"/>
  <c r="I33" i="2" s="1"/>
  <c r="G34" i="2" l="1"/>
  <c r="I34" i="2" s="1"/>
  <c r="G35" i="2" l="1"/>
  <c r="I35" i="2" s="1"/>
  <c r="G36" i="2" l="1"/>
  <c r="I36" i="2" s="1"/>
  <c r="G37" i="2" l="1"/>
  <c r="I37" i="2" s="1"/>
  <c r="G38" i="2" l="1"/>
  <c r="I38" i="2" s="1"/>
  <c r="G39" i="2" l="1"/>
  <c r="I39" i="2" s="1"/>
  <c r="G40" i="2" l="1"/>
  <c r="I40" i="2" s="1"/>
  <c r="G41" i="2" l="1"/>
  <c r="I41" i="2" s="1"/>
  <c r="G42" i="2" l="1"/>
  <c r="I42" i="2" s="1"/>
  <c r="G43" i="2" l="1"/>
  <c r="I43" i="2" s="1"/>
  <c r="G44" i="2" l="1"/>
  <c r="I44" i="2" s="1"/>
  <c r="G45" i="2" l="1"/>
  <c r="I45" i="2" s="1"/>
  <c r="G46" i="2" l="1"/>
  <c r="I46" i="2" s="1"/>
  <c r="G47" i="2" l="1"/>
  <c r="I47" i="2" s="1"/>
  <c r="G48" i="2" l="1"/>
  <c r="I48" i="2" s="1"/>
  <c r="G49" i="2" l="1"/>
  <c r="I49" i="2" s="1"/>
  <c r="G50" i="2" l="1"/>
  <c r="I50" i="2" s="1"/>
  <c r="G51" i="2" l="1"/>
  <c r="I51" i="2" s="1"/>
  <c r="G52" i="2" l="1"/>
  <c r="I52" i="2" s="1"/>
  <c r="G53" i="2" l="1"/>
  <c r="I53" i="2" s="1"/>
  <c r="G54" i="2" l="1"/>
  <c r="I54" i="2" s="1"/>
  <c r="G55" i="2" l="1"/>
  <c r="I55" i="2" s="1"/>
  <c r="G56" i="2" l="1"/>
  <c r="I56" i="2" s="1"/>
  <c r="G57" i="2" l="1"/>
  <c r="I57" i="2" s="1"/>
  <c r="G58" i="2" l="1"/>
  <c r="I58" i="2" s="1"/>
  <c r="G59" i="2" l="1"/>
  <c r="I59" i="2" s="1"/>
  <c r="G60" i="2" l="1"/>
  <c r="I60" i="2" s="1"/>
  <c r="G61" i="2" l="1"/>
  <c r="I61" i="2" s="1"/>
  <c r="G62" i="2" l="1"/>
  <c r="I62" i="2" s="1"/>
  <c r="G63" i="2" l="1"/>
  <c r="I63" i="2" s="1"/>
  <c r="G64" i="2" l="1"/>
  <c r="I64" i="2" s="1"/>
  <c r="G65" i="2" l="1"/>
  <c r="I65" i="2" s="1"/>
  <c r="G66" i="2" l="1"/>
  <c r="I66" i="2" s="1"/>
  <c r="G67" i="2" l="1"/>
  <c r="I67" i="2" s="1"/>
  <c r="G68" i="2" l="1"/>
  <c r="I68" i="2" s="1"/>
  <c r="G69" i="2" l="1"/>
  <c r="I69" i="2" s="1"/>
  <c r="G70" i="2" l="1"/>
  <c r="I70" i="2" s="1"/>
  <c r="G71" i="2" l="1"/>
  <c r="I71" i="2" s="1"/>
  <c r="G72" i="2" l="1"/>
  <c r="I72" i="2" s="1"/>
  <c r="G73" i="2" l="1"/>
  <c r="I73" i="2" s="1"/>
  <c r="G74" i="2" l="1"/>
  <c r="I74" i="2" s="1"/>
  <c r="G75" i="2" l="1"/>
  <c r="I75" i="2" s="1"/>
  <c r="G76" i="2" l="1"/>
  <c r="I76" i="2" s="1"/>
  <c r="G77" i="2" l="1"/>
  <c r="I77" i="2" s="1"/>
  <c r="G78" i="2" l="1"/>
  <c r="I78" i="2" s="1"/>
  <c r="G79" i="2" l="1"/>
  <c r="I79" i="2" s="1"/>
  <c r="G80" i="2" l="1"/>
  <c r="I80" i="2" s="1"/>
  <c r="G81" i="2" l="1"/>
  <c r="I81" i="2" s="1"/>
  <c r="G82" i="2" l="1"/>
  <c r="I82" i="2" s="1"/>
  <c r="G83" i="2" l="1"/>
  <c r="I83" i="2" s="1"/>
  <c r="G84" i="2" l="1"/>
  <c r="I84" i="2" s="1"/>
  <c r="I85" i="2" l="1"/>
  <c r="G85" i="2"/>
  <c r="G86" i="2" l="1"/>
  <c r="I86" i="2" s="1"/>
  <c r="G87" i="2" l="1"/>
  <c r="I87" i="2" s="1"/>
  <c r="G88" i="2" l="1"/>
  <c r="I88" i="2" s="1"/>
  <c r="G89" i="2" l="1"/>
  <c r="I89" i="2" s="1"/>
  <c r="G90" i="2" l="1"/>
  <c r="I90" i="2" s="1"/>
  <c r="G91" i="2" l="1"/>
  <c r="I91" i="2" s="1"/>
  <c r="G92" i="2" l="1"/>
  <c r="I92" i="2" s="1"/>
  <c r="G93" i="2" l="1"/>
  <c r="I93" i="2" s="1"/>
  <c r="G94" i="2" l="1"/>
  <c r="I94" i="2" s="1"/>
  <c r="G95" i="2" l="1"/>
  <c r="I95" i="2" s="1"/>
  <c r="G96" i="2" l="1"/>
  <c r="I96" i="2" s="1"/>
  <c r="G97" i="2" l="1"/>
  <c r="I97" i="2" s="1"/>
  <c r="G98" i="2" l="1"/>
  <c r="I98" i="2" s="1"/>
  <c r="G99" i="2" l="1"/>
  <c r="I99" i="2" s="1"/>
  <c r="G100" i="2" l="1"/>
  <c r="I100" i="2" s="1"/>
  <c r="G101" i="2" l="1"/>
  <c r="I101" i="2" s="1"/>
  <c r="G102" i="2" l="1"/>
  <c r="I102" i="2" s="1"/>
  <c r="G103" i="2" l="1"/>
  <c r="I103" i="2" s="1"/>
  <c r="G104" i="2" l="1"/>
  <c r="I104" i="2" s="1"/>
  <c r="G105" i="2" l="1"/>
  <c r="I105" i="2" s="1"/>
  <c r="G106" i="2" l="1"/>
  <c r="I106" i="2" s="1"/>
  <c r="G107" i="2" l="1"/>
  <c r="I107" i="2" s="1"/>
  <c r="G108" i="2" l="1"/>
  <c r="I108" i="2" s="1"/>
  <c r="G109" i="2" l="1"/>
  <c r="I109" i="2" s="1"/>
  <c r="G110" i="2" l="1"/>
  <c r="I110" i="2" s="1"/>
  <c r="G111" i="2" l="1"/>
  <c r="I111" i="2" s="1"/>
  <c r="G112" i="2" l="1"/>
  <c r="I112" i="2" s="1"/>
  <c r="G113" i="2" l="1"/>
  <c r="I113" i="2" s="1"/>
  <c r="G114" i="2" l="1"/>
  <c r="I114" i="2" s="1"/>
  <c r="G115" i="2" l="1"/>
  <c r="I115" i="2" s="1"/>
  <c r="G116" i="2" l="1"/>
  <c r="I116" i="2" s="1"/>
  <c r="G117" i="2" l="1"/>
  <c r="I117" i="2" s="1"/>
  <c r="G118" i="2" l="1"/>
  <c r="I118" i="2" s="1"/>
  <c r="G119" i="2" l="1"/>
  <c r="I119" i="2" s="1"/>
  <c r="G120" i="2" l="1"/>
  <c r="I120" i="2" s="1"/>
  <c r="G121" i="2" l="1"/>
  <c r="I121" i="2" s="1"/>
  <c r="G122" i="2" l="1"/>
  <c r="I122" i="2" s="1"/>
  <c r="G123" i="2" l="1"/>
  <c r="I123" i="2" s="1"/>
  <c r="G124" i="2" l="1"/>
  <c r="I124" i="2" s="1"/>
  <c r="G125" i="2" l="1"/>
  <c r="I125" i="2" s="1"/>
  <c r="G126" i="2" l="1"/>
  <c r="I126" i="2" s="1"/>
  <c r="G127" i="2" l="1"/>
  <c r="I127" i="2" s="1"/>
  <c r="G128" i="2" l="1"/>
  <c r="I128" i="2" s="1"/>
  <c r="G129" i="2" l="1"/>
  <c r="I129" i="2" s="1"/>
  <c r="G130" i="2" l="1"/>
  <c r="I130" i="2" s="1"/>
  <c r="G131" i="2" l="1"/>
  <c r="I131" i="2" s="1"/>
  <c r="G132" i="2" l="1"/>
  <c r="I132" i="2" s="1"/>
  <c r="G133" i="2" l="1"/>
  <c r="I133" i="2" s="1"/>
  <c r="G134" i="2" l="1"/>
  <c r="I134" i="2" s="1"/>
  <c r="G135" i="2" l="1"/>
  <c r="I135" i="2" s="1"/>
  <c r="G136" i="2" l="1"/>
  <c r="I136" i="2" s="1"/>
  <c r="G137" i="2" l="1"/>
  <c r="I137" i="2" s="1"/>
  <c r="G138" i="2" l="1"/>
  <c r="I138" i="2" s="1"/>
  <c r="G139" i="2" l="1"/>
  <c r="I139" i="2" s="1"/>
  <c r="G140" i="2" l="1"/>
  <c r="I140" i="2" s="1"/>
  <c r="G141" i="2" l="1"/>
  <c r="I141" i="2" s="1"/>
  <c r="G142" i="2" l="1"/>
  <c r="I142" i="2" s="1"/>
  <c r="G143" i="2" l="1"/>
  <c r="I143" i="2" s="1"/>
  <c r="G144" i="2" l="1"/>
  <c r="I144" i="2" s="1"/>
  <c r="I145" i="2" l="1"/>
  <c r="G145" i="2"/>
  <c r="G146" i="2" l="1"/>
  <c r="I146" i="2" s="1"/>
  <c r="G147" i="2" l="1"/>
  <c r="I147" i="2" s="1"/>
  <c r="G148" i="2" l="1"/>
  <c r="I148" i="2" s="1"/>
  <c r="G149" i="2" l="1"/>
  <c r="I149" i="2" s="1"/>
  <c r="G150" i="2" l="1"/>
  <c r="I150" i="2" s="1"/>
  <c r="G151" i="2" l="1"/>
  <c r="I151" i="2" s="1"/>
  <c r="G152" i="2" l="1"/>
  <c r="I152" i="2" s="1"/>
  <c r="G153" i="2" l="1"/>
  <c r="I153" i="2" s="1"/>
  <c r="G154" i="2" l="1"/>
  <c r="I154" i="2" s="1"/>
  <c r="G155" i="2" l="1"/>
  <c r="I155" i="2" s="1"/>
  <c r="G156" i="2" l="1"/>
  <c r="I156" i="2" s="1"/>
  <c r="G157" i="2" l="1"/>
  <c r="I157" i="2" s="1"/>
  <c r="G158" i="2" l="1"/>
  <c r="I158" i="2" s="1"/>
  <c r="G4" i="6"/>
  <c r="I4" i="6"/>
  <c r="G5" i="6"/>
  <c r="I5" i="6"/>
  <c r="G6" i="6" s="1"/>
  <c r="I6" i="6" s="1"/>
  <c r="G3" i="6"/>
  <c r="I3" i="6"/>
  <c r="G7" i="6"/>
  <c r="I7" i="6" s="1"/>
  <c r="G8" i="6" s="1"/>
  <c r="I8" i="6" s="1"/>
  <c r="G9" i="6" s="1"/>
  <c r="I9" i="6" s="1"/>
  <c r="G10" i="6" s="1"/>
  <c r="I10" i="6" s="1"/>
  <c r="G11" i="6" s="1"/>
  <c r="I11" i="6" s="1"/>
  <c r="G12" i="6" s="1"/>
  <c r="I12" i="6" s="1"/>
  <c r="G13" i="6" s="1"/>
  <c r="I13" i="6" s="1"/>
  <c r="G14" i="6" s="1"/>
  <c r="I14" i="6" s="1"/>
  <c r="G15" i="6" s="1"/>
  <c r="I15" i="6" s="1"/>
  <c r="G16" i="6" s="1"/>
  <c r="I16" i="6" s="1"/>
  <c r="G17" i="6" s="1"/>
  <c r="I17" i="6" s="1"/>
  <c r="G18" i="6" s="1"/>
  <c r="I18" i="6" s="1"/>
  <c r="G19" i="6" s="1"/>
  <c r="I19" i="6" s="1"/>
  <c r="G20" i="6" s="1"/>
  <c r="I20" i="6" s="1"/>
  <c r="G21" i="6" s="1"/>
  <c r="I21" i="6" s="1"/>
  <c r="G22" i="6" s="1"/>
  <c r="I22" i="6" s="1"/>
  <c r="G23" i="6" s="1"/>
  <c r="I23" i="6" s="1"/>
  <c r="G24" i="6" s="1"/>
  <c r="I24" i="6" s="1"/>
  <c r="G25" i="6" s="1"/>
  <c r="I25" i="6" s="1"/>
  <c r="G26" i="6" s="1"/>
  <c r="I26" i="6" s="1"/>
  <c r="G27" i="6" s="1"/>
  <c r="I27" i="6" s="1"/>
  <c r="G28" i="6" s="1"/>
  <c r="I28" i="6" s="1"/>
  <c r="G29" i="6" s="1"/>
  <c r="I29" i="6" s="1"/>
  <c r="G30" i="6" s="1"/>
  <c r="I30" i="6" s="1"/>
  <c r="G31" i="6" s="1"/>
  <c r="I31" i="6" s="1"/>
  <c r="G32" i="6" s="1"/>
  <c r="I32" i="6" s="1"/>
  <c r="G33" i="6" s="1"/>
  <c r="I33" i="6" s="1"/>
  <c r="G34" i="6" s="1"/>
  <c r="I34" i="6" s="1"/>
  <c r="G35" i="6" s="1"/>
  <c r="I35" i="6" s="1"/>
  <c r="G36" i="6" s="1"/>
  <c r="I36" i="6" s="1"/>
  <c r="G37" i="6" s="1"/>
  <c r="I37" i="6" s="1"/>
  <c r="G38" i="6" s="1"/>
  <c r="I38" i="6" s="1"/>
  <c r="G39" i="6" s="1"/>
  <c r="I39" i="6" s="1"/>
  <c r="G40" i="6" s="1"/>
  <c r="I40" i="6" s="1"/>
  <c r="G41" i="6" s="1"/>
  <c r="I41" i="6" s="1"/>
  <c r="G42" i="6" s="1"/>
  <c r="I42" i="6" s="1"/>
  <c r="G43" i="6" s="1"/>
  <c r="I43" i="6" s="1"/>
  <c r="G44" i="6" s="1"/>
  <c r="I44" i="6" s="1"/>
  <c r="G45" i="6" s="1"/>
  <c r="I45" i="6" s="1"/>
  <c r="G46" i="6" s="1"/>
  <c r="I46" i="6" s="1"/>
  <c r="G47" i="6" s="1"/>
  <c r="I47" i="6" s="1"/>
  <c r="G48" i="6" s="1"/>
  <c r="I48" i="6" s="1"/>
  <c r="G49" i="6" s="1"/>
  <c r="I49" i="6" s="1"/>
  <c r="G50" i="6" s="1"/>
  <c r="I50" i="6" s="1"/>
  <c r="G51" i="6" s="1"/>
  <c r="I51" i="6" s="1"/>
  <c r="G52" i="6" s="1"/>
  <c r="I52" i="6" s="1"/>
  <c r="G53" i="6" s="1"/>
  <c r="I53" i="6" s="1"/>
  <c r="G54" i="6" s="1"/>
  <c r="I54" i="6" s="1"/>
  <c r="G55" i="6" s="1"/>
  <c r="I55" i="6" s="1"/>
  <c r="G56" i="6" s="1"/>
  <c r="I56" i="6" s="1"/>
  <c r="G57" i="6" s="1"/>
  <c r="I57" i="6" s="1"/>
  <c r="G58" i="6" s="1"/>
  <c r="I58" i="6" s="1"/>
  <c r="G59" i="6" s="1"/>
  <c r="I59" i="6" s="1"/>
  <c r="G60" i="6" s="1"/>
  <c r="I60" i="6" s="1"/>
  <c r="G61" i="6" s="1"/>
  <c r="I61" i="6" s="1"/>
  <c r="G62" i="6" s="1"/>
  <c r="I62" i="6" s="1"/>
  <c r="G63" i="6" s="1"/>
  <c r="I63" i="6" s="1"/>
  <c r="G64" i="6" s="1"/>
  <c r="I64" i="6" s="1"/>
  <c r="G65" i="6" s="1"/>
  <c r="I65" i="6" s="1"/>
  <c r="G66" i="6" s="1"/>
  <c r="I66" i="6" s="1"/>
  <c r="G67" i="6" s="1"/>
  <c r="I67" i="6" s="1"/>
  <c r="G68" i="6" s="1"/>
  <c r="I68" i="6" s="1"/>
  <c r="G69" i="6" s="1"/>
  <c r="I69" i="6" s="1"/>
  <c r="G70" i="6" s="1"/>
  <c r="I70" i="6" s="1"/>
  <c r="G71" i="6" s="1"/>
  <c r="I71" i="6" s="1"/>
  <c r="G72" i="6" s="1"/>
  <c r="I72" i="6" s="1"/>
  <c r="G73" i="6" s="1"/>
  <c r="I73" i="6" s="1"/>
  <c r="G74" i="6" s="1"/>
  <c r="I74" i="6" s="1"/>
  <c r="G75" i="6" s="1"/>
  <c r="I75" i="6" s="1"/>
  <c r="G76" i="6" s="1"/>
  <c r="I76" i="6" s="1"/>
  <c r="G77" i="6" s="1"/>
  <c r="I77" i="6" s="1"/>
  <c r="G78" i="6" s="1"/>
  <c r="I78" i="6" s="1"/>
  <c r="G79" i="6" s="1"/>
  <c r="I79" i="6" s="1"/>
  <c r="G80" i="6" s="1"/>
  <c r="I80" i="6" s="1"/>
  <c r="G81" i="6" s="1"/>
  <c r="I81" i="6" s="1"/>
  <c r="G82" i="6" s="1"/>
  <c r="I82" i="6" s="1"/>
  <c r="G83" i="6" s="1"/>
  <c r="I83" i="6" s="1"/>
  <c r="G84" i="6" s="1"/>
  <c r="I84" i="6" s="1"/>
  <c r="G85" i="6" s="1"/>
  <c r="I85" i="6" s="1"/>
  <c r="G86" i="6" s="1"/>
  <c r="I86" i="6" s="1"/>
  <c r="G87" i="6" s="1"/>
  <c r="I87" i="6" s="1"/>
  <c r="G88" i="6" s="1"/>
  <c r="I88" i="6" s="1"/>
  <c r="G89" i="6" s="1"/>
  <c r="I89" i="6" s="1"/>
  <c r="G90" i="6" s="1"/>
  <c r="I90" i="6" s="1"/>
  <c r="G91" i="6" s="1"/>
  <c r="I91" i="6" s="1"/>
  <c r="G92" i="6" s="1"/>
  <c r="I92" i="6" s="1"/>
  <c r="G93" i="6" s="1"/>
  <c r="I93" i="6" s="1"/>
  <c r="G94" i="6" s="1"/>
  <c r="I94" i="6" s="1"/>
  <c r="G95" i="6" s="1"/>
  <c r="I95" i="6" s="1"/>
  <c r="G96" i="6" s="1"/>
  <c r="I96" i="6" s="1"/>
  <c r="G97" i="6" s="1"/>
  <c r="I97" i="6" s="1"/>
  <c r="G98" i="6" s="1"/>
  <c r="I98" i="6" s="1"/>
  <c r="G99" i="6" s="1"/>
  <c r="I99" i="6" s="1"/>
  <c r="G100" i="6" s="1"/>
  <c r="I100" i="6" s="1"/>
  <c r="G101" i="6" s="1"/>
  <c r="I101" i="6" s="1"/>
  <c r="G102" i="6" s="1"/>
  <c r="I102" i="6" s="1"/>
  <c r="G103" i="6" s="1"/>
  <c r="I103" i="6" s="1"/>
  <c r="G104" i="6" s="1"/>
  <c r="I104" i="6" s="1"/>
  <c r="G105" i="6" s="1"/>
  <c r="I105" i="6" s="1"/>
  <c r="G106" i="6" s="1"/>
  <c r="I106" i="6" s="1"/>
  <c r="G107" i="6" s="1"/>
  <c r="I107" i="6" s="1"/>
  <c r="G108" i="6" s="1"/>
  <c r="I108" i="6" s="1"/>
  <c r="G109" i="6" s="1"/>
  <c r="I109" i="6" s="1"/>
  <c r="G110" i="6" s="1"/>
  <c r="I110" i="6" s="1"/>
  <c r="G111" i="6" s="1"/>
  <c r="I111" i="6" s="1"/>
  <c r="G112" i="6" s="1"/>
  <c r="I112" i="6" s="1"/>
  <c r="G113" i="6" s="1"/>
  <c r="I113" i="6" s="1"/>
  <c r="G114" i="6" s="1"/>
  <c r="I114" i="6" s="1"/>
  <c r="G115" i="6" s="1"/>
  <c r="I115" i="6" s="1"/>
  <c r="G116" i="6" s="1"/>
  <c r="I116" i="6" s="1"/>
  <c r="G117" i="6" s="1"/>
  <c r="I117" i="6" s="1"/>
  <c r="G118" i="6" s="1"/>
  <c r="I118" i="6" s="1"/>
  <c r="G119" i="6" s="1"/>
  <c r="I119" i="6" s="1"/>
  <c r="G120" i="6" s="1"/>
  <c r="I120" i="6" s="1"/>
  <c r="G121" i="6" s="1"/>
  <c r="I121" i="6" s="1"/>
  <c r="G122" i="6" s="1"/>
  <c r="I122" i="6" s="1"/>
  <c r="G123" i="6" s="1"/>
  <c r="I123" i="6" s="1"/>
  <c r="G124" i="6" s="1"/>
  <c r="I124" i="6" s="1"/>
  <c r="G125" i="6" s="1"/>
  <c r="I125" i="6" s="1"/>
  <c r="G126" i="6" s="1"/>
  <c r="I126" i="6" s="1"/>
  <c r="G127" i="6" s="1"/>
  <c r="I127" i="6" s="1"/>
  <c r="G128" i="6" s="1"/>
  <c r="I128" i="6" s="1"/>
  <c r="G129" i="6" s="1"/>
  <c r="I129" i="6" s="1"/>
  <c r="G130" i="6" s="1"/>
  <c r="I130" i="6" s="1"/>
  <c r="G131" i="6" s="1"/>
  <c r="I131" i="6" s="1"/>
  <c r="G132" i="6" s="1"/>
  <c r="I132" i="6" s="1"/>
  <c r="G133" i="6" s="1"/>
  <c r="I133" i="6" s="1"/>
  <c r="G134" i="6" s="1"/>
  <c r="I134" i="6" s="1"/>
  <c r="G135" i="6" s="1"/>
  <c r="I135" i="6" s="1"/>
  <c r="G136" i="6" s="1"/>
  <c r="I136" i="6" s="1"/>
  <c r="G137" i="6" s="1"/>
  <c r="I137" i="6" s="1"/>
  <c r="G138" i="6" s="1"/>
  <c r="I138" i="6" s="1"/>
  <c r="G139" i="6" s="1"/>
  <c r="I139" i="6" s="1"/>
  <c r="G140" i="6" s="1"/>
  <c r="I140" i="6" s="1"/>
  <c r="G141" i="6" s="1"/>
  <c r="I141" i="6" s="1"/>
  <c r="G142" i="6" s="1"/>
  <c r="I142" i="6" s="1"/>
  <c r="G143" i="6" s="1"/>
  <c r="I143" i="6" s="1"/>
  <c r="G144" i="6" s="1"/>
  <c r="I144" i="6" s="1"/>
  <c r="G145" i="6" s="1"/>
  <c r="I145" i="6" s="1"/>
  <c r="G146" i="6" s="1"/>
  <c r="I146" i="6" s="1"/>
  <c r="G147" i="6" s="1"/>
  <c r="I147" i="6" s="1"/>
  <c r="G148" i="6" s="1"/>
  <c r="I148" i="6" s="1"/>
  <c r="G149" i="6" s="1"/>
  <c r="I149" i="6" s="1"/>
  <c r="G150" i="6" s="1"/>
  <c r="I150" i="6" s="1"/>
  <c r="G151" i="6" s="1"/>
  <c r="I151" i="6" s="1"/>
  <c r="G152" i="6" s="1"/>
  <c r="I152" i="6" s="1"/>
  <c r="G153" i="6" s="1"/>
  <c r="I153" i="6" s="1"/>
  <c r="G154" i="6" s="1"/>
  <c r="I154" i="6" s="1"/>
  <c r="G155" i="6" s="1"/>
  <c r="I155" i="6" s="1"/>
  <c r="G156" i="6" s="1"/>
  <c r="I156" i="6" s="1"/>
  <c r="G157" i="6" s="1"/>
  <c r="I157" i="6" s="1"/>
  <c r="G158" i="6" s="1"/>
  <c r="I158" i="6" s="1"/>
</calcChain>
</file>

<file path=xl/connections.xml><?xml version="1.0" encoding="utf-8"?>
<connections xmlns="http://schemas.openxmlformats.org/spreadsheetml/2006/main">
  <connection id="1" name="loty" type="6" refreshedVersion="4" background="1" saveData="1">
    <textPr codePage="932" sourceFile="C:\Users\filip\Downloads\loty.txt" decimal="," thousands=" 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<sst xmlns="http://schemas.openxmlformats.org/spreadsheetml/2006/main" count="69" uniqueCount="23">
  <si>
    <t>lp</t>
  </si>
  <si>
    <t>data wylotu</t>
  </si>
  <si>
    <t>godzina wylotu</t>
  </si>
  <si>
    <t>data przylotu</t>
  </si>
  <si>
    <t>godzina przylotu</t>
  </si>
  <si>
    <t>Wyładunek</t>
  </si>
  <si>
    <t>Załadunek</t>
  </si>
  <si>
    <t>Czas lotu</t>
  </si>
  <si>
    <t>Najdłuższy czas</t>
  </si>
  <si>
    <t>Numer lotu</t>
  </si>
  <si>
    <t>Tonaż</t>
  </si>
  <si>
    <t>Minuty</t>
  </si>
  <si>
    <t>Ostatecznie</t>
  </si>
  <si>
    <t>3 razy</t>
  </si>
  <si>
    <t>Przed 24</t>
  </si>
  <si>
    <t>Po 24</t>
  </si>
  <si>
    <t>Godzina</t>
  </si>
  <si>
    <t>suma godzin</t>
  </si>
  <si>
    <t>Cena za ładunek</t>
  </si>
  <si>
    <t>Cane za wyładunek</t>
  </si>
  <si>
    <t>Cena za cargo</t>
  </si>
  <si>
    <t>Przychód</t>
  </si>
  <si>
    <t>Strata?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</si>
</sst>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0" fillId="2" borderId="0" xfId="0" applyFill="1"/>
    <xf numFmtId="2" fontId="0" fillId="0" borderId="0" xfId="0" applyNumberFormat="1"/>
    <xf numFmtId="2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21" fontId="0" fillId="3" borderId="0" xfId="0" applyNumberFormat="1" applyFill="1"/>
    <xf numFmtId="164" fontId="0" fillId="3" borderId="0" xfId="0" applyNumberFormat="1" applyFill="1"/>
    <xf numFmtId="2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21" fontId="0" fillId="4" borderId="0" xfId="0" applyNumberFormat="1" applyFill="1"/>
    <xf numFmtId="164" fontId="0" fillId="4" borderId="0" xfId="0" applyNumberFormat="1" applyFill="1"/>
  </cellXfs>
  <cellStyles count="1">
    <cellStyle name="Normalny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Ilość minut spędzonych</a:t>
            </a:r>
            <a:r>
              <a:rPr lang="pl-PL" baseline="0"/>
              <a:t> w powietrzu każdego dnia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Arkusz3!$M$161:$M$190</c:f>
              <c:numCache>
                <c:formatCode>General</c:formatCode>
                <c:ptCount val="30"/>
                <c:pt idx="0">
                  <c:v>586.76666666666665</c:v>
                </c:pt>
                <c:pt idx="1">
                  <c:v>650.96666666666658</c:v>
                </c:pt>
                <c:pt idx="2">
                  <c:v>836.68333333333339</c:v>
                </c:pt>
                <c:pt idx="3">
                  <c:v>685.84999999999991</c:v>
                </c:pt>
                <c:pt idx="4">
                  <c:v>503.59999999999997</c:v>
                </c:pt>
                <c:pt idx="5">
                  <c:v>584.5</c:v>
                </c:pt>
                <c:pt idx="6">
                  <c:v>566.9666666666667</c:v>
                </c:pt>
                <c:pt idx="7">
                  <c:v>720.45</c:v>
                </c:pt>
                <c:pt idx="8">
                  <c:v>452.26666666666665</c:v>
                </c:pt>
                <c:pt idx="9">
                  <c:v>539.31666666666661</c:v>
                </c:pt>
                <c:pt idx="10">
                  <c:v>499.08333333333337</c:v>
                </c:pt>
                <c:pt idx="11">
                  <c:v>407.41666666666663</c:v>
                </c:pt>
                <c:pt idx="12">
                  <c:v>671.71666666666658</c:v>
                </c:pt>
                <c:pt idx="13">
                  <c:v>545.04999999999995</c:v>
                </c:pt>
                <c:pt idx="14">
                  <c:v>606.5333333333333</c:v>
                </c:pt>
                <c:pt idx="15">
                  <c:v>562.54999999999995</c:v>
                </c:pt>
                <c:pt idx="16">
                  <c:v>385.63333333333333</c:v>
                </c:pt>
                <c:pt idx="17">
                  <c:v>358.83333333333331</c:v>
                </c:pt>
                <c:pt idx="18">
                  <c:v>367.7</c:v>
                </c:pt>
                <c:pt idx="19">
                  <c:v>594.38333333333321</c:v>
                </c:pt>
                <c:pt idx="20">
                  <c:v>577.7833333333333</c:v>
                </c:pt>
                <c:pt idx="21">
                  <c:v>472.4</c:v>
                </c:pt>
                <c:pt idx="22">
                  <c:v>615.70000000000005</c:v>
                </c:pt>
                <c:pt idx="23">
                  <c:v>550.7833333333333</c:v>
                </c:pt>
                <c:pt idx="24">
                  <c:v>357.25</c:v>
                </c:pt>
                <c:pt idx="25">
                  <c:v>460.79999999999995</c:v>
                </c:pt>
                <c:pt idx="26">
                  <c:v>411.91666666666663</c:v>
                </c:pt>
                <c:pt idx="27">
                  <c:v>417.63333333333333</c:v>
                </c:pt>
                <c:pt idx="28">
                  <c:v>521.88333333333333</c:v>
                </c:pt>
                <c:pt idx="29">
                  <c:v>281.18333333333334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258048"/>
        <c:axId val="138719168"/>
      </c:barChart>
      <c:catAx>
        <c:axId val="136258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Dzień</a:t>
                </a:r>
              </a:p>
              <a:p>
                <a:pPr>
                  <a:defRPr/>
                </a:pPr>
                <a:endParaRPr lang="pl-PL"/>
              </a:p>
            </c:rich>
          </c:tx>
          <c:layout/>
          <c:overlay val="0"/>
        </c:title>
        <c:majorTickMark val="out"/>
        <c:minorTickMark val="none"/>
        <c:tickLblPos val="nextTo"/>
        <c:crossAx val="138719168"/>
        <c:crosses val="autoZero"/>
        <c:auto val="1"/>
        <c:lblAlgn val="ctr"/>
        <c:lblOffset val="100"/>
        <c:noMultiLvlLbl val="0"/>
      </c:catAx>
      <c:valAx>
        <c:axId val="1387191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pl-PL"/>
                  <a:t>Ilość minut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62580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548640</xdr:colOff>
      <xdr:row>160</xdr:row>
      <xdr:rowOff>106680</xdr:rowOff>
    </xdr:from>
    <xdr:to>
      <xdr:col>26</xdr:col>
      <xdr:colOff>121920</xdr:colOff>
      <xdr:row>183</xdr:row>
      <xdr:rowOff>144780</xdr:rowOff>
    </xdr:to>
    <xdr:graphicFrame macro="">
      <xdr:nvGraphicFramePr>
        <xdr:cNvPr id="4" name="Wykres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loty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8"/>
  <sheetViews>
    <sheetView workbookViewId="0">
      <selection activeCell="L7" sqref="L7"/>
    </sheetView>
  </sheetViews>
  <sheetFormatPr defaultRowHeight="14.4" x14ac:dyDescent="0.3"/>
  <cols>
    <col min="1" max="1" width="4" bestFit="1" customWidth="1"/>
    <col min="2" max="2" width="10.6640625" bestFit="1" customWidth="1"/>
    <col min="3" max="3" width="13.33203125" bestFit="1" customWidth="1"/>
    <col min="4" max="4" width="11.6640625" bestFit="1" customWidth="1"/>
    <col min="5" max="5" width="14.33203125" style="3" bestFit="1" customWidth="1"/>
    <col min="6" max="6" width="15" bestFit="1" customWidth="1"/>
    <col min="7" max="7" width="15.5546875" bestFit="1" customWidth="1"/>
    <col min="10" max="10" width="4" bestFit="1" customWidth="1"/>
    <col min="11" max="11" width="13.44140625" bestFit="1" customWidth="1"/>
    <col min="12" max="12" width="11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6</v>
      </c>
      <c r="G1" t="s">
        <v>5</v>
      </c>
      <c r="H1" t="s">
        <v>7</v>
      </c>
      <c r="I1" t="s">
        <v>11</v>
      </c>
      <c r="J1" t="s">
        <v>0</v>
      </c>
      <c r="K1" s="4" t="s">
        <v>8</v>
      </c>
      <c r="L1" s="4" t="s">
        <v>9</v>
      </c>
    </row>
    <row r="2" spans="1:12" x14ac:dyDescent="0.3">
      <c r="A2">
        <v>1</v>
      </c>
      <c r="B2" s="1">
        <v>44440</v>
      </c>
      <c r="C2" s="2">
        <v>0.33333333333333331</v>
      </c>
      <c r="D2" s="1">
        <v>44440</v>
      </c>
      <c r="E2" s="3">
        <v>0.38513888888888892</v>
      </c>
      <c r="F2">
        <v>12</v>
      </c>
      <c r="G2">
        <v>0</v>
      </c>
      <c r="H2" s="3">
        <f>IF(E2&lt;C2,(24-C2)+E2,E2-C2)</f>
        <v>5.1805555555555605E-2</v>
      </c>
      <c r="I2" s="5">
        <f>HOUR(H2) * 60 + MINUTE(H2) + SECOND(H2) /60</f>
        <v>74.599999999999994</v>
      </c>
      <c r="J2">
        <v>1</v>
      </c>
      <c r="K2" s="6">
        <f>MAX(I:I)</f>
        <v>259.64999999999998</v>
      </c>
      <c r="L2" s="4">
        <f>VLOOKUP(K2,I:J,2,FALSE)</f>
        <v>10</v>
      </c>
    </row>
    <row r="3" spans="1:12" x14ac:dyDescent="0.3">
      <c r="A3">
        <v>2</v>
      </c>
      <c r="B3" s="1">
        <v>44440</v>
      </c>
      <c r="C3" s="2">
        <v>0.42430555555555555</v>
      </c>
      <c r="D3" s="1">
        <v>44440</v>
      </c>
      <c r="E3" s="3">
        <v>0.55934027777777773</v>
      </c>
      <c r="F3">
        <v>11</v>
      </c>
      <c r="G3">
        <v>16</v>
      </c>
      <c r="H3" s="3">
        <f t="shared" ref="H3:H66" si="0">IF(E3&lt;C3,(24-C3)+E3,E3-C3)</f>
        <v>0.13503472222222218</v>
      </c>
      <c r="I3" s="5">
        <f t="shared" ref="I3:I66" si="1">HOUR(H3) * 60 + MINUTE(H3) + SECOND(H3) /60</f>
        <v>194.45</v>
      </c>
      <c r="J3">
        <v>2</v>
      </c>
      <c r="K3" s="6"/>
      <c r="L3" s="4"/>
    </row>
    <row r="4" spans="1:12" x14ac:dyDescent="0.3">
      <c r="A4">
        <v>3</v>
      </c>
      <c r="B4" s="1">
        <v>44440</v>
      </c>
      <c r="C4" s="2">
        <v>0.64613425925925927</v>
      </c>
      <c r="D4" s="1">
        <v>44440</v>
      </c>
      <c r="E4" s="3">
        <v>0.71621527777777771</v>
      </c>
      <c r="F4">
        <v>9</v>
      </c>
      <c r="G4">
        <v>0</v>
      </c>
      <c r="H4" s="3">
        <f t="shared" si="0"/>
        <v>7.0081018518518445E-2</v>
      </c>
      <c r="I4" s="5">
        <f t="shared" si="1"/>
        <v>100.91666666666667</v>
      </c>
      <c r="J4">
        <v>3</v>
      </c>
    </row>
    <row r="5" spans="1:12" x14ac:dyDescent="0.3">
      <c r="A5">
        <v>4</v>
      </c>
      <c r="B5" s="1">
        <v>44440</v>
      </c>
      <c r="C5" s="2">
        <v>0.76347222222222222</v>
      </c>
      <c r="D5" s="1">
        <v>44440</v>
      </c>
      <c r="E5" s="3">
        <v>0.91402777777777777</v>
      </c>
      <c r="F5">
        <v>14</v>
      </c>
      <c r="G5">
        <v>11</v>
      </c>
      <c r="H5" s="3">
        <f t="shared" si="0"/>
        <v>0.15055555555555555</v>
      </c>
      <c r="I5" s="5">
        <f t="shared" si="1"/>
        <v>216.8</v>
      </c>
      <c r="J5">
        <v>4</v>
      </c>
    </row>
    <row r="6" spans="1:12" x14ac:dyDescent="0.3">
      <c r="A6">
        <v>5</v>
      </c>
      <c r="B6" s="1">
        <v>44441</v>
      </c>
      <c r="C6" s="2">
        <v>0.17721064814814813</v>
      </c>
      <c r="D6" s="1">
        <v>44441</v>
      </c>
      <c r="E6" s="3">
        <v>0.27315972222222223</v>
      </c>
      <c r="F6">
        <v>21</v>
      </c>
      <c r="G6">
        <v>15</v>
      </c>
      <c r="H6" s="3">
        <f t="shared" si="0"/>
        <v>9.5949074074074103E-2</v>
      </c>
      <c r="I6" s="5">
        <f t="shared" si="1"/>
        <v>138.16666666666666</v>
      </c>
      <c r="J6">
        <v>5</v>
      </c>
    </row>
    <row r="7" spans="1:12" x14ac:dyDescent="0.3">
      <c r="A7">
        <v>6</v>
      </c>
      <c r="B7" s="1">
        <v>44441</v>
      </c>
      <c r="C7" s="2">
        <v>0.34736111111111106</v>
      </c>
      <c r="D7" s="1">
        <v>44441</v>
      </c>
      <c r="E7" s="3">
        <v>0.42460648148148145</v>
      </c>
      <c r="F7">
        <v>11</v>
      </c>
      <c r="G7">
        <v>24</v>
      </c>
      <c r="H7" s="3">
        <f t="shared" si="0"/>
        <v>7.7245370370370381E-2</v>
      </c>
      <c r="I7" s="5">
        <f t="shared" si="1"/>
        <v>111.23333333333333</v>
      </c>
      <c r="J7">
        <v>6</v>
      </c>
    </row>
    <row r="8" spans="1:12" x14ac:dyDescent="0.3">
      <c r="A8">
        <v>7</v>
      </c>
      <c r="B8" s="1">
        <v>44441</v>
      </c>
      <c r="C8" s="2">
        <v>0.48079861111111111</v>
      </c>
      <c r="D8" s="1">
        <v>44441</v>
      </c>
      <c r="E8" s="3">
        <v>0.57214120370370369</v>
      </c>
      <c r="F8">
        <v>19</v>
      </c>
      <c r="G8">
        <v>10</v>
      </c>
      <c r="H8" s="3">
        <f t="shared" si="0"/>
        <v>9.1342592592592586E-2</v>
      </c>
      <c r="I8" s="5">
        <f t="shared" si="1"/>
        <v>131.53333333333333</v>
      </c>
      <c r="J8">
        <v>7</v>
      </c>
    </row>
    <row r="9" spans="1:12" x14ac:dyDescent="0.3">
      <c r="A9">
        <v>8</v>
      </c>
      <c r="B9" s="1">
        <v>44441</v>
      </c>
      <c r="C9" s="2">
        <v>0.63290509259259264</v>
      </c>
      <c r="D9" s="1">
        <v>44441</v>
      </c>
      <c r="E9" s="3">
        <v>0.72944444444444445</v>
      </c>
      <c r="F9">
        <v>9</v>
      </c>
      <c r="G9">
        <v>11</v>
      </c>
      <c r="H9" s="3">
        <f t="shared" si="0"/>
        <v>9.6539351851851807E-2</v>
      </c>
      <c r="I9" s="5">
        <f t="shared" si="1"/>
        <v>139.01666666666668</v>
      </c>
      <c r="J9">
        <v>8</v>
      </c>
    </row>
    <row r="10" spans="1:12" x14ac:dyDescent="0.3">
      <c r="A10">
        <v>9</v>
      </c>
      <c r="B10" s="1">
        <v>44441</v>
      </c>
      <c r="C10" s="2">
        <v>0.80592592592592593</v>
      </c>
      <c r="D10" s="1">
        <v>44441</v>
      </c>
      <c r="E10" s="3">
        <v>0.89690972222222232</v>
      </c>
      <c r="F10">
        <v>12</v>
      </c>
      <c r="G10">
        <v>15</v>
      </c>
      <c r="H10" s="3">
        <f t="shared" si="0"/>
        <v>9.0983796296296382E-2</v>
      </c>
      <c r="I10" s="5">
        <f t="shared" si="1"/>
        <v>131.01666666666668</v>
      </c>
      <c r="J10">
        <v>9</v>
      </c>
    </row>
    <row r="11" spans="1:12" x14ac:dyDescent="0.3">
      <c r="A11">
        <v>10</v>
      </c>
      <c r="B11" s="1">
        <v>44442</v>
      </c>
      <c r="C11" s="2">
        <v>0.13548611111111111</v>
      </c>
      <c r="D11" s="1">
        <v>44442</v>
      </c>
      <c r="E11" s="3">
        <v>0.31579861111111113</v>
      </c>
      <c r="F11">
        <v>17</v>
      </c>
      <c r="G11">
        <v>22</v>
      </c>
      <c r="H11" s="3">
        <f t="shared" si="0"/>
        <v>0.18031250000000001</v>
      </c>
      <c r="I11" s="5">
        <f t="shared" si="1"/>
        <v>259.64999999999998</v>
      </c>
      <c r="J11">
        <v>10</v>
      </c>
    </row>
    <row r="12" spans="1:12" x14ac:dyDescent="0.3">
      <c r="A12">
        <v>11</v>
      </c>
      <c r="B12" s="1">
        <v>44442</v>
      </c>
      <c r="C12" s="2">
        <v>0.37784722222222222</v>
      </c>
      <c r="D12" s="1">
        <v>44442</v>
      </c>
      <c r="E12" s="3">
        <v>0.46140046296296294</v>
      </c>
      <c r="F12">
        <v>14</v>
      </c>
      <c r="G12">
        <v>10</v>
      </c>
      <c r="H12" s="3">
        <f t="shared" si="0"/>
        <v>8.355324074074072E-2</v>
      </c>
      <c r="I12" s="5">
        <f t="shared" si="1"/>
        <v>120.31666666666666</v>
      </c>
      <c r="J12">
        <v>11</v>
      </c>
    </row>
    <row r="13" spans="1:12" x14ac:dyDescent="0.3">
      <c r="A13">
        <v>12</v>
      </c>
      <c r="B13" s="1">
        <v>44442</v>
      </c>
      <c r="C13" s="2">
        <v>0.50086805555555558</v>
      </c>
      <c r="D13" s="1">
        <v>44442</v>
      </c>
      <c r="E13" s="3">
        <v>0.63633101851851859</v>
      </c>
      <c r="F13">
        <v>24</v>
      </c>
      <c r="G13">
        <v>19</v>
      </c>
      <c r="H13" s="3">
        <f t="shared" si="0"/>
        <v>0.13546296296296301</v>
      </c>
      <c r="I13" s="5">
        <f t="shared" si="1"/>
        <v>195.06666666666666</v>
      </c>
      <c r="J13">
        <v>12</v>
      </c>
    </row>
    <row r="14" spans="1:12" x14ac:dyDescent="0.3">
      <c r="A14">
        <v>13</v>
      </c>
      <c r="B14" s="1">
        <v>44442</v>
      </c>
      <c r="C14" s="2">
        <v>0.7049305555555555</v>
      </c>
      <c r="D14" s="1">
        <v>44442</v>
      </c>
      <c r="E14" s="3">
        <v>0.76827546296296301</v>
      </c>
      <c r="F14">
        <v>16</v>
      </c>
      <c r="G14">
        <v>11</v>
      </c>
      <c r="H14" s="3">
        <f t="shared" si="0"/>
        <v>6.3344907407407502E-2</v>
      </c>
      <c r="I14" s="5">
        <f t="shared" si="1"/>
        <v>91.216666666666669</v>
      </c>
      <c r="J14">
        <v>13</v>
      </c>
    </row>
    <row r="15" spans="1:12" x14ac:dyDescent="0.3">
      <c r="A15">
        <v>14</v>
      </c>
      <c r="B15" s="1">
        <v>44442</v>
      </c>
      <c r="C15" s="2">
        <v>0.80994212962962964</v>
      </c>
      <c r="D15" s="1">
        <v>44442</v>
      </c>
      <c r="E15" s="3">
        <v>0.92829861111111101</v>
      </c>
      <c r="F15">
        <v>15</v>
      </c>
      <c r="G15">
        <v>9</v>
      </c>
      <c r="H15" s="3">
        <f t="shared" si="0"/>
        <v>0.11835648148148137</v>
      </c>
      <c r="I15" s="5">
        <f t="shared" si="1"/>
        <v>170.43333333333334</v>
      </c>
      <c r="J15">
        <v>14</v>
      </c>
    </row>
    <row r="16" spans="1:12" x14ac:dyDescent="0.3">
      <c r="A16">
        <v>15</v>
      </c>
      <c r="B16" s="1">
        <v>44443</v>
      </c>
      <c r="C16" s="2">
        <v>0.17093749999999999</v>
      </c>
      <c r="D16" s="1">
        <v>44443</v>
      </c>
      <c r="E16" s="3">
        <v>0.25318287037037041</v>
      </c>
      <c r="F16">
        <v>7</v>
      </c>
      <c r="G16">
        <v>16</v>
      </c>
      <c r="H16" s="3">
        <f t="shared" si="0"/>
        <v>8.2245370370370413E-2</v>
      </c>
      <c r="I16" s="5">
        <f t="shared" si="1"/>
        <v>118.43333333333334</v>
      </c>
      <c r="J16">
        <v>15</v>
      </c>
    </row>
    <row r="17" spans="1:10" x14ac:dyDescent="0.3">
      <c r="A17">
        <v>16</v>
      </c>
      <c r="B17" s="1">
        <v>44443</v>
      </c>
      <c r="C17" s="2">
        <v>0.29620370370370369</v>
      </c>
      <c r="D17" s="1">
        <v>44443</v>
      </c>
      <c r="E17" s="3">
        <v>0.34704861111111113</v>
      </c>
      <c r="F17">
        <v>9</v>
      </c>
      <c r="G17">
        <v>11</v>
      </c>
      <c r="H17" s="3">
        <f t="shared" si="0"/>
        <v>5.0844907407407436E-2</v>
      </c>
      <c r="I17" s="5">
        <f t="shared" si="1"/>
        <v>73.216666666666669</v>
      </c>
      <c r="J17">
        <v>16</v>
      </c>
    </row>
    <row r="18" spans="1:10" x14ac:dyDescent="0.3">
      <c r="A18">
        <v>17</v>
      </c>
      <c r="B18" s="1">
        <v>44443</v>
      </c>
      <c r="C18" s="2">
        <v>0.3578587962962963</v>
      </c>
      <c r="D18" s="1">
        <v>44443</v>
      </c>
      <c r="E18" s="3">
        <v>0.42055555555555557</v>
      </c>
      <c r="F18">
        <v>13</v>
      </c>
      <c r="G18">
        <v>18</v>
      </c>
      <c r="H18" s="3">
        <f t="shared" si="0"/>
        <v>6.2696759259259272E-2</v>
      </c>
      <c r="I18" s="5">
        <f t="shared" si="1"/>
        <v>90.283333333333331</v>
      </c>
      <c r="J18">
        <v>17</v>
      </c>
    </row>
    <row r="19" spans="1:10" x14ac:dyDescent="0.3">
      <c r="A19">
        <v>18</v>
      </c>
      <c r="B19" s="1">
        <v>44443</v>
      </c>
      <c r="C19" s="2">
        <v>0.48564814814814811</v>
      </c>
      <c r="D19" s="1">
        <v>44443</v>
      </c>
      <c r="E19" s="3">
        <v>0.53831018518518514</v>
      </c>
      <c r="F19">
        <v>22</v>
      </c>
      <c r="G19">
        <v>5</v>
      </c>
      <c r="H19" s="3">
        <f t="shared" si="0"/>
        <v>5.2662037037037035E-2</v>
      </c>
      <c r="I19" s="5">
        <f t="shared" si="1"/>
        <v>75.833333333333329</v>
      </c>
      <c r="J19">
        <v>18</v>
      </c>
    </row>
    <row r="20" spans="1:10" x14ac:dyDescent="0.3">
      <c r="A20">
        <v>19</v>
      </c>
      <c r="B20" s="1">
        <v>44443</v>
      </c>
      <c r="C20" s="2">
        <v>0.70219907407407411</v>
      </c>
      <c r="D20" s="1">
        <v>44443</v>
      </c>
      <c r="E20" s="3">
        <v>0.7736574074074074</v>
      </c>
      <c r="F20">
        <v>8</v>
      </c>
      <c r="G20">
        <v>23</v>
      </c>
      <c r="H20" s="3">
        <f t="shared" si="0"/>
        <v>7.145833333333329E-2</v>
      </c>
      <c r="I20" s="5">
        <f t="shared" si="1"/>
        <v>102.9</v>
      </c>
      <c r="J20">
        <v>19</v>
      </c>
    </row>
    <row r="21" spans="1:10" x14ac:dyDescent="0.3">
      <c r="A21">
        <v>20</v>
      </c>
      <c r="B21" s="1">
        <v>44443</v>
      </c>
      <c r="C21" s="2">
        <v>0.80978009259259265</v>
      </c>
      <c r="D21" s="1">
        <v>44443</v>
      </c>
      <c r="E21" s="3">
        <v>0.96615740740740741</v>
      </c>
      <c r="F21">
        <v>11</v>
      </c>
      <c r="G21">
        <v>14</v>
      </c>
      <c r="H21" s="3">
        <f t="shared" si="0"/>
        <v>0.15637731481481476</v>
      </c>
      <c r="I21" s="5">
        <f t="shared" si="1"/>
        <v>225.18333333333334</v>
      </c>
      <c r="J21">
        <v>20</v>
      </c>
    </row>
    <row r="22" spans="1:10" x14ac:dyDescent="0.3">
      <c r="A22">
        <v>21</v>
      </c>
      <c r="B22" s="1">
        <v>44444</v>
      </c>
      <c r="C22" s="2">
        <v>0.3027083333333333</v>
      </c>
      <c r="D22" s="1">
        <v>44444</v>
      </c>
      <c r="E22" s="3">
        <v>0.3762152777777778</v>
      </c>
      <c r="F22">
        <v>17</v>
      </c>
      <c r="G22">
        <v>23</v>
      </c>
      <c r="H22" s="3">
        <f t="shared" si="0"/>
        <v>7.35069444444445E-2</v>
      </c>
      <c r="I22" s="5">
        <f t="shared" si="1"/>
        <v>105.85</v>
      </c>
      <c r="J22">
        <v>21</v>
      </c>
    </row>
    <row r="23" spans="1:10" x14ac:dyDescent="0.3">
      <c r="A23">
        <v>22</v>
      </c>
      <c r="B23" s="1">
        <v>44444</v>
      </c>
      <c r="C23" s="2">
        <v>0.43002314814814818</v>
      </c>
      <c r="D23" s="1">
        <v>44444</v>
      </c>
      <c r="E23" s="3">
        <v>0.51140046296296293</v>
      </c>
      <c r="F23">
        <v>15</v>
      </c>
      <c r="G23">
        <v>11</v>
      </c>
      <c r="H23" s="3">
        <f t="shared" si="0"/>
        <v>8.137731481481475E-2</v>
      </c>
      <c r="I23" s="5">
        <f t="shared" si="1"/>
        <v>117.18333333333334</v>
      </c>
      <c r="J23">
        <v>22</v>
      </c>
    </row>
    <row r="24" spans="1:10" x14ac:dyDescent="0.3">
      <c r="A24">
        <v>23</v>
      </c>
      <c r="B24" s="1">
        <v>44444</v>
      </c>
      <c r="C24" s="2">
        <v>0.55909722222222225</v>
      </c>
      <c r="D24" s="1">
        <v>44444</v>
      </c>
      <c r="E24" s="3">
        <v>0.64327546296296301</v>
      </c>
      <c r="F24">
        <v>19</v>
      </c>
      <c r="G24">
        <v>21</v>
      </c>
      <c r="H24" s="3">
        <f t="shared" si="0"/>
        <v>8.4178240740740762E-2</v>
      </c>
      <c r="I24" s="5">
        <f t="shared" si="1"/>
        <v>121.21666666666667</v>
      </c>
      <c r="J24">
        <v>23</v>
      </c>
    </row>
    <row r="25" spans="1:10" x14ac:dyDescent="0.3">
      <c r="A25">
        <v>24</v>
      </c>
      <c r="B25" s="1">
        <v>44444</v>
      </c>
      <c r="C25" s="2">
        <v>0.69188657407407417</v>
      </c>
      <c r="D25" s="1">
        <v>44444</v>
      </c>
      <c r="E25" s="3">
        <v>0.73365740740740737</v>
      </c>
      <c r="F25">
        <v>11</v>
      </c>
      <c r="G25">
        <v>9</v>
      </c>
      <c r="H25" s="3">
        <f t="shared" si="0"/>
        <v>4.1770833333333202E-2</v>
      </c>
      <c r="I25" s="5">
        <f t="shared" si="1"/>
        <v>60.15</v>
      </c>
      <c r="J25">
        <v>24</v>
      </c>
    </row>
    <row r="26" spans="1:10" x14ac:dyDescent="0.3">
      <c r="A26">
        <v>25</v>
      </c>
      <c r="B26" s="1">
        <v>44444</v>
      </c>
      <c r="C26" s="2">
        <v>0.77118055555555554</v>
      </c>
      <c r="D26" s="1">
        <v>44444</v>
      </c>
      <c r="E26" s="3">
        <v>0.82657407407407402</v>
      </c>
      <c r="F26">
        <v>15</v>
      </c>
      <c r="G26">
        <v>11</v>
      </c>
      <c r="H26" s="3">
        <f t="shared" si="0"/>
        <v>5.5393518518518481E-2</v>
      </c>
      <c r="I26" s="5">
        <f t="shared" si="1"/>
        <v>79.766666666666666</v>
      </c>
      <c r="J26">
        <v>25</v>
      </c>
    </row>
    <row r="27" spans="1:10" x14ac:dyDescent="0.3">
      <c r="A27">
        <v>26</v>
      </c>
      <c r="B27" s="1">
        <v>44444</v>
      </c>
      <c r="C27" s="2">
        <v>0.875</v>
      </c>
      <c r="D27" s="1">
        <v>44445</v>
      </c>
      <c r="E27" s="3">
        <v>1.3495370370370371E-2</v>
      </c>
      <c r="F27">
        <v>15</v>
      </c>
      <c r="G27">
        <v>17</v>
      </c>
      <c r="H27" s="3">
        <f t="shared" si="0"/>
        <v>23.138495370370372</v>
      </c>
      <c r="I27" s="5">
        <f t="shared" si="1"/>
        <v>199.43333333333334</v>
      </c>
      <c r="J27">
        <v>26</v>
      </c>
    </row>
    <row r="28" spans="1:10" x14ac:dyDescent="0.3">
      <c r="A28">
        <v>27</v>
      </c>
      <c r="B28" s="1">
        <v>44445</v>
      </c>
      <c r="C28" s="2">
        <v>0.2171990740740741</v>
      </c>
      <c r="D28" s="1">
        <v>44445</v>
      </c>
      <c r="E28" s="3">
        <v>0.2976388888888889</v>
      </c>
      <c r="F28">
        <v>9</v>
      </c>
      <c r="G28">
        <v>6</v>
      </c>
      <c r="H28" s="3">
        <f t="shared" si="0"/>
        <v>8.0439814814814797E-2</v>
      </c>
      <c r="I28" s="5">
        <f t="shared" si="1"/>
        <v>115.83333333333333</v>
      </c>
      <c r="J28">
        <v>27</v>
      </c>
    </row>
    <row r="29" spans="1:10" x14ac:dyDescent="0.3">
      <c r="A29">
        <v>28</v>
      </c>
      <c r="B29" s="1">
        <v>44445</v>
      </c>
      <c r="C29" s="2">
        <v>0.38305555555555554</v>
      </c>
      <c r="D29" s="1">
        <v>44445</v>
      </c>
      <c r="E29" s="3">
        <v>0.52521990740740743</v>
      </c>
      <c r="F29">
        <v>14</v>
      </c>
      <c r="G29">
        <v>22</v>
      </c>
      <c r="H29" s="3">
        <f t="shared" si="0"/>
        <v>0.14216435185185189</v>
      </c>
      <c r="I29" s="5">
        <f t="shared" si="1"/>
        <v>204.71666666666667</v>
      </c>
      <c r="J29">
        <v>28</v>
      </c>
    </row>
    <row r="30" spans="1:10" x14ac:dyDescent="0.3">
      <c r="A30">
        <v>29</v>
      </c>
      <c r="B30" s="1">
        <v>44445</v>
      </c>
      <c r="C30" s="2">
        <v>0.55920138888888882</v>
      </c>
      <c r="D30" s="1">
        <v>44445</v>
      </c>
      <c r="E30" s="3">
        <v>0.62586805555555558</v>
      </c>
      <c r="F30">
        <v>14</v>
      </c>
      <c r="G30">
        <v>3</v>
      </c>
      <c r="H30" s="3">
        <f t="shared" si="0"/>
        <v>6.6666666666666763E-2</v>
      </c>
      <c r="I30" s="5">
        <f t="shared" si="1"/>
        <v>96</v>
      </c>
      <c r="J30">
        <v>29</v>
      </c>
    </row>
    <row r="31" spans="1:10" x14ac:dyDescent="0.3">
      <c r="A31">
        <v>30</v>
      </c>
      <c r="B31" s="1">
        <v>44445</v>
      </c>
      <c r="C31" s="2">
        <v>0.7160185185185185</v>
      </c>
      <c r="D31" s="1">
        <v>44445</v>
      </c>
      <c r="E31" s="3">
        <v>0.7631944444444444</v>
      </c>
      <c r="F31">
        <v>18</v>
      </c>
      <c r="G31">
        <v>14</v>
      </c>
      <c r="H31" s="3">
        <f t="shared" si="0"/>
        <v>4.7175925925925899E-2</v>
      </c>
      <c r="I31" s="5">
        <f t="shared" si="1"/>
        <v>67.933333333333337</v>
      </c>
      <c r="J31">
        <v>30</v>
      </c>
    </row>
    <row r="32" spans="1:10" x14ac:dyDescent="0.3">
      <c r="A32">
        <v>31</v>
      </c>
      <c r="B32" s="1">
        <v>44445</v>
      </c>
      <c r="C32" s="2">
        <v>0.82097222222222221</v>
      </c>
      <c r="D32" s="1">
        <v>44445</v>
      </c>
      <c r="E32" s="3">
        <v>0.89042824074074067</v>
      </c>
      <c r="F32">
        <v>16</v>
      </c>
      <c r="G32">
        <v>21</v>
      </c>
      <c r="H32" s="3">
        <f t="shared" si="0"/>
        <v>6.9456018518518459E-2</v>
      </c>
      <c r="I32" s="5">
        <f t="shared" si="1"/>
        <v>100.01666666666667</v>
      </c>
      <c r="J32">
        <v>31</v>
      </c>
    </row>
    <row r="33" spans="1:10" x14ac:dyDescent="0.3">
      <c r="A33">
        <v>32</v>
      </c>
      <c r="B33" s="1">
        <v>44446</v>
      </c>
      <c r="C33" s="2">
        <v>0.32383101851851853</v>
      </c>
      <c r="D33" s="1">
        <v>44446</v>
      </c>
      <c r="E33" s="3">
        <v>0.40016203703703707</v>
      </c>
      <c r="F33">
        <v>15</v>
      </c>
      <c r="G33">
        <v>14</v>
      </c>
      <c r="H33" s="3">
        <f t="shared" si="0"/>
        <v>7.6331018518518534E-2</v>
      </c>
      <c r="I33" s="5">
        <f t="shared" si="1"/>
        <v>109.91666666666667</v>
      </c>
      <c r="J33">
        <v>32</v>
      </c>
    </row>
    <row r="34" spans="1:10" x14ac:dyDescent="0.3">
      <c r="A34">
        <v>33</v>
      </c>
      <c r="B34" s="1">
        <v>44446</v>
      </c>
      <c r="C34" s="2">
        <v>0.46467592592592594</v>
      </c>
      <c r="D34" s="1">
        <v>44446</v>
      </c>
      <c r="E34" s="3">
        <v>0.52171296296296299</v>
      </c>
      <c r="F34">
        <v>12</v>
      </c>
      <c r="G34">
        <v>23</v>
      </c>
      <c r="H34" s="3">
        <f t="shared" si="0"/>
        <v>5.7037037037037053E-2</v>
      </c>
      <c r="I34" s="5">
        <f t="shared" si="1"/>
        <v>82.13333333333334</v>
      </c>
      <c r="J34">
        <v>33</v>
      </c>
    </row>
    <row r="35" spans="1:10" x14ac:dyDescent="0.3">
      <c r="A35">
        <v>34</v>
      </c>
      <c r="B35" s="1">
        <v>44446</v>
      </c>
      <c r="C35" s="2">
        <v>0.57347222222222227</v>
      </c>
      <c r="D35" s="1">
        <v>44446</v>
      </c>
      <c r="E35" s="3">
        <v>0.64879629629629632</v>
      </c>
      <c r="F35">
        <v>17</v>
      </c>
      <c r="G35">
        <v>6</v>
      </c>
      <c r="H35" s="3">
        <f t="shared" si="0"/>
        <v>7.5324074074074043E-2</v>
      </c>
      <c r="I35" s="5">
        <f t="shared" si="1"/>
        <v>108.46666666666667</v>
      </c>
      <c r="J35">
        <v>34</v>
      </c>
    </row>
    <row r="36" spans="1:10" x14ac:dyDescent="0.3">
      <c r="A36">
        <v>35</v>
      </c>
      <c r="B36" s="1">
        <v>44446</v>
      </c>
      <c r="C36" s="2">
        <v>0.70577546296296301</v>
      </c>
      <c r="D36" s="1">
        <v>44446</v>
      </c>
      <c r="E36" s="3">
        <v>0.7917939814814815</v>
      </c>
      <c r="F36">
        <v>19</v>
      </c>
      <c r="G36">
        <v>16</v>
      </c>
      <c r="H36" s="3">
        <f t="shared" si="0"/>
        <v>8.6018518518518494E-2</v>
      </c>
      <c r="I36" s="5">
        <f t="shared" si="1"/>
        <v>123.86666666666666</v>
      </c>
      <c r="J36">
        <v>35</v>
      </c>
    </row>
    <row r="37" spans="1:10" x14ac:dyDescent="0.3">
      <c r="A37">
        <v>36</v>
      </c>
      <c r="B37" s="1">
        <v>44446</v>
      </c>
      <c r="C37" s="2">
        <v>0.84167824074074071</v>
      </c>
      <c r="D37" s="1">
        <v>44446</v>
      </c>
      <c r="E37" s="3">
        <v>0.9406944444444445</v>
      </c>
      <c r="F37">
        <v>11</v>
      </c>
      <c r="G37">
        <v>14</v>
      </c>
      <c r="H37" s="3">
        <f t="shared" si="0"/>
        <v>9.9016203703703787E-2</v>
      </c>
      <c r="I37" s="5">
        <f t="shared" si="1"/>
        <v>142.58333333333334</v>
      </c>
      <c r="J37">
        <v>36</v>
      </c>
    </row>
    <row r="38" spans="1:10" x14ac:dyDescent="0.3">
      <c r="A38">
        <v>37</v>
      </c>
      <c r="B38" s="1">
        <v>44447</v>
      </c>
      <c r="C38" s="2">
        <v>0.13560185185185183</v>
      </c>
      <c r="D38" s="1">
        <v>44447</v>
      </c>
      <c r="E38" s="3">
        <v>0.26116898148148149</v>
      </c>
      <c r="F38">
        <v>13</v>
      </c>
      <c r="G38">
        <v>22</v>
      </c>
      <c r="H38" s="3">
        <f t="shared" si="0"/>
        <v>0.12556712962962965</v>
      </c>
      <c r="I38" s="5">
        <f t="shared" si="1"/>
        <v>180.81666666666666</v>
      </c>
      <c r="J38">
        <v>37</v>
      </c>
    </row>
    <row r="39" spans="1:10" x14ac:dyDescent="0.3">
      <c r="A39">
        <v>38</v>
      </c>
      <c r="B39" s="1">
        <v>44447</v>
      </c>
      <c r="C39" s="2">
        <v>0.32587962962962963</v>
      </c>
      <c r="D39" s="1">
        <v>44447</v>
      </c>
      <c r="E39" s="3">
        <v>0.39796296296296302</v>
      </c>
      <c r="F39">
        <v>11</v>
      </c>
      <c r="G39">
        <v>4</v>
      </c>
      <c r="H39" s="3">
        <f t="shared" si="0"/>
        <v>7.2083333333333388E-2</v>
      </c>
      <c r="I39" s="5">
        <f t="shared" si="1"/>
        <v>103.8</v>
      </c>
      <c r="J39">
        <v>38</v>
      </c>
    </row>
    <row r="40" spans="1:10" x14ac:dyDescent="0.3">
      <c r="A40">
        <v>39</v>
      </c>
      <c r="B40" s="1">
        <v>44447</v>
      </c>
      <c r="C40" s="2">
        <v>0.41761574074074076</v>
      </c>
      <c r="D40" s="1">
        <v>44447</v>
      </c>
      <c r="E40" s="3">
        <v>0.52447916666666672</v>
      </c>
      <c r="F40">
        <v>14</v>
      </c>
      <c r="G40">
        <v>21</v>
      </c>
      <c r="H40" s="3">
        <f t="shared" si="0"/>
        <v>0.10686342592592596</v>
      </c>
      <c r="I40" s="5">
        <f t="shared" si="1"/>
        <v>153.88333333333333</v>
      </c>
      <c r="J40">
        <v>39</v>
      </c>
    </row>
    <row r="41" spans="1:10" x14ac:dyDescent="0.3">
      <c r="A41">
        <v>40</v>
      </c>
      <c r="B41" s="1">
        <v>44447</v>
      </c>
      <c r="C41" s="2">
        <v>0.59138888888888885</v>
      </c>
      <c r="D41" s="1">
        <v>44447</v>
      </c>
      <c r="E41" s="3">
        <v>0.68494212962962964</v>
      </c>
      <c r="F41">
        <v>16</v>
      </c>
      <c r="G41">
        <v>9</v>
      </c>
      <c r="H41" s="3">
        <f t="shared" si="0"/>
        <v>9.3553240740740784E-2</v>
      </c>
      <c r="I41" s="5">
        <f t="shared" si="1"/>
        <v>134.71666666666667</v>
      </c>
      <c r="J41">
        <v>40</v>
      </c>
    </row>
    <row r="42" spans="1:10" x14ac:dyDescent="0.3">
      <c r="A42">
        <v>41</v>
      </c>
      <c r="B42" s="1">
        <v>44447</v>
      </c>
      <c r="C42" s="2">
        <v>0.7338541666666667</v>
      </c>
      <c r="D42" s="1">
        <v>44447</v>
      </c>
      <c r="E42" s="3">
        <v>0.77248842592592604</v>
      </c>
      <c r="F42">
        <v>12</v>
      </c>
      <c r="G42">
        <v>24</v>
      </c>
      <c r="H42" s="3">
        <f t="shared" si="0"/>
        <v>3.863425925925934E-2</v>
      </c>
      <c r="I42" s="5">
        <f t="shared" si="1"/>
        <v>55.633333333333333</v>
      </c>
      <c r="J42">
        <v>41</v>
      </c>
    </row>
    <row r="43" spans="1:10" x14ac:dyDescent="0.3">
      <c r="A43">
        <v>42</v>
      </c>
      <c r="B43" s="1">
        <v>44447</v>
      </c>
      <c r="C43" s="2">
        <v>0.83333333333333337</v>
      </c>
      <c r="D43" s="1">
        <v>44447</v>
      </c>
      <c r="E43" s="3">
        <v>0.89694444444444443</v>
      </c>
      <c r="F43">
        <v>9</v>
      </c>
      <c r="G43">
        <v>2</v>
      </c>
      <c r="H43" s="3">
        <f t="shared" si="0"/>
        <v>6.3611111111111063E-2</v>
      </c>
      <c r="I43" s="5">
        <f t="shared" si="1"/>
        <v>91.6</v>
      </c>
      <c r="J43">
        <v>42</v>
      </c>
    </row>
    <row r="44" spans="1:10" x14ac:dyDescent="0.3">
      <c r="A44">
        <v>43</v>
      </c>
      <c r="B44" s="1">
        <v>44448</v>
      </c>
      <c r="C44" s="2">
        <v>0.25793981481481482</v>
      </c>
      <c r="D44" s="1">
        <v>44448</v>
      </c>
      <c r="E44" s="3">
        <v>0.32356481481481481</v>
      </c>
      <c r="F44">
        <v>9</v>
      </c>
      <c r="G44">
        <v>4</v>
      </c>
      <c r="H44" s="3">
        <f t="shared" si="0"/>
        <v>6.5624999999999989E-2</v>
      </c>
      <c r="I44" s="5">
        <f t="shared" si="1"/>
        <v>94.5</v>
      </c>
      <c r="J44">
        <v>43</v>
      </c>
    </row>
    <row r="45" spans="1:10" x14ac:dyDescent="0.3">
      <c r="A45">
        <v>44</v>
      </c>
      <c r="B45" s="1">
        <v>44448</v>
      </c>
      <c r="C45" s="2">
        <v>0.41349537037037037</v>
      </c>
      <c r="D45" s="1">
        <v>44448</v>
      </c>
      <c r="E45" s="3">
        <v>0.45501157407407411</v>
      </c>
      <c r="F45">
        <v>9</v>
      </c>
      <c r="G45">
        <v>14</v>
      </c>
      <c r="H45" s="3">
        <f t="shared" si="0"/>
        <v>4.1516203703703736E-2</v>
      </c>
      <c r="I45" s="5">
        <f t="shared" si="1"/>
        <v>59.783333333333331</v>
      </c>
      <c r="J45">
        <v>44</v>
      </c>
    </row>
    <row r="46" spans="1:10" x14ac:dyDescent="0.3">
      <c r="A46">
        <v>45</v>
      </c>
      <c r="B46" s="1">
        <v>44448</v>
      </c>
      <c r="C46" s="2">
        <v>0.50607638888888895</v>
      </c>
      <c r="D46" s="1">
        <v>44448</v>
      </c>
      <c r="E46" s="3">
        <v>0.59107638888888892</v>
      </c>
      <c r="F46">
        <v>12</v>
      </c>
      <c r="G46">
        <v>10</v>
      </c>
      <c r="H46" s="3">
        <f t="shared" si="0"/>
        <v>8.4999999999999964E-2</v>
      </c>
      <c r="I46" s="5">
        <f t="shared" si="1"/>
        <v>122.4</v>
      </c>
      <c r="J46">
        <v>45</v>
      </c>
    </row>
    <row r="47" spans="1:10" x14ac:dyDescent="0.3">
      <c r="A47">
        <v>46</v>
      </c>
      <c r="B47" s="1">
        <v>44448</v>
      </c>
      <c r="C47" s="2">
        <v>0.68482638888888892</v>
      </c>
      <c r="D47" s="1">
        <v>44448</v>
      </c>
      <c r="E47" s="3">
        <v>0.77111111111111119</v>
      </c>
      <c r="F47">
        <v>16</v>
      </c>
      <c r="G47">
        <v>11</v>
      </c>
      <c r="H47" s="3">
        <f t="shared" si="0"/>
        <v>8.6284722222222276E-2</v>
      </c>
      <c r="I47" s="5">
        <f t="shared" si="1"/>
        <v>124.25</v>
      </c>
      <c r="J47">
        <v>46</v>
      </c>
    </row>
    <row r="48" spans="1:10" x14ac:dyDescent="0.3">
      <c r="A48">
        <v>47</v>
      </c>
      <c r="B48" s="1">
        <v>44448</v>
      </c>
      <c r="C48" s="2">
        <v>0.85435185185185192</v>
      </c>
      <c r="D48" s="1">
        <v>44448</v>
      </c>
      <c r="E48" s="3">
        <v>0.89</v>
      </c>
      <c r="F48">
        <v>13</v>
      </c>
      <c r="G48">
        <v>21</v>
      </c>
      <c r="H48" s="3">
        <f t="shared" si="0"/>
        <v>3.5648148148148096E-2</v>
      </c>
      <c r="I48" s="5">
        <f t="shared" si="1"/>
        <v>51.333333333333336</v>
      </c>
      <c r="J48">
        <v>47</v>
      </c>
    </row>
    <row r="49" spans="1:10" x14ac:dyDescent="0.3">
      <c r="A49">
        <v>48</v>
      </c>
      <c r="B49" s="1">
        <v>44449</v>
      </c>
      <c r="C49" s="2">
        <v>0.21634259259259259</v>
      </c>
      <c r="D49" s="1">
        <v>44449</v>
      </c>
      <c r="E49" s="3">
        <v>0.30988425925925928</v>
      </c>
      <c r="F49">
        <v>7</v>
      </c>
      <c r="G49">
        <v>15</v>
      </c>
      <c r="H49" s="3">
        <f t="shared" si="0"/>
        <v>9.354166666666669E-2</v>
      </c>
      <c r="I49" s="5">
        <f t="shared" si="1"/>
        <v>134.69999999999999</v>
      </c>
      <c r="J49">
        <v>48</v>
      </c>
    </row>
    <row r="50" spans="1:10" x14ac:dyDescent="0.3">
      <c r="A50">
        <v>49</v>
      </c>
      <c r="B50" s="1">
        <v>44449</v>
      </c>
      <c r="C50" s="2">
        <v>0.38201388888888888</v>
      </c>
      <c r="D50" s="1">
        <v>44449</v>
      </c>
      <c r="E50" s="3">
        <v>0.44449074074074074</v>
      </c>
      <c r="F50">
        <v>7</v>
      </c>
      <c r="G50">
        <v>0</v>
      </c>
      <c r="H50" s="3">
        <f t="shared" si="0"/>
        <v>6.2476851851851867E-2</v>
      </c>
      <c r="I50" s="5">
        <f t="shared" si="1"/>
        <v>89.966666666666669</v>
      </c>
      <c r="J50">
        <v>49</v>
      </c>
    </row>
    <row r="51" spans="1:10" x14ac:dyDescent="0.3">
      <c r="A51">
        <v>50</v>
      </c>
      <c r="B51" s="1">
        <v>44449</v>
      </c>
      <c r="C51" s="2">
        <v>0.49995370370370368</v>
      </c>
      <c r="D51" s="1">
        <v>44449</v>
      </c>
      <c r="E51" s="3">
        <v>0.59361111111111109</v>
      </c>
      <c r="F51">
        <v>7</v>
      </c>
      <c r="G51">
        <v>1</v>
      </c>
      <c r="H51" s="3">
        <f t="shared" si="0"/>
        <v>9.3657407407407411E-2</v>
      </c>
      <c r="I51" s="5">
        <f t="shared" si="1"/>
        <v>134.86666666666667</v>
      </c>
      <c r="J51">
        <v>50</v>
      </c>
    </row>
    <row r="52" spans="1:10" x14ac:dyDescent="0.3">
      <c r="A52">
        <v>51</v>
      </c>
      <c r="B52" s="1">
        <v>44449</v>
      </c>
      <c r="C52" s="2">
        <v>0.64993055555555557</v>
      </c>
      <c r="D52" s="1">
        <v>44449</v>
      </c>
      <c r="E52" s="3">
        <v>0.70430555555555552</v>
      </c>
      <c r="F52">
        <v>13</v>
      </c>
      <c r="G52">
        <v>20</v>
      </c>
      <c r="H52" s="3">
        <f t="shared" si="0"/>
        <v>5.4374999999999951E-2</v>
      </c>
      <c r="I52" s="5">
        <f t="shared" si="1"/>
        <v>78.3</v>
      </c>
      <c r="J52">
        <v>51</v>
      </c>
    </row>
    <row r="53" spans="1:10" x14ac:dyDescent="0.3">
      <c r="A53">
        <v>52</v>
      </c>
      <c r="B53" s="1">
        <v>44449</v>
      </c>
      <c r="C53" s="2">
        <v>0.79276620370370365</v>
      </c>
      <c r="D53" s="1">
        <v>44449</v>
      </c>
      <c r="E53" s="3">
        <v>0.82553240740740741</v>
      </c>
      <c r="F53">
        <v>12</v>
      </c>
      <c r="G53">
        <v>4</v>
      </c>
      <c r="H53" s="3">
        <f t="shared" si="0"/>
        <v>3.2766203703703756E-2</v>
      </c>
      <c r="I53" s="5">
        <f t="shared" si="1"/>
        <v>47.18333333333333</v>
      </c>
      <c r="J53">
        <v>52</v>
      </c>
    </row>
    <row r="54" spans="1:10" x14ac:dyDescent="0.3">
      <c r="A54">
        <v>53</v>
      </c>
      <c r="B54" s="1">
        <v>44449</v>
      </c>
      <c r="C54" s="2">
        <v>0.87574074074074071</v>
      </c>
      <c r="D54" s="1">
        <v>44450</v>
      </c>
      <c r="E54" s="3">
        <v>3.770833333333333E-2</v>
      </c>
      <c r="F54">
        <v>11</v>
      </c>
      <c r="G54">
        <v>9</v>
      </c>
      <c r="H54" s="3">
        <f t="shared" si="0"/>
        <v>23.161967592592593</v>
      </c>
      <c r="I54" s="5">
        <f t="shared" si="1"/>
        <v>233.23333333333332</v>
      </c>
      <c r="J54">
        <v>53</v>
      </c>
    </row>
    <row r="55" spans="1:10" x14ac:dyDescent="0.3">
      <c r="A55">
        <v>54</v>
      </c>
      <c r="B55" s="1">
        <v>44450</v>
      </c>
      <c r="C55" s="2">
        <v>0.26106481481481481</v>
      </c>
      <c r="D55" s="1">
        <v>44450</v>
      </c>
      <c r="E55" s="3">
        <v>0.38315972222222222</v>
      </c>
      <c r="F55">
        <v>12</v>
      </c>
      <c r="G55">
        <v>21</v>
      </c>
      <c r="H55" s="3">
        <f t="shared" si="0"/>
        <v>0.12209490740740742</v>
      </c>
      <c r="I55" s="5">
        <f t="shared" si="1"/>
        <v>175.81666666666666</v>
      </c>
      <c r="J55">
        <v>54</v>
      </c>
    </row>
    <row r="56" spans="1:10" x14ac:dyDescent="0.3">
      <c r="A56">
        <v>55</v>
      </c>
      <c r="B56" s="1">
        <v>44450</v>
      </c>
      <c r="C56" s="2">
        <v>0.46128472222222222</v>
      </c>
      <c r="D56" s="1">
        <v>44450</v>
      </c>
      <c r="E56" s="3">
        <v>0.50633101851851847</v>
      </c>
      <c r="F56">
        <v>14</v>
      </c>
      <c r="G56">
        <v>2</v>
      </c>
      <c r="H56" s="3">
        <f t="shared" si="0"/>
        <v>4.5046296296296251E-2</v>
      </c>
      <c r="I56" s="5">
        <f t="shared" si="1"/>
        <v>64.86666666666666</v>
      </c>
      <c r="J56">
        <v>55</v>
      </c>
    </row>
    <row r="57" spans="1:10" x14ac:dyDescent="0.3">
      <c r="A57">
        <v>56</v>
      </c>
      <c r="B57" s="1">
        <v>44450</v>
      </c>
      <c r="C57" s="2">
        <v>0.56730324074074068</v>
      </c>
      <c r="D57" s="1">
        <v>44450</v>
      </c>
      <c r="E57" s="3">
        <v>0.60193287037037035</v>
      </c>
      <c r="F57">
        <v>17</v>
      </c>
      <c r="G57">
        <v>9</v>
      </c>
      <c r="H57" s="3">
        <f t="shared" si="0"/>
        <v>3.4629629629629677E-2</v>
      </c>
      <c r="I57" s="5">
        <f t="shared" si="1"/>
        <v>49.866666666666667</v>
      </c>
      <c r="J57">
        <v>56</v>
      </c>
    </row>
    <row r="58" spans="1:10" x14ac:dyDescent="0.3">
      <c r="A58">
        <v>57</v>
      </c>
      <c r="B58" s="1">
        <v>44450</v>
      </c>
      <c r="C58" s="2">
        <v>0.66475694444444444</v>
      </c>
      <c r="D58" s="1">
        <v>44450</v>
      </c>
      <c r="E58" s="3">
        <v>0.71930555555555553</v>
      </c>
      <c r="F58">
        <v>3</v>
      </c>
      <c r="G58">
        <v>9</v>
      </c>
      <c r="H58" s="3">
        <f t="shared" si="0"/>
        <v>5.4548611111111089E-2</v>
      </c>
      <c r="I58" s="5">
        <f t="shared" si="1"/>
        <v>78.55</v>
      </c>
      <c r="J58">
        <v>57</v>
      </c>
    </row>
    <row r="59" spans="1:10" x14ac:dyDescent="0.3">
      <c r="A59">
        <v>58</v>
      </c>
      <c r="B59" s="1">
        <v>44450</v>
      </c>
      <c r="C59" s="2">
        <v>0.79238425925925926</v>
      </c>
      <c r="D59" s="1">
        <v>44450</v>
      </c>
      <c r="E59" s="3">
        <v>0.88265046296296301</v>
      </c>
      <c r="F59">
        <v>11</v>
      </c>
      <c r="G59">
        <v>3</v>
      </c>
      <c r="H59" s="3">
        <f t="shared" si="0"/>
        <v>9.0266203703703751E-2</v>
      </c>
      <c r="I59" s="5">
        <f t="shared" si="1"/>
        <v>129.98333333333332</v>
      </c>
      <c r="J59">
        <v>58</v>
      </c>
    </row>
    <row r="60" spans="1:10" x14ac:dyDescent="0.3">
      <c r="A60">
        <v>59</v>
      </c>
      <c r="B60" s="1">
        <v>44451</v>
      </c>
      <c r="C60" s="2">
        <v>0.16666666666666666</v>
      </c>
      <c r="D60" s="1">
        <v>44451</v>
      </c>
      <c r="E60" s="3">
        <v>0.23270833333333332</v>
      </c>
      <c r="F60">
        <v>8</v>
      </c>
      <c r="G60">
        <v>4</v>
      </c>
      <c r="H60" s="3">
        <f t="shared" si="0"/>
        <v>6.6041666666666665E-2</v>
      </c>
      <c r="I60" s="5">
        <f t="shared" si="1"/>
        <v>95.1</v>
      </c>
      <c r="J60">
        <v>59</v>
      </c>
    </row>
    <row r="61" spans="1:10" x14ac:dyDescent="0.3">
      <c r="A61">
        <v>60</v>
      </c>
      <c r="B61" s="1">
        <v>44451</v>
      </c>
      <c r="C61" s="2">
        <v>0.34324074074074074</v>
      </c>
      <c r="D61" s="1">
        <v>44451</v>
      </c>
      <c r="E61" s="3">
        <v>0.42799768518518522</v>
      </c>
      <c r="F61">
        <v>1</v>
      </c>
      <c r="G61">
        <v>6</v>
      </c>
      <c r="H61" s="3">
        <f t="shared" si="0"/>
        <v>8.4756944444444482E-2</v>
      </c>
      <c r="I61" s="5">
        <f t="shared" si="1"/>
        <v>122.05</v>
      </c>
      <c r="J61">
        <v>60</v>
      </c>
    </row>
    <row r="62" spans="1:10" x14ac:dyDescent="0.3">
      <c r="A62">
        <v>61</v>
      </c>
      <c r="B62" s="1">
        <v>44451</v>
      </c>
      <c r="C62" s="2">
        <v>0.52084490740740741</v>
      </c>
      <c r="D62" s="1">
        <v>44451</v>
      </c>
      <c r="E62" s="3">
        <v>0.59403935185185186</v>
      </c>
      <c r="F62">
        <v>4</v>
      </c>
      <c r="G62">
        <v>21</v>
      </c>
      <c r="H62" s="3">
        <f t="shared" si="0"/>
        <v>7.3194444444444451E-2</v>
      </c>
      <c r="I62" s="5">
        <f t="shared" si="1"/>
        <v>105.4</v>
      </c>
      <c r="J62">
        <v>61</v>
      </c>
    </row>
    <row r="63" spans="1:10" x14ac:dyDescent="0.3">
      <c r="A63">
        <v>62</v>
      </c>
      <c r="B63" s="1">
        <v>44451</v>
      </c>
      <c r="C63" s="2">
        <v>0.73968750000000005</v>
      </c>
      <c r="D63" s="1">
        <v>44451</v>
      </c>
      <c r="E63" s="3">
        <v>0.79862268518518509</v>
      </c>
      <c r="F63">
        <v>9</v>
      </c>
      <c r="G63">
        <v>11</v>
      </c>
      <c r="H63" s="3">
        <f t="shared" si="0"/>
        <v>5.8935185185185035E-2</v>
      </c>
      <c r="I63" s="5">
        <f t="shared" si="1"/>
        <v>84.86666666666666</v>
      </c>
      <c r="J63">
        <v>62</v>
      </c>
    </row>
    <row r="64" spans="1:10" x14ac:dyDescent="0.3">
      <c r="A64">
        <v>63</v>
      </c>
      <c r="B64" s="1">
        <v>44452</v>
      </c>
      <c r="C64" s="2">
        <v>0.21440972222222221</v>
      </c>
      <c r="D64" s="1">
        <v>44452</v>
      </c>
      <c r="E64" s="3">
        <v>0.38071759259259258</v>
      </c>
      <c r="F64">
        <v>12</v>
      </c>
      <c r="G64">
        <v>7</v>
      </c>
      <c r="H64" s="3">
        <f t="shared" si="0"/>
        <v>0.16630787037037037</v>
      </c>
      <c r="I64" s="5">
        <f t="shared" si="1"/>
        <v>239.48333333333332</v>
      </c>
      <c r="J64">
        <v>63</v>
      </c>
    </row>
    <row r="65" spans="1:10" x14ac:dyDescent="0.3">
      <c r="A65">
        <v>64</v>
      </c>
      <c r="B65" s="1">
        <v>44452</v>
      </c>
      <c r="C65" s="2">
        <v>0.46302083333333338</v>
      </c>
      <c r="D65" s="1">
        <v>44452</v>
      </c>
      <c r="E65" s="3">
        <v>0.53340277777777778</v>
      </c>
      <c r="F65">
        <v>11</v>
      </c>
      <c r="G65">
        <v>13</v>
      </c>
      <c r="H65" s="3">
        <f t="shared" si="0"/>
        <v>7.03819444444444E-2</v>
      </c>
      <c r="I65" s="5">
        <f t="shared" si="1"/>
        <v>101.35</v>
      </c>
      <c r="J65">
        <v>64</v>
      </c>
    </row>
    <row r="66" spans="1:10" x14ac:dyDescent="0.3">
      <c r="A66">
        <v>65</v>
      </c>
      <c r="B66" s="1">
        <v>44452</v>
      </c>
      <c r="C66" s="2">
        <v>0.55218749999999994</v>
      </c>
      <c r="D66" s="1">
        <v>44452</v>
      </c>
      <c r="E66" s="3">
        <v>0.62197916666666664</v>
      </c>
      <c r="F66">
        <v>16</v>
      </c>
      <c r="G66">
        <v>21</v>
      </c>
      <c r="H66" s="3">
        <f t="shared" si="0"/>
        <v>6.9791666666666696E-2</v>
      </c>
      <c r="I66" s="5">
        <f t="shared" si="1"/>
        <v>100.5</v>
      </c>
      <c r="J66">
        <v>65</v>
      </c>
    </row>
    <row r="67" spans="1:10" x14ac:dyDescent="0.3">
      <c r="A67">
        <v>66</v>
      </c>
      <c r="B67" s="1">
        <v>44452</v>
      </c>
      <c r="C67" s="2">
        <v>0.6699652777777777</v>
      </c>
      <c r="D67" s="1">
        <v>44452</v>
      </c>
      <c r="E67" s="3">
        <v>0.75</v>
      </c>
      <c r="F67">
        <v>19</v>
      </c>
      <c r="G67">
        <v>10</v>
      </c>
      <c r="H67" s="3">
        <f t="shared" ref="H67:H130" si="2">IF(E67&lt;C67,(24-C67)+E67,E67-C67)</f>
        <v>8.0034722222222299E-2</v>
      </c>
      <c r="I67" s="5">
        <f t="shared" ref="I67:I130" si="3">HOUR(H67) * 60 + MINUTE(H67) + SECOND(H67) /60</f>
        <v>115.25</v>
      </c>
      <c r="J67">
        <v>66</v>
      </c>
    </row>
    <row r="68" spans="1:10" x14ac:dyDescent="0.3">
      <c r="A68">
        <v>67</v>
      </c>
      <c r="B68" s="1">
        <v>44452</v>
      </c>
      <c r="C68" s="2">
        <v>0.83971064814814822</v>
      </c>
      <c r="D68" s="1">
        <v>44452</v>
      </c>
      <c r="E68" s="3">
        <v>0.9196643518518518</v>
      </c>
      <c r="F68">
        <v>3</v>
      </c>
      <c r="G68">
        <v>0</v>
      </c>
      <c r="H68" s="3">
        <f t="shared" si="2"/>
        <v>7.9953703703703582E-2</v>
      </c>
      <c r="I68" s="5">
        <f t="shared" si="3"/>
        <v>115.13333333333334</v>
      </c>
      <c r="J68">
        <v>67</v>
      </c>
    </row>
    <row r="69" spans="1:10" x14ac:dyDescent="0.3">
      <c r="A69">
        <v>68</v>
      </c>
      <c r="B69" s="1">
        <v>44453</v>
      </c>
      <c r="C69" s="2">
        <v>0.17733796296296298</v>
      </c>
      <c r="D69" s="1">
        <v>44453</v>
      </c>
      <c r="E69" s="3">
        <v>0.26</v>
      </c>
      <c r="F69">
        <v>12</v>
      </c>
      <c r="G69">
        <v>21</v>
      </c>
      <c r="H69" s="3">
        <f t="shared" si="2"/>
        <v>8.2662037037037034E-2</v>
      </c>
      <c r="I69" s="5">
        <f t="shared" si="3"/>
        <v>119.03333333333333</v>
      </c>
      <c r="J69">
        <v>68</v>
      </c>
    </row>
    <row r="70" spans="1:10" x14ac:dyDescent="0.3">
      <c r="A70">
        <v>69</v>
      </c>
      <c r="B70" s="1">
        <v>44453</v>
      </c>
      <c r="C70" s="2">
        <v>0.34437500000000004</v>
      </c>
      <c r="D70" s="1">
        <v>44453</v>
      </c>
      <c r="E70" s="3">
        <v>0.42008101851851848</v>
      </c>
      <c r="F70">
        <v>17</v>
      </c>
      <c r="G70">
        <v>20</v>
      </c>
      <c r="H70" s="3">
        <f t="shared" si="2"/>
        <v>7.5706018518518436E-2</v>
      </c>
      <c r="I70" s="5">
        <f t="shared" si="3"/>
        <v>109.01666666666667</v>
      </c>
      <c r="J70">
        <v>69</v>
      </c>
    </row>
    <row r="71" spans="1:10" x14ac:dyDescent="0.3">
      <c r="A71">
        <v>70</v>
      </c>
      <c r="B71" s="1">
        <v>44453</v>
      </c>
      <c r="C71" s="2">
        <v>0.5</v>
      </c>
      <c r="D71" s="1">
        <v>44453</v>
      </c>
      <c r="E71" s="3">
        <v>0.58119212962962963</v>
      </c>
      <c r="F71">
        <v>11</v>
      </c>
      <c r="G71">
        <v>22</v>
      </c>
      <c r="H71" s="3">
        <f t="shared" si="2"/>
        <v>8.1192129629629628E-2</v>
      </c>
      <c r="I71" s="5">
        <f t="shared" si="3"/>
        <v>116.91666666666667</v>
      </c>
      <c r="J71">
        <v>70</v>
      </c>
    </row>
    <row r="72" spans="1:10" x14ac:dyDescent="0.3">
      <c r="A72">
        <v>71</v>
      </c>
      <c r="B72" s="1">
        <v>44453</v>
      </c>
      <c r="C72" s="2">
        <v>0.64340277777777777</v>
      </c>
      <c r="D72" s="1">
        <v>44453</v>
      </c>
      <c r="E72" s="3">
        <v>0.7085069444444444</v>
      </c>
      <c r="F72">
        <v>7</v>
      </c>
      <c r="G72">
        <v>2</v>
      </c>
      <c r="H72" s="3">
        <f t="shared" si="2"/>
        <v>6.510416666666663E-2</v>
      </c>
      <c r="I72" s="5">
        <f t="shared" si="3"/>
        <v>93.75</v>
      </c>
      <c r="J72">
        <v>71</v>
      </c>
    </row>
    <row r="73" spans="1:10" x14ac:dyDescent="0.3">
      <c r="A73">
        <v>72</v>
      </c>
      <c r="B73" s="1">
        <v>44453</v>
      </c>
      <c r="C73" s="2">
        <v>0.77552083333333333</v>
      </c>
      <c r="D73" s="1">
        <v>44453</v>
      </c>
      <c r="E73" s="3">
        <v>0.80270833333333336</v>
      </c>
      <c r="F73">
        <v>8</v>
      </c>
      <c r="G73">
        <v>7</v>
      </c>
      <c r="H73" s="3">
        <f t="shared" si="2"/>
        <v>2.7187500000000031E-2</v>
      </c>
      <c r="I73" s="5">
        <f t="shared" si="3"/>
        <v>39.15</v>
      </c>
      <c r="J73">
        <v>72</v>
      </c>
    </row>
    <row r="74" spans="1:10" x14ac:dyDescent="0.3">
      <c r="A74">
        <v>73</v>
      </c>
      <c r="B74" s="1">
        <v>44453</v>
      </c>
      <c r="C74" s="2">
        <v>0.87285879629629637</v>
      </c>
      <c r="D74" s="1">
        <v>44453</v>
      </c>
      <c r="E74" s="3">
        <v>0.91951388888888885</v>
      </c>
      <c r="F74">
        <v>6</v>
      </c>
      <c r="G74">
        <v>1</v>
      </c>
      <c r="H74" s="3">
        <f t="shared" si="2"/>
        <v>4.6655092592592484E-2</v>
      </c>
      <c r="I74" s="5">
        <f t="shared" si="3"/>
        <v>67.183333333333337</v>
      </c>
      <c r="J74">
        <v>73</v>
      </c>
    </row>
    <row r="75" spans="1:10" x14ac:dyDescent="0.3">
      <c r="A75">
        <v>74</v>
      </c>
      <c r="B75" s="1">
        <v>44454</v>
      </c>
      <c r="C75" s="2">
        <v>4.2361111111111106E-2</v>
      </c>
      <c r="D75" s="1">
        <v>44454</v>
      </c>
      <c r="E75" s="3">
        <v>0.17298611111111109</v>
      </c>
      <c r="F75">
        <v>0</v>
      </c>
      <c r="G75">
        <v>6</v>
      </c>
      <c r="H75" s="3">
        <f t="shared" si="2"/>
        <v>0.13062499999999999</v>
      </c>
      <c r="I75" s="5">
        <f t="shared" si="3"/>
        <v>188.1</v>
      </c>
      <c r="J75">
        <v>74</v>
      </c>
    </row>
    <row r="76" spans="1:10" x14ac:dyDescent="0.3">
      <c r="A76">
        <v>75</v>
      </c>
      <c r="B76" s="1">
        <v>44454</v>
      </c>
      <c r="C76" s="2">
        <v>0.28885416666666669</v>
      </c>
      <c r="D76" s="1">
        <v>44454</v>
      </c>
      <c r="E76" s="3">
        <v>0.34437500000000004</v>
      </c>
      <c r="F76">
        <v>0</v>
      </c>
      <c r="G76">
        <v>5</v>
      </c>
      <c r="H76" s="3">
        <f t="shared" si="2"/>
        <v>5.5520833333333353E-2</v>
      </c>
      <c r="I76" s="5">
        <f t="shared" si="3"/>
        <v>79.95</v>
      </c>
      <c r="J76">
        <v>75</v>
      </c>
    </row>
    <row r="77" spans="1:10" x14ac:dyDescent="0.3">
      <c r="A77">
        <v>76</v>
      </c>
      <c r="B77" s="1">
        <v>44454</v>
      </c>
      <c r="C77" s="2">
        <v>0.42424768518518513</v>
      </c>
      <c r="D77" s="1">
        <v>44454</v>
      </c>
      <c r="E77" s="3">
        <v>0.53179398148148149</v>
      </c>
      <c r="F77">
        <v>10</v>
      </c>
      <c r="G77">
        <v>1</v>
      </c>
      <c r="H77" s="3">
        <f t="shared" si="2"/>
        <v>0.10754629629629636</v>
      </c>
      <c r="I77" s="5">
        <f t="shared" si="3"/>
        <v>154.86666666666667</v>
      </c>
      <c r="J77">
        <v>76</v>
      </c>
    </row>
    <row r="78" spans="1:10" x14ac:dyDescent="0.3">
      <c r="A78">
        <v>77</v>
      </c>
      <c r="B78" s="1">
        <v>44454</v>
      </c>
      <c r="C78" s="2">
        <v>0.5991319444444444</v>
      </c>
      <c r="D78" s="1">
        <v>44454</v>
      </c>
      <c r="E78" s="3">
        <v>0.63361111111111112</v>
      </c>
      <c r="F78">
        <v>14</v>
      </c>
      <c r="G78">
        <v>21</v>
      </c>
      <c r="H78" s="3">
        <f t="shared" si="2"/>
        <v>3.4479166666666727E-2</v>
      </c>
      <c r="I78" s="5">
        <f t="shared" si="3"/>
        <v>49.65</v>
      </c>
      <c r="J78">
        <v>77</v>
      </c>
    </row>
    <row r="79" spans="1:10" x14ac:dyDescent="0.3">
      <c r="A79">
        <v>78</v>
      </c>
      <c r="B79" s="1">
        <v>44454</v>
      </c>
      <c r="C79" s="2">
        <v>0.7228472222222222</v>
      </c>
      <c r="D79" s="1">
        <v>44454</v>
      </c>
      <c r="E79" s="3">
        <v>0.77552083333333333</v>
      </c>
      <c r="F79">
        <v>4</v>
      </c>
      <c r="G79">
        <v>1</v>
      </c>
      <c r="H79" s="3">
        <f t="shared" si="2"/>
        <v>5.2673611111111129E-2</v>
      </c>
      <c r="I79" s="5">
        <f t="shared" si="3"/>
        <v>75.849999999999994</v>
      </c>
      <c r="J79">
        <v>78</v>
      </c>
    </row>
    <row r="80" spans="1:10" x14ac:dyDescent="0.3">
      <c r="A80">
        <v>79</v>
      </c>
      <c r="B80" s="1">
        <v>44454</v>
      </c>
      <c r="C80" s="2">
        <v>0.86644675925925929</v>
      </c>
      <c r="D80" s="1">
        <v>44454</v>
      </c>
      <c r="E80" s="3">
        <v>0.90680555555555553</v>
      </c>
      <c r="F80">
        <v>7</v>
      </c>
      <c r="G80">
        <v>2</v>
      </c>
      <c r="H80" s="3">
        <f t="shared" si="2"/>
        <v>4.035879629629624E-2</v>
      </c>
      <c r="I80" s="5">
        <f t="shared" si="3"/>
        <v>58.116666666666667</v>
      </c>
      <c r="J80">
        <v>79</v>
      </c>
    </row>
    <row r="81" spans="1:10" x14ac:dyDescent="0.3">
      <c r="A81">
        <v>80</v>
      </c>
      <c r="B81" s="1">
        <v>44455</v>
      </c>
      <c r="C81" s="2">
        <v>0.13571759259259261</v>
      </c>
      <c r="D81" s="1">
        <v>44455</v>
      </c>
      <c r="E81" s="3">
        <v>0.25288194444444445</v>
      </c>
      <c r="F81">
        <v>13</v>
      </c>
      <c r="G81">
        <v>5</v>
      </c>
      <c r="H81" s="3">
        <f t="shared" si="2"/>
        <v>0.11716435185185184</v>
      </c>
      <c r="I81" s="5">
        <f t="shared" si="3"/>
        <v>168.71666666666667</v>
      </c>
      <c r="J81">
        <v>80</v>
      </c>
    </row>
    <row r="82" spans="1:10" x14ac:dyDescent="0.3">
      <c r="A82">
        <v>81</v>
      </c>
      <c r="B82" s="1">
        <v>44455</v>
      </c>
      <c r="C82" s="2">
        <v>0.29960648148148145</v>
      </c>
      <c r="D82" s="1">
        <v>44455</v>
      </c>
      <c r="E82" s="3">
        <v>0.37712962962962965</v>
      </c>
      <c r="F82">
        <v>13</v>
      </c>
      <c r="G82">
        <v>11</v>
      </c>
      <c r="H82" s="3">
        <f t="shared" si="2"/>
        <v>7.7523148148148202E-2</v>
      </c>
      <c r="I82" s="5">
        <f t="shared" si="3"/>
        <v>111.63333333333334</v>
      </c>
      <c r="J82">
        <v>81</v>
      </c>
    </row>
    <row r="83" spans="1:10" x14ac:dyDescent="0.3">
      <c r="A83">
        <v>82</v>
      </c>
      <c r="B83" s="1">
        <v>44455</v>
      </c>
      <c r="C83" s="2">
        <v>0.46118055555555554</v>
      </c>
      <c r="D83" s="1">
        <v>44455</v>
      </c>
      <c r="E83" s="3">
        <v>0.5005208333333333</v>
      </c>
      <c r="F83">
        <v>14</v>
      </c>
      <c r="G83">
        <v>9</v>
      </c>
      <c r="H83" s="3">
        <f t="shared" si="2"/>
        <v>3.9340277777777766E-2</v>
      </c>
      <c r="I83" s="5">
        <f t="shared" si="3"/>
        <v>56.65</v>
      </c>
      <c r="J83">
        <v>82</v>
      </c>
    </row>
    <row r="84" spans="1:10" x14ac:dyDescent="0.3">
      <c r="A84">
        <v>83</v>
      </c>
      <c r="B84" s="1">
        <v>44455</v>
      </c>
      <c r="C84" s="2">
        <v>0.57986111111111105</v>
      </c>
      <c r="D84" s="1">
        <v>44455</v>
      </c>
      <c r="E84" s="3">
        <v>0.61469907407407409</v>
      </c>
      <c r="F84">
        <v>14</v>
      </c>
      <c r="G84">
        <v>9</v>
      </c>
      <c r="H84" s="3">
        <f t="shared" si="2"/>
        <v>3.4837962962963043E-2</v>
      </c>
      <c r="I84" s="5">
        <f t="shared" si="3"/>
        <v>50.166666666666664</v>
      </c>
      <c r="J84">
        <v>83</v>
      </c>
    </row>
    <row r="85" spans="1:10" x14ac:dyDescent="0.3">
      <c r="A85">
        <v>84</v>
      </c>
      <c r="B85" s="1">
        <v>44455</v>
      </c>
      <c r="C85" s="2">
        <v>0.67444444444444451</v>
      </c>
      <c r="D85" s="1">
        <v>44455</v>
      </c>
      <c r="E85" s="3">
        <v>0.72362268518518524</v>
      </c>
      <c r="F85">
        <v>12</v>
      </c>
      <c r="G85">
        <v>7</v>
      </c>
      <c r="H85" s="3">
        <f t="shared" si="2"/>
        <v>4.9178240740740731E-2</v>
      </c>
      <c r="I85" s="5">
        <f t="shared" si="3"/>
        <v>70.816666666666663</v>
      </c>
      <c r="J85">
        <v>84</v>
      </c>
    </row>
    <row r="86" spans="1:10" x14ac:dyDescent="0.3">
      <c r="A86">
        <v>85</v>
      </c>
      <c r="B86" s="1">
        <v>44455</v>
      </c>
      <c r="C86" s="2">
        <v>0.7926157407407407</v>
      </c>
      <c r="D86" s="1">
        <v>44455</v>
      </c>
      <c r="E86" s="3">
        <v>0.86523148148148143</v>
      </c>
      <c r="F86">
        <v>2</v>
      </c>
      <c r="G86">
        <v>19</v>
      </c>
      <c r="H86" s="3">
        <f t="shared" si="2"/>
        <v>7.2615740740740731E-2</v>
      </c>
      <c r="I86" s="5">
        <f t="shared" si="3"/>
        <v>104.56666666666666</v>
      </c>
      <c r="J86">
        <v>85</v>
      </c>
    </row>
    <row r="87" spans="1:10" x14ac:dyDescent="0.3">
      <c r="A87">
        <v>86</v>
      </c>
      <c r="B87" s="1">
        <v>44456</v>
      </c>
      <c r="C87" s="2">
        <v>0.28914351851851855</v>
      </c>
      <c r="D87" s="1">
        <v>44456</v>
      </c>
      <c r="E87" s="3">
        <v>0.33407407407407402</v>
      </c>
      <c r="F87">
        <v>4</v>
      </c>
      <c r="G87">
        <v>11</v>
      </c>
      <c r="H87" s="3">
        <f t="shared" si="2"/>
        <v>4.4930555555555474E-2</v>
      </c>
      <c r="I87" s="5">
        <f t="shared" si="3"/>
        <v>64.7</v>
      </c>
      <c r="J87">
        <v>86</v>
      </c>
    </row>
    <row r="88" spans="1:10" x14ac:dyDescent="0.3">
      <c r="A88">
        <v>87</v>
      </c>
      <c r="B88" s="1">
        <v>44456</v>
      </c>
      <c r="C88" s="2">
        <v>0.45840277777777777</v>
      </c>
      <c r="D88" s="1">
        <v>44456</v>
      </c>
      <c r="E88" s="3">
        <v>0.47927083333333331</v>
      </c>
      <c r="F88">
        <v>21</v>
      </c>
      <c r="G88">
        <v>15</v>
      </c>
      <c r="H88" s="3">
        <f t="shared" si="2"/>
        <v>2.0868055555555542E-2</v>
      </c>
      <c r="I88" s="5">
        <f t="shared" si="3"/>
        <v>30.05</v>
      </c>
      <c r="J88">
        <v>87</v>
      </c>
    </row>
    <row r="89" spans="1:10" x14ac:dyDescent="0.3">
      <c r="A89">
        <v>88</v>
      </c>
      <c r="B89" s="1">
        <v>44456</v>
      </c>
      <c r="C89" s="2">
        <v>0.55218749999999994</v>
      </c>
      <c r="D89" s="1">
        <v>44456</v>
      </c>
      <c r="E89" s="3">
        <v>0.62156250000000002</v>
      </c>
      <c r="F89">
        <v>7</v>
      </c>
      <c r="G89">
        <v>13</v>
      </c>
      <c r="H89" s="3">
        <f t="shared" si="2"/>
        <v>6.9375000000000075E-2</v>
      </c>
      <c r="I89" s="5">
        <f t="shared" si="3"/>
        <v>99.9</v>
      </c>
      <c r="J89">
        <v>88</v>
      </c>
    </row>
    <row r="90" spans="1:10" x14ac:dyDescent="0.3">
      <c r="A90">
        <v>89</v>
      </c>
      <c r="B90" s="1">
        <v>44456</v>
      </c>
      <c r="C90" s="2">
        <v>0.64994212962962961</v>
      </c>
      <c r="D90" s="1">
        <v>44456</v>
      </c>
      <c r="E90" s="3">
        <v>0.71797453703703706</v>
      </c>
      <c r="F90">
        <v>14</v>
      </c>
      <c r="G90">
        <v>16</v>
      </c>
      <c r="H90" s="3">
        <f t="shared" si="2"/>
        <v>6.8032407407407458E-2</v>
      </c>
      <c r="I90" s="5">
        <f t="shared" si="3"/>
        <v>97.966666666666669</v>
      </c>
      <c r="J90">
        <v>89</v>
      </c>
    </row>
    <row r="91" spans="1:10" x14ac:dyDescent="0.3">
      <c r="A91">
        <v>90</v>
      </c>
      <c r="B91" s="1">
        <v>44456</v>
      </c>
      <c r="C91" s="2">
        <v>0.80049768518518516</v>
      </c>
      <c r="D91" s="1">
        <v>44456</v>
      </c>
      <c r="E91" s="3">
        <v>0.86509259259259252</v>
      </c>
      <c r="F91">
        <v>7</v>
      </c>
      <c r="G91">
        <v>0</v>
      </c>
      <c r="H91" s="3">
        <f t="shared" si="2"/>
        <v>6.4594907407407365E-2</v>
      </c>
      <c r="I91" s="5">
        <f t="shared" si="3"/>
        <v>93.016666666666666</v>
      </c>
      <c r="J91">
        <v>90</v>
      </c>
    </row>
    <row r="92" spans="1:10" x14ac:dyDescent="0.3">
      <c r="A92">
        <v>91</v>
      </c>
      <c r="B92" s="1">
        <v>44457</v>
      </c>
      <c r="C92" s="2">
        <v>0.21187500000000001</v>
      </c>
      <c r="D92" s="1">
        <v>44457</v>
      </c>
      <c r="E92" s="3">
        <v>0.26673611111111112</v>
      </c>
      <c r="F92">
        <v>17</v>
      </c>
      <c r="G92">
        <v>15</v>
      </c>
      <c r="H92" s="3">
        <f t="shared" si="2"/>
        <v>5.486111111111111E-2</v>
      </c>
      <c r="I92" s="5">
        <f t="shared" si="3"/>
        <v>79</v>
      </c>
      <c r="J92">
        <v>91</v>
      </c>
    </row>
    <row r="93" spans="1:10" x14ac:dyDescent="0.3">
      <c r="A93">
        <v>92</v>
      </c>
      <c r="B93" s="1">
        <v>44457</v>
      </c>
      <c r="C93" s="2">
        <v>0.38490740740740742</v>
      </c>
      <c r="D93" s="1">
        <v>44457</v>
      </c>
      <c r="E93" s="3">
        <v>0.41679398148148145</v>
      </c>
      <c r="F93">
        <v>5</v>
      </c>
      <c r="G93">
        <v>8</v>
      </c>
      <c r="H93" s="3">
        <f t="shared" si="2"/>
        <v>3.1886574074074026E-2</v>
      </c>
      <c r="I93" s="5">
        <f t="shared" si="3"/>
        <v>45.916666666666664</v>
      </c>
      <c r="J93">
        <v>92</v>
      </c>
    </row>
    <row r="94" spans="1:10" x14ac:dyDescent="0.3">
      <c r="A94">
        <v>93</v>
      </c>
      <c r="B94" s="1">
        <v>44457</v>
      </c>
      <c r="C94" s="2">
        <v>0.47458333333333336</v>
      </c>
      <c r="D94" s="1">
        <v>44457</v>
      </c>
      <c r="E94" s="3">
        <v>0.5599884259259259</v>
      </c>
      <c r="F94">
        <v>14</v>
      </c>
      <c r="G94">
        <v>9</v>
      </c>
      <c r="H94" s="3">
        <f t="shared" si="2"/>
        <v>8.5405092592592546E-2</v>
      </c>
      <c r="I94" s="5">
        <f t="shared" si="3"/>
        <v>122.98333333333333</v>
      </c>
      <c r="J94">
        <v>93</v>
      </c>
    </row>
    <row r="95" spans="1:10" x14ac:dyDescent="0.3">
      <c r="A95">
        <v>94</v>
      </c>
      <c r="B95" s="1">
        <v>44457</v>
      </c>
      <c r="C95" s="2">
        <v>0.62175925925925923</v>
      </c>
      <c r="D95" s="1">
        <v>44457</v>
      </c>
      <c r="E95" s="3">
        <v>0.64258101851851845</v>
      </c>
      <c r="F95">
        <v>11</v>
      </c>
      <c r="G95">
        <v>17</v>
      </c>
      <c r="H95" s="3">
        <f t="shared" si="2"/>
        <v>2.082175925925922E-2</v>
      </c>
      <c r="I95" s="5">
        <f t="shared" si="3"/>
        <v>29.983333333333334</v>
      </c>
      <c r="J95">
        <v>94</v>
      </c>
    </row>
    <row r="96" spans="1:10" x14ac:dyDescent="0.3">
      <c r="A96">
        <v>95</v>
      </c>
      <c r="B96" s="1">
        <v>44457</v>
      </c>
      <c r="C96" s="2">
        <v>0.72517361111111101</v>
      </c>
      <c r="D96" s="1">
        <v>44457</v>
      </c>
      <c r="E96" s="3">
        <v>0.78138888888888891</v>
      </c>
      <c r="F96">
        <v>7</v>
      </c>
      <c r="G96">
        <v>16</v>
      </c>
      <c r="H96" s="3">
        <f t="shared" si="2"/>
        <v>5.6215277777777906E-2</v>
      </c>
      <c r="I96" s="5">
        <f t="shared" si="3"/>
        <v>80.95</v>
      </c>
      <c r="J96">
        <v>95</v>
      </c>
    </row>
    <row r="97" spans="1:10" x14ac:dyDescent="0.3">
      <c r="A97">
        <v>96</v>
      </c>
      <c r="B97" s="1">
        <v>44458</v>
      </c>
      <c r="C97" s="2">
        <v>0.37921296296296297</v>
      </c>
      <c r="D97" s="1">
        <v>44458</v>
      </c>
      <c r="E97" s="3">
        <v>0.44873842592592594</v>
      </c>
      <c r="F97">
        <v>5</v>
      </c>
      <c r="G97">
        <v>1</v>
      </c>
      <c r="H97" s="3">
        <f t="shared" si="2"/>
        <v>6.9525462962962969E-2</v>
      </c>
      <c r="I97" s="5">
        <f t="shared" si="3"/>
        <v>100.11666666666666</v>
      </c>
      <c r="J97">
        <v>96</v>
      </c>
    </row>
    <row r="98" spans="1:10" x14ac:dyDescent="0.3">
      <c r="A98">
        <v>97</v>
      </c>
      <c r="B98" s="1">
        <v>44458</v>
      </c>
      <c r="C98" s="2">
        <v>0.58005787037037038</v>
      </c>
      <c r="D98" s="1">
        <v>44458</v>
      </c>
      <c r="E98" s="3">
        <v>0.62572916666666667</v>
      </c>
      <c r="F98">
        <v>14</v>
      </c>
      <c r="G98">
        <v>7</v>
      </c>
      <c r="H98" s="3">
        <f t="shared" si="2"/>
        <v>4.5671296296296293E-2</v>
      </c>
      <c r="I98" s="5">
        <f t="shared" si="3"/>
        <v>65.766666666666666</v>
      </c>
      <c r="J98">
        <v>97</v>
      </c>
    </row>
    <row r="99" spans="1:10" x14ac:dyDescent="0.3">
      <c r="A99">
        <v>98</v>
      </c>
      <c r="B99" s="1">
        <v>44458</v>
      </c>
      <c r="C99" s="2">
        <v>0.67716435185185186</v>
      </c>
      <c r="D99" s="1">
        <v>44458</v>
      </c>
      <c r="E99" s="3">
        <v>0.73178240740740741</v>
      </c>
      <c r="F99">
        <v>12</v>
      </c>
      <c r="G99">
        <v>9</v>
      </c>
      <c r="H99" s="3">
        <f t="shared" si="2"/>
        <v>5.4618055555555545E-2</v>
      </c>
      <c r="I99" s="5">
        <f t="shared" si="3"/>
        <v>78.650000000000006</v>
      </c>
      <c r="J99">
        <v>98</v>
      </c>
    </row>
    <row r="100" spans="1:10" x14ac:dyDescent="0.3">
      <c r="A100">
        <v>99</v>
      </c>
      <c r="B100" s="1">
        <v>44458</v>
      </c>
      <c r="C100" s="2">
        <v>0.81361111111111117</v>
      </c>
      <c r="D100" s="1">
        <v>44458</v>
      </c>
      <c r="E100" s="3">
        <v>0.84862268518518524</v>
      </c>
      <c r="F100">
        <v>11</v>
      </c>
      <c r="G100">
        <v>9</v>
      </c>
      <c r="H100" s="3">
        <f t="shared" si="2"/>
        <v>3.501157407407407E-2</v>
      </c>
      <c r="I100" s="5">
        <f t="shared" si="3"/>
        <v>50.416666666666664</v>
      </c>
      <c r="J100">
        <v>99</v>
      </c>
    </row>
    <row r="101" spans="1:10" x14ac:dyDescent="0.3">
      <c r="A101">
        <v>100</v>
      </c>
      <c r="B101" s="1">
        <v>44458</v>
      </c>
      <c r="C101" s="2">
        <v>0.95554398148148145</v>
      </c>
      <c r="D101" s="1">
        <v>44459</v>
      </c>
      <c r="E101" s="3">
        <v>5.0520833333333327E-2</v>
      </c>
      <c r="F101">
        <v>11</v>
      </c>
      <c r="G101">
        <v>8</v>
      </c>
      <c r="H101" s="3">
        <f t="shared" si="2"/>
        <v>23.09497685185185</v>
      </c>
      <c r="I101" s="5">
        <f t="shared" si="3"/>
        <v>136.76666666666668</v>
      </c>
      <c r="J101">
        <v>100</v>
      </c>
    </row>
    <row r="102" spans="1:10" x14ac:dyDescent="0.3">
      <c r="A102">
        <v>101</v>
      </c>
      <c r="B102" s="1">
        <v>44459</v>
      </c>
      <c r="C102" s="2">
        <v>0.3830324074074074</v>
      </c>
      <c r="D102" s="1">
        <v>44459</v>
      </c>
      <c r="E102" s="3">
        <v>0.44746527777777773</v>
      </c>
      <c r="F102">
        <v>12</v>
      </c>
      <c r="G102">
        <v>3</v>
      </c>
      <c r="H102" s="3">
        <f t="shared" si="2"/>
        <v>6.4432870370370321E-2</v>
      </c>
      <c r="I102" s="5">
        <f t="shared" si="3"/>
        <v>92.783333333333331</v>
      </c>
      <c r="J102">
        <v>101</v>
      </c>
    </row>
    <row r="103" spans="1:10" x14ac:dyDescent="0.3">
      <c r="A103">
        <v>102</v>
      </c>
      <c r="B103" s="1">
        <v>44459</v>
      </c>
      <c r="C103" s="2">
        <v>0.47513888888888883</v>
      </c>
      <c r="D103" s="1">
        <v>44459</v>
      </c>
      <c r="E103" s="3">
        <v>0.52998842592592588</v>
      </c>
      <c r="F103">
        <v>7</v>
      </c>
      <c r="G103">
        <v>12</v>
      </c>
      <c r="H103" s="3">
        <f t="shared" si="2"/>
        <v>5.4849537037037044E-2</v>
      </c>
      <c r="I103" s="5">
        <f t="shared" si="3"/>
        <v>78.983333333333334</v>
      </c>
      <c r="J103">
        <v>102</v>
      </c>
    </row>
    <row r="104" spans="1:10" x14ac:dyDescent="0.3">
      <c r="A104">
        <v>103</v>
      </c>
      <c r="B104" s="1">
        <v>44459</v>
      </c>
      <c r="C104" s="2">
        <v>0.54886574074074079</v>
      </c>
      <c r="D104" s="1">
        <v>44459</v>
      </c>
      <c r="E104" s="3">
        <v>0.59329861111111104</v>
      </c>
      <c r="F104">
        <v>9</v>
      </c>
      <c r="G104">
        <v>14</v>
      </c>
      <c r="H104" s="3">
        <f t="shared" si="2"/>
        <v>4.4432870370370248E-2</v>
      </c>
      <c r="I104" s="5">
        <f t="shared" si="3"/>
        <v>63.983333333333334</v>
      </c>
      <c r="J104">
        <v>103</v>
      </c>
    </row>
    <row r="105" spans="1:10" x14ac:dyDescent="0.3">
      <c r="A105">
        <v>104</v>
      </c>
      <c r="B105" s="1">
        <v>44459</v>
      </c>
      <c r="C105" s="2">
        <v>0.63266203703703705</v>
      </c>
      <c r="D105" s="1">
        <v>44459</v>
      </c>
      <c r="E105" s="3">
        <v>0.67504629629629631</v>
      </c>
      <c r="F105">
        <v>8</v>
      </c>
      <c r="G105">
        <v>19</v>
      </c>
      <c r="H105" s="3">
        <f t="shared" si="2"/>
        <v>4.238425925925926E-2</v>
      </c>
      <c r="I105" s="5">
        <f t="shared" si="3"/>
        <v>61.033333333333331</v>
      </c>
      <c r="J105">
        <v>104</v>
      </c>
    </row>
    <row r="106" spans="1:10" x14ac:dyDescent="0.3">
      <c r="A106">
        <v>105</v>
      </c>
      <c r="B106" s="1">
        <v>44459</v>
      </c>
      <c r="C106" s="2">
        <v>0.70928240740740733</v>
      </c>
      <c r="D106" s="1">
        <v>44459</v>
      </c>
      <c r="E106" s="3">
        <v>0.72917824074074078</v>
      </c>
      <c r="F106">
        <v>23</v>
      </c>
      <c r="G106">
        <v>14</v>
      </c>
      <c r="H106" s="3">
        <f t="shared" si="2"/>
        <v>1.9895833333333446E-2</v>
      </c>
      <c r="I106" s="5">
        <f t="shared" si="3"/>
        <v>28.65</v>
      </c>
      <c r="J106">
        <v>105</v>
      </c>
    </row>
    <row r="107" spans="1:10" x14ac:dyDescent="0.3">
      <c r="A107">
        <v>106</v>
      </c>
      <c r="B107" s="1">
        <v>44459</v>
      </c>
      <c r="C107" s="2">
        <v>0.74663194444444436</v>
      </c>
      <c r="D107" s="1">
        <v>44459</v>
      </c>
      <c r="E107" s="3">
        <v>0.78163194444444439</v>
      </c>
      <c r="F107">
        <v>19</v>
      </c>
      <c r="G107">
        <v>9</v>
      </c>
      <c r="H107" s="3">
        <f t="shared" si="2"/>
        <v>3.5000000000000031E-2</v>
      </c>
      <c r="I107" s="5">
        <f t="shared" si="3"/>
        <v>50.4</v>
      </c>
      <c r="J107">
        <v>106</v>
      </c>
    </row>
    <row r="108" spans="1:10" x14ac:dyDescent="0.3">
      <c r="A108">
        <v>107</v>
      </c>
      <c r="B108" s="1">
        <v>44459</v>
      </c>
      <c r="C108" s="2">
        <v>0.82415509259259256</v>
      </c>
      <c r="D108" s="1">
        <v>44459</v>
      </c>
      <c r="E108" s="3">
        <v>0.91810185185185178</v>
      </c>
      <c r="F108">
        <v>0</v>
      </c>
      <c r="G108">
        <v>6</v>
      </c>
      <c r="H108" s="3">
        <f t="shared" si="2"/>
        <v>9.3946759259259216E-2</v>
      </c>
      <c r="I108" s="5">
        <f t="shared" si="3"/>
        <v>135.28333333333333</v>
      </c>
      <c r="J108">
        <v>107</v>
      </c>
    </row>
    <row r="109" spans="1:10" x14ac:dyDescent="0.3">
      <c r="A109">
        <v>108</v>
      </c>
      <c r="B109" s="1">
        <v>44459</v>
      </c>
      <c r="C109" s="2">
        <v>0.97640046296296301</v>
      </c>
      <c r="D109" s="1">
        <v>44460</v>
      </c>
      <c r="E109" s="3">
        <v>5.7824074074074076E-2</v>
      </c>
      <c r="F109">
        <v>4</v>
      </c>
      <c r="G109">
        <v>15</v>
      </c>
      <c r="H109" s="3">
        <f t="shared" si="2"/>
        <v>23.081423611111109</v>
      </c>
      <c r="I109" s="5">
        <f t="shared" si="3"/>
        <v>117.25</v>
      </c>
      <c r="J109">
        <v>108</v>
      </c>
    </row>
    <row r="110" spans="1:10" x14ac:dyDescent="0.3">
      <c r="A110">
        <v>109</v>
      </c>
      <c r="B110" s="1">
        <v>44460</v>
      </c>
      <c r="C110" s="2">
        <v>0.29172453703703705</v>
      </c>
      <c r="D110" s="1">
        <v>44460</v>
      </c>
      <c r="E110" s="3">
        <v>0.33641203703703698</v>
      </c>
      <c r="F110">
        <v>11</v>
      </c>
      <c r="G110">
        <v>0</v>
      </c>
      <c r="H110" s="3">
        <f t="shared" si="2"/>
        <v>4.4687499999999936E-2</v>
      </c>
      <c r="I110" s="5">
        <f t="shared" si="3"/>
        <v>64.349999999999994</v>
      </c>
      <c r="J110">
        <v>109</v>
      </c>
    </row>
    <row r="111" spans="1:10" x14ac:dyDescent="0.3">
      <c r="A111">
        <v>110</v>
      </c>
      <c r="B111" s="1">
        <v>44460</v>
      </c>
      <c r="C111" s="2">
        <v>0.42815972222222221</v>
      </c>
      <c r="D111" s="1">
        <v>44460</v>
      </c>
      <c r="E111" s="3">
        <v>0.58225694444444442</v>
      </c>
      <c r="F111">
        <v>9</v>
      </c>
      <c r="G111">
        <v>4</v>
      </c>
      <c r="H111" s="3">
        <f t="shared" si="2"/>
        <v>0.15409722222222222</v>
      </c>
      <c r="I111" s="5">
        <f t="shared" si="3"/>
        <v>221.9</v>
      </c>
      <c r="J111">
        <v>110</v>
      </c>
    </row>
    <row r="112" spans="1:10" x14ac:dyDescent="0.3">
      <c r="A112">
        <v>111</v>
      </c>
      <c r="B112" s="1">
        <v>44460</v>
      </c>
      <c r="C112" s="2">
        <v>0.62174768518518519</v>
      </c>
      <c r="D112" s="1">
        <v>44460</v>
      </c>
      <c r="E112" s="3">
        <v>0.66903935185185182</v>
      </c>
      <c r="F112">
        <v>9</v>
      </c>
      <c r="G112">
        <v>28</v>
      </c>
      <c r="H112" s="3">
        <f t="shared" si="2"/>
        <v>4.7291666666666621E-2</v>
      </c>
      <c r="I112" s="5">
        <f t="shared" si="3"/>
        <v>68.099999999999994</v>
      </c>
      <c r="J112">
        <v>111</v>
      </c>
    </row>
    <row r="113" spans="1:10" x14ac:dyDescent="0.3">
      <c r="A113">
        <v>112</v>
      </c>
      <c r="B113" s="1">
        <v>44460</v>
      </c>
      <c r="C113" s="2">
        <v>0.71136574074074066</v>
      </c>
      <c r="D113" s="1">
        <v>44460</v>
      </c>
      <c r="E113" s="3">
        <v>0.76173611111111106</v>
      </c>
      <c r="F113">
        <v>0</v>
      </c>
      <c r="G113">
        <v>10</v>
      </c>
      <c r="H113" s="3">
        <f t="shared" si="2"/>
        <v>5.0370370370370399E-2</v>
      </c>
      <c r="I113" s="5">
        <f t="shared" si="3"/>
        <v>72.533333333333331</v>
      </c>
      <c r="J113">
        <v>112</v>
      </c>
    </row>
    <row r="114" spans="1:10" x14ac:dyDescent="0.3">
      <c r="A114">
        <v>113</v>
      </c>
      <c r="B114" s="1">
        <v>44460</v>
      </c>
      <c r="C114" s="2">
        <v>0.83270833333333327</v>
      </c>
      <c r="D114" s="1">
        <v>44460</v>
      </c>
      <c r="E114" s="3">
        <v>0.9375</v>
      </c>
      <c r="F114">
        <v>12</v>
      </c>
      <c r="G114">
        <v>6</v>
      </c>
      <c r="H114" s="3">
        <f t="shared" si="2"/>
        <v>0.10479166666666673</v>
      </c>
      <c r="I114" s="5">
        <f t="shared" si="3"/>
        <v>150.9</v>
      </c>
      <c r="J114">
        <v>113</v>
      </c>
    </row>
    <row r="115" spans="1:10" x14ac:dyDescent="0.3">
      <c r="A115">
        <v>114</v>
      </c>
      <c r="B115" s="1">
        <v>44461</v>
      </c>
      <c r="C115" s="2">
        <v>0.29829861111111111</v>
      </c>
      <c r="D115" s="1">
        <v>44461</v>
      </c>
      <c r="E115" s="3">
        <v>0.3449652777777778</v>
      </c>
      <c r="F115">
        <v>11</v>
      </c>
      <c r="G115">
        <v>5</v>
      </c>
      <c r="H115" s="3">
        <f t="shared" si="2"/>
        <v>4.666666666666669E-2</v>
      </c>
      <c r="I115" s="5">
        <f t="shared" si="3"/>
        <v>67.2</v>
      </c>
      <c r="J115">
        <v>114</v>
      </c>
    </row>
    <row r="116" spans="1:10" x14ac:dyDescent="0.3">
      <c r="A116">
        <v>115</v>
      </c>
      <c r="B116" s="1">
        <v>44461</v>
      </c>
      <c r="C116" s="2">
        <v>0.38718750000000002</v>
      </c>
      <c r="D116" s="1">
        <v>44461</v>
      </c>
      <c r="E116" s="3">
        <v>0.46149305555555559</v>
      </c>
      <c r="F116">
        <v>13</v>
      </c>
      <c r="G116">
        <v>9</v>
      </c>
      <c r="H116" s="3">
        <f t="shared" si="2"/>
        <v>7.4305555555555569E-2</v>
      </c>
      <c r="I116" s="5">
        <f t="shared" si="3"/>
        <v>107</v>
      </c>
      <c r="J116">
        <v>115</v>
      </c>
    </row>
    <row r="117" spans="1:10" x14ac:dyDescent="0.3">
      <c r="A117">
        <v>116</v>
      </c>
      <c r="B117" s="1">
        <v>44461</v>
      </c>
      <c r="C117" s="2">
        <v>0.60652777777777778</v>
      </c>
      <c r="D117" s="1">
        <v>44461</v>
      </c>
      <c r="E117" s="3">
        <v>0.63285879629629627</v>
      </c>
      <c r="F117">
        <v>14</v>
      </c>
      <c r="G117">
        <v>11</v>
      </c>
      <c r="H117" s="3">
        <f t="shared" si="2"/>
        <v>2.633101851851849E-2</v>
      </c>
      <c r="I117" s="5">
        <f t="shared" si="3"/>
        <v>37.916666666666664</v>
      </c>
      <c r="J117">
        <v>116</v>
      </c>
    </row>
    <row r="118" spans="1:10" x14ac:dyDescent="0.3">
      <c r="A118">
        <v>117</v>
      </c>
      <c r="B118" s="1">
        <v>44461</v>
      </c>
      <c r="C118" s="2">
        <v>0.64589120370370368</v>
      </c>
      <c r="D118" s="1">
        <v>44461</v>
      </c>
      <c r="E118" s="3">
        <v>0.70006944444444441</v>
      </c>
      <c r="F118">
        <v>2</v>
      </c>
      <c r="G118">
        <v>0</v>
      </c>
      <c r="H118" s="3">
        <f t="shared" si="2"/>
        <v>5.4178240740740735E-2</v>
      </c>
      <c r="I118" s="5">
        <f t="shared" si="3"/>
        <v>78.016666666666666</v>
      </c>
      <c r="J118">
        <v>117</v>
      </c>
    </row>
    <row r="119" spans="1:10" x14ac:dyDescent="0.3">
      <c r="A119">
        <v>118</v>
      </c>
      <c r="B119" s="1">
        <v>44461</v>
      </c>
      <c r="C119" s="2">
        <v>0.76406249999999998</v>
      </c>
      <c r="D119" s="1">
        <v>44461</v>
      </c>
      <c r="E119" s="3">
        <v>0.84799768518518526</v>
      </c>
      <c r="F119">
        <v>6</v>
      </c>
      <c r="G119">
        <v>0</v>
      </c>
      <c r="H119" s="3">
        <f t="shared" si="2"/>
        <v>8.3935185185185279E-2</v>
      </c>
      <c r="I119" s="5">
        <f t="shared" si="3"/>
        <v>120.86666666666666</v>
      </c>
      <c r="J119">
        <v>118</v>
      </c>
    </row>
    <row r="120" spans="1:10" x14ac:dyDescent="0.3">
      <c r="A120">
        <v>119</v>
      </c>
      <c r="B120" s="1">
        <v>44461</v>
      </c>
      <c r="C120" s="2">
        <v>0.98342592592592604</v>
      </c>
      <c r="D120" s="1">
        <v>44462</v>
      </c>
      <c r="E120" s="3">
        <v>4.2638888888888893E-2</v>
      </c>
      <c r="F120">
        <v>4</v>
      </c>
      <c r="G120">
        <v>11</v>
      </c>
      <c r="H120" s="3">
        <f t="shared" si="2"/>
        <v>23.059212962962963</v>
      </c>
      <c r="I120" s="5">
        <f t="shared" si="3"/>
        <v>85.266666666666666</v>
      </c>
      <c r="J120">
        <v>119</v>
      </c>
    </row>
    <row r="121" spans="1:10" x14ac:dyDescent="0.3">
      <c r="A121">
        <v>120</v>
      </c>
      <c r="B121" s="1">
        <v>44462</v>
      </c>
      <c r="C121" s="2">
        <v>0.29726851851851849</v>
      </c>
      <c r="D121" s="1">
        <v>44462</v>
      </c>
      <c r="E121" s="3">
        <v>0.39068287037037036</v>
      </c>
      <c r="F121">
        <v>19</v>
      </c>
      <c r="G121">
        <v>3</v>
      </c>
      <c r="H121" s="3">
        <f t="shared" si="2"/>
        <v>9.3414351851851873E-2</v>
      </c>
      <c r="I121" s="5">
        <f t="shared" si="3"/>
        <v>134.51666666666668</v>
      </c>
      <c r="J121">
        <v>120</v>
      </c>
    </row>
    <row r="122" spans="1:10" x14ac:dyDescent="0.3">
      <c r="A122">
        <v>121</v>
      </c>
      <c r="B122" s="1">
        <v>44462</v>
      </c>
      <c r="C122" s="2">
        <v>0.43444444444444441</v>
      </c>
      <c r="D122" s="1">
        <v>44462</v>
      </c>
      <c r="E122" s="3">
        <v>0.51065972222222222</v>
      </c>
      <c r="F122">
        <v>3</v>
      </c>
      <c r="G122">
        <v>21</v>
      </c>
      <c r="H122" s="3">
        <f t="shared" si="2"/>
        <v>7.6215277777777812E-2</v>
      </c>
      <c r="I122" s="5">
        <f t="shared" si="3"/>
        <v>109.75</v>
      </c>
      <c r="J122">
        <v>121</v>
      </c>
    </row>
    <row r="123" spans="1:10" x14ac:dyDescent="0.3">
      <c r="A123">
        <v>122</v>
      </c>
      <c r="B123" s="1">
        <v>44462</v>
      </c>
      <c r="C123" s="2">
        <v>0.54518518518518522</v>
      </c>
      <c r="D123" s="1">
        <v>44462</v>
      </c>
      <c r="E123" s="3">
        <v>0.58775462962962965</v>
      </c>
      <c r="F123">
        <v>19</v>
      </c>
      <c r="G123">
        <v>22</v>
      </c>
      <c r="H123" s="3">
        <f t="shared" si="2"/>
        <v>4.2569444444444438E-2</v>
      </c>
      <c r="I123" s="5">
        <f t="shared" si="3"/>
        <v>61.3</v>
      </c>
      <c r="J123">
        <v>122</v>
      </c>
    </row>
    <row r="124" spans="1:10" x14ac:dyDescent="0.3">
      <c r="A124">
        <v>123</v>
      </c>
      <c r="B124" s="1">
        <v>44462</v>
      </c>
      <c r="C124" s="2">
        <v>0.63270833333333332</v>
      </c>
      <c r="D124" s="1">
        <v>44462</v>
      </c>
      <c r="E124" s="3">
        <v>0.74785879629629637</v>
      </c>
      <c r="F124">
        <v>13</v>
      </c>
      <c r="G124">
        <v>14</v>
      </c>
      <c r="H124" s="3">
        <f t="shared" si="2"/>
        <v>0.11515046296296305</v>
      </c>
      <c r="I124" s="5">
        <f t="shared" si="3"/>
        <v>165.81666666666666</v>
      </c>
      <c r="J124">
        <v>123</v>
      </c>
    </row>
    <row r="125" spans="1:10" x14ac:dyDescent="0.3">
      <c r="A125">
        <v>124</v>
      </c>
      <c r="B125" s="1">
        <v>44462</v>
      </c>
      <c r="C125" s="2">
        <v>0.78940972222222217</v>
      </c>
      <c r="D125" s="1">
        <v>44462</v>
      </c>
      <c r="E125" s="3">
        <v>0.88962962962962966</v>
      </c>
      <c r="F125">
        <v>19</v>
      </c>
      <c r="G125">
        <v>25</v>
      </c>
      <c r="H125" s="3">
        <f t="shared" si="2"/>
        <v>0.10021990740740749</v>
      </c>
      <c r="I125" s="5">
        <f t="shared" si="3"/>
        <v>144.31666666666666</v>
      </c>
      <c r="J125">
        <v>124</v>
      </c>
    </row>
    <row r="126" spans="1:10" x14ac:dyDescent="0.3">
      <c r="A126">
        <v>125</v>
      </c>
      <c r="B126" s="1">
        <v>44463</v>
      </c>
      <c r="C126" s="2">
        <v>0.17437499999999997</v>
      </c>
      <c r="D126" s="1">
        <v>44463</v>
      </c>
      <c r="E126" s="3">
        <v>0.30024305555555558</v>
      </c>
      <c r="F126">
        <v>19</v>
      </c>
      <c r="G126">
        <v>11</v>
      </c>
      <c r="H126" s="3">
        <f t="shared" si="2"/>
        <v>0.12586805555555561</v>
      </c>
      <c r="I126" s="5">
        <f t="shared" si="3"/>
        <v>181.25</v>
      </c>
      <c r="J126">
        <v>125</v>
      </c>
    </row>
    <row r="127" spans="1:10" x14ac:dyDescent="0.3">
      <c r="A127">
        <v>126</v>
      </c>
      <c r="B127" s="1">
        <v>44463</v>
      </c>
      <c r="C127" s="2">
        <v>0.45619212962962963</v>
      </c>
      <c r="D127" s="1">
        <v>44463</v>
      </c>
      <c r="E127" s="3">
        <v>0.59104166666666669</v>
      </c>
      <c r="F127">
        <v>13</v>
      </c>
      <c r="G127">
        <v>4</v>
      </c>
      <c r="H127" s="3">
        <f t="shared" si="2"/>
        <v>0.13484953703703706</v>
      </c>
      <c r="I127" s="5">
        <f t="shared" si="3"/>
        <v>194.18333333333334</v>
      </c>
      <c r="J127">
        <v>126</v>
      </c>
    </row>
    <row r="128" spans="1:10" x14ac:dyDescent="0.3">
      <c r="A128">
        <v>127</v>
      </c>
      <c r="B128" s="1">
        <v>44463</v>
      </c>
      <c r="C128" s="2">
        <v>0.72642361111111109</v>
      </c>
      <c r="D128" s="1">
        <v>44463</v>
      </c>
      <c r="E128" s="3">
        <v>0.78383101851851855</v>
      </c>
      <c r="F128">
        <v>13</v>
      </c>
      <c r="G128">
        <v>9</v>
      </c>
      <c r="H128" s="3">
        <f t="shared" si="2"/>
        <v>5.7407407407407463E-2</v>
      </c>
      <c r="I128" s="5">
        <f t="shared" si="3"/>
        <v>82.666666666666671</v>
      </c>
      <c r="J128">
        <v>127</v>
      </c>
    </row>
    <row r="129" spans="1:10" x14ac:dyDescent="0.3">
      <c r="A129">
        <v>128</v>
      </c>
      <c r="B129" s="1">
        <v>44463</v>
      </c>
      <c r="C129" s="2">
        <v>0.8197106481481482</v>
      </c>
      <c r="D129" s="1">
        <v>44463</v>
      </c>
      <c r="E129" s="3">
        <v>0.88407407407407401</v>
      </c>
      <c r="F129">
        <v>10</v>
      </c>
      <c r="G129">
        <v>12</v>
      </c>
      <c r="H129" s="3">
        <f t="shared" si="2"/>
        <v>6.436342592592581E-2</v>
      </c>
      <c r="I129" s="5">
        <f t="shared" si="3"/>
        <v>92.683333333333337</v>
      </c>
      <c r="J129">
        <v>128</v>
      </c>
    </row>
    <row r="130" spans="1:10" x14ac:dyDescent="0.3">
      <c r="A130">
        <v>129</v>
      </c>
      <c r="B130" s="1">
        <v>44464</v>
      </c>
      <c r="C130" s="2">
        <v>0.29473379629629631</v>
      </c>
      <c r="D130" s="1">
        <v>44464</v>
      </c>
      <c r="E130" s="3">
        <v>0.3518634259259259</v>
      </c>
      <c r="F130">
        <v>9</v>
      </c>
      <c r="G130">
        <v>11</v>
      </c>
      <c r="H130" s="3">
        <f t="shared" si="2"/>
        <v>5.7129629629629586E-2</v>
      </c>
      <c r="I130" s="5">
        <f t="shared" si="3"/>
        <v>82.266666666666666</v>
      </c>
      <c r="J130">
        <v>129</v>
      </c>
    </row>
    <row r="131" spans="1:10" x14ac:dyDescent="0.3">
      <c r="A131">
        <v>130</v>
      </c>
      <c r="B131" s="1">
        <v>44464</v>
      </c>
      <c r="C131" s="2">
        <v>0.42454861111111114</v>
      </c>
      <c r="D131" s="1">
        <v>44464</v>
      </c>
      <c r="E131" s="3">
        <v>0.50074074074074071</v>
      </c>
      <c r="F131">
        <v>14</v>
      </c>
      <c r="G131">
        <v>20</v>
      </c>
      <c r="H131" s="3">
        <f t="shared" ref="H131:H158" si="4">IF(E131&lt;C131,(24-C131)+E131,E131-C131)</f>
        <v>7.6192129629629568E-2</v>
      </c>
      <c r="I131" s="5">
        <f t="shared" ref="I131:I158" si="5">HOUR(H131) * 60 + MINUTE(H131) + SECOND(H131) /60</f>
        <v>109.71666666666667</v>
      </c>
      <c r="J131">
        <v>130</v>
      </c>
    </row>
    <row r="132" spans="1:10" x14ac:dyDescent="0.3">
      <c r="A132">
        <v>131</v>
      </c>
      <c r="B132" s="1">
        <v>44464</v>
      </c>
      <c r="C132" s="2">
        <v>0.5447453703703703</v>
      </c>
      <c r="D132" s="1">
        <v>44464</v>
      </c>
      <c r="E132" s="3">
        <v>0.57574074074074078</v>
      </c>
      <c r="F132">
        <v>1</v>
      </c>
      <c r="G132">
        <v>3</v>
      </c>
      <c r="H132" s="3">
        <f t="shared" si="4"/>
        <v>3.0995370370370479E-2</v>
      </c>
      <c r="I132" s="5">
        <f t="shared" si="5"/>
        <v>44.633333333333333</v>
      </c>
      <c r="J132">
        <v>131</v>
      </c>
    </row>
    <row r="133" spans="1:10" x14ac:dyDescent="0.3">
      <c r="A133">
        <v>132</v>
      </c>
      <c r="B133" s="1">
        <v>44464</v>
      </c>
      <c r="C133" s="2">
        <v>0.63065972222222222</v>
      </c>
      <c r="D133" s="1">
        <v>44464</v>
      </c>
      <c r="E133" s="3">
        <v>0.66954861111111119</v>
      </c>
      <c r="F133">
        <v>5</v>
      </c>
      <c r="G133">
        <v>6</v>
      </c>
      <c r="H133" s="3">
        <f t="shared" si="4"/>
        <v>3.8888888888888973E-2</v>
      </c>
      <c r="I133" s="5">
        <f t="shared" si="5"/>
        <v>56</v>
      </c>
      <c r="J133">
        <v>132</v>
      </c>
    </row>
    <row r="134" spans="1:10" x14ac:dyDescent="0.3">
      <c r="A134">
        <v>133</v>
      </c>
      <c r="B134" s="1">
        <v>44464</v>
      </c>
      <c r="C134" s="2">
        <v>0.71141203703703704</v>
      </c>
      <c r="D134" s="1">
        <v>44464</v>
      </c>
      <c r="E134" s="3">
        <v>0.75629629629629624</v>
      </c>
      <c r="F134">
        <v>12</v>
      </c>
      <c r="G134">
        <v>6</v>
      </c>
      <c r="H134" s="3">
        <f t="shared" si="4"/>
        <v>4.4884259259259207E-2</v>
      </c>
      <c r="I134" s="5">
        <f t="shared" si="5"/>
        <v>64.63333333333334</v>
      </c>
      <c r="J134">
        <v>133</v>
      </c>
    </row>
    <row r="135" spans="1:10" x14ac:dyDescent="0.3">
      <c r="A135">
        <v>134</v>
      </c>
      <c r="B135" s="1">
        <v>44465</v>
      </c>
      <c r="C135" s="2">
        <v>0.26834490740740741</v>
      </c>
      <c r="D135" s="1">
        <v>44465</v>
      </c>
      <c r="E135" s="3">
        <v>0.33027777777777778</v>
      </c>
      <c r="F135">
        <v>13</v>
      </c>
      <c r="G135">
        <v>24</v>
      </c>
      <c r="H135" s="3">
        <f t="shared" si="4"/>
        <v>6.1932870370370374E-2</v>
      </c>
      <c r="I135" s="5">
        <f t="shared" si="5"/>
        <v>89.183333333333337</v>
      </c>
      <c r="J135">
        <v>134</v>
      </c>
    </row>
    <row r="136" spans="1:10" x14ac:dyDescent="0.3">
      <c r="A136">
        <v>135</v>
      </c>
      <c r="B136" s="1">
        <v>44465</v>
      </c>
      <c r="C136" s="2">
        <v>0.38269675925925922</v>
      </c>
      <c r="D136" s="1">
        <v>44465</v>
      </c>
      <c r="E136" s="3">
        <v>0.42315972222222226</v>
      </c>
      <c r="F136">
        <v>9</v>
      </c>
      <c r="G136">
        <v>2</v>
      </c>
      <c r="H136" s="3">
        <f t="shared" si="4"/>
        <v>4.0462962962963034E-2</v>
      </c>
      <c r="I136" s="5">
        <f t="shared" si="5"/>
        <v>58.266666666666666</v>
      </c>
      <c r="J136">
        <v>135</v>
      </c>
    </row>
    <row r="137" spans="1:10" x14ac:dyDescent="0.3">
      <c r="A137">
        <v>136</v>
      </c>
      <c r="B137" s="1">
        <v>44465</v>
      </c>
      <c r="C137" s="2">
        <v>0.45490740740740737</v>
      </c>
      <c r="D137" s="1">
        <v>44465</v>
      </c>
      <c r="E137" s="3">
        <v>0.49594907407407413</v>
      </c>
      <c r="F137">
        <v>11</v>
      </c>
      <c r="G137">
        <v>6</v>
      </c>
      <c r="H137" s="3">
        <f t="shared" si="4"/>
        <v>4.1041666666666754E-2</v>
      </c>
      <c r="I137" s="5">
        <f t="shared" si="5"/>
        <v>59.1</v>
      </c>
      <c r="J137">
        <v>136</v>
      </c>
    </row>
    <row r="138" spans="1:10" x14ac:dyDescent="0.3">
      <c r="A138">
        <v>137</v>
      </c>
      <c r="B138" s="1">
        <v>44465</v>
      </c>
      <c r="C138" s="2">
        <v>0.54450231481481481</v>
      </c>
      <c r="D138" s="1">
        <v>44465</v>
      </c>
      <c r="E138" s="3">
        <v>0.58751157407407406</v>
      </c>
      <c r="F138">
        <v>11</v>
      </c>
      <c r="G138">
        <v>9</v>
      </c>
      <c r="H138" s="3">
        <f t="shared" si="4"/>
        <v>4.3009259259259247E-2</v>
      </c>
      <c r="I138" s="5">
        <f t="shared" si="5"/>
        <v>61.93333333333333</v>
      </c>
      <c r="J138">
        <v>137</v>
      </c>
    </row>
    <row r="139" spans="1:10" x14ac:dyDescent="0.3">
      <c r="A139">
        <v>138</v>
      </c>
      <c r="B139" s="1">
        <v>44465</v>
      </c>
      <c r="C139" s="2">
        <v>0.67274305555555547</v>
      </c>
      <c r="D139" s="1">
        <v>44465</v>
      </c>
      <c r="E139" s="3">
        <v>0.74657407407407417</v>
      </c>
      <c r="F139">
        <v>13</v>
      </c>
      <c r="G139">
        <v>24</v>
      </c>
      <c r="H139" s="3">
        <f t="shared" si="4"/>
        <v>7.3831018518518698E-2</v>
      </c>
      <c r="I139" s="5">
        <f t="shared" si="5"/>
        <v>106.31666666666666</v>
      </c>
      <c r="J139">
        <v>138</v>
      </c>
    </row>
    <row r="140" spans="1:10" x14ac:dyDescent="0.3">
      <c r="A140">
        <v>139</v>
      </c>
      <c r="B140" s="1">
        <v>44465</v>
      </c>
      <c r="C140" s="2">
        <v>0.79449074074074078</v>
      </c>
      <c r="D140" s="1">
        <v>44465</v>
      </c>
      <c r="E140" s="3">
        <v>0.85421296296296301</v>
      </c>
      <c r="F140">
        <v>15</v>
      </c>
      <c r="G140">
        <v>6</v>
      </c>
      <c r="H140" s="3">
        <f t="shared" si="4"/>
        <v>5.9722222222222232E-2</v>
      </c>
      <c r="I140" s="5">
        <f t="shared" si="5"/>
        <v>86</v>
      </c>
      <c r="J140">
        <v>139</v>
      </c>
    </row>
    <row r="141" spans="1:10" x14ac:dyDescent="0.3">
      <c r="A141">
        <v>140</v>
      </c>
      <c r="B141" s="1">
        <v>44466</v>
      </c>
      <c r="C141" s="2">
        <v>0.25283564814814813</v>
      </c>
      <c r="D141" s="1">
        <v>44466</v>
      </c>
      <c r="E141" s="3">
        <v>0.33119212962962963</v>
      </c>
      <c r="F141">
        <v>15</v>
      </c>
      <c r="G141">
        <v>9</v>
      </c>
      <c r="H141" s="3">
        <f t="shared" si="4"/>
        <v>7.8356481481481499E-2</v>
      </c>
      <c r="I141" s="5">
        <f t="shared" si="5"/>
        <v>112.83333333333333</v>
      </c>
      <c r="J141">
        <v>140</v>
      </c>
    </row>
    <row r="142" spans="1:10" x14ac:dyDescent="0.3">
      <c r="A142">
        <v>141</v>
      </c>
      <c r="B142" s="1">
        <v>44466</v>
      </c>
      <c r="C142" s="2">
        <v>0.38195601851851851</v>
      </c>
      <c r="D142" s="1">
        <v>44466</v>
      </c>
      <c r="E142" s="3">
        <v>0.42439814814814819</v>
      </c>
      <c r="F142">
        <v>10</v>
      </c>
      <c r="G142">
        <v>19</v>
      </c>
      <c r="H142" s="3">
        <f t="shared" si="4"/>
        <v>4.2442129629629677E-2</v>
      </c>
      <c r="I142" s="5">
        <f t="shared" si="5"/>
        <v>61.116666666666667</v>
      </c>
      <c r="J142">
        <v>141</v>
      </c>
    </row>
    <row r="143" spans="1:10" x14ac:dyDescent="0.3">
      <c r="A143">
        <v>142</v>
      </c>
      <c r="B143" s="1">
        <v>44466</v>
      </c>
      <c r="C143" s="2">
        <v>0.54520833333333341</v>
      </c>
      <c r="D143" s="1">
        <v>44466</v>
      </c>
      <c r="E143" s="3">
        <v>0.62854166666666667</v>
      </c>
      <c r="F143">
        <v>1</v>
      </c>
      <c r="G143">
        <v>0</v>
      </c>
      <c r="H143" s="3">
        <f t="shared" si="4"/>
        <v>8.3333333333333259E-2</v>
      </c>
      <c r="I143" s="5">
        <f t="shared" si="5"/>
        <v>120</v>
      </c>
      <c r="J143">
        <v>142</v>
      </c>
    </row>
    <row r="144" spans="1:10" x14ac:dyDescent="0.3">
      <c r="A144">
        <v>143</v>
      </c>
      <c r="B144" s="1">
        <v>44466</v>
      </c>
      <c r="C144" s="2">
        <v>0.71118055555555548</v>
      </c>
      <c r="D144" s="1">
        <v>44466</v>
      </c>
      <c r="E144" s="3">
        <v>0.79310185185185178</v>
      </c>
      <c r="F144">
        <v>3</v>
      </c>
      <c r="G144">
        <v>0</v>
      </c>
      <c r="H144" s="3">
        <f t="shared" si="4"/>
        <v>8.1921296296296298E-2</v>
      </c>
      <c r="I144" s="5">
        <f t="shared" si="5"/>
        <v>117.96666666666667</v>
      </c>
      <c r="J144">
        <v>143</v>
      </c>
    </row>
    <row r="145" spans="1:10" x14ac:dyDescent="0.3">
      <c r="A145">
        <v>144</v>
      </c>
      <c r="B145" s="1">
        <v>44467</v>
      </c>
      <c r="C145" s="2">
        <v>0.41951388888888891</v>
      </c>
      <c r="D145" s="1">
        <v>44467</v>
      </c>
      <c r="E145" s="3">
        <v>0.4959027777777778</v>
      </c>
      <c r="F145">
        <v>9</v>
      </c>
      <c r="G145">
        <v>14</v>
      </c>
      <c r="H145" s="3">
        <f t="shared" si="4"/>
        <v>7.6388888888888895E-2</v>
      </c>
      <c r="I145" s="5">
        <f t="shared" si="5"/>
        <v>110</v>
      </c>
      <c r="J145">
        <v>144</v>
      </c>
    </row>
    <row r="146" spans="1:10" x14ac:dyDescent="0.3">
      <c r="A146">
        <v>145</v>
      </c>
      <c r="B146" s="1">
        <v>44467</v>
      </c>
      <c r="C146" s="2">
        <v>0.54101851851851845</v>
      </c>
      <c r="D146" s="1">
        <v>44467</v>
      </c>
      <c r="E146" s="3">
        <v>0.62842592592592594</v>
      </c>
      <c r="F146">
        <v>11</v>
      </c>
      <c r="G146">
        <v>13</v>
      </c>
      <c r="H146" s="3">
        <f t="shared" si="4"/>
        <v>8.7407407407407489E-2</v>
      </c>
      <c r="I146" s="5">
        <f t="shared" si="5"/>
        <v>125.86666666666666</v>
      </c>
      <c r="J146">
        <v>145</v>
      </c>
    </row>
    <row r="147" spans="1:10" x14ac:dyDescent="0.3">
      <c r="A147">
        <v>146</v>
      </c>
      <c r="B147" s="1">
        <v>44467</v>
      </c>
      <c r="C147" s="2">
        <v>0.7125462962962964</v>
      </c>
      <c r="D147" s="1">
        <v>44467</v>
      </c>
      <c r="E147" s="3">
        <v>0.75473379629629633</v>
      </c>
      <c r="F147">
        <v>12</v>
      </c>
      <c r="G147">
        <v>9</v>
      </c>
      <c r="H147" s="3">
        <f t="shared" si="4"/>
        <v>4.2187499999999933E-2</v>
      </c>
      <c r="I147" s="5">
        <f t="shared" si="5"/>
        <v>60.75</v>
      </c>
      <c r="J147">
        <v>146</v>
      </c>
    </row>
    <row r="148" spans="1:10" x14ac:dyDescent="0.3">
      <c r="A148">
        <v>147</v>
      </c>
      <c r="B148" s="1">
        <v>44467</v>
      </c>
      <c r="C148" s="2">
        <v>0.79166666666666663</v>
      </c>
      <c r="D148" s="1">
        <v>44467</v>
      </c>
      <c r="E148" s="3">
        <v>0.87570601851851848</v>
      </c>
      <c r="F148">
        <v>14</v>
      </c>
      <c r="G148">
        <v>9</v>
      </c>
      <c r="H148" s="3">
        <f t="shared" si="4"/>
        <v>8.4039351851851851E-2</v>
      </c>
      <c r="I148" s="5">
        <f t="shared" si="5"/>
        <v>121.01666666666667</v>
      </c>
      <c r="J148">
        <v>147</v>
      </c>
    </row>
    <row r="149" spans="1:10" x14ac:dyDescent="0.3">
      <c r="A149">
        <v>148</v>
      </c>
      <c r="B149" s="1">
        <v>44468</v>
      </c>
      <c r="C149" s="2">
        <v>0.29934027777777777</v>
      </c>
      <c r="D149" s="1">
        <v>44468</v>
      </c>
      <c r="E149" s="3">
        <v>0.37398148148148147</v>
      </c>
      <c r="F149">
        <v>12</v>
      </c>
      <c r="G149">
        <v>16</v>
      </c>
      <c r="H149" s="3">
        <f t="shared" si="4"/>
        <v>7.4641203703703696E-2</v>
      </c>
      <c r="I149" s="5">
        <f t="shared" si="5"/>
        <v>107.48333333333333</v>
      </c>
      <c r="J149">
        <v>148</v>
      </c>
    </row>
    <row r="150" spans="1:10" x14ac:dyDescent="0.3">
      <c r="A150">
        <v>149</v>
      </c>
      <c r="B150" s="1">
        <v>44468</v>
      </c>
      <c r="C150" s="2">
        <v>0.41740740740740739</v>
      </c>
      <c r="D150" s="1">
        <v>44468</v>
      </c>
      <c r="E150" s="3">
        <v>0.50071759259259252</v>
      </c>
      <c r="F150">
        <v>9</v>
      </c>
      <c r="G150">
        <v>21</v>
      </c>
      <c r="H150" s="3">
        <f t="shared" si="4"/>
        <v>8.3310185185185126E-2</v>
      </c>
      <c r="I150" s="5">
        <f t="shared" si="5"/>
        <v>119.96666666666667</v>
      </c>
      <c r="J150">
        <v>149</v>
      </c>
    </row>
    <row r="151" spans="1:10" x14ac:dyDescent="0.3">
      <c r="A151">
        <v>150</v>
      </c>
      <c r="B151" s="1">
        <v>44468</v>
      </c>
      <c r="C151" s="2">
        <v>0.55636574074074074</v>
      </c>
      <c r="D151" s="1">
        <v>44468</v>
      </c>
      <c r="E151" s="3">
        <v>0.61332175925925925</v>
      </c>
      <c r="F151">
        <v>15</v>
      </c>
      <c r="G151">
        <v>9</v>
      </c>
      <c r="H151" s="3">
        <f t="shared" si="4"/>
        <v>5.6956018518518503E-2</v>
      </c>
      <c r="I151" s="5">
        <f t="shared" si="5"/>
        <v>82.016666666666666</v>
      </c>
      <c r="J151">
        <v>150</v>
      </c>
    </row>
    <row r="152" spans="1:10" x14ac:dyDescent="0.3">
      <c r="A152">
        <v>151</v>
      </c>
      <c r="B152" s="1">
        <v>44468</v>
      </c>
      <c r="C152" s="2">
        <v>0.67305555555555552</v>
      </c>
      <c r="D152" s="1">
        <v>44468</v>
      </c>
      <c r="E152" s="3">
        <v>0.73208333333333331</v>
      </c>
      <c r="F152">
        <v>14</v>
      </c>
      <c r="G152">
        <v>8</v>
      </c>
      <c r="H152" s="3">
        <f t="shared" si="4"/>
        <v>5.902777777777779E-2</v>
      </c>
      <c r="I152" s="5">
        <f t="shared" si="5"/>
        <v>85</v>
      </c>
      <c r="J152">
        <v>151</v>
      </c>
    </row>
    <row r="153" spans="1:10" x14ac:dyDescent="0.3">
      <c r="A153">
        <v>152</v>
      </c>
      <c r="B153" s="1">
        <v>44468</v>
      </c>
      <c r="C153" s="2">
        <v>0.79931712962962964</v>
      </c>
      <c r="D153" s="1">
        <v>44468</v>
      </c>
      <c r="E153" s="3">
        <v>0.84817129629629628</v>
      </c>
      <c r="F153">
        <v>16</v>
      </c>
      <c r="G153">
        <v>21</v>
      </c>
      <c r="H153" s="3">
        <f t="shared" si="4"/>
        <v>4.8854166666666643E-2</v>
      </c>
      <c r="I153" s="5">
        <f t="shared" si="5"/>
        <v>70.349999999999994</v>
      </c>
      <c r="J153">
        <v>152</v>
      </c>
    </row>
    <row r="154" spans="1:10" x14ac:dyDescent="0.3">
      <c r="A154">
        <v>153</v>
      </c>
      <c r="B154" s="1">
        <v>44468</v>
      </c>
      <c r="C154" s="2">
        <v>0.9611574074074074</v>
      </c>
      <c r="D154" s="1">
        <v>44469</v>
      </c>
      <c r="E154" s="3">
        <v>3.9629629629629633E-2</v>
      </c>
      <c r="F154">
        <v>14</v>
      </c>
      <c r="G154">
        <v>9</v>
      </c>
      <c r="H154" s="3">
        <f t="shared" si="4"/>
        <v>23.078472222222224</v>
      </c>
      <c r="I154" s="5">
        <f t="shared" si="5"/>
        <v>113</v>
      </c>
      <c r="J154">
        <v>153</v>
      </c>
    </row>
    <row r="155" spans="1:10" x14ac:dyDescent="0.3">
      <c r="A155">
        <v>154</v>
      </c>
      <c r="B155" s="1">
        <v>44469</v>
      </c>
      <c r="C155" s="2">
        <v>0.3125</v>
      </c>
      <c r="D155" s="1">
        <v>44469</v>
      </c>
      <c r="E155" s="3">
        <v>0.33385416666666662</v>
      </c>
      <c r="F155">
        <v>17</v>
      </c>
      <c r="G155">
        <v>3</v>
      </c>
      <c r="H155" s="3">
        <f t="shared" si="4"/>
        <v>2.1354166666666619E-2</v>
      </c>
      <c r="I155" s="5">
        <f t="shared" si="5"/>
        <v>30.75</v>
      </c>
      <c r="J155">
        <v>154</v>
      </c>
    </row>
    <row r="156" spans="1:10" x14ac:dyDescent="0.3">
      <c r="A156">
        <v>155</v>
      </c>
      <c r="B156" s="1">
        <v>44469</v>
      </c>
      <c r="C156" s="2">
        <v>0.44229166666666669</v>
      </c>
      <c r="D156" s="1">
        <v>44469</v>
      </c>
      <c r="E156" s="3">
        <v>0.50074074074074071</v>
      </c>
      <c r="F156">
        <v>0</v>
      </c>
      <c r="G156">
        <v>9</v>
      </c>
      <c r="H156" s="3">
        <f t="shared" si="4"/>
        <v>5.8449074074074014E-2</v>
      </c>
      <c r="I156" s="5">
        <f t="shared" si="5"/>
        <v>84.166666666666671</v>
      </c>
      <c r="J156">
        <v>155</v>
      </c>
    </row>
    <row r="157" spans="1:10" x14ac:dyDescent="0.3">
      <c r="A157">
        <v>156</v>
      </c>
      <c r="B157" s="1">
        <v>44469</v>
      </c>
      <c r="C157" s="2">
        <v>0.59045138888888882</v>
      </c>
      <c r="D157" s="1">
        <v>44469</v>
      </c>
      <c r="E157" s="3">
        <v>0.63065972222222222</v>
      </c>
      <c r="F157">
        <v>14</v>
      </c>
      <c r="G157">
        <v>8</v>
      </c>
      <c r="H157" s="3">
        <f t="shared" si="4"/>
        <v>4.0208333333333401E-2</v>
      </c>
      <c r="I157" s="5">
        <f t="shared" si="5"/>
        <v>57.9</v>
      </c>
      <c r="J157">
        <v>156</v>
      </c>
    </row>
    <row r="158" spans="1:10" x14ac:dyDescent="0.3">
      <c r="A158">
        <v>157</v>
      </c>
      <c r="B158" s="1">
        <v>44469</v>
      </c>
      <c r="C158" s="2">
        <v>0.7142708333333333</v>
      </c>
      <c r="D158" s="1">
        <v>44469</v>
      </c>
      <c r="E158" s="3">
        <v>0.789525462962963</v>
      </c>
      <c r="F158">
        <v>6</v>
      </c>
      <c r="G158">
        <v>39</v>
      </c>
      <c r="H158" s="3">
        <f t="shared" si="4"/>
        <v>7.5254629629629699E-2</v>
      </c>
      <c r="I158" s="5">
        <f t="shared" si="5"/>
        <v>108.36666666666666</v>
      </c>
      <c r="J158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8"/>
  <sheetViews>
    <sheetView zoomScaleNormal="100" workbookViewId="0">
      <selection activeCell="K2" sqref="K2"/>
    </sheetView>
  </sheetViews>
  <sheetFormatPr defaultRowHeight="14.4" x14ac:dyDescent="0.3"/>
  <cols>
    <col min="1" max="1" width="4" bestFit="1" customWidth="1"/>
    <col min="2" max="2" width="10.6640625" bestFit="1" customWidth="1"/>
    <col min="3" max="3" width="13.33203125" bestFit="1" customWidth="1"/>
    <col min="4" max="4" width="11.6640625" bestFit="1" customWidth="1"/>
    <col min="5" max="5" width="14.33203125" style="3" bestFit="1" customWidth="1"/>
    <col min="6" max="6" width="15" bestFit="1" customWidth="1"/>
    <col min="7" max="7" width="15" customWidth="1"/>
    <col min="8" max="8" width="15.5546875" bestFit="1" customWidth="1"/>
    <col min="9" max="9" width="10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6</v>
      </c>
      <c r="G1" t="s">
        <v>10</v>
      </c>
      <c r="H1" t="s">
        <v>5</v>
      </c>
      <c r="I1" t="s">
        <v>12</v>
      </c>
    </row>
    <row r="2" spans="1:11" x14ac:dyDescent="0.3">
      <c r="A2">
        <v>1</v>
      </c>
      <c r="B2" s="1">
        <v>44440</v>
      </c>
      <c r="C2" s="2">
        <v>0.33333333333333331</v>
      </c>
      <c r="D2" s="1">
        <v>44440</v>
      </c>
      <c r="E2" s="3">
        <v>0.38513888888888892</v>
      </c>
      <c r="F2">
        <v>12</v>
      </c>
      <c r="G2">
        <f>F2</f>
        <v>12</v>
      </c>
      <c r="H2">
        <v>0</v>
      </c>
      <c r="I2">
        <f>G2-H2</f>
        <v>12</v>
      </c>
      <c r="K2" s="4" t="s">
        <v>13</v>
      </c>
    </row>
    <row r="3" spans="1:11" x14ac:dyDescent="0.3">
      <c r="A3">
        <v>2</v>
      </c>
      <c r="B3" s="1">
        <v>44440</v>
      </c>
      <c r="C3" s="2">
        <v>0.42430555555555555</v>
      </c>
      <c r="D3" s="1">
        <v>44440</v>
      </c>
      <c r="E3" s="3">
        <v>0.55934027777777773</v>
      </c>
      <c r="F3">
        <v>11</v>
      </c>
      <c r="G3">
        <f>I2+F3</f>
        <v>23</v>
      </c>
      <c r="H3">
        <v>16</v>
      </c>
      <c r="I3">
        <f>G3-H3</f>
        <v>7</v>
      </c>
    </row>
    <row r="4" spans="1:11" x14ac:dyDescent="0.3">
      <c r="A4">
        <v>3</v>
      </c>
      <c r="B4" s="1">
        <v>44440</v>
      </c>
      <c r="C4" s="2">
        <v>0.64613425925925927</v>
      </c>
      <c r="D4" s="1">
        <v>44440</v>
      </c>
      <c r="E4" s="3">
        <v>0.71621527777777771</v>
      </c>
      <c r="F4">
        <v>9</v>
      </c>
      <c r="G4">
        <f t="shared" ref="G4:G67" si="0">I3+F4</f>
        <v>16</v>
      </c>
      <c r="H4">
        <v>0</v>
      </c>
      <c r="I4">
        <f t="shared" ref="I4:I67" si="1">G4-H4</f>
        <v>16</v>
      </c>
    </row>
    <row r="5" spans="1:11" x14ac:dyDescent="0.3">
      <c r="A5">
        <v>4</v>
      </c>
      <c r="B5" s="1">
        <v>44440</v>
      </c>
      <c r="C5" s="2">
        <v>0.76347222222222222</v>
      </c>
      <c r="D5" s="1">
        <v>44440</v>
      </c>
      <c r="E5" s="3">
        <v>0.91402777777777777</v>
      </c>
      <c r="F5">
        <v>14</v>
      </c>
      <c r="G5">
        <f t="shared" si="0"/>
        <v>30</v>
      </c>
      <c r="H5">
        <v>11</v>
      </c>
      <c r="I5">
        <f t="shared" si="1"/>
        <v>19</v>
      </c>
    </row>
    <row r="6" spans="1:11" x14ac:dyDescent="0.3">
      <c r="A6">
        <v>5</v>
      </c>
      <c r="B6" s="1">
        <v>44441</v>
      </c>
      <c r="C6" s="2">
        <v>0.17721064814814813</v>
      </c>
      <c r="D6" s="1">
        <v>44441</v>
      </c>
      <c r="E6" s="3">
        <v>0.27315972222222223</v>
      </c>
      <c r="F6">
        <v>21</v>
      </c>
      <c r="G6">
        <f t="shared" si="0"/>
        <v>40</v>
      </c>
      <c r="H6">
        <v>15</v>
      </c>
      <c r="I6">
        <f t="shared" si="1"/>
        <v>25</v>
      </c>
    </row>
    <row r="7" spans="1:11" x14ac:dyDescent="0.3">
      <c r="A7">
        <v>6</v>
      </c>
      <c r="B7" s="1">
        <v>44441</v>
      </c>
      <c r="C7" s="2">
        <v>0.34736111111111106</v>
      </c>
      <c r="D7" s="1">
        <v>44441</v>
      </c>
      <c r="E7" s="3">
        <v>0.42460648148148145</v>
      </c>
      <c r="F7">
        <v>11</v>
      </c>
      <c r="G7">
        <f t="shared" si="0"/>
        <v>36</v>
      </c>
      <c r="H7">
        <v>24</v>
      </c>
      <c r="I7">
        <f t="shared" si="1"/>
        <v>12</v>
      </c>
    </row>
    <row r="8" spans="1:11" x14ac:dyDescent="0.3">
      <c r="A8">
        <v>7</v>
      </c>
      <c r="B8" s="1">
        <v>44441</v>
      </c>
      <c r="C8" s="2">
        <v>0.48079861111111111</v>
      </c>
      <c r="D8" s="1">
        <v>44441</v>
      </c>
      <c r="E8" s="3">
        <v>0.57214120370370369</v>
      </c>
      <c r="F8">
        <v>19</v>
      </c>
      <c r="G8">
        <f t="shared" si="0"/>
        <v>31</v>
      </c>
      <c r="H8">
        <v>10</v>
      </c>
      <c r="I8">
        <f t="shared" si="1"/>
        <v>21</v>
      </c>
    </row>
    <row r="9" spans="1:11" x14ac:dyDescent="0.3">
      <c r="A9">
        <v>8</v>
      </c>
      <c r="B9" s="1">
        <v>44441</v>
      </c>
      <c r="C9" s="2">
        <v>0.63290509259259264</v>
      </c>
      <c r="D9" s="1">
        <v>44441</v>
      </c>
      <c r="E9" s="3">
        <v>0.72944444444444445</v>
      </c>
      <c r="F9">
        <v>9</v>
      </c>
      <c r="G9">
        <f t="shared" si="0"/>
        <v>30</v>
      </c>
      <c r="H9">
        <v>11</v>
      </c>
      <c r="I9">
        <f t="shared" si="1"/>
        <v>19</v>
      </c>
    </row>
    <row r="10" spans="1:11" x14ac:dyDescent="0.3">
      <c r="A10">
        <v>9</v>
      </c>
      <c r="B10" s="1">
        <v>44441</v>
      </c>
      <c r="C10" s="2">
        <v>0.80592592592592593</v>
      </c>
      <c r="D10" s="1">
        <v>44441</v>
      </c>
      <c r="E10" s="3">
        <v>0.89690972222222232</v>
      </c>
      <c r="F10">
        <v>12</v>
      </c>
      <c r="G10">
        <f t="shared" si="0"/>
        <v>31</v>
      </c>
      <c r="H10">
        <v>15</v>
      </c>
      <c r="I10">
        <f t="shared" si="1"/>
        <v>16</v>
      </c>
    </row>
    <row r="11" spans="1:11" x14ac:dyDescent="0.3">
      <c r="A11">
        <v>10</v>
      </c>
      <c r="B11" s="1">
        <v>44442</v>
      </c>
      <c r="C11" s="2">
        <v>0.13548611111111111</v>
      </c>
      <c r="D11" s="1">
        <v>44442</v>
      </c>
      <c r="E11" s="3">
        <v>0.31579861111111113</v>
      </c>
      <c r="F11">
        <v>17</v>
      </c>
      <c r="G11">
        <f t="shared" si="0"/>
        <v>33</v>
      </c>
      <c r="H11">
        <v>22</v>
      </c>
      <c r="I11">
        <f t="shared" si="1"/>
        <v>11</v>
      </c>
    </row>
    <row r="12" spans="1:11" x14ac:dyDescent="0.3">
      <c r="A12">
        <v>11</v>
      </c>
      <c r="B12" s="1">
        <v>44442</v>
      </c>
      <c r="C12" s="2">
        <v>0.37784722222222222</v>
      </c>
      <c r="D12" s="1">
        <v>44442</v>
      </c>
      <c r="E12" s="3">
        <v>0.46140046296296294</v>
      </c>
      <c r="F12">
        <v>14</v>
      </c>
      <c r="G12">
        <f t="shared" si="0"/>
        <v>25</v>
      </c>
      <c r="H12">
        <v>10</v>
      </c>
      <c r="I12">
        <f t="shared" si="1"/>
        <v>15</v>
      </c>
    </row>
    <row r="13" spans="1:11" x14ac:dyDescent="0.3">
      <c r="A13">
        <v>12</v>
      </c>
      <c r="B13" s="1">
        <v>44442</v>
      </c>
      <c r="C13" s="2">
        <v>0.50086805555555558</v>
      </c>
      <c r="D13" s="1">
        <v>44442</v>
      </c>
      <c r="E13" s="3">
        <v>0.63633101851851859</v>
      </c>
      <c r="F13">
        <v>24</v>
      </c>
      <c r="G13">
        <f t="shared" si="0"/>
        <v>39</v>
      </c>
      <c r="H13">
        <v>19</v>
      </c>
      <c r="I13">
        <f t="shared" si="1"/>
        <v>20</v>
      </c>
    </row>
    <row r="14" spans="1:11" x14ac:dyDescent="0.3">
      <c r="A14">
        <v>13</v>
      </c>
      <c r="B14" s="1">
        <v>44442</v>
      </c>
      <c r="C14" s="2">
        <v>0.7049305555555555</v>
      </c>
      <c r="D14" s="1">
        <v>44442</v>
      </c>
      <c r="E14" s="3">
        <v>0.76827546296296301</v>
      </c>
      <c r="F14">
        <v>16</v>
      </c>
      <c r="G14">
        <f t="shared" si="0"/>
        <v>36</v>
      </c>
      <c r="H14">
        <v>11</v>
      </c>
      <c r="I14">
        <f t="shared" si="1"/>
        <v>25</v>
      </c>
    </row>
    <row r="15" spans="1:11" x14ac:dyDescent="0.3">
      <c r="A15">
        <v>14</v>
      </c>
      <c r="B15" s="1">
        <v>44442</v>
      </c>
      <c r="C15" s="2">
        <v>0.80994212962962964</v>
      </c>
      <c r="D15" s="1">
        <v>44442</v>
      </c>
      <c r="E15" s="3">
        <v>0.92829861111111101</v>
      </c>
      <c r="F15">
        <v>15</v>
      </c>
      <c r="G15">
        <f t="shared" si="0"/>
        <v>40</v>
      </c>
      <c r="H15">
        <v>9</v>
      </c>
      <c r="I15">
        <f t="shared" si="1"/>
        <v>31</v>
      </c>
    </row>
    <row r="16" spans="1:11" x14ac:dyDescent="0.3">
      <c r="A16">
        <v>15</v>
      </c>
      <c r="B16" s="1">
        <v>44443</v>
      </c>
      <c r="C16" s="2">
        <v>0.17093749999999999</v>
      </c>
      <c r="D16" s="1">
        <v>44443</v>
      </c>
      <c r="E16" s="3">
        <v>0.25318287037037041</v>
      </c>
      <c r="F16">
        <v>7</v>
      </c>
      <c r="G16">
        <f t="shared" si="0"/>
        <v>38</v>
      </c>
      <c r="H16">
        <v>16</v>
      </c>
      <c r="I16">
        <f t="shared" si="1"/>
        <v>22</v>
      </c>
    </row>
    <row r="17" spans="1:9" x14ac:dyDescent="0.3">
      <c r="A17">
        <v>16</v>
      </c>
      <c r="B17" s="1">
        <v>44443</v>
      </c>
      <c r="C17" s="2">
        <v>0.29620370370370369</v>
      </c>
      <c r="D17" s="1">
        <v>44443</v>
      </c>
      <c r="E17" s="3">
        <v>0.34704861111111113</v>
      </c>
      <c r="F17">
        <v>9</v>
      </c>
      <c r="G17">
        <f t="shared" si="0"/>
        <v>31</v>
      </c>
      <c r="H17">
        <v>11</v>
      </c>
      <c r="I17">
        <f t="shared" si="1"/>
        <v>20</v>
      </c>
    </row>
    <row r="18" spans="1:9" x14ac:dyDescent="0.3">
      <c r="A18">
        <v>17</v>
      </c>
      <c r="B18" s="1">
        <v>44443</v>
      </c>
      <c r="C18" s="2">
        <v>0.3578587962962963</v>
      </c>
      <c r="D18" s="1">
        <v>44443</v>
      </c>
      <c r="E18" s="3">
        <v>0.42055555555555557</v>
      </c>
      <c r="F18">
        <v>13</v>
      </c>
      <c r="G18">
        <f t="shared" si="0"/>
        <v>33</v>
      </c>
      <c r="H18">
        <v>18</v>
      </c>
      <c r="I18">
        <f t="shared" si="1"/>
        <v>15</v>
      </c>
    </row>
    <row r="19" spans="1:9" x14ac:dyDescent="0.3">
      <c r="A19">
        <v>18</v>
      </c>
      <c r="B19" s="1">
        <v>44443</v>
      </c>
      <c r="C19" s="2">
        <v>0.48564814814814811</v>
      </c>
      <c r="D19" s="1">
        <v>44443</v>
      </c>
      <c r="E19" s="3">
        <v>0.53831018518518514</v>
      </c>
      <c r="F19">
        <v>22</v>
      </c>
      <c r="G19">
        <f t="shared" si="0"/>
        <v>37</v>
      </c>
      <c r="H19">
        <v>5</v>
      </c>
      <c r="I19">
        <f t="shared" si="1"/>
        <v>32</v>
      </c>
    </row>
    <row r="20" spans="1:9" x14ac:dyDescent="0.3">
      <c r="A20">
        <v>19</v>
      </c>
      <c r="B20" s="1">
        <v>44443</v>
      </c>
      <c r="C20" s="2">
        <v>0.70219907407407411</v>
      </c>
      <c r="D20" s="1">
        <v>44443</v>
      </c>
      <c r="E20" s="3">
        <v>0.7736574074074074</v>
      </c>
      <c r="F20">
        <v>8</v>
      </c>
      <c r="G20">
        <f t="shared" si="0"/>
        <v>40</v>
      </c>
      <c r="H20">
        <v>23</v>
      </c>
      <c r="I20">
        <f t="shared" si="1"/>
        <v>17</v>
      </c>
    </row>
    <row r="21" spans="1:9" x14ac:dyDescent="0.3">
      <c r="A21">
        <v>20</v>
      </c>
      <c r="B21" s="1">
        <v>44443</v>
      </c>
      <c r="C21" s="2">
        <v>0.80978009259259265</v>
      </c>
      <c r="D21" s="1">
        <v>44443</v>
      </c>
      <c r="E21" s="3">
        <v>0.96615740740740741</v>
      </c>
      <c r="F21">
        <v>11</v>
      </c>
      <c r="G21">
        <f t="shared" si="0"/>
        <v>28</v>
      </c>
      <c r="H21">
        <v>14</v>
      </c>
      <c r="I21">
        <f t="shared" si="1"/>
        <v>14</v>
      </c>
    </row>
    <row r="22" spans="1:9" x14ac:dyDescent="0.3">
      <c r="A22">
        <v>21</v>
      </c>
      <c r="B22" s="1">
        <v>44444</v>
      </c>
      <c r="C22" s="2">
        <v>0.3027083333333333</v>
      </c>
      <c r="D22" s="1">
        <v>44444</v>
      </c>
      <c r="E22" s="3">
        <v>0.3762152777777778</v>
      </c>
      <c r="F22">
        <v>17</v>
      </c>
      <c r="G22">
        <f t="shared" si="0"/>
        <v>31</v>
      </c>
      <c r="H22">
        <v>23</v>
      </c>
      <c r="I22">
        <f t="shared" si="1"/>
        <v>8</v>
      </c>
    </row>
    <row r="23" spans="1:9" x14ac:dyDescent="0.3">
      <c r="A23">
        <v>22</v>
      </c>
      <c r="B23" s="1">
        <v>44444</v>
      </c>
      <c r="C23" s="2">
        <v>0.43002314814814818</v>
      </c>
      <c r="D23" s="1">
        <v>44444</v>
      </c>
      <c r="E23" s="3">
        <v>0.51140046296296293</v>
      </c>
      <c r="F23">
        <v>15</v>
      </c>
      <c r="G23">
        <f t="shared" si="0"/>
        <v>23</v>
      </c>
      <c r="H23">
        <v>11</v>
      </c>
      <c r="I23">
        <f t="shared" si="1"/>
        <v>12</v>
      </c>
    </row>
    <row r="24" spans="1:9" x14ac:dyDescent="0.3">
      <c r="A24">
        <v>23</v>
      </c>
      <c r="B24" s="1">
        <v>44444</v>
      </c>
      <c r="C24" s="2">
        <v>0.55909722222222225</v>
      </c>
      <c r="D24" s="1">
        <v>44444</v>
      </c>
      <c r="E24" s="3">
        <v>0.64327546296296301</v>
      </c>
      <c r="F24">
        <v>19</v>
      </c>
      <c r="G24">
        <f t="shared" si="0"/>
        <v>31</v>
      </c>
      <c r="H24">
        <v>21</v>
      </c>
      <c r="I24">
        <f t="shared" si="1"/>
        <v>10</v>
      </c>
    </row>
    <row r="25" spans="1:9" x14ac:dyDescent="0.3">
      <c r="A25">
        <v>24</v>
      </c>
      <c r="B25" s="1">
        <v>44444</v>
      </c>
      <c r="C25" s="2">
        <v>0.69188657407407417</v>
      </c>
      <c r="D25" s="1">
        <v>44444</v>
      </c>
      <c r="E25" s="3">
        <v>0.73365740740740737</v>
      </c>
      <c r="F25">
        <v>11</v>
      </c>
      <c r="G25">
        <f t="shared" si="0"/>
        <v>21</v>
      </c>
      <c r="H25">
        <v>9</v>
      </c>
      <c r="I25">
        <f t="shared" si="1"/>
        <v>12</v>
      </c>
    </row>
    <row r="26" spans="1:9" x14ac:dyDescent="0.3">
      <c r="A26">
        <v>25</v>
      </c>
      <c r="B26" s="1">
        <v>44444</v>
      </c>
      <c r="C26" s="2">
        <v>0.77118055555555554</v>
      </c>
      <c r="D26" s="1">
        <v>44444</v>
      </c>
      <c r="E26" s="3">
        <v>0.82657407407407402</v>
      </c>
      <c r="F26">
        <v>15</v>
      </c>
      <c r="G26">
        <f t="shared" si="0"/>
        <v>27</v>
      </c>
      <c r="H26">
        <v>11</v>
      </c>
      <c r="I26">
        <f t="shared" si="1"/>
        <v>16</v>
      </c>
    </row>
    <row r="27" spans="1:9" x14ac:dyDescent="0.3">
      <c r="A27">
        <v>26</v>
      </c>
      <c r="B27" s="1">
        <v>44444</v>
      </c>
      <c r="C27" s="2">
        <v>0.875</v>
      </c>
      <c r="D27" s="1">
        <v>44445</v>
      </c>
      <c r="E27" s="3">
        <v>1.3495370370370371E-2</v>
      </c>
      <c r="F27">
        <v>15</v>
      </c>
      <c r="G27">
        <f t="shared" si="0"/>
        <v>31</v>
      </c>
      <c r="H27">
        <v>17</v>
      </c>
      <c r="I27">
        <f t="shared" si="1"/>
        <v>14</v>
      </c>
    </row>
    <row r="28" spans="1:9" x14ac:dyDescent="0.3">
      <c r="A28">
        <v>27</v>
      </c>
      <c r="B28" s="1">
        <v>44445</v>
      </c>
      <c r="C28" s="2">
        <v>0.2171990740740741</v>
      </c>
      <c r="D28" s="1">
        <v>44445</v>
      </c>
      <c r="E28" s="3">
        <v>0.2976388888888889</v>
      </c>
      <c r="F28">
        <v>9</v>
      </c>
      <c r="G28">
        <f t="shared" si="0"/>
        <v>23</v>
      </c>
      <c r="H28">
        <v>6</v>
      </c>
      <c r="I28">
        <f t="shared" si="1"/>
        <v>17</v>
      </c>
    </row>
    <row r="29" spans="1:9" x14ac:dyDescent="0.3">
      <c r="A29">
        <v>28</v>
      </c>
      <c r="B29" s="1">
        <v>44445</v>
      </c>
      <c r="C29" s="2">
        <v>0.38305555555555554</v>
      </c>
      <c r="D29" s="1">
        <v>44445</v>
      </c>
      <c r="E29" s="3">
        <v>0.52521990740740743</v>
      </c>
      <c r="F29">
        <v>14</v>
      </c>
      <c r="G29">
        <f t="shared" si="0"/>
        <v>31</v>
      </c>
      <c r="H29">
        <v>22</v>
      </c>
      <c r="I29">
        <f t="shared" si="1"/>
        <v>9</v>
      </c>
    </row>
    <row r="30" spans="1:9" x14ac:dyDescent="0.3">
      <c r="A30">
        <v>29</v>
      </c>
      <c r="B30" s="1">
        <v>44445</v>
      </c>
      <c r="C30" s="2">
        <v>0.55920138888888882</v>
      </c>
      <c r="D30" s="1">
        <v>44445</v>
      </c>
      <c r="E30" s="3">
        <v>0.62586805555555558</v>
      </c>
      <c r="F30">
        <v>14</v>
      </c>
      <c r="G30">
        <f t="shared" si="0"/>
        <v>23</v>
      </c>
      <c r="H30">
        <v>3</v>
      </c>
      <c r="I30">
        <f t="shared" si="1"/>
        <v>20</v>
      </c>
    </row>
    <row r="31" spans="1:9" x14ac:dyDescent="0.3">
      <c r="A31">
        <v>30</v>
      </c>
      <c r="B31" s="1">
        <v>44445</v>
      </c>
      <c r="C31" s="2">
        <v>0.7160185185185185</v>
      </c>
      <c r="D31" s="1">
        <v>44445</v>
      </c>
      <c r="E31" s="3">
        <v>0.7631944444444444</v>
      </c>
      <c r="F31">
        <v>18</v>
      </c>
      <c r="G31">
        <f t="shared" si="0"/>
        <v>38</v>
      </c>
      <c r="H31">
        <v>14</v>
      </c>
      <c r="I31">
        <f t="shared" si="1"/>
        <v>24</v>
      </c>
    </row>
    <row r="32" spans="1:9" x14ac:dyDescent="0.3">
      <c r="A32">
        <v>31</v>
      </c>
      <c r="B32" s="1">
        <v>44445</v>
      </c>
      <c r="C32" s="2">
        <v>0.82097222222222221</v>
      </c>
      <c r="D32" s="1">
        <v>44445</v>
      </c>
      <c r="E32" s="3">
        <v>0.89042824074074067</v>
      </c>
      <c r="F32">
        <v>16</v>
      </c>
      <c r="G32">
        <f t="shared" si="0"/>
        <v>40</v>
      </c>
      <c r="H32">
        <v>21</v>
      </c>
      <c r="I32">
        <f t="shared" si="1"/>
        <v>19</v>
      </c>
    </row>
    <row r="33" spans="1:9" x14ac:dyDescent="0.3">
      <c r="A33">
        <v>32</v>
      </c>
      <c r="B33" s="1">
        <v>44446</v>
      </c>
      <c r="C33" s="2">
        <v>0.32383101851851853</v>
      </c>
      <c r="D33" s="1">
        <v>44446</v>
      </c>
      <c r="E33" s="3">
        <v>0.40016203703703707</v>
      </c>
      <c r="F33">
        <v>15</v>
      </c>
      <c r="G33">
        <f t="shared" si="0"/>
        <v>34</v>
      </c>
      <c r="H33">
        <v>14</v>
      </c>
      <c r="I33">
        <f t="shared" si="1"/>
        <v>20</v>
      </c>
    </row>
    <row r="34" spans="1:9" x14ac:dyDescent="0.3">
      <c r="A34">
        <v>33</v>
      </c>
      <c r="B34" s="1">
        <v>44446</v>
      </c>
      <c r="C34" s="2">
        <v>0.46467592592592594</v>
      </c>
      <c r="D34" s="1">
        <v>44446</v>
      </c>
      <c r="E34" s="3">
        <v>0.52171296296296299</v>
      </c>
      <c r="F34">
        <v>12</v>
      </c>
      <c r="G34">
        <f t="shared" si="0"/>
        <v>32</v>
      </c>
      <c r="H34">
        <v>23</v>
      </c>
      <c r="I34">
        <f t="shared" si="1"/>
        <v>9</v>
      </c>
    </row>
    <row r="35" spans="1:9" x14ac:dyDescent="0.3">
      <c r="A35">
        <v>34</v>
      </c>
      <c r="B35" s="1">
        <v>44446</v>
      </c>
      <c r="C35" s="2">
        <v>0.57347222222222227</v>
      </c>
      <c r="D35" s="1">
        <v>44446</v>
      </c>
      <c r="E35" s="3">
        <v>0.64879629629629632</v>
      </c>
      <c r="F35">
        <v>17</v>
      </c>
      <c r="G35">
        <f t="shared" si="0"/>
        <v>26</v>
      </c>
      <c r="H35">
        <v>6</v>
      </c>
      <c r="I35">
        <f t="shared" si="1"/>
        <v>20</v>
      </c>
    </row>
    <row r="36" spans="1:9" x14ac:dyDescent="0.3">
      <c r="A36">
        <v>35</v>
      </c>
      <c r="B36" s="1">
        <v>44446</v>
      </c>
      <c r="C36" s="2">
        <v>0.70577546296296301</v>
      </c>
      <c r="D36" s="1">
        <v>44446</v>
      </c>
      <c r="E36" s="3">
        <v>0.7917939814814815</v>
      </c>
      <c r="F36">
        <v>19</v>
      </c>
      <c r="G36">
        <f t="shared" si="0"/>
        <v>39</v>
      </c>
      <c r="H36">
        <v>16</v>
      </c>
      <c r="I36">
        <f t="shared" si="1"/>
        <v>23</v>
      </c>
    </row>
    <row r="37" spans="1:9" x14ac:dyDescent="0.3">
      <c r="A37">
        <v>36</v>
      </c>
      <c r="B37" s="1">
        <v>44446</v>
      </c>
      <c r="C37" s="2">
        <v>0.84167824074074071</v>
      </c>
      <c r="D37" s="1">
        <v>44446</v>
      </c>
      <c r="E37" s="3">
        <v>0.9406944444444445</v>
      </c>
      <c r="F37">
        <v>11</v>
      </c>
      <c r="G37">
        <f t="shared" si="0"/>
        <v>34</v>
      </c>
      <c r="H37">
        <v>14</v>
      </c>
      <c r="I37">
        <f t="shared" si="1"/>
        <v>20</v>
      </c>
    </row>
    <row r="38" spans="1:9" x14ac:dyDescent="0.3">
      <c r="A38">
        <v>37</v>
      </c>
      <c r="B38" s="1">
        <v>44447</v>
      </c>
      <c r="C38" s="2">
        <v>0.13560185185185183</v>
      </c>
      <c r="D38" s="1">
        <v>44447</v>
      </c>
      <c r="E38" s="3">
        <v>0.26116898148148149</v>
      </c>
      <c r="F38">
        <v>13</v>
      </c>
      <c r="G38">
        <f t="shared" si="0"/>
        <v>33</v>
      </c>
      <c r="H38">
        <v>22</v>
      </c>
      <c r="I38">
        <f t="shared" si="1"/>
        <v>11</v>
      </c>
    </row>
    <row r="39" spans="1:9" x14ac:dyDescent="0.3">
      <c r="A39">
        <v>38</v>
      </c>
      <c r="B39" s="1">
        <v>44447</v>
      </c>
      <c r="C39" s="2">
        <v>0.32587962962962963</v>
      </c>
      <c r="D39" s="1">
        <v>44447</v>
      </c>
      <c r="E39" s="3">
        <v>0.39796296296296302</v>
      </c>
      <c r="F39">
        <v>11</v>
      </c>
      <c r="G39">
        <f t="shared" si="0"/>
        <v>22</v>
      </c>
      <c r="H39">
        <v>4</v>
      </c>
      <c r="I39">
        <f t="shared" si="1"/>
        <v>18</v>
      </c>
    </row>
    <row r="40" spans="1:9" x14ac:dyDescent="0.3">
      <c r="A40">
        <v>39</v>
      </c>
      <c r="B40" s="1">
        <v>44447</v>
      </c>
      <c r="C40" s="2">
        <v>0.41761574074074076</v>
      </c>
      <c r="D40" s="1">
        <v>44447</v>
      </c>
      <c r="E40" s="3">
        <v>0.52447916666666672</v>
      </c>
      <c r="F40">
        <v>14</v>
      </c>
      <c r="G40">
        <f t="shared" si="0"/>
        <v>32</v>
      </c>
      <c r="H40">
        <v>21</v>
      </c>
      <c r="I40">
        <f t="shared" si="1"/>
        <v>11</v>
      </c>
    </row>
    <row r="41" spans="1:9" x14ac:dyDescent="0.3">
      <c r="A41">
        <v>40</v>
      </c>
      <c r="B41" s="1">
        <v>44447</v>
      </c>
      <c r="C41" s="2">
        <v>0.59138888888888885</v>
      </c>
      <c r="D41" s="1">
        <v>44447</v>
      </c>
      <c r="E41" s="3">
        <v>0.68494212962962964</v>
      </c>
      <c r="F41">
        <v>16</v>
      </c>
      <c r="G41">
        <f t="shared" si="0"/>
        <v>27</v>
      </c>
      <c r="H41">
        <v>9</v>
      </c>
      <c r="I41">
        <f t="shared" si="1"/>
        <v>18</v>
      </c>
    </row>
    <row r="42" spans="1:9" x14ac:dyDescent="0.3">
      <c r="A42">
        <v>41</v>
      </c>
      <c r="B42" s="1">
        <v>44447</v>
      </c>
      <c r="C42" s="2">
        <v>0.7338541666666667</v>
      </c>
      <c r="D42" s="1">
        <v>44447</v>
      </c>
      <c r="E42" s="3">
        <v>0.77248842592592604</v>
      </c>
      <c r="F42">
        <v>12</v>
      </c>
      <c r="G42">
        <f t="shared" si="0"/>
        <v>30</v>
      </c>
      <c r="H42">
        <v>24</v>
      </c>
      <c r="I42">
        <f t="shared" si="1"/>
        <v>6</v>
      </c>
    </row>
    <row r="43" spans="1:9" x14ac:dyDescent="0.3">
      <c r="A43">
        <v>42</v>
      </c>
      <c r="B43" s="1">
        <v>44447</v>
      </c>
      <c r="C43" s="2">
        <v>0.83333333333333337</v>
      </c>
      <c r="D43" s="1">
        <v>44447</v>
      </c>
      <c r="E43" s="3">
        <v>0.89694444444444443</v>
      </c>
      <c r="F43">
        <v>9</v>
      </c>
      <c r="G43">
        <f t="shared" si="0"/>
        <v>15</v>
      </c>
      <c r="H43">
        <v>2</v>
      </c>
      <c r="I43">
        <f t="shared" si="1"/>
        <v>13</v>
      </c>
    </row>
    <row r="44" spans="1:9" x14ac:dyDescent="0.3">
      <c r="A44">
        <v>43</v>
      </c>
      <c r="B44" s="1">
        <v>44448</v>
      </c>
      <c r="C44" s="2">
        <v>0.25793981481481482</v>
      </c>
      <c r="D44" s="1">
        <v>44448</v>
      </c>
      <c r="E44" s="3">
        <v>0.32356481481481481</v>
      </c>
      <c r="F44">
        <v>9</v>
      </c>
      <c r="G44">
        <f t="shared" si="0"/>
        <v>22</v>
      </c>
      <c r="H44">
        <v>4</v>
      </c>
      <c r="I44">
        <f t="shared" si="1"/>
        <v>18</v>
      </c>
    </row>
    <row r="45" spans="1:9" x14ac:dyDescent="0.3">
      <c r="A45">
        <v>44</v>
      </c>
      <c r="B45" s="1">
        <v>44448</v>
      </c>
      <c r="C45" s="2">
        <v>0.41349537037037037</v>
      </c>
      <c r="D45" s="1">
        <v>44448</v>
      </c>
      <c r="E45" s="3">
        <v>0.45501157407407411</v>
      </c>
      <c r="F45">
        <v>9</v>
      </c>
      <c r="G45">
        <f t="shared" si="0"/>
        <v>27</v>
      </c>
      <c r="H45">
        <v>14</v>
      </c>
      <c r="I45">
        <f t="shared" si="1"/>
        <v>13</v>
      </c>
    </row>
    <row r="46" spans="1:9" x14ac:dyDescent="0.3">
      <c r="A46">
        <v>45</v>
      </c>
      <c r="B46" s="1">
        <v>44448</v>
      </c>
      <c r="C46" s="2">
        <v>0.50607638888888895</v>
      </c>
      <c r="D46" s="1">
        <v>44448</v>
      </c>
      <c r="E46" s="3">
        <v>0.59107638888888892</v>
      </c>
      <c r="F46">
        <v>12</v>
      </c>
      <c r="G46">
        <f t="shared" si="0"/>
        <v>25</v>
      </c>
      <c r="H46">
        <v>10</v>
      </c>
      <c r="I46">
        <f t="shared" si="1"/>
        <v>15</v>
      </c>
    </row>
    <row r="47" spans="1:9" x14ac:dyDescent="0.3">
      <c r="A47">
        <v>46</v>
      </c>
      <c r="B47" s="1">
        <v>44448</v>
      </c>
      <c r="C47" s="2">
        <v>0.68482638888888892</v>
      </c>
      <c r="D47" s="1">
        <v>44448</v>
      </c>
      <c r="E47" s="3">
        <v>0.77111111111111119</v>
      </c>
      <c r="F47">
        <v>16</v>
      </c>
      <c r="G47">
        <f t="shared" si="0"/>
        <v>31</v>
      </c>
      <c r="H47">
        <v>11</v>
      </c>
      <c r="I47">
        <f t="shared" si="1"/>
        <v>20</v>
      </c>
    </row>
    <row r="48" spans="1:9" x14ac:dyDescent="0.3">
      <c r="A48">
        <v>47</v>
      </c>
      <c r="B48" s="1">
        <v>44448</v>
      </c>
      <c r="C48" s="2">
        <v>0.85435185185185192</v>
      </c>
      <c r="D48" s="1">
        <v>44448</v>
      </c>
      <c r="E48" s="3">
        <v>0.89</v>
      </c>
      <c r="F48">
        <v>13</v>
      </c>
      <c r="G48">
        <f t="shared" si="0"/>
        <v>33</v>
      </c>
      <c r="H48">
        <v>21</v>
      </c>
      <c r="I48">
        <f t="shared" si="1"/>
        <v>12</v>
      </c>
    </row>
    <row r="49" spans="1:9" x14ac:dyDescent="0.3">
      <c r="A49">
        <v>48</v>
      </c>
      <c r="B49" s="1">
        <v>44449</v>
      </c>
      <c r="C49" s="2">
        <v>0.21634259259259259</v>
      </c>
      <c r="D49" s="1">
        <v>44449</v>
      </c>
      <c r="E49" s="3">
        <v>0.30988425925925928</v>
      </c>
      <c r="F49">
        <v>7</v>
      </c>
      <c r="G49">
        <f t="shared" si="0"/>
        <v>19</v>
      </c>
      <c r="H49">
        <v>15</v>
      </c>
      <c r="I49">
        <f t="shared" si="1"/>
        <v>4</v>
      </c>
    </row>
    <row r="50" spans="1:9" x14ac:dyDescent="0.3">
      <c r="A50">
        <v>49</v>
      </c>
      <c r="B50" s="1">
        <v>44449</v>
      </c>
      <c r="C50" s="2">
        <v>0.38201388888888888</v>
      </c>
      <c r="D50" s="1">
        <v>44449</v>
      </c>
      <c r="E50" s="3">
        <v>0.44449074074074074</v>
      </c>
      <c r="F50">
        <v>7</v>
      </c>
      <c r="G50">
        <f t="shared" si="0"/>
        <v>11</v>
      </c>
      <c r="H50">
        <v>0</v>
      </c>
      <c r="I50">
        <f t="shared" si="1"/>
        <v>11</v>
      </c>
    </row>
    <row r="51" spans="1:9" x14ac:dyDescent="0.3">
      <c r="A51">
        <v>50</v>
      </c>
      <c r="B51" s="1">
        <v>44449</v>
      </c>
      <c r="C51" s="2">
        <v>0.49995370370370368</v>
      </c>
      <c r="D51" s="1">
        <v>44449</v>
      </c>
      <c r="E51" s="3">
        <v>0.59361111111111109</v>
      </c>
      <c r="F51">
        <v>7</v>
      </c>
      <c r="G51">
        <f t="shared" si="0"/>
        <v>18</v>
      </c>
      <c r="H51">
        <v>1</v>
      </c>
      <c r="I51">
        <f t="shared" si="1"/>
        <v>17</v>
      </c>
    </row>
    <row r="52" spans="1:9" x14ac:dyDescent="0.3">
      <c r="A52">
        <v>51</v>
      </c>
      <c r="B52" s="1">
        <v>44449</v>
      </c>
      <c r="C52" s="2">
        <v>0.64993055555555557</v>
      </c>
      <c r="D52" s="1">
        <v>44449</v>
      </c>
      <c r="E52" s="3">
        <v>0.70430555555555552</v>
      </c>
      <c r="F52">
        <v>13</v>
      </c>
      <c r="G52">
        <f t="shared" si="0"/>
        <v>30</v>
      </c>
      <c r="H52">
        <v>20</v>
      </c>
      <c r="I52">
        <f t="shared" si="1"/>
        <v>10</v>
      </c>
    </row>
    <row r="53" spans="1:9" x14ac:dyDescent="0.3">
      <c r="A53">
        <v>52</v>
      </c>
      <c r="B53" s="1">
        <v>44449</v>
      </c>
      <c r="C53" s="2">
        <v>0.79276620370370365</v>
      </c>
      <c r="D53" s="1">
        <v>44449</v>
      </c>
      <c r="E53" s="3">
        <v>0.82553240740740741</v>
      </c>
      <c r="F53">
        <v>12</v>
      </c>
      <c r="G53">
        <f t="shared" si="0"/>
        <v>22</v>
      </c>
      <c r="H53">
        <v>4</v>
      </c>
      <c r="I53">
        <f t="shared" si="1"/>
        <v>18</v>
      </c>
    </row>
    <row r="54" spans="1:9" x14ac:dyDescent="0.3">
      <c r="A54">
        <v>53</v>
      </c>
      <c r="B54" s="1">
        <v>44449</v>
      </c>
      <c r="C54" s="2">
        <v>0.87574074074074071</v>
      </c>
      <c r="D54" s="1">
        <v>44450</v>
      </c>
      <c r="E54" s="3">
        <v>3.770833333333333E-2</v>
      </c>
      <c r="F54">
        <v>11</v>
      </c>
      <c r="G54">
        <f t="shared" si="0"/>
        <v>29</v>
      </c>
      <c r="H54">
        <v>9</v>
      </c>
      <c r="I54">
        <f t="shared" si="1"/>
        <v>20</v>
      </c>
    </row>
    <row r="55" spans="1:9" x14ac:dyDescent="0.3">
      <c r="A55">
        <v>54</v>
      </c>
      <c r="B55" s="1">
        <v>44450</v>
      </c>
      <c r="C55" s="2">
        <v>0.26106481481481481</v>
      </c>
      <c r="D55" s="1">
        <v>44450</v>
      </c>
      <c r="E55" s="3">
        <v>0.38315972222222222</v>
      </c>
      <c r="F55">
        <v>12</v>
      </c>
      <c r="G55">
        <f t="shared" si="0"/>
        <v>32</v>
      </c>
      <c r="H55">
        <v>21</v>
      </c>
      <c r="I55">
        <f t="shared" si="1"/>
        <v>11</v>
      </c>
    </row>
    <row r="56" spans="1:9" x14ac:dyDescent="0.3">
      <c r="A56">
        <v>55</v>
      </c>
      <c r="B56" s="1">
        <v>44450</v>
      </c>
      <c r="C56" s="2">
        <v>0.46128472222222222</v>
      </c>
      <c r="D56" s="1">
        <v>44450</v>
      </c>
      <c r="E56" s="3">
        <v>0.50633101851851847</v>
      </c>
      <c r="F56">
        <v>14</v>
      </c>
      <c r="G56">
        <f t="shared" si="0"/>
        <v>25</v>
      </c>
      <c r="H56">
        <v>2</v>
      </c>
      <c r="I56">
        <f t="shared" si="1"/>
        <v>23</v>
      </c>
    </row>
    <row r="57" spans="1:9" x14ac:dyDescent="0.3">
      <c r="A57">
        <v>56</v>
      </c>
      <c r="B57" s="1">
        <v>44450</v>
      </c>
      <c r="C57" s="2">
        <v>0.56730324074074068</v>
      </c>
      <c r="D57" s="1">
        <v>44450</v>
      </c>
      <c r="E57" s="3">
        <v>0.60193287037037035</v>
      </c>
      <c r="F57">
        <v>17</v>
      </c>
      <c r="G57">
        <f t="shared" si="0"/>
        <v>40</v>
      </c>
      <c r="H57">
        <v>9</v>
      </c>
      <c r="I57">
        <f t="shared" si="1"/>
        <v>31</v>
      </c>
    </row>
    <row r="58" spans="1:9" x14ac:dyDescent="0.3">
      <c r="A58">
        <v>57</v>
      </c>
      <c r="B58" s="1">
        <v>44450</v>
      </c>
      <c r="C58" s="2">
        <v>0.66475694444444444</v>
      </c>
      <c r="D58" s="1">
        <v>44450</v>
      </c>
      <c r="E58" s="3">
        <v>0.71930555555555553</v>
      </c>
      <c r="F58">
        <v>3</v>
      </c>
      <c r="G58">
        <f t="shared" si="0"/>
        <v>34</v>
      </c>
      <c r="H58">
        <v>9</v>
      </c>
      <c r="I58">
        <f t="shared" si="1"/>
        <v>25</v>
      </c>
    </row>
    <row r="59" spans="1:9" x14ac:dyDescent="0.3">
      <c r="A59">
        <v>58</v>
      </c>
      <c r="B59" s="1">
        <v>44450</v>
      </c>
      <c r="C59" s="2">
        <v>0.79238425925925926</v>
      </c>
      <c r="D59" s="1">
        <v>44450</v>
      </c>
      <c r="E59" s="3">
        <v>0.88265046296296301</v>
      </c>
      <c r="F59">
        <v>11</v>
      </c>
      <c r="G59">
        <f t="shared" si="0"/>
        <v>36</v>
      </c>
      <c r="H59">
        <v>3</v>
      </c>
      <c r="I59">
        <f t="shared" si="1"/>
        <v>33</v>
      </c>
    </row>
    <row r="60" spans="1:9" x14ac:dyDescent="0.3">
      <c r="A60">
        <v>59</v>
      </c>
      <c r="B60" s="1">
        <v>44451</v>
      </c>
      <c r="C60" s="2">
        <v>0.16666666666666666</v>
      </c>
      <c r="D60" s="1">
        <v>44451</v>
      </c>
      <c r="E60" s="3">
        <v>0.23270833333333332</v>
      </c>
      <c r="F60">
        <v>8</v>
      </c>
      <c r="G60">
        <f t="shared" si="0"/>
        <v>41</v>
      </c>
      <c r="H60">
        <v>4</v>
      </c>
      <c r="I60">
        <f t="shared" si="1"/>
        <v>37</v>
      </c>
    </row>
    <row r="61" spans="1:9" x14ac:dyDescent="0.3">
      <c r="A61">
        <v>60</v>
      </c>
      <c r="B61" s="1">
        <v>44451</v>
      </c>
      <c r="C61" s="2">
        <v>0.34324074074074074</v>
      </c>
      <c r="D61" s="1">
        <v>44451</v>
      </c>
      <c r="E61" s="3">
        <v>0.42799768518518522</v>
      </c>
      <c r="F61">
        <v>1</v>
      </c>
      <c r="G61">
        <f t="shared" si="0"/>
        <v>38</v>
      </c>
      <c r="H61">
        <v>6</v>
      </c>
      <c r="I61">
        <f t="shared" si="1"/>
        <v>32</v>
      </c>
    </row>
    <row r="62" spans="1:9" x14ac:dyDescent="0.3">
      <c r="A62">
        <v>61</v>
      </c>
      <c r="B62" s="1">
        <v>44451</v>
      </c>
      <c r="C62" s="2">
        <v>0.52084490740740741</v>
      </c>
      <c r="D62" s="1">
        <v>44451</v>
      </c>
      <c r="E62" s="3">
        <v>0.59403935185185186</v>
      </c>
      <c r="F62">
        <v>4</v>
      </c>
      <c r="G62">
        <f t="shared" si="0"/>
        <v>36</v>
      </c>
      <c r="H62">
        <v>21</v>
      </c>
      <c r="I62">
        <f t="shared" si="1"/>
        <v>15</v>
      </c>
    </row>
    <row r="63" spans="1:9" x14ac:dyDescent="0.3">
      <c r="A63">
        <v>62</v>
      </c>
      <c r="B63" s="1">
        <v>44451</v>
      </c>
      <c r="C63" s="2">
        <v>0.73968750000000005</v>
      </c>
      <c r="D63" s="1">
        <v>44451</v>
      </c>
      <c r="E63" s="3">
        <v>0.79862268518518509</v>
      </c>
      <c r="F63">
        <v>9</v>
      </c>
      <c r="G63">
        <f t="shared" si="0"/>
        <v>24</v>
      </c>
      <c r="H63">
        <v>11</v>
      </c>
      <c r="I63">
        <f t="shared" si="1"/>
        <v>13</v>
      </c>
    </row>
    <row r="64" spans="1:9" x14ac:dyDescent="0.3">
      <c r="A64">
        <v>63</v>
      </c>
      <c r="B64" s="1">
        <v>44452</v>
      </c>
      <c r="C64" s="2">
        <v>0.21440972222222221</v>
      </c>
      <c r="D64" s="1">
        <v>44452</v>
      </c>
      <c r="E64" s="3">
        <v>0.38071759259259258</v>
      </c>
      <c r="F64">
        <v>12</v>
      </c>
      <c r="G64">
        <f t="shared" si="0"/>
        <v>25</v>
      </c>
      <c r="H64">
        <v>7</v>
      </c>
      <c r="I64">
        <f t="shared" si="1"/>
        <v>18</v>
      </c>
    </row>
    <row r="65" spans="1:9" x14ac:dyDescent="0.3">
      <c r="A65">
        <v>64</v>
      </c>
      <c r="B65" s="1">
        <v>44452</v>
      </c>
      <c r="C65" s="2">
        <v>0.46302083333333338</v>
      </c>
      <c r="D65" s="1">
        <v>44452</v>
      </c>
      <c r="E65" s="3">
        <v>0.53340277777777778</v>
      </c>
      <c r="F65">
        <v>11</v>
      </c>
      <c r="G65">
        <f t="shared" si="0"/>
        <v>29</v>
      </c>
      <c r="H65">
        <v>13</v>
      </c>
      <c r="I65">
        <f t="shared" si="1"/>
        <v>16</v>
      </c>
    </row>
    <row r="66" spans="1:9" x14ac:dyDescent="0.3">
      <c r="A66">
        <v>65</v>
      </c>
      <c r="B66" s="1">
        <v>44452</v>
      </c>
      <c r="C66" s="2">
        <v>0.55218749999999994</v>
      </c>
      <c r="D66" s="1">
        <v>44452</v>
      </c>
      <c r="E66" s="3">
        <v>0.62197916666666664</v>
      </c>
      <c r="F66">
        <v>16</v>
      </c>
      <c r="G66">
        <f t="shared" si="0"/>
        <v>32</v>
      </c>
      <c r="H66">
        <v>21</v>
      </c>
      <c r="I66">
        <f t="shared" si="1"/>
        <v>11</v>
      </c>
    </row>
    <row r="67" spans="1:9" x14ac:dyDescent="0.3">
      <c r="A67">
        <v>66</v>
      </c>
      <c r="B67" s="1">
        <v>44452</v>
      </c>
      <c r="C67" s="2">
        <v>0.6699652777777777</v>
      </c>
      <c r="D67" s="1">
        <v>44452</v>
      </c>
      <c r="E67" s="3">
        <v>0.75</v>
      </c>
      <c r="F67">
        <v>19</v>
      </c>
      <c r="G67">
        <f t="shared" si="0"/>
        <v>30</v>
      </c>
      <c r="H67">
        <v>10</v>
      </c>
      <c r="I67">
        <f t="shared" si="1"/>
        <v>20</v>
      </c>
    </row>
    <row r="68" spans="1:9" x14ac:dyDescent="0.3">
      <c r="A68">
        <v>67</v>
      </c>
      <c r="B68" s="1">
        <v>44452</v>
      </c>
      <c r="C68" s="2">
        <v>0.83971064814814822</v>
      </c>
      <c r="D68" s="1">
        <v>44452</v>
      </c>
      <c r="E68" s="3">
        <v>0.9196643518518518</v>
      </c>
      <c r="F68">
        <v>3</v>
      </c>
      <c r="G68">
        <f t="shared" ref="G68:G131" si="2">I67+F68</f>
        <v>23</v>
      </c>
      <c r="H68">
        <v>0</v>
      </c>
      <c r="I68">
        <f t="shared" ref="I68:I131" si="3">G68-H68</f>
        <v>23</v>
      </c>
    </row>
    <row r="69" spans="1:9" x14ac:dyDescent="0.3">
      <c r="A69">
        <v>68</v>
      </c>
      <c r="B69" s="1">
        <v>44453</v>
      </c>
      <c r="C69" s="2">
        <v>0.17733796296296298</v>
      </c>
      <c r="D69" s="1">
        <v>44453</v>
      </c>
      <c r="E69" s="3">
        <v>0.26</v>
      </c>
      <c r="F69">
        <v>12</v>
      </c>
      <c r="G69">
        <f t="shared" si="2"/>
        <v>35</v>
      </c>
      <c r="H69">
        <v>21</v>
      </c>
      <c r="I69">
        <f t="shared" si="3"/>
        <v>14</v>
      </c>
    </row>
    <row r="70" spans="1:9" x14ac:dyDescent="0.3">
      <c r="A70">
        <v>69</v>
      </c>
      <c r="B70" s="1">
        <v>44453</v>
      </c>
      <c r="C70" s="2">
        <v>0.34437500000000004</v>
      </c>
      <c r="D70" s="1">
        <v>44453</v>
      </c>
      <c r="E70" s="3">
        <v>0.42008101851851848</v>
      </c>
      <c r="F70">
        <v>17</v>
      </c>
      <c r="G70">
        <f t="shared" si="2"/>
        <v>31</v>
      </c>
      <c r="H70">
        <v>20</v>
      </c>
      <c r="I70">
        <f t="shared" si="3"/>
        <v>11</v>
      </c>
    </row>
    <row r="71" spans="1:9" x14ac:dyDescent="0.3">
      <c r="A71">
        <v>70</v>
      </c>
      <c r="B71" s="1">
        <v>44453</v>
      </c>
      <c r="C71" s="2">
        <v>0.5</v>
      </c>
      <c r="D71" s="1">
        <v>44453</v>
      </c>
      <c r="E71" s="3">
        <v>0.58119212962962963</v>
      </c>
      <c r="F71">
        <v>11</v>
      </c>
      <c r="G71">
        <f t="shared" si="2"/>
        <v>22</v>
      </c>
      <c r="H71">
        <v>22</v>
      </c>
      <c r="I71">
        <f t="shared" si="3"/>
        <v>0</v>
      </c>
    </row>
    <row r="72" spans="1:9" x14ac:dyDescent="0.3">
      <c r="A72">
        <v>71</v>
      </c>
      <c r="B72" s="1">
        <v>44453</v>
      </c>
      <c r="C72" s="2">
        <v>0.64340277777777777</v>
      </c>
      <c r="D72" s="1">
        <v>44453</v>
      </c>
      <c r="E72" s="3">
        <v>0.7085069444444444</v>
      </c>
      <c r="F72">
        <v>7</v>
      </c>
      <c r="G72">
        <f t="shared" si="2"/>
        <v>7</v>
      </c>
      <c r="H72">
        <v>2</v>
      </c>
      <c r="I72">
        <f t="shared" si="3"/>
        <v>5</v>
      </c>
    </row>
    <row r="73" spans="1:9" x14ac:dyDescent="0.3">
      <c r="A73">
        <v>72</v>
      </c>
      <c r="B73" s="1">
        <v>44453</v>
      </c>
      <c r="C73" s="2">
        <v>0.77552083333333333</v>
      </c>
      <c r="D73" s="1">
        <v>44453</v>
      </c>
      <c r="E73" s="3">
        <v>0.80270833333333336</v>
      </c>
      <c r="F73">
        <v>8</v>
      </c>
      <c r="G73">
        <f t="shared" si="2"/>
        <v>13</v>
      </c>
      <c r="H73">
        <v>7</v>
      </c>
      <c r="I73">
        <f t="shared" si="3"/>
        <v>6</v>
      </c>
    </row>
    <row r="74" spans="1:9" x14ac:dyDescent="0.3">
      <c r="A74">
        <v>73</v>
      </c>
      <c r="B74" s="1">
        <v>44453</v>
      </c>
      <c r="C74" s="2">
        <v>0.87285879629629637</v>
      </c>
      <c r="D74" s="1">
        <v>44453</v>
      </c>
      <c r="E74" s="3">
        <v>0.91951388888888885</v>
      </c>
      <c r="F74">
        <v>6</v>
      </c>
      <c r="G74">
        <f t="shared" si="2"/>
        <v>12</v>
      </c>
      <c r="H74">
        <v>1</v>
      </c>
      <c r="I74">
        <f t="shared" si="3"/>
        <v>11</v>
      </c>
    </row>
    <row r="75" spans="1:9" x14ac:dyDescent="0.3">
      <c r="A75">
        <v>74</v>
      </c>
      <c r="B75" s="1">
        <v>44454</v>
      </c>
      <c r="C75" s="2">
        <v>4.2361111111111106E-2</v>
      </c>
      <c r="D75" s="1">
        <v>44454</v>
      </c>
      <c r="E75" s="3">
        <v>0.17298611111111109</v>
      </c>
      <c r="F75">
        <v>0</v>
      </c>
      <c r="G75">
        <f t="shared" si="2"/>
        <v>11</v>
      </c>
      <c r="H75">
        <v>6</v>
      </c>
      <c r="I75">
        <f t="shared" si="3"/>
        <v>5</v>
      </c>
    </row>
    <row r="76" spans="1:9" x14ac:dyDescent="0.3">
      <c r="A76">
        <v>75</v>
      </c>
      <c r="B76" s="1">
        <v>44454</v>
      </c>
      <c r="C76" s="2">
        <v>0.28885416666666669</v>
      </c>
      <c r="D76" s="1">
        <v>44454</v>
      </c>
      <c r="E76" s="3">
        <v>0.34437500000000004</v>
      </c>
      <c r="F76">
        <v>0</v>
      </c>
      <c r="G76">
        <f t="shared" si="2"/>
        <v>5</v>
      </c>
      <c r="H76">
        <v>5</v>
      </c>
      <c r="I76">
        <f t="shared" si="3"/>
        <v>0</v>
      </c>
    </row>
    <row r="77" spans="1:9" x14ac:dyDescent="0.3">
      <c r="A77">
        <v>76</v>
      </c>
      <c r="B77" s="1">
        <v>44454</v>
      </c>
      <c r="C77" s="2">
        <v>0.42424768518518513</v>
      </c>
      <c r="D77" s="1">
        <v>44454</v>
      </c>
      <c r="E77" s="3">
        <v>0.53179398148148149</v>
      </c>
      <c r="F77">
        <v>10</v>
      </c>
      <c r="G77">
        <f t="shared" si="2"/>
        <v>10</v>
      </c>
      <c r="H77">
        <v>1</v>
      </c>
      <c r="I77">
        <f t="shared" si="3"/>
        <v>9</v>
      </c>
    </row>
    <row r="78" spans="1:9" x14ac:dyDescent="0.3">
      <c r="A78">
        <v>77</v>
      </c>
      <c r="B78" s="1">
        <v>44454</v>
      </c>
      <c r="C78" s="2">
        <v>0.5991319444444444</v>
      </c>
      <c r="D78" s="1">
        <v>44454</v>
      </c>
      <c r="E78" s="3">
        <v>0.63361111111111112</v>
      </c>
      <c r="F78">
        <v>14</v>
      </c>
      <c r="G78">
        <f t="shared" si="2"/>
        <v>23</v>
      </c>
      <c r="H78">
        <v>21</v>
      </c>
      <c r="I78">
        <f t="shared" si="3"/>
        <v>2</v>
      </c>
    </row>
    <row r="79" spans="1:9" x14ac:dyDescent="0.3">
      <c r="A79">
        <v>78</v>
      </c>
      <c r="B79" s="1">
        <v>44454</v>
      </c>
      <c r="C79" s="2">
        <v>0.7228472222222222</v>
      </c>
      <c r="D79" s="1">
        <v>44454</v>
      </c>
      <c r="E79" s="3">
        <v>0.77552083333333333</v>
      </c>
      <c r="F79">
        <v>4</v>
      </c>
      <c r="G79">
        <f t="shared" si="2"/>
        <v>6</v>
      </c>
      <c r="H79">
        <v>1</v>
      </c>
      <c r="I79">
        <f t="shared" si="3"/>
        <v>5</v>
      </c>
    </row>
    <row r="80" spans="1:9" x14ac:dyDescent="0.3">
      <c r="A80">
        <v>79</v>
      </c>
      <c r="B80" s="1">
        <v>44454</v>
      </c>
      <c r="C80" s="2">
        <v>0.86644675925925929</v>
      </c>
      <c r="D80" s="1">
        <v>44454</v>
      </c>
      <c r="E80" s="3">
        <v>0.90680555555555553</v>
      </c>
      <c r="F80">
        <v>7</v>
      </c>
      <c r="G80">
        <f t="shared" si="2"/>
        <v>12</v>
      </c>
      <c r="H80">
        <v>2</v>
      </c>
      <c r="I80">
        <f t="shared" si="3"/>
        <v>10</v>
      </c>
    </row>
    <row r="81" spans="1:9" x14ac:dyDescent="0.3">
      <c r="A81">
        <v>80</v>
      </c>
      <c r="B81" s="1">
        <v>44455</v>
      </c>
      <c r="C81" s="2">
        <v>0.13571759259259261</v>
      </c>
      <c r="D81" s="1">
        <v>44455</v>
      </c>
      <c r="E81" s="3">
        <v>0.25288194444444445</v>
      </c>
      <c r="F81">
        <v>13</v>
      </c>
      <c r="G81">
        <f t="shared" si="2"/>
        <v>23</v>
      </c>
      <c r="H81">
        <v>5</v>
      </c>
      <c r="I81">
        <f t="shared" si="3"/>
        <v>18</v>
      </c>
    </row>
    <row r="82" spans="1:9" x14ac:dyDescent="0.3">
      <c r="A82">
        <v>81</v>
      </c>
      <c r="B82" s="1">
        <v>44455</v>
      </c>
      <c r="C82" s="2">
        <v>0.29960648148148145</v>
      </c>
      <c r="D82" s="1">
        <v>44455</v>
      </c>
      <c r="E82" s="3">
        <v>0.37712962962962965</v>
      </c>
      <c r="F82">
        <v>13</v>
      </c>
      <c r="G82">
        <f t="shared" si="2"/>
        <v>31</v>
      </c>
      <c r="H82">
        <v>11</v>
      </c>
      <c r="I82">
        <f t="shared" si="3"/>
        <v>20</v>
      </c>
    </row>
    <row r="83" spans="1:9" x14ac:dyDescent="0.3">
      <c r="A83">
        <v>82</v>
      </c>
      <c r="B83" s="1">
        <v>44455</v>
      </c>
      <c r="C83" s="2">
        <v>0.46118055555555554</v>
      </c>
      <c r="D83" s="1">
        <v>44455</v>
      </c>
      <c r="E83" s="3">
        <v>0.5005208333333333</v>
      </c>
      <c r="F83">
        <v>14</v>
      </c>
      <c r="G83">
        <f t="shared" si="2"/>
        <v>34</v>
      </c>
      <c r="H83">
        <v>9</v>
      </c>
      <c r="I83">
        <f t="shared" si="3"/>
        <v>25</v>
      </c>
    </row>
    <row r="84" spans="1:9" x14ac:dyDescent="0.3">
      <c r="A84">
        <v>83</v>
      </c>
      <c r="B84" s="1">
        <v>44455</v>
      </c>
      <c r="C84" s="2">
        <v>0.57986111111111105</v>
      </c>
      <c r="D84" s="1">
        <v>44455</v>
      </c>
      <c r="E84" s="3">
        <v>0.61469907407407409</v>
      </c>
      <c r="F84">
        <v>14</v>
      </c>
      <c r="G84">
        <f t="shared" si="2"/>
        <v>39</v>
      </c>
      <c r="H84">
        <v>9</v>
      </c>
      <c r="I84">
        <f t="shared" si="3"/>
        <v>30</v>
      </c>
    </row>
    <row r="85" spans="1:9" x14ac:dyDescent="0.3">
      <c r="A85">
        <v>84</v>
      </c>
      <c r="B85" s="1">
        <v>44455</v>
      </c>
      <c r="C85" s="2">
        <v>0.67444444444444451</v>
      </c>
      <c r="D85" s="1">
        <v>44455</v>
      </c>
      <c r="E85" s="3">
        <v>0.72362268518518524</v>
      </c>
      <c r="F85">
        <v>12</v>
      </c>
      <c r="G85">
        <f t="shared" si="2"/>
        <v>42</v>
      </c>
      <c r="H85">
        <v>7</v>
      </c>
      <c r="I85">
        <f t="shared" si="3"/>
        <v>35</v>
      </c>
    </row>
    <row r="86" spans="1:9" x14ac:dyDescent="0.3">
      <c r="A86">
        <v>85</v>
      </c>
      <c r="B86" s="1">
        <v>44455</v>
      </c>
      <c r="C86" s="2">
        <v>0.7926157407407407</v>
      </c>
      <c r="D86" s="1">
        <v>44455</v>
      </c>
      <c r="E86" s="3">
        <v>0.86523148148148143</v>
      </c>
      <c r="F86">
        <v>2</v>
      </c>
      <c r="G86">
        <f t="shared" si="2"/>
        <v>37</v>
      </c>
      <c r="H86">
        <v>19</v>
      </c>
      <c r="I86">
        <f t="shared" si="3"/>
        <v>18</v>
      </c>
    </row>
    <row r="87" spans="1:9" x14ac:dyDescent="0.3">
      <c r="A87">
        <v>86</v>
      </c>
      <c r="B87" s="1">
        <v>44456</v>
      </c>
      <c r="C87" s="2">
        <v>0.28914351851851855</v>
      </c>
      <c r="D87" s="1">
        <v>44456</v>
      </c>
      <c r="E87" s="3">
        <v>0.33407407407407402</v>
      </c>
      <c r="F87">
        <v>4</v>
      </c>
      <c r="G87">
        <f t="shared" si="2"/>
        <v>22</v>
      </c>
      <c r="H87">
        <v>11</v>
      </c>
      <c r="I87">
        <f t="shared" si="3"/>
        <v>11</v>
      </c>
    </row>
    <row r="88" spans="1:9" x14ac:dyDescent="0.3">
      <c r="A88">
        <v>87</v>
      </c>
      <c r="B88" s="1">
        <v>44456</v>
      </c>
      <c r="C88" s="2">
        <v>0.45840277777777777</v>
      </c>
      <c r="D88" s="1">
        <v>44456</v>
      </c>
      <c r="E88" s="3">
        <v>0.47927083333333331</v>
      </c>
      <c r="F88">
        <v>21</v>
      </c>
      <c r="G88">
        <f t="shared" si="2"/>
        <v>32</v>
      </c>
      <c r="H88">
        <v>15</v>
      </c>
      <c r="I88">
        <f t="shared" si="3"/>
        <v>17</v>
      </c>
    </row>
    <row r="89" spans="1:9" x14ac:dyDescent="0.3">
      <c r="A89">
        <v>88</v>
      </c>
      <c r="B89" s="1">
        <v>44456</v>
      </c>
      <c r="C89" s="2">
        <v>0.55218749999999994</v>
      </c>
      <c r="D89" s="1">
        <v>44456</v>
      </c>
      <c r="E89" s="3">
        <v>0.62156250000000002</v>
      </c>
      <c r="F89">
        <v>7</v>
      </c>
      <c r="G89">
        <f t="shared" si="2"/>
        <v>24</v>
      </c>
      <c r="H89">
        <v>13</v>
      </c>
      <c r="I89">
        <f t="shared" si="3"/>
        <v>11</v>
      </c>
    </row>
    <row r="90" spans="1:9" x14ac:dyDescent="0.3">
      <c r="A90">
        <v>89</v>
      </c>
      <c r="B90" s="1">
        <v>44456</v>
      </c>
      <c r="C90" s="2">
        <v>0.64994212962962961</v>
      </c>
      <c r="D90" s="1">
        <v>44456</v>
      </c>
      <c r="E90" s="3">
        <v>0.71797453703703706</v>
      </c>
      <c r="F90">
        <v>14</v>
      </c>
      <c r="G90">
        <f t="shared" si="2"/>
        <v>25</v>
      </c>
      <c r="H90">
        <v>16</v>
      </c>
      <c r="I90">
        <f t="shared" si="3"/>
        <v>9</v>
      </c>
    </row>
    <row r="91" spans="1:9" x14ac:dyDescent="0.3">
      <c r="A91">
        <v>90</v>
      </c>
      <c r="B91" s="1">
        <v>44456</v>
      </c>
      <c r="C91" s="2">
        <v>0.80049768518518516</v>
      </c>
      <c r="D91" s="1">
        <v>44456</v>
      </c>
      <c r="E91" s="3">
        <v>0.86509259259259252</v>
      </c>
      <c r="F91">
        <v>7</v>
      </c>
      <c r="G91">
        <f t="shared" si="2"/>
        <v>16</v>
      </c>
      <c r="H91">
        <v>0</v>
      </c>
      <c r="I91">
        <f t="shared" si="3"/>
        <v>16</v>
      </c>
    </row>
    <row r="92" spans="1:9" x14ac:dyDescent="0.3">
      <c r="A92">
        <v>91</v>
      </c>
      <c r="B92" s="1">
        <v>44457</v>
      </c>
      <c r="C92" s="2">
        <v>0.21187500000000001</v>
      </c>
      <c r="D92" s="1">
        <v>44457</v>
      </c>
      <c r="E92" s="3">
        <v>0.26673611111111112</v>
      </c>
      <c r="F92">
        <v>17</v>
      </c>
      <c r="G92">
        <f t="shared" si="2"/>
        <v>33</v>
      </c>
      <c r="H92">
        <v>15</v>
      </c>
      <c r="I92">
        <f t="shared" si="3"/>
        <v>18</v>
      </c>
    </row>
    <row r="93" spans="1:9" x14ac:dyDescent="0.3">
      <c r="A93">
        <v>92</v>
      </c>
      <c r="B93" s="1">
        <v>44457</v>
      </c>
      <c r="C93" s="2">
        <v>0.38490740740740742</v>
      </c>
      <c r="D93" s="1">
        <v>44457</v>
      </c>
      <c r="E93" s="3">
        <v>0.41679398148148145</v>
      </c>
      <c r="F93">
        <v>5</v>
      </c>
      <c r="G93">
        <f t="shared" si="2"/>
        <v>23</v>
      </c>
      <c r="H93">
        <v>8</v>
      </c>
      <c r="I93">
        <f t="shared" si="3"/>
        <v>15</v>
      </c>
    </row>
    <row r="94" spans="1:9" x14ac:dyDescent="0.3">
      <c r="A94">
        <v>93</v>
      </c>
      <c r="B94" s="1">
        <v>44457</v>
      </c>
      <c r="C94" s="2">
        <v>0.47458333333333336</v>
      </c>
      <c r="D94" s="1">
        <v>44457</v>
      </c>
      <c r="E94" s="3">
        <v>0.5599884259259259</v>
      </c>
      <c r="F94">
        <v>14</v>
      </c>
      <c r="G94">
        <f t="shared" si="2"/>
        <v>29</v>
      </c>
      <c r="H94">
        <v>9</v>
      </c>
      <c r="I94">
        <f t="shared" si="3"/>
        <v>20</v>
      </c>
    </row>
    <row r="95" spans="1:9" x14ac:dyDescent="0.3">
      <c r="A95">
        <v>94</v>
      </c>
      <c r="B95" s="1">
        <v>44457</v>
      </c>
      <c r="C95" s="2">
        <v>0.62175925925925923</v>
      </c>
      <c r="D95" s="1">
        <v>44457</v>
      </c>
      <c r="E95" s="3">
        <v>0.64258101851851845</v>
      </c>
      <c r="F95">
        <v>11</v>
      </c>
      <c r="G95">
        <f t="shared" si="2"/>
        <v>31</v>
      </c>
      <c r="H95">
        <v>17</v>
      </c>
      <c r="I95">
        <f t="shared" si="3"/>
        <v>14</v>
      </c>
    </row>
    <row r="96" spans="1:9" x14ac:dyDescent="0.3">
      <c r="A96">
        <v>95</v>
      </c>
      <c r="B96" s="1">
        <v>44457</v>
      </c>
      <c r="C96" s="2">
        <v>0.72517361111111101</v>
      </c>
      <c r="D96" s="1">
        <v>44457</v>
      </c>
      <c r="E96" s="3">
        <v>0.78138888888888891</v>
      </c>
      <c r="F96">
        <v>7</v>
      </c>
      <c r="G96">
        <f t="shared" si="2"/>
        <v>21</v>
      </c>
      <c r="H96">
        <v>16</v>
      </c>
      <c r="I96">
        <f t="shared" si="3"/>
        <v>5</v>
      </c>
    </row>
    <row r="97" spans="1:9" x14ac:dyDescent="0.3">
      <c r="A97">
        <v>96</v>
      </c>
      <c r="B97" s="1">
        <v>44458</v>
      </c>
      <c r="C97" s="2">
        <v>0.37921296296296297</v>
      </c>
      <c r="D97" s="1">
        <v>44458</v>
      </c>
      <c r="E97" s="3">
        <v>0.44873842592592594</v>
      </c>
      <c r="F97">
        <v>5</v>
      </c>
      <c r="G97">
        <f t="shared" si="2"/>
        <v>10</v>
      </c>
      <c r="H97">
        <v>1</v>
      </c>
      <c r="I97">
        <f t="shared" si="3"/>
        <v>9</v>
      </c>
    </row>
    <row r="98" spans="1:9" x14ac:dyDescent="0.3">
      <c r="A98">
        <v>97</v>
      </c>
      <c r="B98" s="1">
        <v>44458</v>
      </c>
      <c r="C98" s="2">
        <v>0.58005787037037038</v>
      </c>
      <c r="D98" s="1">
        <v>44458</v>
      </c>
      <c r="E98" s="3">
        <v>0.62572916666666667</v>
      </c>
      <c r="F98">
        <v>14</v>
      </c>
      <c r="G98">
        <f t="shared" si="2"/>
        <v>23</v>
      </c>
      <c r="H98">
        <v>7</v>
      </c>
      <c r="I98">
        <f t="shared" si="3"/>
        <v>16</v>
      </c>
    </row>
    <row r="99" spans="1:9" x14ac:dyDescent="0.3">
      <c r="A99">
        <v>98</v>
      </c>
      <c r="B99" s="1">
        <v>44458</v>
      </c>
      <c r="C99" s="2">
        <v>0.67716435185185186</v>
      </c>
      <c r="D99" s="1">
        <v>44458</v>
      </c>
      <c r="E99" s="3">
        <v>0.73178240740740741</v>
      </c>
      <c r="F99">
        <v>12</v>
      </c>
      <c r="G99">
        <f t="shared" si="2"/>
        <v>28</v>
      </c>
      <c r="H99">
        <v>9</v>
      </c>
      <c r="I99">
        <f t="shared" si="3"/>
        <v>19</v>
      </c>
    </row>
    <row r="100" spans="1:9" x14ac:dyDescent="0.3">
      <c r="A100">
        <v>99</v>
      </c>
      <c r="B100" s="1">
        <v>44458</v>
      </c>
      <c r="C100" s="2">
        <v>0.81361111111111117</v>
      </c>
      <c r="D100" s="1">
        <v>44458</v>
      </c>
      <c r="E100" s="3">
        <v>0.84862268518518524</v>
      </c>
      <c r="F100">
        <v>11</v>
      </c>
      <c r="G100">
        <f t="shared" si="2"/>
        <v>30</v>
      </c>
      <c r="H100">
        <v>9</v>
      </c>
      <c r="I100">
        <f t="shared" si="3"/>
        <v>21</v>
      </c>
    </row>
    <row r="101" spans="1:9" x14ac:dyDescent="0.3">
      <c r="A101">
        <v>100</v>
      </c>
      <c r="B101" s="1">
        <v>44458</v>
      </c>
      <c r="C101" s="2">
        <v>0.95554398148148145</v>
      </c>
      <c r="D101" s="1">
        <v>44459</v>
      </c>
      <c r="E101" s="3">
        <v>5.0520833333333327E-2</v>
      </c>
      <c r="F101">
        <v>11</v>
      </c>
      <c r="G101">
        <f t="shared" si="2"/>
        <v>32</v>
      </c>
      <c r="H101">
        <v>8</v>
      </c>
      <c r="I101">
        <f t="shared" si="3"/>
        <v>24</v>
      </c>
    </row>
    <row r="102" spans="1:9" x14ac:dyDescent="0.3">
      <c r="A102">
        <v>101</v>
      </c>
      <c r="B102" s="1">
        <v>44459</v>
      </c>
      <c r="C102" s="2">
        <v>0.3830324074074074</v>
      </c>
      <c r="D102" s="1">
        <v>44459</v>
      </c>
      <c r="E102" s="3">
        <v>0.44746527777777773</v>
      </c>
      <c r="F102">
        <v>12</v>
      </c>
      <c r="G102">
        <f t="shared" si="2"/>
        <v>36</v>
      </c>
      <c r="H102">
        <v>3</v>
      </c>
      <c r="I102">
        <f t="shared" si="3"/>
        <v>33</v>
      </c>
    </row>
    <row r="103" spans="1:9" x14ac:dyDescent="0.3">
      <c r="A103">
        <v>102</v>
      </c>
      <c r="B103" s="1">
        <v>44459</v>
      </c>
      <c r="C103" s="2">
        <v>0.47513888888888883</v>
      </c>
      <c r="D103" s="1">
        <v>44459</v>
      </c>
      <c r="E103" s="3">
        <v>0.52998842592592588</v>
      </c>
      <c r="F103">
        <v>7</v>
      </c>
      <c r="G103">
        <f t="shared" si="2"/>
        <v>40</v>
      </c>
      <c r="H103">
        <v>12</v>
      </c>
      <c r="I103">
        <f t="shared" si="3"/>
        <v>28</v>
      </c>
    </row>
    <row r="104" spans="1:9" x14ac:dyDescent="0.3">
      <c r="A104">
        <v>103</v>
      </c>
      <c r="B104" s="1">
        <v>44459</v>
      </c>
      <c r="C104" s="2">
        <v>0.54886574074074079</v>
      </c>
      <c r="D104" s="1">
        <v>44459</v>
      </c>
      <c r="E104" s="3">
        <v>0.59329861111111104</v>
      </c>
      <c r="F104">
        <v>9</v>
      </c>
      <c r="G104">
        <f t="shared" si="2"/>
        <v>37</v>
      </c>
      <c r="H104">
        <v>14</v>
      </c>
      <c r="I104">
        <f t="shared" si="3"/>
        <v>23</v>
      </c>
    </row>
    <row r="105" spans="1:9" x14ac:dyDescent="0.3">
      <c r="A105">
        <v>104</v>
      </c>
      <c r="B105" s="1">
        <v>44459</v>
      </c>
      <c r="C105" s="2">
        <v>0.63266203703703705</v>
      </c>
      <c r="D105" s="1">
        <v>44459</v>
      </c>
      <c r="E105" s="3">
        <v>0.67504629629629631</v>
      </c>
      <c r="F105">
        <v>8</v>
      </c>
      <c r="G105">
        <f t="shared" si="2"/>
        <v>31</v>
      </c>
      <c r="H105">
        <v>19</v>
      </c>
      <c r="I105">
        <f t="shared" si="3"/>
        <v>12</v>
      </c>
    </row>
    <row r="106" spans="1:9" x14ac:dyDescent="0.3">
      <c r="A106">
        <v>105</v>
      </c>
      <c r="B106" s="1">
        <v>44459</v>
      </c>
      <c r="C106" s="2">
        <v>0.70928240740740733</v>
      </c>
      <c r="D106" s="1">
        <v>44459</v>
      </c>
      <c r="E106" s="3">
        <v>0.72917824074074078</v>
      </c>
      <c r="F106">
        <v>23</v>
      </c>
      <c r="G106">
        <f t="shared" si="2"/>
        <v>35</v>
      </c>
      <c r="H106">
        <v>14</v>
      </c>
      <c r="I106">
        <f t="shared" si="3"/>
        <v>21</v>
      </c>
    </row>
    <row r="107" spans="1:9" x14ac:dyDescent="0.3">
      <c r="A107">
        <v>106</v>
      </c>
      <c r="B107" s="1">
        <v>44459</v>
      </c>
      <c r="C107" s="2">
        <v>0.74663194444444436</v>
      </c>
      <c r="D107" s="1">
        <v>44459</v>
      </c>
      <c r="E107" s="3">
        <v>0.78163194444444439</v>
      </c>
      <c r="F107">
        <v>19</v>
      </c>
      <c r="G107">
        <f t="shared" si="2"/>
        <v>40</v>
      </c>
      <c r="H107">
        <v>9</v>
      </c>
      <c r="I107">
        <f t="shared" si="3"/>
        <v>31</v>
      </c>
    </row>
    <row r="108" spans="1:9" x14ac:dyDescent="0.3">
      <c r="A108">
        <v>107</v>
      </c>
      <c r="B108" s="1">
        <v>44459</v>
      </c>
      <c r="C108" s="2">
        <v>0.82415509259259256</v>
      </c>
      <c r="D108" s="1">
        <v>44459</v>
      </c>
      <c r="E108" s="3">
        <v>0.91810185185185178</v>
      </c>
      <c r="F108">
        <v>0</v>
      </c>
      <c r="G108">
        <f t="shared" si="2"/>
        <v>31</v>
      </c>
      <c r="H108">
        <v>6</v>
      </c>
      <c r="I108">
        <f t="shared" si="3"/>
        <v>25</v>
      </c>
    </row>
    <row r="109" spans="1:9" x14ac:dyDescent="0.3">
      <c r="A109">
        <v>108</v>
      </c>
      <c r="B109" s="1">
        <v>44459</v>
      </c>
      <c r="C109" s="2">
        <v>0.97640046296296301</v>
      </c>
      <c r="D109" s="1">
        <v>44460</v>
      </c>
      <c r="E109" s="3">
        <v>5.7824074074074076E-2</v>
      </c>
      <c r="F109">
        <v>4</v>
      </c>
      <c r="G109">
        <f t="shared" si="2"/>
        <v>29</v>
      </c>
      <c r="H109">
        <v>15</v>
      </c>
      <c r="I109">
        <f t="shared" si="3"/>
        <v>14</v>
      </c>
    </row>
    <row r="110" spans="1:9" x14ac:dyDescent="0.3">
      <c r="A110">
        <v>109</v>
      </c>
      <c r="B110" s="1">
        <v>44460</v>
      </c>
      <c r="C110" s="2">
        <v>0.29172453703703705</v>
      </c>
      <c r="D110" s="1">
        <v>44460</v>
      </c>
      <c r="E110" s="3">
        <v>0.33641203703703698</v>
      </c>
      <c r="F110">
        <v>11</v>
      </c>
      <c r="G110">
        <f t="shared" si="2"/>
        <v>25</v>
      </c>
      <c r="H110">
        <v>0</v>
      </c>
      <c r="I110">
        <f t="shared" si="3"/>
        <v>25</v>
      </c>
    </row>
    <row r="111" spans="1:9" x14ac:dyDescent="0.3">
      <c r="A111">
        <v>110</v>
      </c>
      <c r="B111" s="1">
        <v>44460</v>
      </c>
      <c r="C111" s="2">
        <v>0.42815972222222221</v>
      </c>
      <c r="D111" s="1">
        <v>44460</v>
      </c>
      <c r="E111" s="3">
        <v>0.58225694444444442</v>
      </c>
      <c r="F111">
        <v>9</v>
      </c>
      <c r="G111">
        <f t="shared" si="2"/>
        <v>34</v>
      </c>
      <c r="H111">
        <v>4</v>
      </c>
      <c r="I111">
        <f t="shared" si="3"/>
        <v>30</v>
      </c>
    </row>
    <row r="112" spans="1:9" x14ac:dyDescent="0.3">
      <c r="A112">
        <v>111</v>
      </c>
      <c r="B112" s="1">
        <v>44460</v>
      </c>
      <c r="C112" s="2">
        <v>0.62174768518518519</v>
      </c>
      <c r="D112" s="1">
        <v>44460</v>
      </c>
      <c r="E112" s="3">
        <v>0.66903935185185182</v>
      </c>
      <c r="F112">
        <v>9</v>
      </c>
      <c r="G112">
        <f t="shared" si="2"/>
        <v>39</v>
      </c>
      <c r="H112">
        <v>28</v>
      </c>
      <c r="I112">
        <f t="shared" si="3"/>
        <v>11</v>
      </c>
    </row>
    <row r="113" spans="1:9" x14ac:dyDescent="0.3">
      <c r="A113">
        <v>112</v>
      </c>
      <c r="B113" s="1">
        <v>44460</v>
      </c>
      <c r="C113" s="2">
        <v>0.71136574074074066</v>
      </c>
      <c r="D113" s="1">
        <v>44460</v>
      </c>
      <c r="E113" s="3">
        <v>0.76173611111111106</v>
      </c>
      <c r="F113">
        <v>0</v>
      </c>
      <c r="G113">
        <f t="shared" si="2"/>
        <v>11</v>
      </c>
      <c r="H113">
        <v>10</v>
      </c>
      <c r="I113">
        <f t="shared" si="3"/>
        <v>1</v>
      </c>
    </row>
    <row r="114" spans="1:9" x14ac:dyDescent="0.3">
      <c r="A114">
        <v>113</v>
      </c>
      <c r="B114" s="1">
        <v>44460</v>
      </c>
      <c r="C114" s="2">
        <v>0.83270833333333327</v>
      </c>
      <c r="D114" s="1">
        <v>44460</v>
      </c>
      <c r="E114" s="3">
        <v>0.9375</v>
      </c>
      <c r="F114">
        <v>12</v>
      </c>
      <c r="G114">
        <f t="shared" si="2"/>
        <v>13</v>
      </c>
      <c r="H114">
        <v>6</v>
      </c>
      <c r="I114">
        <f t="shared" si="3"/>
        <v>7</v>
      </c>
    </row>
    <row r="115" spans="1:9" x14ac:dyDescent="0.3">
      <c r="A115">
        <v>114</v>
      </c>
      <c r="B115" s="1">
        <v>44461</v>
      </c>
      <c r="C115" s="2">
        <v>0.29829861111111111</v>
      </c>
      <c r="D115" s="1">
        <v>44461</v>
      </c>
      <c r="E115" s="3">
        <v>0.3449652777777778</v>
      </c>
      <c r="F115">
        <v>11</v>
      </c>
      <c r="G115">
        <f t="shared" si="2"/>
        <v>18</v>
      </c>
      <c r="H115">
        <v>5</v>
      </c>
      <c r="I115">
        <f t="shared" si="3"/>
        <v>13</v>
      </c>
    </row>
    <row r="116" spans="1:9" x14ac:dyDescent="0.3">
      <c r="A116">
        <v>115</v>
      </c>
      <c r="B116" s="1">
        <v>44461</v>
      </c>
      <c r="C116" s="2">
        <v>0.38718750000000002</v>
      </c>
      <c r="D116" s="1">
        <v>44461</v>
      </c>
      <c r="E116" s="3">
        <v>0.46149305555555559</v>
      </c>
      <c r="F116">
        <v>13</v>
      </c>
      <c r="G116">
        <f t="shared" si="2"/>
        <v>26</v>
      </c>
      <c r="H116">
        <v>9</v>
      </c>
      <c r="I116">
        <f t="shared" si="3"/>
        <v>17</v>
      </c>
    </row>
    <row r="117" spans="1:9" x14ac:dyDescent="0.3">
      <c r="A117">
        <v>116</v>
      </c>
      <c r="B117" s="1">
        <v>44461</v>
      </c>
      <c r="C117" s="2">
        <v>0.60652777777777778</v>
      </c>
      <c r="D117" s="1">
        <v>44461</v>
      </c>
      <c r="E117" s="3">
        <v>0.63285879629629627</v>
      </c>
      <c r="F117">
        <v>14</v>
      </c>
      <c r="G117">
        <f t="shared" si="2"/>
        <v>31</v>
      </c>
      <c r="H117">
        <v>11</v>
      </c>
      <c r="I117">
        <f t="shared" si="3"/>
        <v>20</v>
      </c>
    </row>
    <row r="118" spans="1:9" x14ac:dyDescent="0.3">
      <c r="A118">
        <v>117</v>
      </c>
      <c r="B118" s="1">
        <v>44461</v>
      </c>
      <c r="C118" s="2">
        <v>0.64589120370370368</v>
      </c>
      <c r="D118" s="1">
        <v>44461</v>
      </c>
      <c r="E118" s="3">
        <v>0.70006944444444441</v>
      </c>
      <c r="F118">
        <v>2</v>
      </c>
      <c r="G118">
        <f t="shared" si="2"/>
        <v>22</v>
      </c>
      <c r="H118">
        <v>0</v>
      </c>
      <c r="I118">
        <f t="shared" si="3"/>
        <v>22</v>
      </c>
    </row>
    <row r="119" spans="1:9" x14ac:dyDescent="0.3">
      <c r="A119">
        <v>118</v>
      </c>
      <c r="B119" s="1">
        <v>44461</v>
      </c>
      <c r="C119" s="2">
        <v>0.76406249999999998</v>
      </c>
      <c r="D119" s="1">
        <v>44461</v>
      </c>
      <c r="E119" s="3">
        <v>0.84799768518518526</v>
      </c>
      <c r="F119">
        <v>6</v>
      </c>
      <c r="G119">
        <f t="shared" si="2"/>
        <v>28</v>
      </c>
      <c r="H119">
        <v>0</v>
      </c>
      <c r="I119">
        <f t="shared" si="3"/>
        <v>28</v>
      </c>
    </row>
    <row r="120" spans="1:9" x14ac:dyDescent="0.3">
      <c r="A120">
        <v>119</v>
      </c>
      <c r="B120" s="1">
        <v>44461</v>
      </c>
      <c r="C120" s="2">
        <v>0.98342592592592604</v>
      </c>
      <c r="D120" s="1">
        <v>44462</v>
      </c>
      <c r="E120" s="3">
        <v>4.2638888888888893E-2</v>
      </c>
      <c r="F120">
        <v>4</v>
      </c>
      <c r="G120">
        <f t="shared" si="2"/>
        <v>32</v>
      </c>
      <c r="H120">
        <v>11</v>
      </c>
      <c r="I120">
        <f t="shared" si="3"/>
        <v>21</v>
      </c>
    </row>
    <row r="121" spans="1:9" x14ac:dyDescent="0.3">
      <c r="A121">
        <v>120</v>
      </c>
      <c r="B121" s="1">
        <v>44462</v>
      </c>
      <c r="C121" s="2">
        <v>0.29726851851851849</v>
      </c>
      <c r="D121" s="1">
        <v>44462</v>
      </c>
      <c r="E121" s="3">
        <v>0.39068287037037036</v>
      </c>
      <c r="F121">
        <v>19</v>
      </c>
      <c r="G121">
        <f t="shared" si="2"/>
        <v>40</v>
      </c>
      <c r="H121">
        <v>3</v>
      </c>
      <c r="I121">
        <f t="shared" si="3"/>
        <v>37</v>
      </c>
    </row>
    <row r="122" spans="1:9" x14ac:dyDescent="0.3">
      <c r="A122">
        <v>121</v>
      </c>
      <c r="B122" s="1">
        <v>44462</v>
      </c>
      <c r="C122" s="2">
        <v>0.43444444444444441</v>
      </c>
      <c r="D122" s="1">
        <v>44462</v>
      </c>
      <c r="E122" s="3">
        <v>0.51065972222222222</v>
      </c>
      <c r="F122">
        <v>3</v>
      </c>
      <c r="G122">
        <f t="shared" si="2"/>
        <v>40</v>
      </c>
      <c r="H122">
        <v>21</v>
      </c>
      <c r="I122">
        <f t="shared" si="3"/>
        <v>19</v>
      </c>
    </row>
    <row r="123" spans="1:9" x14ac:dyDescent="0.3">
      <c r="A123">
        <v>122</v>
      </c>
      <c r="B123" s="1">
        <v>44462</v>
      </c>
      <c r="C123" s="2">
        <v>0.54518518518518522</v>
      </c>
      <c r="D123" s="1">
        <v>44462</v>
      </c>
      <c r="E123" s="3">
        <v>0.58775462962962965</v>
      </c>
      <c r="F123">
        <v>19</v>
      </c>
      <c r="G123">
        <f t="shared" si="2"/>
        <v>38</v>
      </c>
      <c r="H123">
        <v>22</v>
      </c>
      <c r="I123">
        <f t="shared" si="3"/>
        <v>16</v>
      </c>
    </row>
    <row r="124" spans="1:9" x14ac:dyDescent="0.3">
      <c r="A124">
        <v>123</v>
      </c>
      <c r="B124" s="1">
        <v>44462</v>
      </c>
      <c r="C124" s="2">
        <v>0.63270833333333332</v>
      </c>
      <c r="D124" s="1">
        <v>44462</v>
      </c>
      <c r="E124" s="3">
        <v>0.74785879629629637</v>
      </c>
      <c r="F124">
        <v>13</v>
      </c>
      <c r="G124">
        <f t="shared" si="2"/>
        <v>29</v>
      </c>
      <c r="H124">
        <v>14</v>
      </c>
      <c r="I124">
        <f t="shared" si="3"/>
        <v>15</v>
      </c>
    </row>
    <row r="125" spans="1:9" x14ac:dyDescent="0.3">
      <c r="A125">
        <v>124</v>
      </c>
      <c r="B125" s="1">
        <v>44462</v>
      </c>
      <c r="C125" s="2">
        <v>0.78940972222222217</v>
      </c>
      <c r="D125" s="1">
        <v>44462</v>
      </c>
      <c r="E125" s="3">
        <v>0.88962962962962966</v>
      </c>
      <c r="F125">
        <v>19</v>
      </c>
      <c r="G125">
        <f t="shared" si="2"/>
        <v>34</v>
      </c>
      <c r="H125">
        <v>25</v>
      </c>
      <c r="I125">
        <f t="shared" si="3"/>
        <v>9</v>
      </c>
    </row>
    <row r="126" spans="1:9" x14ac:dyDescent="0.3">
      <c r="A126">
        <v>125</v>
      </c>
      <c r="B126" s="1">
        <v>44463</v>
      </c>
      <c r="C126" s="2">
        <v>0.17437499999999997</v>
      </c>
      <c r="D126" s="1">
        <v>44463</v>
      </c>
      <c r="E126" s="3">
        <v>0.30024305555555558</v>
      </c>
      <c r="F126">
        <v>19</v>
      </c>
      <c r="G126">
        <f t="shared" si="2"/>
        <v>28</v>
      </c>
      <c r="H126">
        <v>11</v>
      </c>
      <c r="I126">
        <f t="shared" si="3"/>
        <v>17</v>
      </c>
    </row>
    <row r="127" spans="1:9" x14ac:dyDescent="0.3">
      <c r="A127">
        <v>126</v>
      </c>
      <c r="B127" s="1">
        <v>44463</v>
      </c>
      <c r="C127" s="2">
        <v>0.45619212962962963</v>
      </c>
      <c r="D127" s="1">
        <v>44463</v>
      </c>
      <c r="E127" s="3">
        <v>0.59104166666666669</v>
      </c>
      <c r="F127">
        <v>13</v>
      </c>
      <c r="G127">
        <f t="shared" si="2"/>
        <v>30</v>
      </c>
      <c r="H127">
        <v>4</v>
      </c>
      <c r="I127">
        <f t="shared" si="3"/>
        <v>26</v>
      </c>
    </row>
    <row r="128" spans="1:9" x14ac:dyDescent="0.3">
      <c r="A128">
        <v>127</v>
      </c>
      <c r="B128" s="1">
        <v>44463</v>
      </c>
      <c r="C128" s="2">
        <v>0.72642361111111109</v>
      </c>
      <c r="D128" s="1">
        <v>44463</v>
      </c>
      <c r="E128" s="3">
        <v>0.78383101851851855</v>
      </c>
      <c r="F128">
        <v>13</v>
      </c>
      <c r="G128">
        <f t="shared" si="2"/>
        <v>39</v>
      </c>
      <c r="H128">
        <v>9</v>
      </c>
      <c r="I128">
        <f t="shared" si="3"/>
        <v>30</v>
      </c>
    </row>
    <row r="129" spans="1:9" x14ac:dyDescent="0.3">
      <c r="A129">
        <v>128</v>
      </c>
      <c r="B129" s="1">
        <v>44463</v>
      </c>
      <c r="C129" s="2">
        <v>0.8197106481481482</v>
      </c>
      <c r="D129" s="1">
        <v>44463</v>
      </c>
      <c r="E129" s="3">
        <v>0.88407407407407401</v>
      </c>
      <c r="F129">
        <v>10</v>
      </c>
      <c r="G129">
        <f t="shared" si="2"/>
        <v>40</v>
      </c>
      <c r="H129">
        <v>12</v>
      </c>
      <c r="I129">
        <f t="shared" si="3"/>
        <v>28</v>
      </c>
    </row>
    <row r="130" spans="1:9" x14ac:dyDescent="0.3">
      <c r="A130">
        <v>129</v>
      </c>
      <c r="B130" s="1">
        <v>44464</v>
      </c>
      <c r="C130" s="2">
        <v>0.29473379629629631</v>
      </c>
      <c r="D130" s="1">
        <v>44464</v>
      </c>
      <c r="E130" s="3">
        <v>0.3518634259259259</v>
      </c>
      <c r="F130">
        <v>9</v>
      </c>
      <c r="G130">
        <f t="shared" si="2"/>
        <v>37</v>
      </c>
      <c r="H130">
        <v>11</v>
      </c>
      <c r="I130">
        <f t="shared" si="3"/>
        <v>26</v>
      </c>
    </row>
    <row r="131" spans="1:9" x14ac:dyDescent="0.3">
      <c r="A131">
        <v>130</v>
      </c>
      <c r="B131" s="1">
        <v>44464</v>
      </c>
      <c r="C131" s="2">
        <v>0.42454861111111114</v>
      </c>
      <c r="D131" s="1">
        <v>44464</v>
      </c>
      <c r="E131" s="3">
        <v>0.50074074074074071</v>
      </c>
      <c r="F131">
        <v>14</v>
      </c>
      <c r="G131">
        <f t="shared" si="2"/>
        <v>40</v>
      </c>
      <c r="H131">
        <v>20</v>
      </c>
      <c r="I131">
        <f t="shared" si="3"/>
        <v>20</v>
      </c>
    </row>
    <row r="132" spans="1:9" x14ac:dyDescent="0.3">
      <c r="A132">
        <v>131</v>
      </c>
      <c r="B132" s="1">
        <v>44464</v>
      </c>
      <c r="C132" s="2">
        <v>0.5447453703703703</v>
      </c>
      <c r="D132" s="1">
        <v>44464</v>
      </c>
      <c r="E132" s="3">
        <v>0.57574074074074078</v>
      </c>
      <c r="F132">
        <v>1</v>
      </c>
      <c r="G132">
        <f t="shared" ref="G132:G158" si="4">I131+F132</f>
        <v>21</v>
      </c>
      <c r="H132">
        <v>3</v>
      </c>
      <c r="I132">
        <f t="shared" ref="I132:I158" si="5">G132-H132</f>
        <v>18</v>
      </c>
    </row>
    <row r="133" spans="1:9" x14ac:dyDescent="0.3">
      <c r="A133">
        <v>132</v>
      </c>
      <c r="B133" s="1">
        <v>44464</v>
      </c>
      <c r="C133" s="2">
        <v>0.63065972222222222</v>
      </c>
      <c r="D133" s="1">
        <v>44464</v>
      </c>
      <c r="E133" s="3">
        <v>0.66954861111111119</v>
      </c>
      <c r="F133">
        <v>5</v>
      </c>
      <c r="G133">
        <f t="shared" si="4"/>
        <v>23</v>
      </c>
      <c r="H133">
        <v>6</v>
      </c>
      <c r="I133">
        <f t="shared" si="5"/>
        <v>17</v>
      </c>
    </row>
    <row r="134" spans="1:9" x14ac:dyDescent="0.3">
      <c r="A134">
        <v>133</v>
      </c>
      <c r="B134" s="1">
        <v>44464</v>
      </c>
      <c r="C134" s="2">
        <v>0.71141203703703704</v>
      </c>
      <c r="D134" s="1">
        <v>44464</v>
      </c>
      <c r="E134" s="3">
        <v>0.75629629629629624</v>
      </c>
      <c r="F134">
        <v>12</v>
      </c>
      <c r="G134">
        <f t="shared" si="4"/>
        <v>29</v>
      </c>
      <c r="H134">
        <v>6</v>
      </c>
      <c r="I134">
        <f t="shared" si="5"/>
        <v>23</v>
      </c>
    </row>
    <row r="135" spans="1:9" x14ac:dyDescent="0.3">
      <c r="A135">
        <v>134</v>
      </c>
      <c r="B135" s="1">
        <v>44465</v>
      </c>
      <c r="C135" s="2">
        <v>0.26834490740740741</v>
      </c>
      <c r="D135" s="1">
        <v>44465</v>
      </c>
      <c r="E135" s="3">
        <v>0.33027777777777778</v>
      </c>
      <c r="F135">
        <v>13</v>
      </c>
      <c r="G135">
        <f t="shared" si="4"/>
        <v>36</v>
      </c>
      <c r="H135">
        <v>24</v>
      </c>
      <c r="I135">
        <f t="shared" si="5"/>
        <v>12</v>
      </c>
    </row>
    <row r="136" spans="1:9" x14ac:dyDescent="0.3">
      <c r="A136">
        <v>135</v>
      </c>
      <c r="B136" s="1">
        <v>44465</v>
      </c>
      <c r="C136" s="2">
        <v>0.38269675925925922</v>
      </c>
      <c r="D136" s="1">
        <v>44465</v>
      </c>
      <c r="E136" s="3">
        <v>0.42315972222222226</v>
      </c>
      <c r="F136">
        <v>9</v>
      </c>
      <c r="G136">
        <f t="shared" si="4"/>
        <v>21</v>
      </c>
      <c r="H136">
        <v>2</v>
      </c>
      <c r="I136">
        <f t="shared" si="5"/>
        <v>19</v>
      </c>
    </row>
    <row r="137" spans="1:9" x14ac:dyDescent="0.3">
      <c r="A137">
        <v>136</v>
      </c>
      <c r="B137" s="1">
        <v>44465</v>
      </c>
      <c r="C137" s="2">
        <v>0.45490740740740737</v>
      </c>
      <c r="D137" s="1">
        <v>44465</v>
      </c>
      <c r="E137" s="3">
        <v>0.49594907407407413</v>
      </c>
      <c r="F137">
        <v>11</v>
      </c>
      <c r="G137">
        <f t="shared" si="4"/>
        <v>30</v>
      </c>
      <c r="H137">
        <v>6</v>
      </c>
      <c r="I137">
        <f t="shared" si="5"/>
        <v>24</v>
      </c>
    </row>
    <row r="138" spans="1:9" x14ac:dyDescent="0.3">
      <c r="A138">
        <v>137</v>
      </c>
      <c r="B138" s="1">
        <v>44465</v>
      </c>
      <c r="C138" s="2">
        <v>0.54450231481481481</v>
      </c>
      <c r="D138" s="1">
        <v>44465</v>
      </c>
      <c r="E138" s="3">
        <v>0.58751157407407406</v>
      </c>
      <c r="F138">
        <v>11</v>
      </c>
      <c r="G138">
        <f t="shared" si="4"/>
        <v>35</v>
      </c>
      <c r="H138">
        <v>9</v>
      </c>
      <c r="I138">
        <f t="shared" si="5"/>
        <v>26</v>
      </c>
    </row>
    <row r="139" spans="1:9" x14ac:dyDescent="0.3">
      <c r="A139">
        <v>138</v>
      </c>
      <c r="B139" s="1">
        <v>44465</v>
      </c>
      <c r="C139" s="2">
        <v>0.67274305555555547</v>
      </c>
      <c r="D139" s="1">
        <v>44465</v>
      </c>
      <c r="E139" s="3">
        <v>0.74657407407407417</v>
      </c>
      <c r="F139">
        <v>13</v>
      </c>
      <c r="G139">
        <f t="shared" si="4"/>
        <v>39</v>
      </c>
      <c r="H139">
        <v>24</v>
      </c>
      <c r="I139">
        <f t="shared" si="5"/>
        <v>15</v>
      </c>
    </row>
    <row r="140" spans="1:9" x14ac:dyDescent="0.3">
      <c r="A140">
        <v>139</v>
      </c>
      <c r="B140" s="1">
        <v>44465</v>
      </c>
      <c r="C140" s="2">
        <v>0.79449074074074078</v>
      </c>
      <c r="D140" s="1">
        <v>44465</v>
      </c>
      <c r="E140" s="3">
        <v>0.85421296296296301</v>
      </c>
      <c r="F140">
        <v>15</v>
      </c>
      <c r="G140">
        <f t="shared" si="4"/>
        <v>30</v>
      </c>
      <c r="H140">
        <v>6</v>
      </c>
      <c r="I140">
        <f t="shared" si="5"/>
        <v>24</v>
      </c>
    </row>
    <row r="141" spans="1:9" x14ac:dyDescent="0.3">
      <c r="A141">
        <v>140</v>
      </c>
      <c r="B141" s="1">
        <v>44466</v>
      </c>
      <c r="C141" s="2">
        <v>0.25283564814814813</v>
      </c>
      <c r="D141" s="1">
        <v>44466</v>
      </c>
      <c r="E141" s="3">
        <v>0.33119212962962963</v>
      </c>
      <c r="F141">
        <v>15</v>
      </c>
      <c r="G141">
        <f t="shared" si="4"/>
        <v>39</v>
      </c>
      <c r="H141">
        <v>9</v>
      </c>
      <c r="I141">
        <f t="shared" si="5"/>
        <v>30</v>
      </c>
    </row>
    <row r="142" spans="1:9" x14ac:dyDescent="0.3">
      <c r="A142">
        <v>141</v>
      </c>
      <c r="B142" s="1">
        <v>44466</v>
      </c>
      <c r="C142" s="2">
        <v>0.38195601851851851</v>
      </c>
      <c r="D142" s="1">
        <v>44466</v>
      </c>
      <c r="E142" s="3">
        <v>0.42439814814814819</v>
      </c>
      <c r="F142">
        <v>10</v>
      </c>
      <c r="G142">
        <f t="shared" si="4"/>
        <v>40</v>
      </c>
      <c r="H142">
        <v>19</v>
      </c>
      <c r="I142">
        <f t="shared" si="5"/>
        <v>21</v>
      </c>
    </row>
    <row r="143" spans="1:9" x14ac:dyDescent="0.3">
      <c r="A143">
        <v>142</v>
      </c>
      <c r="B143" s="1">
        <v>44466</v>
      </c>
      <c r="C143" s="2">
        <v>0.54520833333333341</v>
      </c>
      <c r="D143" s="1">
        <v>44466</v>
      </c>
      <c r="E143" s="3">
        <v>0.62854166666666667</v>
      </c>
      <c r="F143">
        <v>1</v>
      </c>
      <c r="G143">
        <f t="shared" si="4"/>
        <v>22</v>
      </c>
      <c r="H143">
        <v>0</v>
      </c>
      <c r="I143">
        <f t="shared" si="5"/>
        <v>22</v>
      </c>
    </row>
    <row r="144" spans="1:9" x14ac:dyDescent="0.3">
      <c r="A144">
        <v>143</v>
      </c>
      <c r="B144" s="1">
        <v>44466</v>
      </c>
      <c r="C144" s="2">
        <v>0.71118055555555548</v>
      </c>
      <c r="D144" s="1">
        <v>44466</v>
      </c>
      <c r="E144" s="3">
        <v>0.79310185185185178</v>
      </c>
      <c r="F144">
        <v>3</v>
      </c>
      <c r="G144">
        <f t="shared" si="4"/>
        <v>25</v>
      </c>
      <c r="H144">
        <v>0</v>
      </c>
      <c r="I144">
        <f t="shared" si="5"/>
        <v>25</v>
      </c>
    </row>
    <row r="145" spans="1:9" x14ac:dyDescent="0.3">
      <c r="A145">
        <v>144</v>
      </c>
      <c r="B145" s="1">
        <v>44467</v>
      </c>
      <c r="C145" s="2">
        <v>0.41951388888888891</v>
      </c>
      <c r="D145" s="1">
        <v>44467</v>
      </c>
      <c r="E145" s="3">
        <v>0.4959027777777778</v>
      </c>
      <c r="F145">
        <v>9</v>
      </c>
      <c r="G145">
        <f t="shared" si="4"/>
        <v>34</v>
      </c>
      <c r="H145">
        <v>14</v>
      </c>
      <c r="I145">
        <f t="shared" si="5"/>
        <v>20</v>
      </c>
    </row>
    <row r="146" spans="1:9" x14ac:dyDescent="0.3">
      <c r="A146">
        <v>145</v>
      </c>
      <c r="B146" s="1">
        <v>44467</v>
      </c>
      <c r="C146" s="2">
        <v>0.54101851851851845</v>
      </c>
      <c r="D146" s="1">
        <v>44467</v>
      </c>
      <c r="E146" s="3">
        <v>0.62842592592592594</v>
      </c>
      <c r="F146">
        <v>11</v>
      </c>
      <c r="G146">
        <f t="shared" si="4"/>
        <v>31</v>
      </c>
      <c r="H146">
        <v>13</v>
      </c>
      <c r="I146">
        <f t="shared" si="5"/>
        <v>18</v>
      </c>
    </row>
    <row r="147" spans="1:9" x14ac:dyDescent="0.3">
      <c r="A147">
        <v>146</v>
      </c>
      <c r="B147" s="1">
        <v>44467</v>
      </c>
      <c r="C147" s="2">
        <v>0.7125462962962964</v>
      </c>
      <c r="D147" s="1">
        <v>44467</v>
      </c>
      <c r="E147" s="3">
        <v>0.75473379629629633</v>
      </c>
      <c r="F147">
        <v>12</v>
      </c>
      <c r="G147">
        <f t="shared" si="4"/>
        <v>30</v>
      </c>
      <c r="H147">
        <v>9</v>
      </c>
      <c r="I147">
        <f t="shared" si="5"/>
        <v>21</v>
      </c>
    </row>
    <row r="148" spans="1:9" x14ac:dyDescent="0.3">
      <c r="A148">
        <v>147</v>
      </c>
      <c r="B148" s="1">
        <v>44467</v>
      </c>
      <c r="C148" s="2">
        <v>0.79166666666666663</v>
      </c>
      <c r="D148" s="1">
        <v>44467</v>
      </c>
      <c r="E148" s="3">
        <v>0.87570601851851848</v>
      </c>
      <c r="F148">
        <v>14</v>
      </c>
      <c r="G148">
        <f t="shared" si="4"/>
        <v>35</v>
      </c>
      <c r="H148">
        <v>9</v>
      </c>
      <c r="I148">
        <f t="shared" si="5"/>
        <v>26</v>
      </c>
    </row>
    <row r="149" spans="1:9" x14ac:dyDescent="0.3">
      <c r="A149">
        <v>148</v>
      </c>
      <c r="B149" s="1">
        <v>44468</v>
      </c>
      <c r="C149" s="2">
        <v>0.29934027777777777</v>
      </c>
      <c r="D149" s="1">
        <v>44468</v>
      </c>
      <c r="E149" s="3">
        <v>0.37398148148148147</v>
      </c>
      <c r="F149">
        <v>12</v>
      </c>
      <c r="G149">
        <f t="shared" si="4"/>
        <v>38</v>
      </c>
      <c r="H149">
        <v>16</v>
      </c>
      <c r="I149">
        <f t="shared" si="5"/>
        <v>22</v>
      </c>
    </row>
    <row r="150" spans="1:9" x14ac:dyDescent="0.3">
      <c r="A150">
        <v>149</v>
      </c>
      <c r="B150" s="1">
        <v>44468</v>
      </c>
      <c r="C150" s="2">
        <v>0.41740740740740739</v>
      </c>
      <c r="D150" s="1">
        <v>44468</v>
      </c>
      <c r="E150" s="3">
        <v>0.50071759259259252</v>
      </c>
      <c r="F150">
        <v>9</v>
      </c>
      <c r="G150">
        <f t="shared" si="4"/>
        <v>31</v>
      </c>
      <c r="H150">
        <v>21</v>
      </c>
      <c r="I150">
        <f t="shared" si="5"/>
        <v>10</v>
      </c>
    </row>
    <row r="151" spans="1:9" x14ac:dyDescent="0.3">
      <c r="A151">
        <v>150</v>
      </c>
      <c r="B151" s="1">
        <v>44468</v>
      </c>
      <c r="C151" s="2">
        <v>0.55636574074074074</v>
      </c>
      <c r="D151" s="1">
        <v>44468</v>
      </c>
      <c r="E151" s="3">
        <v>0.61332175925925925</v>
      </c>
      <c r="F151">
        <v>15</v>
      </c>
      <c r="G151">
        <f t="shared" si="4"/>
        <v>25</v>
      </c>
      <c r="H151">
        <v>9</v>
      </c>
      <c r="I151">
        <f t="shared" si="5"/>
        <v>16</v>
      </c>
    </row>
    <row r="152" spans="1:9" x14ac:dyDescent="0.3">
      <c r="A152">
        <v>151</v>
      </c>
      <c r="B152" s="1">
        <v>44468</v>
      </c>
      <c r="C152" s="2">
        <v>0.67305555555555552</v>
      </c>
      <c r="D152" s="1">
        <v>44468</v>
      </c>
      <c r="E152" s="3">
        <v>0.73208333333333331</v>
      </c>
      <c r="F152">
        <v>14</v>
      </c>
      <c r="G152">
        <f t="shared" si="4"/>
        <v>30</v>
      </c>
      <c r="H152">
        <v>8</v>
      </c>
      <c r="I152">
        <f t="shared" si="5"/>
        <v>22</v>
      </c>
    </row>
    <row r="153" spans="1:9" x14ac:dyDescent="0.3">
      <c r="A153">
        <v>152</v>
      </c>
      <c r="B153" s="1">
        <v>44468</v>
      </c>
      <c r="C153" s="2">
        <v>0.79931712962962964</v>
      </c>
      <c r="D153" s="1">
        <v>44468</v>
      </c>
      <c r="E153" s="3">
        <v>0.84817129629629628</v>
      </c>
      <c r="F153">
        <v>16</v>
      </c>
      <c r="G153">
        <f t="shared" si="4"/>
        <v>38</v>
      </c>
      <c r="H153">
        <v>21</v>
      </c>
      <c r="I153">
        <f t="shared" si="5"/>
        <v>17</v>
      </c>
    </row>
    <row r="154" spans="1:9" x14ac:dyDescent="0.3">
      <c r="A154">
        <v>153</v>
      </c>
      <c r="B154" s="1">
        <v>44468</v>
      </c>
      <c r="C154" s="2">
        <v>0.9611574074074074</v>
      </c>
      <c r="D154" s="1">
        <v>44469</v>
      </c>
      <c r="E154" s="3">
        <v>3.9629629629629633E-2</v>
      </c>
      <c r="F154">
        <v>14</v>
      </c>
      <c r="G154">
        <f t="shared" si="4"/>
        <v>31</v>
      </c>
      <c r="H154">
        <v>9</v>
      </c>
      <c r="I154">
        <f t="shared" si="5"/>
        <v>22</v>
      </c>
    </row>
    <row r="155" spans="1:9" x14ac:dyDescent="0.3">
      <c r="A155">
        <v>154</v>
      </c>
      <c r="B155" s="1">
        <v>44469</v>
      </c>
      <c r="C155" s="2">
        <v>0.3125</v>
      </c>
      <c r="D155" s="1">
        <v>44469</v>
      </c>
      <c r="E155" s="3">
        <v>0.33385416666666662</v>
      </c>
      <c r="F155">
        <v>17</v>
      </c>
      <c r="G155">
        <f t="shared" si="4"/>
        <v>39</v>
      </c>
      <c r="H155">
        <v>3</v>
      </c>
      <c r="I155">
        <f t="shared" si="5"/>
        <v>36</v>
      </c>
    </row>
    <row r="156" spans="1:9" x14ac:dyDescent="0.3">
      <c r="A156">
        <v>155</v>
      </c>
      <c r="B156" s="1">
        <v>44469</v>
      </c>
      <c r="C156" s="2">
        <v>0.44229166666666669</v>
      </c>
      <c r="D156" s="1">
        <v>44469</v>
      </c>
      <c r="E156" s="3">
        <v>0.50074074074074071</v>
      </c>
      <c r="F156">
        <v>0</v>
      </c>
      <c r="G156">
        <f t="shared" si="4"/>
        <v>36</v>
      </c>
      <c r="H156">
        <v>9</v>
      </c>
      <c r="I156">
        <f t="shared" si="5"/>
        <v>27</v>
      </c>
    </row>
    <row r="157" spans="1:9" x14ac:dyDescent="0.3">
      <c r="A157">
        <v>156</v>
      </c>
      <c r="B157" s="1">
        <v>44469</v>
      </c>
      <c r="C157" s="2">
        <v>0.59045138888888882</v>
      </c>
      <c r="D157" s="1">
        <v>44469</v>
      </c>
      <c r="E157" s="3">
        <v>0.63065972222222222</v>
      </c>
      <c r="F157">
        <v>14</v>
      </c>
      <c r="G157">
        <f t="shared" si="4"/>
        <v>41</v>
      </c>
      <c r="H157">
        <v>8</v>
      </c>
      <c r="I157">
        <f t="shared" si="5"/>
        <v>33</v>
      </c>
    </row>
    <row r="158" spans="1:9" x14ac:dyDescent="0.3">
      <c r="A158">
        <v>157</v>
      </c>
      <c r="B158" s="1">
        <v>44469</v>
      </c>
      <c r="C158" s="2">
        <v>0.7142708333333333</v>
      </c>
      <c r="D158" s="1">
        <v>44469</v>
      </c>
      <c r="E158" s="3">
        <v>0.789525462962963</v>
      </c>
      <c r="F158">
        <v>6</v>
      </c>
      <c r="G158">
        <f t="shared" si="4"/>
        <v>39</v>
      </c>
      <c r="H158">
        <v>39</v>
      </c>
      <c r="I158">
        <f t="shared" si="5"/>
        <v>0</v>
      </c>
    </row>
  </sheetData>
  <conditionalFormatting sqref="G1:G1048576">
    <cfRule type="cellIs" dxfId="4" priority="1" operator="greater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90"/>
  <sheetViews>
    <sheetView tabSelected="1" topLeftCell="J142" workbookViewId="0">
      <selection activeCell="F160" sqref="F160"/>
    </sheetView>
  </sheetViews>
  <sheetFormatPr defaultRowHeight="14.4" x14ac:dyDescent="0.3"/>
  <cols>
    <col min="1" max="1" width="4" bestFit="1" customWidth="1"/>
    <col min="2" max="2" width="10.6640625" bestFit="1" customWidth="1"/>
    <col min="3" max="3" width="13.33203125" bestFit="1" customWidth="1"/>
    <col min="4" max="4" width="11.6640625" bestFit="1" customWidth="1"/>
    <col min="5" max="5" width="14.33203125" style="3" bestFit="1" customWidth="1"/>
    <col min="6" max="6" width="15" bestFit="1" customWidth="1"/>
    <col min="7" max="7" width="15.5546875" bestFit="1" customWidth="1"/>
    <col min="10" max="10" width="11.7773437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6</v>
      </c>
      <c r="G1" t="s">
        <v>5</v>
      </c>
      <c r="H1" t="s">
        <v>7</v>
      </c>
      <c r="I1" t="s">
        <v>14</v>
      </c>
      <c r="J1" t="s">
        <v>15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  <c r="Z1">
        <v>14</v>
      </c>
      <c r="AA1">
        <v>15</v>
      </c>
      <c r="AB1">
        <v>16</v>
      </c>
      <c r="AC1">
        <v>17</v>
      </c>
      <c r="AD1">
        <v>18</v>
      </c>
      <c r="AE1">
        <v>19</v>
      </c>
      <c r="AF1">
        <v>20</v>
      </c>
      <c r="AG1">
        <v>21</v>
      </c>
      <c r="AH1">
        <v>22</v>
      </c>
      <c r="AI1">
        <v>23</v>
      </c>
      <c r="AJ1">
        <v>24</v>
      </c>
      <c r="AK1">
        <v>25</v>
      </c>
      <c r="AL1">
        <v>26</v>
      </c>
      <c r="AM1">
        <v>27</v>
      </c>
      <c r="AN1">
        <v>28</v>
      </c>
      <c r="AO1">
        <v>29</v>
      </c>
      <c r="AP1">
        <v>30</v>
      </c>
    </row>
    <row r="2" spans="1:42" x14ac:dyDescent="0.3">
      <c r="A2">
        <v>1</v>
      </c>
      <c r="B2" s="1">
        <v>44440</v>
      </c>
      <c r="C2" s="2">
        <v>0.33333333333333331</v>
      </c>
      <c r="D2" s="1">
        <v>44440</v>
      </c>
      <c r="E2" s="3">
        <v>0.38513888888888892</v>
      </c>
      <c r="F2">
        <v>12</v>
      </c>
      <c r="G2">
        <v>0</v>
      </c>
      <c r="H2" s="3">
        <f>IF(E2&lt;C2,(24-C2)+E2,E2-C2)</f>
        <v>5.1805555555555605E-2</v>
      </c>
      <c r="I2" s="3">
        <f>IF(B2=D2,H2,0)</f>
        <v>5.1805555555555605E-2</v>
      </c>
      <c r="J2" s="3">
        <f>IF(B2=D2,0,E2)</f>
        <v>0</v>
      </c>
      <c r="K2">
        <f t="shared" ref="K2:K65" si="0">SUM(HOUR(J2)*60,MINUTE(J2),SECOND(J2)/60,HOUR(I2)*60,MINUTE(I2),SECOND(I2)/60)</f>
        <v>74.599999999999994</v>
      </c>
      <c r="M2">
        <f>IF(DAY(B2)=$M$1,K2,0)</f>
        <v>74.599999999999994</v>
      </c>
      <c r="N2">
        <f>IF(DAY($B2)=N$1,$K2,0)</f>
        <v>0</v>
      </c>
      <c r="O2">
        <f>IF(DAY($B2)=O$1,$K2,0)</f>
        <v>0</v>
      </c>
      <c r="P2">
        <f>IF(DAY($B2)=P$1,$K2,0)</f>
        <v>0</v>
      </c>
      <c r="Q2">
        <f>IF(DAY($B2)=Q$1,$K2,0)</f>
        <v>0</v>
      </c>
      <c r="R2">
        <f>IF(DAY($B2)=R$1,$K2,0)</f>
        <v>0</v>
      </c>
      <c r="S2">
        <f>IF(DAY($B2)=S$1,$K2,0)</f>
        <v>0</v>
      </c>
      <c r="T2">
        <f>IF(DAY($B2)=T$1,$K2,0)</f>
        <v>0</v>
      </c>
      <c r="U2">
        <f>IF(DAY($B2)=U$1,$K2,0)</f>
        <v>0</v>
      </c>
      <c r="V2">
        <f>IF(DAY($B2)=V$1,$K2,0)</f>
        <v>0</v>
      </c>
      <c r="W2">
        <f>IF(DAY($B2)=W$1,$K2,0)</f>
        <v>0</v>
      </c>
      <c r="X2">
        <f>IF(DAY($B2)=X$1,$K2,0)</f>
        <v>0</v>
      </c>
      <c r="Y2">
        <f>IF(DAY($B2)=Y$1,$K2,0)</f>
        <v>0</v>
      </c>
      <c r="Z2">
        <f>IF(DAY($B2)=Z$1,$K2,0)</f>
        <v>0</v>
      </c>
      <c r="AA2">
        <f>IF(DAY($B2)=AA$1,$K2,0)</f>
        <v>0</v>
      </c>
      <c r="AB2">
        <f>IF(DAY($B2)=AB$1,$K2,0)</f>
        <v>0</v>
      </c>
      <c r="AC2">
        <f>IF(DAY($B2)=AC$1,$K2,0)</f>
        <v>0</v>
      </c>
      <c r="AD2">
        <f>IF(DAY($B2)=AD$1,$K2,0)</f>
        <v>0</v>
      </c>
      <c r="AE2">
        <f>IF(DAY($B2)=AE$1,$K2,0)</f>
        <v>0</v>
      </c>
      <c r="AF2">
        <f>IF(DAY($B2)=AF$1,$K2,0)</f>
        <v>0</v>
      </c>
      <c r="AG2">
        <f>IF(DAY($B2)=AG$1,$K2,0)</f>
        <v>0</v>
      </c>
      <c r="AH2">
        <f>IF(DAY($B2)=AH$1,$K2,0)</f>
        <v>0</v>
      </c>
      <c r="AI2">
        <f>IF(DAY($B2)=AI$1,$K2,0)</f>
        <v>0</v>
      </c>
      <c r="AJ2">
        <f>IF(DAY($B2)=AJ$1,$K2,0)</f>
        <v>0</v>
      </c>
      <c r="AK2">
        <f>IF(DAY($B2)=AK$1,$K2,0)</f>
        <v>0</v>
      </c>
      <c r="AL2">
        <f>IF(DAY($B2)=AL$1,$K2,0)</f>
        <v>0</v>
      </c>
      <c r="AM2">
        <f>IF(DAY($B2)=AM$1,$K2,0)</f>
        <v>0</v>
      </c>
      <c r="AN2">
        <f>IF(DAY($B2)=AN$1,$K2,0)</f>
        <v>0</v>
      </c>
      <c r="AO2">
        <f>IF(DAY($B2)=AO$1,$K2,0)</f>
        <v>0</v>
      </c>
      <c r="AP2">
        <f>IF(DAY($B2)=AP$1,$K2,0)</f>
        <v>0</v>
      </c>
    </row>
    <row r="3" spans="1:42" x14ac:dyDescent="0.3">
      <c r="A3">
        <v>2</v>
      </c>
      <c r="B3" s="1">
        <v>44440</v>
      </c>
      <c r="C3" s="2">
        <v>0.42430555555555555</v>
      </c>
      <c r="D3" s="1">
        <v>44440</v>
      </c>
      <c r="E3" s="3">
        <v>0.55934027777777773</v>
      </c>
      <c r="F3">
        <v>11</v>
      </c>
      <c r="G3">
        <v>16</v>
      </c>
      <c r="H3" s="3">
        <f t="shared" ref="H3:H66" si="1">IF(E3&lt;C3,(24-C3)+E3,E3-C3)</f>
        <v>0.13503472222222218</v>
      </c>
      <c r="I3" s="3">
        <f t="shared" ref="I3:I66" si="2">IF(B3=D3,H3,0)</f>
        <v>0.13503472222222218</v>
      </c>
      <c r="J3" s="3">
        <f t="shared" ref="J3:J66" si="3">IF(B3=D3,0,E3)</f>
        <v>0</v>
      </c>
      <c r="K3">
        <f t="shared" si="0"/>
        <v>194.45</v>
      </c>
      <c r="M3">
        <f>IF(DAY(B3)=$M$1,K3,0)</f>
        <v>194.45</v>
      </c>
      <c r="N3">
        <f>IF(DAY($B3)=N$1,$K3,0)</f>
        <v>0</v>
      </c>
      <c r="O3">
        <f>IF(DAY($B3)=O$1,$K3,0)</f>
        <v>0</v>
      </c>
      <c r="P3">
        <f>IF(DAY($B3)=P$1,$K3,0)</f>
        <v>0</v>
      </c>
      <c r="Q3">
        <f>IF(DAY($B3)=Q$1,$K3,0)</f>
        <v>0</v>
      </c>
      <c r="R3">
        <f>IF(DAY($B3)=R$1,$K3,0)</f>
        <v>0</v>
      </c>
      <c r="S3">
        <f>IF(DAY($B3)=S$1,$K3,0)</f>
        <v>0</v>
      </c>
      <c r="T3">
        <f>IF(DAY($B3)=T$1,$K3,0)</f>
        <v>0</v>
      </c>
      <c r="U3">
        <f>IF(DAY($B3)=U$1,$K3,0)</f>
        <v>0</v>
      </c>
      <c r="V3">
        <f>IF(DAY($B3)=V$1,$K3,0)</f>
        <v>0</v>
      </c>
      <c r="W3">
        <f>IF(DAY($B3)=W$1,$K3,0)</f>
        <v>0</v>
      </c>
      <c r="X3">
        <f>IF(DAY($B3)=X$1,$K3,0)</f>
        <v>0</v>
      </c>
      <c r="Y3">
        <f>IF(DAY($B3)=Y$1,$K3,0)</f>
        <v>0</v>
      </c>
      <c r="Z3">
        <f>IF(DAY($B3)=Z$1,$K3,0)</f>
        <v>0</v>
      </c>
      <c r="AA3">
        <f>IF(DAY($B3)=AA$1,$K3,0)</f>
        <v>0</v>
      </c>
      <c r="AB3">
        <f>IF(DAY($B3)=AB$1,$K3,0)</f>
        <v>0</v>
      </c>
      <c r="AC3">
        <f>IF(DAY($B3)=AC$1,$K3,0)</f>
        <v>0</v>
      </c>
      <c r="AD3">
        <f>IF(DAY($B3)=AD$1,$K3,0)</f>
        <v>0</v>
      </c>
      <c r="AE3">
        <f>IF(DAY($B3)=AE$1,$K3,0)</f>
        <v>0</v>
      </c>
      <c r="AF3">
        <f>IF(DAY($B3)=AF$1,$K3,0)</f>
        <v>0</v>
      </c>
      <c r="AG3">
        <f>IF(DAY($B3)=AG$1,$K3,0)</f>
        <v>0</v>
      </c>
      <c r="AH3">
        <f>IF(DAY($B3)=AH$1,$K3,0)</f>
        <v>0</v>
      </c>
      <c r="AI3">
        <f>IF(DAY($B3)=AI$1,$K3,0)</f>
        <v>0</v>
      </c>
      <c r="AJ3">
        <f>IF(DAY($B3)=AJ$1,$K3,0)</f>
        <v>0</v>
      </c>
      <c r="AK3">
        <f>IF(DAY($B3)=AK$1,$K3,0)</f>
        <v>0</v>
      </c>
      <c r="AL3">
        <f>IF(DAY($B3)=AL$1,$K3,0)</f>
        <v>0</v>
      </c>
      <c r="AM3">
        <f>IF(DAY($B3)=AM$1,$K3,0)</f>
        <v>0</v>
      </c>
      <c r="AN3">
        <f>IF(DAY($B3)=AN$1,$K3,0)</f>
        <v>0</v>
      </c>
      <c r="AO3">
        <f>IF(DAY($B3)=AO$1,$K3,0)</f>
        <v>0</v>
      </c>
      <c r="AP3">
        <f>IF(DAY($B3)=AP$1,$K3,0)</f>
        <v>0</v>
      </c>
    </row>
    <row r="4" spans="1:42" x14ac:dyDescent="0.3">
      <c r="A4">
        <v>3</v>
      </c>
      <c r="B4" s="1">
        <v>44440</v>
      </c>
      <c r="C4" s="2">
        <v>0.64613425925925927</v>
      </c>
      <c r="D4" s="1">
        <v>44440</v>
      </c>
      <c r="E4" s="3">
        <v>0.71621527777777771</v>
      </c>
      <c r="F4">
        <v>9</v>
      </c>
      <c r="G4">
        <v>0</v>
      </c>
      <c r="H4" s="3">
        <f t="shared" si="1"/>
        <v>7.0081018518518445E-2</v>
      </c>
      <c r="I4" s="3">
        <f t="shared" si="2"/>
        <v>7.0081018518518445E-2</v>
      </c>
      <c r="J4" s="3">
        <f t="shared" si="3"/>
        <v>0</v>
      </c>
      <c r="K4">
        <f t="shared" si="0"/>
        <v>100.91666666666667</v>
      </c>
      <c r="M4">
        <f>IF(DAY(B4)=$M$1,K4,0)</f>
        <v>100.91666666666667</v>
      </c>
      <c r="N4">
        <f>IF(DAY($B4)=N$1,$K4,0)</f>
        <v>0</v>
      </c>
      <c r="O4">
        <f>IF(DAY($B4)=O$1,$K4,0)</f>
        <v>0</v>
      </c>
      <c r="P4">
        <f>IF(DAY($B4)=P$1,$K4,0)</f>
        <v>0</v>
      </c>
      <c r="Q4">
        <f>IF(DAY($B4)=Q$1,$K4,0)</f>
        <v>0</v>
      </c>
      <c r="R4">
        <f>IF(DAY($B4)=R$1,$K4,0)</f>
        <v>0</v>
      </c>
      <c r="S4">
        <f>IF(DAY($B4)=S$1,$K4,0)</f>
        <v>0</v>
      </c>
      <c r="T4">
        <f>IF(DAY($B4)=T$1,$K4,0)</f>
        <v>0</v>
      </c>
      <c r="U4">
        <f>IF(DAY($B4)=U$1,$K4,0)</f>
        <v>0</v>
      </c>
      <c r="V4">
        <f>IF(DAY($B4)=V$1,$K4,0)</f>
        <v>0</v>
      </c>
      <c r="W4">
        <f>IF(DAY($B4)=W$1,$K4,0)</f>
        <v>0</v>
      </c>
      <c r="X4">
        <f>IF(DAY($B4)=X$1,$K4,0)</f>
        <v>0</v>
      </c>
      <c r="Y4">
        <f>IF(DAY($B4)=Y$1,$K4,0)</f>
        <v>0</v>
      </c>
      <c r="Z4">
        <f>IF(DAY($B4)=Z$1,$K4,0)</f>
        <v>0</v>
      </c>
      <c r="AA4">
        <f>IF(DAY($B4)=AA$1,$K4,0)</f>
        <v>0</v>
      </c>
      <c r="AB4">
        <f>IF(DAY($B4)=AB$1,$K4,0)</f>
        <v>0</v>
      </c>
      <c r="AC4">
        <f>IF(DAY($B4)=AC$1,$K4,0)</f>
        <v>0</v>
      </c>
      <c r="AD4">
        <f>IF(DAY($B4)=AD$1,$K4,0)</f>
        <v>0</v>
      </c>
      <c r="AE4">
        <f>IF(DAY($B4)=AE$1,$K4,0)</f>
        <v>0</v>
      </c>
      <c r="AF4">
        <f>IF(DAY($B4)=AF$1,$K4,0)</f>
        <v>0</v>
      </c>
      <c r="AG4">
        <f>IF(DAY($B4)=AG$1,$K4,0)</f>
        <v>0</v>
      </c>
      <c r="AH4">
        <f>IF(DAY($B4)=AH$1,$K4,0)</f>
        <v>0</v>
      </c>
      <c r="AI4">
        <f>IF(DAY($B4)=AI$1,$K4,0)</f>
        <v>0</v>
      </c>
      <c r="AJ4">
        <f>IF(DAY($B4)=AJ$1,$K4,0)</f>
        <v>0</v>
      </c>
      <c r="AK4">
        <f>IF(DAY($B4)=AK$1,$K4,0)</f>
        <v>0</v>
      </c>
      <c r="AL4">
        <f>IF(DAY($B4)=AL$1,$K4,0)</f>
        <v>0</v>
      </c>
      <c r="AM4">
        <f>IF(DAY($B4)=AM$1,$K4,0)</f>
        <v>0</v>
      </c>
      <c r="AN4">
        <f>IF(DAY($B4)=AN$1,$K4,0)</f>
        <v>0</v>
      </c>
      <c r="AO4">
        <f>IF(DAY($B4)=AO$1,$K4,0)</f>
        <v>0</v>
      </c>
      <c r="AP4">
        <f>IF(DAY($B4)=AP$1,$K4,0)</f>
        <v>0</v>
      </c>
    </row>
    <row r="5" spans="1:42" x14ac:dyDescent="0.3">
      <c r="A5">
        <v>4</v>
      </c>
      <c r="B5" s="1">
        <v>44440</v>
      </c>
      <c r="C5" s="2">
        <v>0.76347222222222222</v>
      </c>
      <c r="D5" s="1">
        <v>44440</v>
      </c>
      <c r="E5" s="3">
        <v>0.91402777777777777</v>
      </c>
      <c r="F5">
        <v>14</v>
      </c>
      <c r="G5">
        <v>11</v>
      </c>
      <c r="H5" s="3">
        <f t="shared" si="1"/>
        <v>0.15055555555555555</v>
      </c>
      <c r="I5" s="3">
        <f t="shared" si="2"/>
        <v>0.15055555555555555</v>
      </c>
      <c r="J5" s="3">
        <f t="shared" si="3"/>
        <v>0</v>
      </c>
      <c r="K5">
        <f>SUM(HOUR(J5)*60,MINUTE(J5),SECOND(J5)/60,HOUR(I5)*60,MINUTE(I5),SECOND(I5)/60)</f>
        <v>216.8</v>
      </c>
      <c r="M5">
        <f>IF(DAY(B5)=$M$1,K5,0)</f>
        <v>216.8</v>
      </c>
      <c r="N5">
        <f>IF(DAY($B5)=N$1,$K5,0)</f>
        <v>0</v>
      </c>
      <c r="O5">
        <f>IF(DAY($B5)=O$1,$K5,0)</f>
        <v>0</v>
      </c>
      <c r="P5">
        <f>IF(DAY($B5)=P$1,$K5,0)</f>
        <v>0</v>
      </c>
      <c r="Q5">
        <f>IF(DAY($B5)=Q$1,$K5,0)</f>
        <v>0</v>
      </c>
      <c r="R5">
        <f>IF(DAY($B5)=R$1,$K5,0)</f>
        <v>0</v>
      </c>
      <c r="S5">
        <f>IF(DAY($B5)=S$1,$K5,0)</f>
        <v>0</v>
      </c>
      <c r="T5">
        <f>IF(DAY($B5)=T$1,$K5,0)</f>
        <v>0</v>
      </c>
      <c r="U5">
        <f>IF(DAY($B5)=U$1,$K5,0)</f>
        <v>0</v>
      </c>
      <c r="V5">
        <f>IF(DAY($B5)=V$1,$K5,0)</f>
        <v>0</v>
      </c>
      <c r="W5">
        <f>IF(DAY($B5)=W$1,$K5,0)</f>
        <v>0</v>
      </c>
      <c r="X5">
        <f>IF(DAY($B5)=X$1,$K5,0)</f>
        <v>0</v>
      </c>
      <c r="Y5">
        <f>IF(DAY($B5)=Y$1,$K5,0)</f>
        <v>0</v>
      </c>
      <c r="Z5">
        <f>IF(DAY($B5)=Z$1,$K5,0)</f>
        <v>0</v>
      </c>
      <c r="AA5">
        <f>IF(DAY($B5)=AA$1,$K5,0)</f>
        <v>0</v>
      </c>
      <c r="AB5">
        <f>IF(DAY($B5)=AB$1,$K5,0)</f>
        <v>0</v>
      </c>
      <c r="AC5">
        <f>IF(DAY($B5)=AC$1,$K5,0)</f>
        <v>0</v>
      </c>
      <c r="AD5">
        <f>IF(DAY($B5)=AD$1,$K5,0)</f>
        <v>0</v>
      </c>
      <c r="AE5">
        <f>IF(DAY($B5)=AE$1,$K5,0)</f>
        <v>0</v>
      </c>
      <c r="AF5">
        <f>IF(DAY($B5)=AF$1,$K5,0)</f>
        <v>0</v>
      </c>
      <c r="AG5">
        <f>IF(DAY($B5)=AG$1,$K5,0)</f>
        <v>0</v>
      </c>
      <c r="AH5">
        <f>IF(DAY($B5)=AH$1,$K5,0)</f>
        <v>0</v>
      </c>
      <c r="AI5">
        <f>IF(DAY($B5)=AI$1,$K5,0)</f>
        <v>0</v>
      </c>
      <c r="AJ5">
        <f>IF(DAY($B5)=AJ$1,$K5,0)</f>
        <v>0</v>
      </c>
      <c r="AK5">
        <f>IF(DAY($B5)=AK$1,$K5,0)</f>
        <v>0</v>
      </c>
      <c r="AL5">
        <f>IF(DAY($B5)=AL$1,$K5,0)</f>
        <v>0</v>
      </c>
      <c r="AM5">
        <f>IF(DAY($B5)=AM$1,$K5,0)</f>
        <v>0</v>
      </c>
      <c r="AN5">
        <f>IF(DAY($B5)=AN$1,$K5,0)</f>
        <v>0</v>
      </c>
      <c r="AO5">
        <f>IF(DAY($B5)=AO$1,$K5,0)</f>
        <v>0</v>
      </c>
      <c r="AP5">
        <f>IF(DAY($B5)=AP$1,$K5,0)</f>
        <v>0</v>
      </c>
    </row>
    <row r="6" spans="1:42" x14ac:dyDescent="0.3">
      <c r="A6">
        <v>5</v>
      </c>
      <c r="B6" s="1">
        <v>44441</v>
      </c>
      <c r="C6" s="2">
        <v>0.17721064814814813</v>
      </c>
      <c r="D6" s="1">
        <v>44441</v>
      </c>
      <c r="E6" s="3">
        <v>0.27315972222222223</v>
      </c>
      <c r="F6">
        <v>21</v>
      </c>
      <c r="G6">
        <v>15</v>
      </c>
      <c r="H6" s="3">
        <f t="shared" si="1"/>
        <v>9.5949074074074103E-2</v>
      </c>
      <c r="I6" s="3">
        <f t="shared" si="2"/>
        <v>9.5949074074074103E-2</v>
      </c>
      <c r="J6" s="3">
        <f t="shared" si="3"/>
        <v>0</v>
      </c>
      <c r="K6">
        <f t="shared" si="0"/>
        <v>138.16666666666666</v>
      </c>
      <c r="M6">
        <f>IF(DAY(B6)=$M$1,K6,0)</f>
        <v>0</v>
      </c>
      <c r="N6">
        <f>IF(DAY($B6)=N$1,$K6,0)</f>
        <v>138.16666666666666</v>
      </c>
      <c r="O6">
        <f>IF(DAY($B6)=O$1,$K6,0)</f>
        <v>0</v>
      </c>
      <c r="P6">
        <f>IF(DAY($B6)=P$1,$K6,0)</f>
        <v>0</v>
      </c>
      <c r="Q6">
        <f>IF(DAY($B6)=Q$1,$K6,0)</f>
        <v>0</v>
      </c>
      <c r="R6">
        <f>IF(DAY($B6)=R$1,$K6,0)</f>
        <v>0</v>
      </c>
      <c r="S6">
        <f>IF(DAY($B6)=S$1,$K6,0)</f>
        <v>0</v>
      </c>
      <c r="T6">
        <f>IF(DAY($B6)=T$1,$K6,0)</f>
        <v>0</v>
      </c>
      <c r="U6">
        <f>IF(DAY($B6)=U$1,$K6,0)</f>
        <v>0</v>
      </c>
      <c r="V6">
        <f>IF(DAY($B6)=V$1,$K6,0)</f>
        <v>0</v>
      </c>
      <c r="W6">
        <f>IF(DAY($B6)=W$1,$K6,0)</f>
        <v>0</v>
      </c>
      <c r="X6">
        <f>IF(DAY($B6)=X$1,$K6,0)</f>
        <v>0</v>
      </c>
      <c r="Y6">
        <f>IF(DAY($B6)=Y$1,$K6,0)</f>
        <v>0</v>
      </c>
      <c r="Z6">
        <f>IF(DAY($B6)=Z$1,$K6,0)</f>
        <v>0</v>
      </c>
      <c r="AA6">
        <f>IF(DAY($B6)=AA$1,$K6,0)</f>
        <v>0</v>
      </c>
      <c r="AB6">
        <f>IF(DAY($B6)=AB$1,$K6,0)</f>
        <v>0</v>
      </c>
      <c r="AC6">
        <f>IF(DAY($B6)=AC$1,$K6,0)</f>
        <v>0</v>
      </c>
      <c r="AD6">
        <f>IF(DAY($B6)=AD$1,$K6,0)</f>
        <v>0</v>
      </c>
      <c r="AE6">
        <f>IF(DAY($B6)=AE$1,$K6,0)</f>
        <v>0</v>
      </c>
      <c r="AF6">
        <f>IF(DAY($B6)=AF$1,$K6,0)</f>
        <v>0</v>
      </c>
      <c r="AG6">
        <f>IF(DAY($B6)=AG$1,$K6,0)</f>
        <v>0</v>
      </c>
      <c r="AH6">
        <f>IF(DAY($B6)=AH$1,$K6,0)</f>
        <v>0</v>
      </c>
      <c r="AI6">
        <f>IF(DAY($B6)=AI$1,$K6,0)</f>
        <v>0</v>
      </c>
      <c r="AJ6">
        <f>IF(DAY($B6)=AJ$1,$K6,0)</f>
        <v>0</v>
      </c>
      <c r="AK6">
        <f>IF(DAY($B6)=AK$1,$K6,0)</f>
        <v>0</v>
      </c>
      <c r="AL6">
        <f>IF(DAY($B6)=AL$1,$K6,0)</f>
        <v>0</v>
      </c>
      <c r="AM6">
        <f>IF(DAY($B6)=AM$1,$K6,0)</f>
        <v>0</v>
      </c>
      <c r="AN6">
        <f>IF(DAY($B6)=AN$1,$K6,0)</f>
        <v>0</v>
      </c>
      <c r="AO6">
        <f>IF(DAY($B6)=AO$1,$K6,0)</f>
        <v>0</v>
      </c>
      <c r="AP6">
        <f>IF(DAY($B6)=AP$1,$K6,0)</f>
        <v>0</v>
      </c>
    </row>
    <row r="7" spans="1:42" x14ac:dyDescent="0.3">
      <c r="A7">
        <v>6</v>
      </c>
      <c r="B7" s="1">
        <v>44441</v>
      </c>
      <c r="C7" s="2">
        <v>0.34736111111111106</v>
      </c>
      <c r="D7" s="1">
        <v>44441</v>
      </c>
      <c r="E7" s="3">
        <v>0.42460648148148145</v>
      </c>
      <c r="F7">
        <v>11</v>
      </c>
      <c r="G7">
        <v>24</v>
      </c>
      <c r="H7" s="3">
        <f t="shared" si="1"/>
        <v>7.7245370370370381E-2</v>
      </c>
      <c r="I7" s="3">
        <f t="shared" si="2"/>
        <v>7.7245370370370381E-2</v>
      </c>
      <c r="J7" s="3">
        <f t="shared" si="3"/>
        <v>0</v>
      </c>
      <c r="K7">
        <f t="shared" si="0"/>
        <v>111.23333333333333</v>
      </c>
      <c r="M7">
        <f>IF(DAY(B7)=$M$1,K7,0)</f>
        <v>0</v>
      </c>
      <c r="N7">
        <f>IF(DAY($B7)=N$1,$K7,0)</f>
        <v>111.23333333333333</v>
      </c>
      <c r="O7">
        <f>IF(DAY($B7)=O$1,$K7,0)</f>
        <v>0</v>
      </c>
      <c r="P7">
        <f>IF(DAY($B7)=P$1,$K7,0)</f>
        <v>0</v>
      </c>
      <c r="Q7">
        <f>IF(DAY($B7)=Q$1,$K7,0)</f>
        <v>0</v>
      </c>
      <c r="R7">
        <f>IF(DAY($B7)=R$1,$K7,0)</f>
        <v>0</v>
      </c>
      <c r="S7">
        <f>IF(DAY($B7)=S$1,$K7,0)</f>
        <v>0</v>
      </c>
      <c r="T7">
        <f>IF(DAY($B7)=T$1,$K7,0)</f>
        <v>0</v>
      </c>
      <c r="U7">
        <f>IF(DAY($B7)=U$1,$K7,0)</f>
        <v>0</v>
      </c>
      <c r="V7">
        <f>IF(DAY($B7)=V$1,$K7,0)</f>
        <v>0</v>
      </c>
      <c r="W7">
        <f>IF(DAY($B7)=W$1,$K7,0)</f>
        <v>0</v>
      </c>
      <c r="X7">
        <f>IF(DAY($B7)=X$1,$K7,0)</f>
        <v>0</v>
      </c>
      <c r="Y7">
        <f>IF(DAY($B7)=Y$1,$K7,0)</f>
        <v>0</v>
      </c>
      <c r="Z7">
        <f>IF(DAY($B7)=Z$1,$K7,0)</f>
        <v>0</v>
      </c>
      <c r="AA7">
        <f>IF(DAY($B7)=AA$1,$K7,0)</f>
        <v>0</v>
      </c>
      <c r="AB7">
        <f>IF(DAY($B7)=AB$1,$K7,0)</f>
        <v>0</v>
      </c>
      <c r="AC7">
        <f>IF(DAY($B7)=AC$1,$K7,0)</f>
        <v>0</v>
      </c>
      <c r="AD7">
        <f>IF(DAY($B7)=AD$1,$K7,0)</f>
        <v>0</v>
      </c>
      <c r="AE7">
        <f>IF(DAY($B7)=AE$1,$K7,0)</f>
        <v>0</v>
      </c>
      <c r="AF7">
        <f>IF(DAY($B7)=AF$1,$K7,0)</f>
        <v>0</v>
      </c>
      <c r="AG7">
        <f>IF(DAY($B7)=AG$1,$K7,0)</f>
        <v>0</v>
      </c>
      <c r="AH7">
        <f>IF(DAY($B7)=AH$1,$K7,0)</f>
        <v>0</v>
      </c>
      <c r="AI7">
        <f>IF(DAY($B7)=AI$1,$K7,0)</f>
        <v>0</v>
      </c>
      <c r="AJ7">
        <f>IF(DAY($B7)=AJ$1,$K7,0)</f>
        <v>0</v>
      </c>
      <c r="AK7">
        <f>IF(DAY($B7)=AK$1,$K7,0)</f>
        <v>0</v>
      </c>
      <c r="AL7">
        <f>IF(DAY($B7)=AL$1,$K7,0)</f>
        <v>0</v>
      </c>
      <c r="AM7">
        <f>IF(DAY($B7)=AM$1,$K7,0)</f>
        <v>0</v>
      </c>
      <c r="AN7">
        <f>IF(DAY($B7)=AN$1,$K7,0)</f>
        <v>0</v>
      </c>
      <c r="AO7">
        <f>IF(DAY($B7)=AO$1,$K7,0)</f>
        <v>0</v>
      </c>
      <c r="AP7">
        <f>IF(DAY($B7)=AP$1,$K7,0)</f>
        <v>0</v>
      </c>
    </row>
    <row r="8" spans="1:42" x14ac:dyDescent="0.3">
      <c r="A8">
        <v>7</v>
      </c>
      <c r="B8" s="1">
        <v>44441</v>
      </c>
      <c r="C8" s="2">
        <v>0.48079861111111111</v>
      </c>
      <c r="D8" s="1">
        <v>44441</v>
      </c>
      <c r="E8" s="3">
        <v>0.57214120370370369</v>
      </c>
      <c r="F8">
        <v>19</v>
      </c>
      <c r="G8">
        <v>10</v>
      </c>
      <c r="H8" s="3">
        <f t="shared" si="1"/>
        <v>9.1342592592592586E-2</v>
      </c>
      <c r="I8" s="3">
        <f t="shared" si="2"/>
        <v>9.1342592592592586E-2</v>
      </c>
      <c r="J8" s="3">
        <f t="shared" si="3"/>
        <v>0</v>
      </c>
      <c r="K8">
        <f t="shared" si="0"/>
        <v>131.53333333333333</v>
      </c>
      <c r="M8">
        <f>IF(DAY(B8)=$M$1,K8,0)</f>
        <v>0</v>
      </c>
      <c r="N8">
        <f>IF(DAY($B8)=N$1,$K8,0)</f>
        <v>131.53333333333333</v>
      </c>
      <c r="O8">
        <f>IF(DAY($B8)=O$1,$K8,0)</f>
        <v>0</v>
      </c>
      <c r="P8">
        <f>IF(DAY($B8)=P$1,$K8,0)</f>
        <v>0</v>
      </c>
      <c r="Q8">
        <f>IF(DAY($B8)=Q$1,$K8,0)</f>
        <v>0</v>
      </c>
      <c r="R8">
        <f>IF(DAY($B8)=R$1,$K8,0)</f>
        <v>0</v>
      </c>
      <c r="S8">
        <f>IF(DAY($B8)=S$1,$K8,0)</f>
        <v>0</v>
      </c>
      <c r="T8">
        <f>IF(DAY($B8)=T$1,$K8,0)</f>
        <v>0</v>
      </c>
      <c r="U8">
        <f>IF(DAY($B8)=U$1,$K8,0)</f>
        <v>0</v>
      </c>
      <c r="V8">
        <f>IF(DAY($B8)=V$1,$K8,0)</f>
        <v>0</v>
      </c>
      <c r="W8">
        <f>IF(DAY($B8)=W$1,$K8,0)</f>
        <v>0</v>
      </c>
      <c r="X8">
        <f>IF(DAY($B8)=X$1,$K8,0)</f>
        <v>0</v>
      </c>
      <c r="Y8">
        <f>IF(DAY($B8)=Y$1,$K8,0)</f>
        <v>0</v>
      </c>
      <c r="Z8">
        <f>IF(DAY($B8)=Z$1,$K8,0)</f>
        <v>0</v>
      </c>
      <c r="AA8">
        <f>IF(DAY($B8)=AA$1,$K8,0)</f>
        <v>0</v>
      </c>
      <c r="AB8">
        <f>IF(DAY($B8)=AB$1,$K8,0)</f>
        <v>0</v>
      </c>
      <c r="AC8">
        <f>IF(DAY($B8)=AC$1,$K8,0)</f>
        <v>0</v>
      </c>
      <c r="AD8">
        <f>IF(DAY($B8)=AD$1,$K8,0)</f>
        <v>0</v>
      </c>
      <c r="AE8">
        <f>IF(DAY($B8)=AE$1,$K8,0)</f>
        <v>0</v>
      </c>
      <c r="AF8">
        <f>IF(DAY($B8)=AF$1,$K8,0)</f>
        <v>0</v>
      </c>
      <c r="AG8">
        <f>IF(DAY($B8)=AG$1,$K8,0)</f>
        <v>0</v>
      </c>
      <c r="AH8">
        <f>IF(DAY($B8)=AH$1,$K8,0)</f>
        <v>0</v>
      </c>
      <c r="AI8">
        <f>IF(DAY($B8)=AI$1,$K8,0)</f>
        <v>0</v>
      </c>
      <c r="AJ8">
        <f>IF(DAY($B8)=AJ$1,$K8,0)</f>
        <v>0</v>
      </c>
      <c r="AK8">
        <f>IF(DAY($B8)=AK$1,$K8,0)</f>
        <v>0</v>
      </c>
      <c r="AL8">
        <f>IF(DAY($B8)=AL$1,$K8,0)</f>
        <v>0</v>
      </c>
      <c r="AM8">
        <f>IF(DAY($B8)=AM$1,$K8,0)</f>
        <v>0</v>
      </c>
      <c r="AN8">
        <f>IF(DAY($B8)=AN$1,$K8,0)</f>
        <v>0</v>
      </c>
      <c r="AO8">
        <f>IF(DAY($B8)=AO$1,$K8,0)</f>
        <v>0</v>
      </c>
      <c r="AP8">
        <f>IF(DAY($B8)=AP$1,$K8,0)</f>
        <v>0</v>
      </c>
    </row>
    <row r="9" spans="1:42" x14ac:dyDescent="0.3">
      <c r="A9">
        <v>8</v>
      </c>
      <c r="B9" s="1">
        <v>44441</v>
      </c>
      <c r="C9" s="2">
        <v>0.63290509259259264</v>
      </c>
      <c r="D9" s="1">
        <v>44441</v>
      </c>
      <c r="E9" s="3">
        <v>0.72944444444444445</v>
      </c>
      <c r="F9">
        <v>9</v>
      </c>
      <c r="G9">
        <v>11</v>
      </c>
      <c r="H9" s="3">
        <f t="shared" si="1"/>
        <v>9.6539351851851807E-2</v>
      </c>
      <c r="I9" s="3">
        <f t="shared" si="2"/>
        <v>9.6539351851851807E-2</v>
      </c>
      <c r="J9" s="3">
        <f t="shared" si="3"/>
        <v>0</v>
      </c>
      <c r="K9">
        <f t="shared" si="0"/>
        <v>139.01666666666668</v>
      </c>
      <c r="M9">
        <f>IF(DAY(B9)=$M$1,K9,0)</f>
        <v>0</v>
      </c>
      <c r="N9">
        <f>IF(DAY($B9)=N$1,$K9,0)</f>
        <v>139.01666666666668</v>
      </c>
      <c r="O9">
        <f>IF(DAY($B9)=O$1,$K9,0)</f>
        <v>0</v>
      </c>
      <c r="P9">
        <f>IF(DAY($B9)=P$1,$K9,0)</f>
        <v>0</v>
      </c>
      <c r="Q9">
        <f>IF(DAY($B9)=Q$1,$K9,0)</f>
        <v>0</v>
      </c>
      <c r="R9">
        <f>IF(DAY($B9)=R$1,$K9,0)</f>
        <v>0</v>
      </c>
      <c r="S9">
        <f>IF(DAY($B9)=S$1,$K9,0)</f>
        <v>0</v>
      </c>
      <c r="T9">
        <f>IF(DAY($B9)=T$1,$K9,0)</f>
        <v>0</v>
      </c>
      <c r="U9">
        <f>IF(DAY($B9)=U$1,$K9,0)</f>
        <v>0</v>
      </c>
      <c r="V9">
        <f>IF(DAY($B9)=V$1,$K9,0)</f>
        <v>0</v>
      </c>
      <c r="W9">
        <f>IF(DAY($B9)=W$1,$K9,0)</f>
        <v>0</v>
      </c>
      <c r="X9">
        <f>IF(DAY($B9)=X$1,$K9,0)</f>
        <v>0</v>
      </c>
      <c r="Y9">
        <f>IF(DAY($B9)=Y$1,$K9,0)</f>
        <v>0</v>
      </c>
      <c r="Z9">
        <f>IF(DAY($B9)=Z$1,$K9,0)</f>
        <v>0</v>
      </c>
      <c r="AA9">
        <f>IF(DAY($B9)=AA$1,$K9,0)</f>
        <v>0</v>
      </c>
      <c r="AB9">
        <f>IF(DAY($B9)=AB$1,$K9,0)</f>
        <v>0</v>
      </c>
      <c r="AC9">
        <f>IF(DAY($B9)=AC$1,$K9,0)</f>
        <v>0</v>
      </c>
      <c r="AD9">
        <f>IF(DAY($B9)=AD$1,$K9,0)</f>
        <v>0</v>
      </c>
      <c r="AE9">
        <f>IF(DAY($B9)=AE$1,$K9,0)</f>
        <v>0</v>
      </c>
      <c r="AF9">
        <f>IF(DAY($B9)=AF$1,$K9,0)</f>
        <v>0</v>
      </c>
      <c r="AG9">
        <f>IF(DAY($B9)=AG$1,$K9,0)</f>
        <v>0</v>
      </c>
      <c r="AH9">
        <f>IF(DAY($B9)=AH$1,$K9,0)</f>
        <v>0</v>
      </c>
      <c r="AI9">
        <f>IF(DAY($B9)=AI$1,$K9,0)</f>
        <v>0</v>
      </c>
      <c r="AJ9">
        <f>IF(DAY($B9)=AJ$1,$K9,0)</f>
        <v>0</v>
      </c>
      <c r="AK9">
        <f>IF(DAY($B9)=AK$1,$K9,0)</f>
        <v>0</v>
      </c>
      <c r="AL9">
        <f>IF(DAY($B9)=AL$1,$K9,0)</f>
        <v>0</v>
      </c>
      <c r="AM9">
        <f>IF(DAY($B9)=AM$1,$K9,0)</f>
        <v>0</v>
      </c>
      <c r="AN9">
        <f>IF(DAY($B9)=AN$1,$K9,0)</f>
        <v>0</v>
      </c>
      <c r="AO9">
        <f>IF(DAY($B9)=AO$1,$K9,0)</f>
        <v>0</v>
      </c>
      <c r="AP9">
        <f>IF(DAY($B9)=AP$1,$K9,0)</f>
        <v>0</v>
      </c>
    </row>
    <row r="10" spans="1:42" x14ac:dyDescent="0.3">
      <c r="A10">
        <v>9</v>
      </c>
      <c r="B10" s="1">
        <v>44441</v>
      </c>
      <c r="C10" s="2">
        <v>0.80592592592592593</v>
      </c>
      <c r="D10" s="1">
        <v>44441</v>
      </c>
      <c r="E10" s="3">
        <v>0.89690972222222232</v>
      </c>
      <c r="F10">
        <v>12</v>
      </c>
      <c r="G10">
        <v>15</v>
      </c>
      <c r="H10" s="3">
        <f t="shared" si="1"/>
        <v>9.0983796296296382E-2</v>
      </c>
      <c r="I10" s="3">
        <f t="shared" si="2"/>
        <v>9.0983796296296382E-2</v>
      </c>
      <c r="J10" s="3">
        <f t="shared" si="3"/>
        <v>0</v>
      </c>
      <c r="K10">
        <f t="shared" si="0"/>
        <v>131.01666666666668</v>
      </c>
      <c r="M10">
        <f>IF(DAY(B10)=$M$1,K10,0)</f>
        <v>0</v>
      </c>
      <c r="N10">
        <f>IF(DAY($B10)=N$1,$K10,0)</f>
        <v>131.01666666666668</v>
      </c>
      <c r="O10">
        <f>IF(DAY($B10)=O$1,$K10,0)</f>
        <v>0</v>
      </c>
      <c r="P10">
        <f>IF(DAY($B10)=P$1,$K10,0)</f>
        <v>0</v>
      </c>
      <c r="Q10">
        <f>IF(DAY($B10)=Q$1,$K10,0)</f>
        <v>0</v>
      </c>
      <c r="R10">
        <f>IF(DAY($B10)=R$1,$K10,0)</f>
        <v>0</v>
      </c>
      <c r="S10">
        <f>IF(DAY($B10)=S$1,$K10,0)</f>
        <v>0</v>
      </c>
      <c r="T10">
        <f>IF(DAY($B10)=T$1,$K10,0)</f>
        <v>0</v>
      </c>
      <c r="U10">
        <f>IF(DAY($B10)=U$1,$K10,0)</f>
        <v>0</v>
      </c>
      <c r="V10">
        <f>IF(DAY($B10)=V$1,$K10,0)</f>
        <v>0</v>
      </c>
      <c r="W10">
        <f>IF(DAY($B10)=W$1,$K10,0)</f>
        <v>0</v>
      </c>
      <c r="X10">
        <f>IF(DAY($B10)=X$1,$K10,0)</f>
        <v>0</v>
      </c>
      <c r="Y10">
        <f>IF(DAY($B10)=Y$1,$K10,0)</f>
        <v>0</v>
      </c>
      <c r="Z10">
        <f>IF(DAY($B10)=Z$1,$K10,0)</f>
        <v>0</v>
      </c>
      <c r="AA10">
        <f>IF(DAY($B10)=AA$1,$K10,0)</f>
        <v>0</v>
      </c>
      <c r="AB10">
        <f>IF(DAY($B10)=AB$1,$K10,0)</f>
        <v>0</v>
      </c>
      <c r="AC10">
        <f>IF(DAY($B10)=AC$1,$K10,0)</f>
        <v>0</v>
      </c>
      <c r="AD10">
        <f>IF(DAY($B10)=AD$1,$K10,0)</f>
        <v>0</v>
      </c>
      <c r="AE10">
        <f>IF(DAY($B10)=AE$1,$K10,0)</f>
        <v>0</v>
      </c>
      <c r="AF10">
        <f>IF(DAY($B10)=AF$1,$K10,0)</f>
        <v>0</v>
      </c>
      <c r="AG10">
        <f>IF(DAY($B10)=AG$1,$K10,0)</f>
        <v>0</v>
      </c>
      <c r="AH10">
        <f>IF(DAY($B10)=AH$1,$K10,0)</f>
        <v>0</v>
      </c>
      <c r="AI10">
        <f>IF(DAY($B10)=AI$1,$K10,0)</f>
        <v>0</v>
      </c>
      <c r="AJ10">
        <f>IF(DAY($B10)=AJ$1,$K10,0)</f>
        <v>0</v>
      </c>
      <c r="AK10">
        <f>IF(DAY($B10)=AK$1,$K10,0)</f>
        <v>0</v>
      </c>
      <c r="AL10">
        <f>IF(DAY($B10)=AL$1,$K10,0)</f>
        <v>0</v>
      </c>
      <c r="AM10">
        <f>IF(DAY($B10)=AM$1,$K10,0)</f>
        <v>0</v>
      </c>
      <c r="AN10">
        <f>IF(DAY($B10)=AN$1,$K10,0)</f>
        <v>0</v>
      </c>
      <c r="AO10">
        <f>IF(DAY($B10)=AO$1,$K10,0)</f>
        <v>0</v>
      </c>
      <c r="AP10">
        <f>IF(DAY($B10)=AP$1,$K10,0)</f>
        <v>0</v>
      </c>
    </row>
    <row r="11" spans="1:42" x14ac:dyDescent="0.3">
      <c r="A11">
        <v>10</v>
      </c>
      <c r="B11" s="1">
        <v>44442</v>
      </c>
      <c r="C11" s="2">
        <v>0.13548611111111111</v>
      </c>
      <c r="D11" s="1">
        <v>44442</v>
      </c>
      <c r="E11" s="3">
        <v>0.31579861111111113</v>
      </c>
      <c r="F11">
        <v>17</v>
      </c>
      <c r="G11">
        <v>22</v>
      </c>
      <c r="H11" s="3">
        <f t="shared" si="1"/>
        <v>0.18031250000000001</v>
      </c>
      <c r="I11" s="3">
        <f t="shared" si="2"/>
        <v>0.18031250000000001</v>
      </c>
      <c r="J11" s="3">
        <f t="shared" si="3"/>
        <v>0</v>
      </c>
      <c r="K11">
        <f t="shared" si="0"/>
        <v>259.64999999999998</v>
      </c>
      <c r="M11">
        <f>IF(DAY(B11)=$M$1,K11,0)</f>
        <v>0</v>
      </c>
      <c r="N11">
        <f>IF(DAY($B11)=N$1,$K11,0)</f>
        <v>0</v>
      </c>
      <c r="O11">
        <f>IF(DAY($B11)=O$1,$K11,0)</f>
        <v>259.64999999999998</v>
      </c>
      <c r="P11">
        <f>IF(DAY($B11)=P$1,$K11,0)</f>
        <v>0</v>
      </c>
      <c r="Q11">
        <f>IF(DAY($B11)=Q$1,$K11,0)</f>
        <v>0</v>
      </c>
      <c r="R11">
        <f>IF(DAY($B11)=R$1,$K11,0)</f>
        <v>0</v>
      </c>
      <c r="S11">
        <f>IF(DAY($B11)=S$1,$K11,0)</f>
        <v>0</v>
      </c>
      <c r="T11">
        <f>IF(DAY($B11)=T$1,$K11,0)</f>
        <v>0</v>
      </c>
      <c r="U11">
        <f>IF(DAY($B11)=U$1,$K11,0)</f>
        <v>0</v>
      </c>
      <c r="V11">
        <f>IF(DAY($B11)=V$1,$K11,0)</f>
        <v>0</v>
      </c>
      <c r="W11">
        <f>IF(DAY($B11)=W$1,$K11,0)</f>
        <v>0</v>
      </c>
      <c r="X11">
        <f>IF(DAY($B11)=X$1,$K11,0)</f>
        <v>0</v>
      </c>
      <c r="Y11">
        <f>IF(DAY($B11)=Y$1,$K11,0)</f>
        <v>0</v>
      </c>
      <c r="Z11">
        <f>IF(DAY($B11)=Z$1,$K11,0)</f>
        <v>0</v>
      </c>
      <c r="AA11">
        <f>IF(DAY($B11)=AA$1,$K11,0)</f>
        <v>0</v>
      </c>
      <c r="AB11">
        <f>IF(DAY($B11)=AB$1,$K11,0)</f>
        <v>0</v>
      </c>
      <c r="AC11">
        <f>IF(DAY($B11)=AC$1,$K11,0)</f>
        <v>0</v>
      </c>
      <c r="AD11">
        <f>IF(DAY($B11)=AD$1,$K11,0)</f>
        <v>0</v>
      </c>
      <c r="AE11">
        <f>IF(DAY($B11)=AE$1,$K11,0)</f>
        <v>0</v>
      </c>
      <c r="AF11">
        <f>IF(DAY($B11)=AF$1,$K11,0)</f>
        <v>0</v>
      </c>
      <c r="AG11">
        <f>IF(DAY($B11)=AG$1,$K11,0)</f>
        <v>0</v>
      </c>
      <c r="AH11">
        <f>IF(DAY($B11)=AH$1,$K11,0)</f>
        <v>0</v>
      </c>
      <c r="AI11">
        <f>IF(DAY($B11)=AI$1,$K11,0)</f>
        <v>0</v>
      </c>
      <c r="AJ11">
        <f>IF(DAY($B11)=AJ$1,$K11,0)</f>
        <v>0</v>
      </c>
      <c r="AK11">
        <f>IF(DAY($B11)=AK$1,$K11,0)</f>
        <v>0</v>
      </c>
      <c r="AL11">
        <f>IF(DAY($B11)=AL$1,$K11,0)</f>
        <v>0</v>
      </c>
      <c r="AM11">
        <f>IF(DAY($B11)=AM$1,$K11,0)</f>
        <v>0</v>
      </c>
      <c r="AN11">
        <f>IF(DAY($B11)=AN$1,$K11,0)</f>
        <v>0</v>
      </c>
      <c r="AO11">
        <f>IF(DAY($B11)=AO$1,$K11,0)</f>
        <v>0</v>
      </c>
      <c r="AP11">
        <f>IF(DAY($B11)=AP$1,$K11,0)</f>
        <v>0</v>
      </c>
    </row>
    <row r="12" spans="1:42" x14ac:dyDescent="0.3">
      <c r="A12">
        <v>11</v>
      </c>
      <c r="B12" s="1">
        <v>44442</v>
      </c>
      <c r="C12" s="2">
        <v>0.37784722222222222</v>
      </c>
      <c r="D12" s="1">
        <v>44442</v>
      </c>
      <c r="E12" s="3">
        <v>0.46140046296296294</v>
      </c>
      <c r="F12">
        <v>14</v>
      </c>
      <c r="G12">
        <v>10</v>
      </c>
      <c r="H12" s="3">
        <f t="shared" si="1"/>
        <v>8.355324074074072E-2</v>
      </c>
      <c r="I12" s="3">
        <f t="shared" si="2"/>
        <v>8.355324074074072E-2</v>
      </c>
      <c r="J12" s="3">
        <f t="shared" si="3"/>
        <v>0</v>
      </c>
      <c r="K12">
        <f t="shared" si="0"/>
        <v>120.31666666666666</v>
      </c>
      <c r="M12">
        <f>IF(DAY(B12)=$M$1,K12,0)</f>
        <v>0</v>
      </c>
      <c r="N12">
        <f>IF(DAY($B12)=N$1,$K12,0)</f>
        <v>0</v>
      </c>
      <c r="O12">
        <f>IF(DAY($B12)=O$1,$K12,0)</f>
        <v>120.31666666666666</v>
      </c>
      <c r="P12">
        <f>IF(DAY($B12)=P$1,$K12,0)</f>
        <v>0</v>
      </c>
      <c r="Q12">
        <f>IF(DAY($B12)=Q$1,$K12,0)</f>
        <v>0</v>
      </c>
      <c r="R12">
        <f>IF(DAY($B12)=R$1,$K12,0)</f>
        <v>0</v>
      </c>
      <c r="S12">
        <f>IF(DAY($B12)=S$1,$K12,0)</f>
        <v>0</v>
      </c>
      <c r="T12">
        <f>IF(DAY($B12)=T$1,$K12,0)</f>
        <v>0</v>
      </c>
      <c r="U12">
        <f>IF(DAY($B12)=U$1,$K12,0)</f>
        <v>0</v>
      </c>
      <c r="V12">
        <f>IF(DAY($B12)=V$1,$K12,0)</f>
        <v>0</v>
      </c>
      <c r="W12">
        <f>IF(DAY($B12)=W$1,$K12,0)</f>
        <v>0</v>
      </c>
      <c r="X12">
        <f>IF(DAY($B12)=X$1,$K12,0)</f>
        <v>0</v>
      </c>
      <c r="Y12">
        <f>IF(DAY($B12)=Y$1,$K12,0)</f>
        <v>0</v>
      </c>
      <c r="Z12">
        <f>IF(DAY($B12)=Z$1,$K12,0)</f>
        <v>0</v>
      </c>
      <c r="AA12">
        <f>IF(DAY($B12)=AA$1,$K12,0)</f>
        <v>0</v>
      </c>
      <c r="AB12">
        <f>IF(DAY($B12)=AB$1,$K12,0)</f>
        <v>0</v>
      </c>
      <c r="AC12">
        <f>IF(DAY($B12)=AC$1,$K12,0)</f>
        <v>0</v>
      </c>
      <c r="AD12">
        <f>IF(DAY($B12)=AD$1,$K12,0)</f>
        <v>0</v>
      </c>
      <c r="AE12">
        <f>IF(DAY($B12)=AE$1,$K12,0)</f>
        <v>0</v>
      </c>
      <c r="AF12">
        <f>IF(DAY($B12)=AF$1,$K12,0)</f>
        <v>0</v>
      </c>
      <c r="AG12">
        <f>IF(DAY($B12)=AG$1,$K12,0)</f>
        <v>0</v>
      </c>
      <c r="AH12">
        <f>IF(DAY($B12)=AH$1,$K12,0)</f>
        <v>0</v>
      </c>
      <c r="AI12">
        <f>IF(DAY($B12)=AI$1,$K12,0)</f>
        <v>0</v>
      </c>
      <c r="AJ12">
        <f>IF(DAY($B12)=AJ$1,$K12,0)</f>
        <v>0</v>
      </c>
      <c r="AK12">
        <f>IF(DAY($B12)=AK$1,$K12,0)</f>
        <v>0</v>
      </c>
      <c r="AL12">
        <f>IF(DAY($B12)=AL$1,$K12,0)</f>
        <v>0</v>
      </c>
      <c r="AM12">
        <f>IF(DAY($B12)=AM$1,$K12,0)</f>
        <v>0</v>
      </c>
      <c r="AN12">
        <f>IF(DAY($B12)=AN$1,$K12,0)</f>
        <v>0</v>
      </c>
      <c r="AO12">
        <f>IF(DAY($B12)=AO$1,$K12,0)</f>
        <v>0</v>
      </c>
      <c r="AP12">
        <f>IF(DAY($B12)=AP$1,$K12,0)</f>
        <v>0</v>
      </c>
    </row>
    <row r="13" spans="1:42" x14ac:dyDescent="0.3">
      <c r="A13">
        <v>12</v>
      </c>
      <c r="B13" s="1">
        <v>44442</v>
      </c>
      <c r="C13" s="2">
        <v>0.50086805555555558</v>
      </c>
      <c r="D13" s="1">
        <v>44442</v>
      </c>
      <c r="E13" s="3">
        <v>0.63633101851851859</v>
      </c>
      <c r="F13">
        <v>24</v>
      </c>
      <c r="G13">
        <v>19</v>
      </c>
      <c r="H13" s="3">
        <f t="shared" si="1"/>
        <v>0.13546296296296301</v>
      </c>
      <c r="I13" s="3">
        <f t="shared" si="2"/>
        <v>0.13546296296296301</v>
      </c>
      <c r="J13" s="3">
        <f t="shared" si="3"/>
        <v>0</v>
      </c>
      <c r="K13">
        <f t="shared" si="0"/>
        <v>195.06666666666666</v>
      </c>
      <c r="M13">
        <f>IF(DAY(B13)=$M$1,K13,0)</f>
        <v>0</v>
      </c>
      <c r="N13">
        <f>IF(DAY($B13)=N$1,$K13,0)</f>
        <v>0</v>
      </c>
      <c r="O13">
        <f>IF(DAY($B13)=O$1,$K13,0)</f>
        <v>195.06666666666666</v>
      </c>
      <c r="P13">
        <f>IF(DAY($B13)=P$1,$K13,0)</f>
        <v>0</v>
      </c>
      <c r="Q13">
        <f>IF(DAY($B13)=Q$1,$K13,0)</f>
        <v>0</v>
      </c>
      <c r="R13">
        <f>IF(DAY($B13)=R$1,$K13,0)</f>
        <v>0</v>
      </c>
      <c r="S13">
        <f>IF(DAY($B13)=S$1,$K13,0)</f>
        <v>0</v>
      </c>
      <c r="T13">
        <f>IF(DAY($B13)=T$1,$K13,0)</f>
        <v>0</v>
      </c>
      <c r="U13">
        <f>IF(DAY($B13)=U$1,$K13,0)</f>
        <v>0</v>
      </c>
      <c r="V13">
        <f>IF(DAY($B13)=V$1,$K13,0)</f>
        <v>0</v>
      </c>
      <c r="W13">
        <f>IF(DAY($B13)=W$1,$K13,0)</f>
        <v>0</v>
      </c>
      <c r="X13">
        <f>IF(DAY($B13)=X$1,$K13,0)</f>
        <v>0</v>
      </c>
      <c r="Y13">
        <f>IF(DAY($B13)=Y$1,$K13,0)</f>
        <v>0</v>
      </c>
      <c r="Z13">
        <f>IF(DAY($B13)=Z$1,$K13,0)</f>
        <v>0</v>
      </c>
      <c r="AA13">
        <f>IF(DAY($B13)=AA$1,$K13,0)</f>
        <v>0</v>
      </c>
      <c r="AB13">
        <f>IF(DAY($B13)=AB$1,$K13,0)</f>
        <v>0</v>
      </c>
      <c r="AC13">
        <f>IF(DAY($B13)=AC$1,$K13,0)</f>
        <v>0</v>
      </c>
      <c r="AD13">
        <f>IF(DAY($B13)=AD$1,$K13,0)</f>
        <v>0</v>
      </c>
      <c r="AE13">
        <f>IF(DAY($B13)=AE$1,$K13,0)</f>
        <v>0</v>
      </c>
      <c r="AF13">
        <f>IF(DAY($B13)=AF$1,$K13,0)</f>
        <v>0</v>
      </c>
      <c r="AG13">
        <f>IF(DAY($B13)=AG$1,$K13,0)</f>
        <v>0</v>
      </c>
      <c r="AH13">
        <f>IF(DAY($B13)=AH$1,$K13,0)</f>
        <v>0</v>
      </c>
      <c r="AI13">
        <f>IF(DAY($B13)=AI$1,$K13,0)</f>
        <v>0</v>
      </c>
      <c r="AJ13">
        <f>IF(DAY($B13)=AJ$1,$K13,0)</f>
        <v>0</v>
      </c>
      <c r="AK13">
        <f>IF(DAY($B13)=AK$1,$K13,0)</f>
        <v>0</v>
      </c>
      <c r="AL13">
        <f>IF(DAY($B13)=AL$1,$K13,0)</f>
        <v>0</v>
      </c>
      <c r="AM13">
        <f>IF(DAY($B13)=AM$1,$K13,0)</f>
        <v>0</v>
      </c>
      <c r="AN13">
        <f>IF(DAY($B13)=AN$1,$K13,0)</f>
        <v>0</v>
      </c>
      <c r="AO13">
        <f>IF(DAY($B13)=AO$1,$K13,0)</f>
        <v>0</v>
      </c>
      <c r="AP13">
        <f>IF(DAY($B13)=AP$1,$K13,0)</f>
        <v>0</v>
      </c>
    </row>
    <row r="14" spans="1:42" x14ac:dyDescent="0.3">
      <c r="A14">
        <v>13</v>
      </c>
      <c r="B14" s="1">
        <v>44442</v>
      </c>
      <c r="C14" s="2">
        <v>0.7049305555555555</v>
      </c>
      <c r="D14" s="1">
        <v>44442</v>
      </c>
      <c r="E14" s="3">
        <v>0.76827546296296301</v>
      </c>
      <c r="F14">
        <v>16</v>
      </c>
      <c r="G14">
        <v>11</v>
      </c>
      <c r="H14" s="3">
        <f t="shared" si="1"/>
        <v>6.3344907407407502E-2</v>
      </c>
      <c r="I14" s="3">
        <f t="shared" si="2"/>
        <v>6.3344907407407502E-2</v>
      </c>
      <c r="J14" s="3">
        <f t="shared" si="3"/>
        <v>0</v>
      </c>
      <c r="K14">
        <f t="shared" si="0"/>
        <v>91.216666666666669</v>
      </c>
      <c r="M14">
        <f>IF(DAY(B14)=$M$1,K14,0)</f>
        <v>0</v>
      </c>
      <c r="N14">
        <f>IF(DAY($B14)=N$1,$K14,0)</f>
        <v>0</v>
      </c>
      <c r="O14">
        <f>IF(DAY($B14)=O$1,$K14,0)</f>
        <v>91.216666666666669</v>
      </c>
      <c r="P14">
        <f>IF(DAY($B14)=P$1,$K14,0)</f>
        <v>0</v>
      </c>
      <c r="Q14">
        <f>IF(DAY($B14)=Q$1,$K14,0)</f>
        <v>0</v>
      </c>
      <c r="R14">
        <f>IF(DAY($B14)=R$1,$K14,0)</f>
        <v>0</v>
      </c>
      <c r="S14">
        <f>IF(DAY($B14)=S$1,$K14,0)</f>
        <v>0</v>
      </c>
      <c r="T14">
        <f>IF(DAY($B14)=T$1,$K14,0)</f>
        <v>0</v>
      </c>
      <c r="U14">
        <f>IF(DAY($B14)=U$1,$K14,0)</f>
        <v>0</v>
      </c>
      <c r="V14">
        <f>IF(DAY($B14)=V$1,$K14,0)</f>
        <v>0</v>
      </c>
      <c r="W14">
        <f>IF(DAY($B14)=W$1,$K14,0)</f>
        <v>0</v>
      </c>
      <c r="X14">
        <f>IF(DAY($B14)=X$1,$K14,0)</f>
        <v>0</v>
      </c>
      <c r="Y14">
        <f>IF(DAY($B14)=Y$1,$K14,0)</f>
        <v>0</v>
      </c>
      <c r="Z14">
        <f>IF(DAY($B14)=Z$1,$K14,0)</f>
        <v>0</v>
      </c>
      <c r="AA14">
        <f>IF(DAY($B14)=AA$1,$K14,0)</f>
        <v>0</v>
      </c>
      <c r="AB14">
        <f>IF(DAY($B14)=AB$1,$K14,0)</f>
        <v>0</v>
      </c>
      <c r="AC14">
        <f>IF(DAY($B14)=AC$1,$K14,0)</f>
        <v>0</v>
      </c>
      <c r="AD14">
        <f>IF(DAY($B14)=AD$1,$K14,0)</f>
        <v>0</v>
      </c>
      <c r="AE14">
        <f>IF(DAY($B14)=AE$1,$K14,0)</f>
        <v>0</v>
      </c>
      <c r="AF14">
        <f>IF(DAY($B14)=AF$1,$K14,0)</f>
        <v>0</v>
      </c>
      <c r="AG14">
        <f>IF(DAY($B14)=AG$1,$K14,0)</f>
        <v>0</v>
      </c>
      <c r="AH14">
        <f>IF(DAY($B14)=AH$1,$K14,0)</f>
        <v>0</v>
      </c>
      <c r="AI14">
        <f>IF(DAY($B14)=AI$1,$K14,0)</f>
        <v>0</v>
      </c>
      <c r="AJ14">
        <f>IF(DAY($B14)=AJ$1,$K14,0)</f>
        <v>0</v>
      </c>
      <c r="AK14">
        <f>IF(DAY($B14)=AK$1,$K14,0)</f>
        <v>0</v>
      </c>
      <c r="AL14">
        <f>IF(DAY($B14)=AL$1,$K14,0)</f>
        <v>0</v>
      </c>
      <c r="AM14">
        <f>IF(DAY($B14)=AM$1,$K14,0)</f>
        <v>0</v>
      </c>
      <c r="AN14">
        <f>IF(DAY($B14)=AN$1,$K14,0)</f>
        <v>0</v>
      </c>
      <c r="AO14">
        <f>IF(DAY($B14)=AO$1,$K14,0)</f>
        <v>0</v>
      </c>
      <c r="AP14">
        <f>IF(DAY($B14)=AP$1,$K14,0)</f>
        <v>0</v>
      </c>
    </row>
    <row r="15" spans="1:42" x14ac:dyDescent="0.3">
      <c r="A15">
        <v>14</v>
      </c>
      <c r="B15" s="1">
        <v>44442</v>
      </c>
      <c r="C15" s="2">
        <v>0.80994212962962964</v>
      </c>
      <c r="D15" s="1">
        <v>44442</v>
      </c>
      <c r="E15" s="3">
        <v>0.92829861111111101</v>
      </c>
      <c r="F15">
        <v>15</v>
      </c>
      <c r="G15">
        <v>9</v>
      </c>
      <c r="H15" s="3">
        <f t="shared" si="1"/>
        <v>0.11835648148148137</v>
      </c>
      <c r="I15" s="3">
        <f t="shared" si="2"/>
        <v>0.11835648148148137</v>
      </c>
      <c r="J15" s="3">
        <f t="shared" si="3"/>
        <v>0</v>
      </c>
      <c r="K15">
        <f t="shared" si="0"/>
        <v>170.43333333333334</v>
      </c>
      <c r="M15">
        <f>IF(DAY(B15)=$M$1,K15,0)</f>
        <v>0</v>
      </c>
      <c r="N15">
        <f>IF(DAY($B15)=N$1,$K15,0)</f>
        <v>0</v>
      </c>
      <c r="O15">
        <f>IF(DAY($B15)=O$1,$K15,0)</f>
        <v>170.43333333333334</v>
      </c>
      <c r="P15">
        <f>IF(DAY($B15)=P$1,$K15,0)</f>
        <v>0</v>
      </c>
      <c r="Q15">
        <f>IF(DAY($B15)=Q$1,$K15,0)</f>
        <v>0</v>
      </c>
      <c r="R15">
        <f>IF(DAY($B15)=R$1,$K15,0)</f>
        <v>0</v>
      </c>
      <c r="S15">
        <f>IF(DAY($B15)=S$1,$K15,0)</f>
        <v>0</v>
      </c>
      <c r="T15">
        <f>IF(DAY($B15)=T$1,$K15,0)</f>
        <v>0</v>
      </c>
      <c r="U15">
        <f>IF(DAY($B15)=U$1,$K15,0)</f>
        <v>0</v>
      </c>
      <c r="V15">
        <f>IF(DAY($B15)=V$1,$K15,0)</f>
        <v>0</v>
      </c>
      <c r="W15">
        <f>IF(DAY($B15)=W$1,$K15,0)</f>
        <v>0</v>
      </c>
      <c r="X15">
        <f>IF(DAY($B15)=X$1,$K15,0)</f>
        <v>0</v>
      </c>
      <c r="Y15">
        <f>IF(DAY($B15)=Y$1,$K15,0)</f>
        <v>0</v>
      </c>
      <c r="Z15">
        <f>IF(DAY($B15)=Z$1,$K15,0)</f>
        <v>0</v>
      </c>
      <c r="AA15">
        <f>IF(DAY($B15)=AA$1,$K15,0)</f>
        <v>0</v>
      </c>
      <c r="AB15">
        <f>IF(DAY($B15)=AB$1,$K15,0)</f>
        <v>0</v>
      </c>
      <c r="AC15">
        <f>IF(DAY($B15)=AC$1,$K15,0)</f>
        <v>0</v>
      </c>
      <c r="AD15">
        <f>IF(DAY($B15)=AD$1,$K15,0)</f>
        <v>0</v>
      </c>
      <c r="AE15">
        <f>IF(DAY($B15)=AE$1,$K15,0)</f>
        <v>0</v>
      </c>
      <c r="AF15">
        <f>IF(DAY($B15)=AF$1,$K15,0)</f>
        <v>0</v>
      </c>
      <c r="AG15">
        <f>IF(DAY($B15)=AG$1,$K15,0)</f>
        <v>0</v>
      </c>
      <c r="AH15">
        <f>IF(DAY($B15)=AH$1,$K15,0)</f>
        <v>0</v>
      </c>
      <c r="AI15">
        <f>IF(DAY($B15)=AI$1,$K15,0)</f>
        <v>0</v>
      </c>
      <c r="AJ15">
        <f>IF(DAY($B15)=AJ$1,$K15,0)</f>
        <v>0</v>
      </c>
      <c r="AK15">
        <f>IF(DAY($B15)=AK$1,$K15,0)</f>
        <v>0</v>
      </c>
      <c r="AL15">
        <f>IF(DAY($B15)=AL$1,$K15,0)</f>
        <v>0</v>
      </c>
      <c r="AM15">
        <f>IF(DAY($B15)=AM$1,$K15,0)</f>
        <v>0</v>
      </c>
      <c r="AN15">
        <f>IF(DAY($B15)=AN$1,$K15,0)</f>
        <v>0</v>
      </c>
      <c r="AO15">
        <f>IF(DAY($B15)=AO$1,$K15,0)</f>
        <v>0</v>
      </c>
      <c r="AP15">
        <f>IF(DAY($B15)=AP$1,$K15,0)</f>
        <v>0</v>
      </c>
    </row>
    <row r="16" spans="1:42" x14ac:dyDescent="0.3">
      <c r="A16">
        <v>15</v>
      </c>
      <c r="B16" s="1">
        <v>44443</v>
      </c>
      <c r="C16" s="2">
        <v>0.17093749999999999</v>
      </c>
      <c r="D16" s="1">
        <v>44443</v>
      </c>
      <c r="E16" s="3">
        <v>0.25318287037037041</v>
      </c>
      <c r="F16">
        <v>7</v>
      </c>
      <c r="G16">
        <v>16</v>
      </c>
      <c r="H16" s="3">
        <f t="shared" si="1"/>
        <v>8.2245370370370413E-2</v>
      </c>
      <c r="I16" s="3">
        <f t="shared" si="2"/>
        <v>8.2245370370370413E-2</v>
      </c>
      <c r="J16" s="3">
        <f t="shared" si="3"/>
        <v>0</v>
      </c>
      <c r="K16">
        <f t="shared" si="0"/>
        <v>118.43333333333334</v>
      </c>
      <c r="M16">
        <f>IF(DAY(B16)=$M$1,K16,0)</f>
        <v>0</v>
      </c>
      <c r="N16">
        <f>IF(DAY($B16)=N$1,$K16,0)</f>
        <v>0</v>
      </c>
      <c r="O16">
        <f>IF(DAY($B16)=O$1,$K16,0)</f>
        <v>0</v>
      </c>
      <c r="P16">
        <f>IF(DAY($B16)=P$1,$K16,0)</f>
        <v>118.43333333333334</v>
      </c>
      <c r="Q16">
        <f>IF(DAY($B16)=Q$1,$K16,0)</f>
        <v>0</v>
      </c>
      <c r="R16">
        <f>IF(DAY($B16)=R$1,$K16,0)</f>
        <v>0</v>
      </c>
      <c r="S16">
        <f>IF(DAY($B16)=S$1,$K16,0)</f>
        <v>0</v>
      </c>
      <c r="T16">
        <f>IF(DAY($B16)=T$1,$K16,0)</f>
        <v>0</v>
      </c>
      <c r="U16">
        <f>IF(DAY($B16)=U$1,$K16,0)</f>
        <v>0</v>
      </c>
      <c r="V16">
        <f>IF(DAY($B16)=V$1,$K16,0)</f>
        <v>0</v>
      </c>
      <c r="W16">
        <f>IF(DAY($B16)=W$1,$K16,0)</f>
        <v>0</v>
      </c>
      <c r="X16">
        <f>IF(DAY($B16)=X$1,$K16,0)</f>
        <v>0</v>
      </c>
      <c r="Y16">
        <f>IF(DAY($B16)=Y$1,$K16,0)</f>
        <v>0</v>
      </c>
      <c r="Z16">
        <f>IF(DAY($B16)=Z$1,$K16,0)</f>
        <v>0</v>
      </c>
      <c r="AA16">
        <f>IF(DAY($B16)=AA$1,$K16,0)</f>
        <v>0</v>
      </c>
      <c r="AB16">
        <f>IF(DAY($B16)=AB$1,$K16,0)</f>
        <v>0</v>
      </c>
      <c r="AC16">
        <f>IF(DAY($B16)=AC$1,$K16,0)</f>
        <v>0</v>
      </c>
      <c r="AD16">
        <f>IF(DAY($B16)=AD$1,$K16,0)</f>
        <v>0</v>
      </c>
      <c r="AE16">
        <f>IF(DAY($B16)=AE$1,$K16,0)</f>
        <v>0</v>
      </c>
      <c r="AF16">
        <f>IF(DAY($B16)=AF$1,$K16,0)</f>
        <v>0</v>
      </c>
      <c r="AG16">
        <f>IF(DAY($B16)=AG$1,$K16,0)</f>
        <v>0</v>
      </c>
      <c r="AH16">
        <f>IF(DAY($B16)=AH$1,$K16,0)</f>
        <v>0</v>
      </c>
      <c r="AI16">
        <f>IF(DAY($B16)=AI$1,$K16,0)</f>
        <v>0</v>
      </c>
      <c r="AJ16">
        <f>IF(DAY($B16)=AJ$1,$K16,0)</f>
        <v>0</v>
      </c>
      <c r="AK16">
        <f>IF(DAY($B16)=AK$1,$K16,0)</f>
        <v>0</v>
      </c>
      <c r="AL16">
        <f>IF(DAY($B16)=AL$1,$K16,0)</f>
        <v>0</v>
      </c>
      <c r="AM16">
        <f>IF(DAY($B16)=AM$1,$K16,0)</f>
        <v>0</v>
      </c>
      <c r="AN16">
        <f>IF(DAY($B16)=AN$1,$K16,0)</f>
        <v>0</v>
      </c>
      <c r="AO16">
        <f>IF(DAY($B16)=AO$1,$K16,0)</f>
        <v>0</v>
      </c>
      <c r="AP16">
        <f>IF(DAY($B16)=AP$1,$K16,0)</f>
        <v>0</v>
      </c>
    </row>
    <row r="17" spans="1:42" x14ac:dyDescent="0.3">
      <c r="A17">
        <v>16</v>
      </c>
      <c r="B17" s="1">
        <v>44443</v>
      </c>
      <c r="C17" s="2">
        <v>0.29620370370370369</v>
      </c>
      <c r="D17" s="1">
        <v>44443</v>
      </c>
      <c r="E17" s="3">
        <v>0.34704861111111113</v>
      </c>
      <c r="F17">
        <v>9</v>
      </c>
      <c r="G17">
        <v>11</v>
      </c>
      <c r="H17" s="3">
        <f t="shared" si="1"/>
        <v>5.0844907407407436E-2</v>
      </c>
      <c r="I17" s="3">
        <f t="shared" si="2"/>
        <v>5.0844907407407436E-2</v>
      </c>
      <c r="J17" s="3">
        <f t="shared" si="3"/>
        <v>0</v>
      </c>
      <c r="K17">
        <f t="shared" si="0"/>
        <v>73.216666666666669</v>
      </c>
      <c r="M17">
        <f>IF(DAY(B17)=$M$1,K17,0)</f>
        <v>0</v>
      </c>
      <c r="N17">
        <f>IF(DAY($B17)=N$1,$K17,0)</f>
        <v>0</v>
      </c>
      <c r="O17">
        <f>IF(DAY($B17)=O$1,$K17,0)</f>
        <v>0</v>
      </c>
      <c r="P17">
        <f>IF(DAY($B17)=P$1,$K17,0)</f>
        <v>73.216666666666669</v>
      </c>
      <c r="Q17">
        <f>IF(DAY($B17)=Q$1,$K17,0)</f>
        <v>0</v>
      </c>
      <c r="R17">
        <f>IF(DAY($B17)=R$1,$K17,0)</f>
        <v>0</v>
      </c>
      <c r="S17">
        <f>IF(DAY($B17)=S$1,$K17,0)</f>
        <v>0</v>
      </c>
      <c r="T17">
        <f>IF(DAY($B17)=T$1,$K17,0)</f>
        <v>0</v>
      </c>
      <c r="U17">
        <f>IF(DAY($B17)=U$1,$K17,0)</f>
        <v>0</v>
      </c>
      <c r="V17">
        <f>IF(DAY($B17)=V$1,$K17,0)</f>
        <v>0</v>
      </c>
      <c r="W17">
        <f>IF(DAY($B17)=W$1,$K17,0)</f>
        <v>0</v>
      </c>
      <c r="X17">
        <f>IF(DAY($B17)=X$1,$K17,0)</f>
        <v>0</v>
      </c>
      <c r="Y17">
        <f>IF(DAY($B17)=Y$1,$K17,0)</f>
        <v>0</v>
      </c>
      <c r="Z17">
        <f>IF(DAY($B17)=Z$1,$K17,0)</f>
        <v>0</v>
      </c>
      <c r="AA17">
        <f>IF(DAY($B17)=AA$1,$K17,0)</f>
        <v>0</v>
      </c>
      <c r="AB17">
        <f>IF(DAY($B17)=AB$1,$K17,0)</f>
        <v>0</v>
      </c>
      <c r="AC17">
        <f>IF(DAY($B17)=AC$1,$K17,0)</f>
        <v>0</v>
      </c>
      <c r="AD17">
        <f>IF(DAY($B17)=AD$1,$K17,0)</f>
        <v>0</v>
      </c>
      <c r="AE17">
        <f>IF(DAY($B17)=AE$1,$K17,0)</f>
        <v>0</v>
      </c>
      <c r="AF17">
        <f>IF(DAY($B17)=AF$1,$K17,0)</f>
        <v>0</v>
      </c>
      <c r="AG17">
        <f>IF(DAY($B17)=AG$1,$K17,0)</f>
        <v>0</v>
      </c>
      <c r="AH17">
        <f>IF(DAY($B17)=AH$1,$K17,0)</f>
        <v>0</v>
      </c>
      <c r="AI17">
        <f>IF(DAY($B17)=AI$1,$K17,0)</f>
        <v>0</v>
      </c>
      <c r="AJ17">
        <f>IF(DAY($B17)=AJ$1,$K17,0)</f>
        <v>0</v>
      </c>
      <c r="AK17">
        <f>IF(DAY($B17)=AK$1,$K17,0)</f>
        <v>0</v>
      </c>
      <c r="AL17">
        <f>IF(DAY($B17)=AL$1,$K17,0)</f>
        <v>0</v>
      </c>
      <c r="AM17">
        <f>IF(DAY($B17)=AM$1,$K17,0)</f>
        <v>0</v>
      </c>
      <c r="AN17">
        <f>IF(DAY($B17)=AN$1,$K17,0)</f>
        <v>0</v>
      </c>
      <c r="AO17">
        <f>IF(DAY($B17)=AO$1,$K17,0)</f>
        <v>0</v>
      </c>
      <c r="AP17">
        <f>IF(DAY($B17)=AP$1,$K17,0)</f>
        <v>0</v>
      </c>
    </row>
    <row r="18" spans="1:42" x14ac:dyDescent="0.3">
      <c r="A18">
        <v>17</v>
      </c>
      <c r="B18" s="1">
        <v>44443</v>
      </c>
      <c r="C18" s="2">
        <v>0.3578587962962963</v>
      </c>
      <c r="D18" s="1">
        <v>44443</v>
      </c>
      <c r="E18" s="3">
        <v>0.42055555555555557</v>
      </c>
      <c r="F18">
        <v>13</v>
      </c>
      <c r="G18">
        <v>18</v>
      </c>
      <c r="H18" s="3">
        <f t="shared" si="1"/>
        <v>6.2696759259259272E-2</v>
      </c>
      <c r="I18" s="3">
        <f t="shared" si="2"/>
        <v>6.2696759259259272E-2</v>
      </c>
      <c r="J18" s="3">
        <f t="shared" si="3"/>
        <v>0</v>
      </c>
      <c r="K18">
        <f t="shared" si="0"/>
        <v>90.283333333333331</v>
      </c>
      <c r="M18">
        <f>IF(DAY(B18)=$M$1,K18,0)</f>
        <v>0</v>
      </c>
      <c r="N18">
        <f>IF(DAY($B18)=N$1,$K18,0)</f>
        <v>0</v>
      </c>
      <c r="O18">
        <f>IF(DAY($B18)=O$1,$K18,0)</f>
        <v>0</v>
      </c>
      <c r="P18">
        <f>IF(DAY($B18)=P$1,$K18,0)</f>
        <v>90.283333333333331</v>
      </c>
      <c r="Q18">
        <f>IF(DAY($B18)=Q$1,$K18,0)</f>
        <v>0</v>
      </c>
      <c r="R18">
        <f>IF(DAY($B18)=R$1,$K18,0)</f>
        <v>0</v>
      </c>
      <c r="S18">
        <f>IF(DAY($B18)=S$1,$K18,0)</f>
        <v>0</v>
      </c>
      <c r="T18">
        <f>IF(DAY($B18)=T$1,$K18,0)</f>
        <v>0</v>
      </c>
      <c r="U18">
        <f>IF(DAY($B18)=U$1,$K18,0)</f>
        <v>0</v>
      </c>
      <c r="V18">
        <f>IF(DAY($B18)=V$1,$K18,0)</f>
        <v>0</v>
      </c>
      <c r="W18">
        <f>IF(DAY($B18)=W$1,$K18,0)</f>
        <v>0</v>
      </c>
      <c r="X18">
        <f>IF(DAY($B18)=X$1,$K18,0)</f>
        <v>0</v>
      </c>
      <c r="Y18">
        <f>IF(DAY($B18)=Y$1,$K18,0)</f>
        <v>0</v>
      </c>
      <c r="Z18">
        <f>IF(DAY($B18)=Z$1,$K18,0)</f>
        <v>0</v>
      </c>
      <c r="AA18">
        <f>IF(DAY($B18)=AA$1,$K18,0)</f>
        <v>0</v>
      </c>
      <c r="AB18">
        <f>IF(DAY($B18)=AB$1,$K18,0)</f>
        <v>0</v>
      </c>
      <c r="AC18">
        <f>IF(DAY($B18)=AC$1,$K18,0)</f>
        <v>0</v>
      </c>
      <c r="AD18">
        <f>IF(DAY($B18)=AD$1,$K18,0)</f>
        <v>0</v>
      </c>
      <c r="AE18">
        <f>IF(DAY($B18)=AE$1,$K18,0)</f>
        <v>0</v>
      </c>
      <c r="AF18">
        <f>IF(DAY($B18)=AF$1,$K18,0)</f>
        <v>0</v>
      </c>
      <c r="AG18">
        <f>IF(DAY($B18)=AG$1,$K18,0)</f>
        <v>0</v>
      </c>
      <c r="AH18">
        <f>IF(DAY($B18)=AH$1,$K18,0)</f>
        <v>0</v>
      </c>
      <c r="AI18">
        <f>IF(DAY($B18)=AI$1,$K18,0)</f>
        <v>0</v>
      </c>
      <c r="AJ18">
        <f>IF(DAY($B18)=AJ$1,$K18,0)</f>
        <v>0</v>
      </c>
      <c r="AK18">
        <f>IF(DAY($B18)=AK$1,$K18,0)</f>
        <v>0</v>
      </c>
      <c r="AL18">
        <f>IF(DAY($B18)=AL$1,$K18,0)</f>
        <v>0</v>
      </c>
      <c r="AM18">
        <f>IF(DAY($B18)=AM$1,$K18,0)</f>
        <v>0</v>
      </c>
      <c r="AN18">
        <f>IF(DAY($B18)=AN$1,$K18,0)</f>
        <v>0</v>
      </c>
      <c r="AO18">
        <f>IF(DAY($B18)=AO$1,$K18,0)</f>
        <v>0</v>
      </c>
      <c r="AP18">
        <f>IF(DAY($B18)=AP$1,$K18,0)</f>
        <v>0</v>
      </c>
    </row>
    <row r="19" spans="1:42" x14ac:dyDescent="0.3">
      <c r="A19">
        <v>18</v>
      </c>
      <c r="B19" s="1">
        <v>44443</v>
      </c>
      <c r="C19" s="2">
        <v>0.48564814814814811</v>
      </c>
      <c r="D19" s="1">
        <v>44443</v>
      </c>
      <c r="E19" s="3">
        <v>0.53831018518518514</v>
      </c>
      <c r="F19">
        <v>22</v>
      </c>
      <c r="G19">
        <v>5</v>
      </c>
      <c r="H19" s="3">
        <f t="shared" si="1"/>
        <v>5.2662037037037035E-2</v>
      </c>
      <c r="I19" s="3">
        <f t="shared" si="2"/>
        <v>5.2662037037037035E-2</v>
      </c>
      <c r="J19" s="3">
        <f t="shared" si="3"/>
        <v>0</v>
      </c>
      <c r="K19">
        <f t="shared" si="0"/>
        <v>75.833333333333329</v>
      </c>
      <c r="M19">
        <f>IF(DAY(B19)=$M$1,K19,0)</f>
        <v>0</v>
      </c>
      <c r="N19">
        <f>IF(DAY($B19)=N$1,$K19,0)</f>
        <v>0</v>
      </c>
      <c r="O19">
        <f>IF(DAY($B19)=O$1,$K19,0)</f>
        <v>0</v>
      </c>
      <c r="P19">
        <f>IF(DAY($B19)=P$1,$K19,0)</f>
        <v>75.833333333333329</v>
      </c>
      <c r="Q19">
        <f>IF(DAY($B19)=Q$1,$K19,0)</f>
        <v>0</v>
      </c>
      <c r="R19">
        <f>IF(DAY($B19)=R$1,$K19,0)</f>
        <v>0</v>
      </c>
      <c r="S19">
        <f>IF(DAY($B19)=S$1,$K19,0)</f>
        <v>0</v>
      </c>
      <c r="T19">
        <f>IF(DAY($B19)=T$1,$K19,0)</f>
        <v>0</v>
      </c>
      <c r="U19">
        <f>IF(DAY($B19)=U$1,$K19,0)</f>
        <v>0</v>
      </c>
      <c r="V19">
        <f>IF(DAY($B19)=V$1,$K19,0)</f>
        <v>0</v>
      </c>
      <c r="W19">
        <f>IF(DAY($B19)=W$1,$K19,0)</f>
        <v>0</v>
      </c>
      <c r="X19">
        <f>IF(DAY($B19)=X$1,$K19,0)</f>
        <v>0</v>
      </c>
      <c r="Y19">
        <f>IF(DAY($B19)=Y$1,$K19,0)</f>
        <v>0</v>
      </c>
      <c r="Z19">
        <f>IF(DAY($B19)=Z$1,$K19,0)</f>
        <v>0</v>
      </c>
      <c r="AA19">
        <f>IF(DAY($B19)=AA$1,$K19,0)</f>
        <v>0</v>
      </c>
      <c r="AB19">
        <f>IF(DAY($B19)=AB$1,$K19,0)</f>
        <v>0</v>
      </c>
      <c r="AC19">
        <f>IF(DAY($B19)=AC$1,$K19,0)</f>
        <v>0</v>
      </c>
      <c r="AD19">
        <f>IF(DAY($B19)=AD$1,$K19,0)</f>
        <v>0</v>
      </c>
      <c r="AE19">
        <f>IF(DAY($B19)=AE$1,$K19,0)</f>
        <v>0</v>
      </c>
      <c r="AF19">
        <f>IF(DAY($B19)=AF$1,$K19,0)</f>
        <v>0</v>
      </c>
      <c r="AG19">
        <f>IF(DAY($B19)=AG$1,$K19,0)</f>
        <v>0</v>
      </c>
      <c r="AH19">
        <f>IF(DAY($B19)=AH$1,$K19,0)</f>
        <v>0</v>
      </c>
      <c r="AI19">
        <f>IF(DAY($B19)=AI$1,$K19,0)</f>
        <v>0</v>
      </c>
      <c r="AJ19">
        <f>IF(DAY($B19)=AJ$1,$K19,0)</f>
        <v>0</v>
      </c>
      <c r="AK19">
        <f>IF(DAY($B19)=AK$1,$K19,0)</f>
        <v>0</v>
      </c>
      <c r="AL19">
        <f>IF(DAY($B19)=AL$1,$K19,0)</f>
        <v>0</v>
      </c>
      <c r="AM19">
        <f>IF(DAY($B19)=AM$1,$K19,0)</f>
        <v>0</v>
      </c>
      <c r="AN19">
        <f>IF(DAY($B19)=AN$1,$K19,0)</f>
        <v>0</v>
      </c>
      <c r="AO19">
        <f>IF(DAY($B19)=AO$1,$K19,0)</f>
        <v>0</v>
      </c>
      <c r="AP19">
        <f>IF(DAY($B19)=AP$1,$K19,0)</f>
        <v>0</v>
      </c>
    </row>
    <row r="20" spans="1:42" x14ac:dyDescent="0.3">
      <c r="A20">
        <v>19</v>
      </c>
      <c r="B20" s="1">
        <v>44443</v>
      </c>
      <c r="C20" s="2">
        <v>0.70219907407407411</v>
      </c>
      <c r="D20" s="1">
        <v>44443</v>
      </c>
      <c r="E20" s="3">
        <v>0.7736574074074074</v>
      </c>
      <c r="F20">
        <v>8</v>
      </c>
      <c r="G20">
        <v>23</v>
      </c>
      <c r="H20" s="3">
        <f t="shared" si="1"/>
        <v>7.145833333333329E-2</v>
      </c>
      <c r="I20" s="3">
        <f t="shared" si="2"/>
        <v>7.145833333333329E-2</v>
      </c>
      <c r="J20" s="3">
        <f t="shared" si="3"/>
        <v>0</v>
      </c>
      <c r="K20">
        <f t="shared" si="0"/>
        <v>102.9</v>
      </c>
      <c r="M20">
        <f>IF(DAY(B20)=$M$1,K20,0)</f>
        <v>0</v>
      </c>
      <c r="N20">
        <f>IF(DAY($B20)=N$1,$K20,0)</f>
        <v>0</v>
      </c>
      <c r="O20">
        <f>IF(DAY($B20)=O$1,$K20,0)</f>
        <v>0</v>
      </c>
      <c r="P20">
        <f>IF(DAY($B20)=P$1,$K20,0)</f>
        <v>102.9</v>
      </c>
      <c r="Q20">
        <f>IF(DAY($B20)=Q$1,$K20,0)</f>
        <v>0</v>
      </c>
      <c r="R20">
        <f>IF(DAY($B20)=R$1,$K20,0)</f>
        <v>0</v>
      </c>
      <c r="S20">
        <f>IF(DAY($B20)=S$1,$K20,0)</f>
        <v>0</v>
      </c>
      <c r="T20">
        <f>IF(DAY($B20)=T$1,$K20,0)</f>
        <v>0</v>
      </c>
      <c r="U20">
        <f>IF(DAY($B20)=U$1,$K20,0)</f>
        <v>0</v>
      </c>
      <c r="V20">
        <f>IF(DAY($B20)=V$1,$K20,0)</f>
        <v>0</v>
      </c>
      <c r="W20">
        <f>IF(DAY($B20)=W$1,$K20,0)</f>
        <v>0</v>
      </c>
      <c r="X20">
        <f>IF(DAY($B20)=X$1,$K20,0)</f>
        <v>0</v>
      </c>
      <c r="Y20">
        <f>IF(DAY($B20)=Y$1,$K20,0)</f>
        <v>0</v>
      </c>
      <c r="Z20">
        <f>IF(DAY($B20)=Z$1,$K20,0)</f>
        <v>0</v>
      </c>
      <c r="AA20">
        <f>IF(DAY($B20)=AA$1,$K20,0)</f>
        <v>0</v>
      </c>
      <c r="AB20">
        <f>IF(DAY($B20)=AB$1,$K20,0)</f>
        <v>0</v>
      </c>
      <c r="AC20">
        <f>IF(DAY($B20)=AC$1,$K20,0)</f>
        <v>0</v>
      </c>
      <c r="AD20">
        <f>IF(DAY($B20)=AD$1,$K20,0)</f>
        <v>0</v>
      </c>
      <c r="AE20">
        <f>IF(DAY($B20)=AE$1,$K20,0)</f>
        <v>0</v>
      </c>
      <c r="AF20">
        <f>IF(DAY($B20)=AF$1,$K20,0)</f>
        <v>0</v>
      </c>
      <c r="AG20">
        <f>IF(DAY($B20)=AG$1,$K20,0)</f>
        <v>0</v>
      </c>
      <c r="AH20">
        <f>IF(DAY($B20)=AH$1,$K20,0)</f>
        <v>0</v>
      </c>
      <c r="AI20">
        <f>IF(DAY($B20)=AI$1,$K20,0)</f>
        <v>0</v>
      </c>
      <c r="AJ20">
        <f>IF(DAY($B20)=AJ$1,$K20,0)</f>
        <v>0</v>
      </c>
      <c r="AK20">
        <f>IF(DAY($B20)=AK$1,$K20,0)</f>
        <v>0</v>
      </c>
      <c r="AL20">
        <f>IF(DAY($B20)=AL$1,$K20,0)</f>
        <v>0</v>
      </c>
      <c r="AM20">
        <f>IF(DAY($B20)=AM$1,$K20,0)</f>
        <v>0</v>
      </c>
      <c r="AN20">
        <f>IF(DAY($B20)=AN$1,$K20,0)</f>
        <v>0</v>
      </c>
      <c r="AO20">
        <f>IF(DAY($B20)=AO$1,$K20,0)</f>
        <v>0</v>
      </c>
      <c r="AP20">
        <f>IF(DAY($B20)=AP$1,$K20,0)</f>
        <v>0</v>
      </c>
    </row>
    <row r="21" spans="1:42" x14ac:dyDescent="0.3">
      <c r="A21">
        <v>20</v>
      </c>
      <c r="B21" s="1">
        <v>44443</v>
      </c>
      <c r="C21" s="2">
        <v>0.80978009259259265</v>
      </c>
      <c r="D21" s="1">
        <v>44443</v>
      </c>
      <c r="E21" s="3">
        <v>0.96615740740740741</v>
      </c>
      <c r="F21">
        <v>11</v>
      </c>
      <c r="G21">
        <v>14</v>
      </c>
      <c r="H21" s="3">
        <f t="shared" si="1"/>
        <v>0.15637731481481476</v>
      </c>
      <c r="I21" s="3">
        <f t="shared" si="2"/>
        <v>0.15637731481481476</v>
      </c>
      <c r="J21" s="3">
        <f t="shared" si="3"/>
        <v>0</v>
      </c>
      <c r="K21">
        <f t="shared" si="0"/>
        <v>225.18333333333334</v>
      </c>
      <c r="M21">
        <f>IF(DAY(B21)=$M$1,K21,0)</f>
        <v>0</v>
      </c>
      <c r="N21">
        <f>IF(DAY($B21)=N$1,$K21,0)</f>
        <v>0</v>
      </c>
      <c r="O21">
        <f>IF(DAY($B21)=O$1,$K21,0)</f>
        <v>0</v>
      </c>
      <c r="P21">
        <f>IF(DAY($B21)=P$1,$K21,0)</f>
        <v>225.18333333333334</v>
      </c>
      <c r="Q21">
        <f>IF(DAY($B21)=Q$1,$K21,0)</f>
        <v>0</v>
      </c>
      <c r="R21">
        <f>IF(DAY($B21)=R$1,$K21,0)</f>
        <v>0</v>
      </c>
      <c r="S21">
        <f>IF(DAY($B21)=S$1,$K21,0)</f>
        <v>0</v>
      </c>
      <c r="T21">
        <f>IF(DAY($B21)=T$1,$K21,0)</f>
        <v>0</v>
      </c>
      <c r="U21">
        <f>IF(DAY($B21)=U$1,$K21,0)</f>
        <v>0</v>
      </c>
      <c r="V21">
        <f>IF(DAY($B21)=V$1,$K21,0)</f>
        <v>0</v>
      </c>
      <c r="W21">
        <f>IF(DAY($B21)=W$1,$K21,0)</f>
        <v>0</v>
      </c>
      <c r="X21">
        <f>IF(DAY($B21)=X$1,$K21,0)</f>
        <v>0</v>
      </c>
      <c r="Y21">
        <f>IF(DAY($B21)=Y$1,$K21,0)</f>
        <v>0</v>
      </c>
      <c r="Z21">
        <f>IF(DAY($B21)=Z$1,$K21,0)</f>
        <v>0</v>
      </c>
      <c r="AA21">
        <f>IF(DAY($B21)=AA$1,$K21,0)</f>
        <v>0</v>
      </c>
      <c r="AB21">
        <f>IF(DAY($B21)=AB$1,$K21,0)</f>
        <v>0</v>
      </c>
      <c r="AC21">
        <f>IF(DAY($B21)=AC$1,$K21,0)</f>
        <v>0</v>
      </c>
      <c r="AD21">
        <f>IF(DAY($B21)=AD$1,$K21,0)</f>
        <v>0</v>
      </c>
      <c r="AE21">
        <f>IF(DAY($B21)=AE$1,$K21,0)</f>
        <v>0</v>
      </c>
      <c r="AF21">
        <f>IF(DAY($B21)=AF$1,$K21,0)</f>
        <v>0</v>
      </c>
      <c r="AG21">
        <f>IF(DAY($B21)=AG$1,$K21,0)</f>
        <v>0</v>
      </c>
      <c r="AH21">
        <f>IF(DAY($B21)=AH$1,$K21,0)</f>
        <v>0</v>
      </c>
      <c r="AI21">
        <f>IF(DAY($B21)=AI$1,$K21,0)</f>
        <v>0</v>
      </c>
      <c r="AJ21">
        <f>IF(DAY($B21)=AJ$1,$K21,0)</f>
        <v>0</v>
      </c>
      <c r="AK21">
        <f>IF(DAY($B21)=AK$1,$K21,0)</f>
        <v>0</v>
      </c>
      <c r="AL21">
        <f>IF(DAY($B21)=AL$1,$K21,0)</f>
        <v>0</v>
      </c>
      <c r="AM21">
        <f>IF(DAY($B21)=AM$1,$K21,0)</f>
        <v>0</v>
      </c>
      <c r="AN21">
        <f>IF(DAY($B21)=AN$1,$K21,0)</f>
        <v>0</v>
      </c>
      <c r="AO21">
        <f>IF(DAY($B21)=AO$1,$K21,0)</f>
        <v>0</v>
      </c>
      <c r="AP21">
        <f>IF(DAY($B21)=AP$1,$K21,0)</f>
        <v>0</v>
      </c>
    </row>
    <row r="22" spans="1:42" x14ac:dyDescent="0.3">
      <c r="A22">
        <v>21</v>
      </c>
      <c r="B22" s="1">
        <v>44444</v>
      </c>
      <c r="C22" s="2">
        <v>0.3027083333333333</v>
      </c>
      <c r="D22" s="1">
        <v>44444</v>
      </c>
      <c r="E22" s="3">
        <v>0.3762152777777778</v>
      </c>
      <c r="F22">
        <v>17</v>
      </c>
      <c r="G22">
        <v>23</v>
      </c>
      <c r="H22" s="3">
        <f t="shared" si="1"/>
        <v>7.35069444444445E-2</v>
      </c>
      <c r="I22" s="3">
        <f t="shared" si="2"/>
        <v>7.35069444444445E-2</v>
      </c>
      <c r="J22" s="3">
        <f t="shared" si="3"/>
        <v>0</v>
      </c>
      <c r="K22">
        <f t="shared" si="0"/>
        <v>105.85</v>
      </c>
      <c r="M22">
        <f>IF(DAY(B22)=$M$1,K22,0)</f>
        <v>0</v>
      </c>
      <c r="N22">
        <f>IF(DAY($B22)=N$1,$K22,0)</f>
        <v>0</v>
      </c>
      <c r="O22">
        <f>IF(DAY($B22)=O$1,$K22,0)</f>
        <v>0</v>
      </c>
      <c r="P22">
        <f>IF(DAY($B22)=P$1,$K22,0)</f>
        <v>0</v>
      </c>
      <c r="Q22">
        <f>IF(DAY($B22)=Q$1,$K22,0)</f>
        <v>105.85</v>
      </c>
      <c r="R22">
        <f>IF(DAY($B22)=R$1,$K22,0)</f>
        <v>0</v>
      </c>
      <c r="S22">
        <f>IF(DAY($B22)=S$1,$K22,0)</f>
        <v>0</v>
      </c>
      <c r="T22">
        <f>IF(DAY($B22)=T$1,$K22,0)</f>
        <v>0</v>
      </c>
      <c r="U22">
        <f>IF(DAY($B22)=U$1,$K22,0)</f>
        <v>0</v>
      </c>
      <c r="V22">
        <f>IF(DAY($B22)=V$1,$K22,0)</f>
        <v>0</v>
      </c>
      <c r="W22">
        <f>IF(DAY($B22)=W$1,$K22,0)</f>
        <v>0</v>
      </c>
      <c r="X22">
        <f>IF(DAY($B22)=X$1,$K22,0)</f>
        <v>0</v>
      </c>
      <c r="Y22">
        <f>IF(DAY($B22)=Y$1,$K22,0)</f>
        <v>0</v>
      </c>
      <c r="Z22">
        <f>IF(DAY($B22)=Z$1,$K22,0)</f>
        <v>0</v>
      </c>
      <c r="AA22">
        <f>IF(DAY($B22)=AA$1,$K22,0)</f>
        <v>0</v>
      </c>
      <c r="AB22">
        <f>IF(DAY($B22)=AB$1,$K22,0)</f>
        <v>0</v>
      </c>
      <c r="AC22">
        <f>IF(DAY($B22)=AC$1,$K22,0)</f>
        <v>0</v>
      </c>
      <c r="AD22">
        <f>IF(DAY($B22)=AD$1,$K22,0)</f>
        <v>0</v>
      </c>
      <c r="AE22">
        <f>IF(DAY($B22)=AE$1,$K22,0)</f>
        <v>0</v>
      </c>
      <c r="AF22">
        <f>IF(DAY($B22)=AF$1,$K22,0)</f>
        <v>0</v>
      </c>
      <c r="AG22">
        <f>IF(DAY($B22)=AG$1,$K22,0)</f>
        <v>0</v>
      </c>
      <c r="AH22">
        <f>IF(DAY($B22)=AH$1,$K22,0)</f>
        <v>0</v>
      </c>
      <c r="AI22">
        <f>IF(DAY($B22)=AI$1,$K22,0)</f>
        <v>0</v>
      </c>
      <c r="AJ22">
        <f>IF(DAY($B22)=AJ$1,$K22,0)</f>
        <v>0</v>
      </c>
      <c r="AK22">
        <f>IF(DAY($B22)=AK$1,$K22,0)</f>
        <v>0</v>
      </c>
      <c r="AL22">
        <f>IF(DAY($B22)=AL$1,$K22,0)</f>
        <v>0</v>
      </c>
      <c r="AM22">
        <f>IF(DAY($B22)=AM$1,$K22,0)</f>
        <v>0</v>
      </c>
      <c r="AN22">
        <f>IF(DAY($B22)=AN$1,$K22,0)</f>
        <v>0</v>
      </c>
      <c r="AO22">
        <f>IF(DAY($B22)=AO$1,$K22,0)</f>
        <v>0</v>
      </c>
      <c r="AP22">
        <f>IF(DAY($B22)=AP$1,$K22,0)</f>
        <v>0</v>
      </c>
    </row>
    <row r="23" spans="1:42" x14ac:dyDescent="0.3">
      <c r="A23">
        <v>22</v>
      </c>
      <c r="B23" s="1">
        <v>44444</v>
      </c>
      <c r="C23" s="2">
        <v>0.43002314814814818</v>
      </c>
      <c r="D23" s="1">
        <v>44444</v>
      </c>
      <c r="E23" s="3">
        <v>0.51140046296296293</v>
      </c>
      <c r="F23">
        <v>15</v>
      </c>
      <c r="G23">
        <v>11</v>
      </c>
      <c r="H23" s="3">
        <f t="shared" si="1"/>
        <v>8.137731481481475E-2</v>
      </c>
      <c r="I23" s="3">
        <f t="shared" si="2"/>
        <v>8.137731481481475E-2</v>
      </c>
      <c r="J23" s="3">
        <f t="shared" si="3"/>
        <v>0</v>
      </c>
      <c r="K23">
        <f t="shared" si="0"/>
        <v>117.18333333333334</v>
      </c>
      <c r="M23">
        <f>IF(DAY(B23)=$M$1,K23,0)</f>
        <v>0</v>
      </c>
      <c r="N23">
        <f>IF(DAY($B23)=N$1,$K23,0)</f>
        <v>0</v>
      </c>
      <c r="O23">
        <f>IF(DAY($B23)=O$1,$K23,0)</f>
        <v>0</v>
      </c>
      <c r="P23">
        <f>IF(DAY($B23)=P$1,$K23,0)</f>
        <v>0</v>
      </c>
      <c r="Q23">
        <f>IF(DAY($B23)=Q$1,$K23,0)</f>
        <v>117.18333333333334</v>
      </c>
      <c r="R23">
        <f>IF(DAY($B23)=R$1,$K23,0)</f>
        <v>0</v>
      </c>
      <c r="S23">
        <f>IF(DAY($B23)=S$1,$K23,0)</f>
        <v>0</v>
      </c>
      <c r="T23">
        <f>IF(DAY($B23)=T$1,$K23,0)</f>
        <v>0</v>
      </c>
      <c r="U23">
        <f>IF(DAY($B23)=U$1,$K23,0)</f>
        <v>0</v>
      </c>
      <c r="V23">
        <f>IF(DAY($B23)=V$1,$K23,0)</f>
        <v>0</v>
      </c>
      <c r="W23">
        <f>IF(DAY($B23)=W$1,$K23,0)</f>
        <v>0</v>
      </c>
      <c r="X23">
        <f>IF(DAY($B23)=X$1,$K23,0)</f>
        <v>0</v>
      </c>
      <c r="Y23">
        <f>IF(DAY($B23)=Y$1,$K23,0)</f>
        <v>0</v>
      </c>
      <c r="Z23">
        <f>IF(DAY($B23)=Z$1,$K23,0)</f>
        <v>0</v>
      </c>
      <c r="AA23">
        <f>IF(DAY($B23)=AA$1,$K23,0)</f>
        <v>0</v>
      </c>
      <c r="AB23">
        <f>IF(DAY($B23)=AB$1,$K23,0)</f>
        <v>0</v>
      </c>
      <c r="AC23">
        <f>IF(DAY($B23)=AC$1,$K23,0)</f>
        <v>0</v>
      </c>
      <c r="AD23">
        <f>IF(DAY($B23)=AD$1,$K23,0)</f>
        <v>0</v>
      </c>
      <c r="AE23">
        <f>IF(DAY($B23)=AE$1,$K23,0)</f>
        <v>0</v>
      </c>
      <c r="AF23">
        <f>IF(DAY($B23)=AF$1,$K23,0)</f>
        <v>0</v>
      </c>
      <c r="AG23">
        <f>IF(DAY($B23)=AG$1,$K23,0)</f>
        <v>0</v>
      </c>
      <c r="AH23">
        <f>IF(DAY($B23)=AH$1,$K23,0)</f>
        <v>0</v>
      </c>
      <c r="AI23">
        <f>IF(DAY($B23)=AI$1,$K23,0)</f>
        <v>0</v>
      </c>
      <c r="AJ23">
        <f>IF(DAY($B23)=AJ$1,$K23,0)</f>
        <v>0</v>
      </c>
      <c r="AK23">
        <f>IF(DAY($B23)=AK$1,$K23,0)</f>
        <v>0</v>
      </c>
      <c r="AL23">
        <f>IF(DAY($B23)=AL$1,$K23,0)</f>
        <v>0</v>
      </c>
      <c r="AM23">
        <f>IF(DAY($B23)=AM$1,$K23,0)</f>
        <v>0</v>
      </c>
      <c r="AN23">
        <f>IF(DAY($B23)=AN$1,$K23,0)</f>
        <v>0</v>
      </c>
      <c r="AO23">
        <f>IF(DAY($B23)=AO$1,$K23,0)</f>
        <v>0</v>
      </c>
      <c r="AP23">
        <f>IF(DAY($B23)=AP$1,$K23,0)</f>
        <v>0</v>
      </c>
    </row>
    <row r="24" spans="1:42" x14ac:dyDescent="0.3">
      <c r="A24">
        <v>23</v>
      </c>
      <c r="B24" s="1">
        <v>44444</v>
      </c>
      <c r="C24" s="2">
        <v>0.55909722222222225</v>
      </c>
      <c r="D24" s="1">
        <v>44444</v>
      </c>
      <c r="E24" s="3">
        <v>0.64327546296296301</v>
      </c>
      <c r="F24">
        <v>19</v>
      </c>
      <c r="G24">
        <v>21</v>
      </c>
      <c r="H24" s="3">
        <f t="shared" si="1"/>
        <v>8.4178240740740762E-2</v>
      </c>
      <c r="I24" s="3">
        <f t="shared" si="2"/>
        <v>8.4178240740740762E-2</v>
      </c>
      <c r="J24" s="3">
        <f t="shared" si="3"/>
        <v>0</v>
      </c>
      <c r="K24">
        <f t="shared" si="0"/>
        <v>121.21666666666667</v>
      </c>
      <c r="M24">
        <f>IF(DAY(B24)=$M$1,K24,0)</f>
        <v>0</v>
      </c>
      <c r="N24">
        <f>IF(DAY($B24)=N$1,$K24,0)</f>
        <v>0</v>
      </c>
      <c r="O24">
        <f>IF(DAY($B24)=O$1,$K24,0)</f>
        <v>0</v>
      </c>
      <c r="P24">
        <f>IF(DAY($B24)=P$1,$K24,0)</f>
        <v>0</v>
      </c>
      <c r="Q24">
        <f>IF(DAY($B24)=Q$1,$K24,0)</f>
        <v>121.21666666666667</v>
      </c>
      <c r="R24">
        <f>IF(DAY($B24)=R$1,$K24,0)</f>
        <v>0</v>
      </c>
      <c r="S24">
        <f>IF(DAY($B24)=S$1,$K24,0)</f>
        <v>0</v>
      </c>
      <c r="T24">
        <f>IF(DAY($B24)=T$1,$K24,0)</f>
        <v>0</v>
      </c>
      <c r="U24">
        <f>IF(DAY($B24)=U$1,$K24,0)</f>
        <v>0</v>
      </c>
      <c r="V24">
        <f>IF(DAY($B24)=V$1,$K24,0)</f>
        <v>0</v>
      </c>
      <c r="W24">
        <f>IF(DAY($B24)=W$1,$K24,0)</f>
        <v>0</v>
      </c>
      <c r="X24">
        <f>IF(DAY($B24)=X$1,$K24,0)</f>
        <v>0</v>
      </c>
      <c r="Y24">
        <f>IF(DAY($B24)=Y$1,$K24,0)</f>
        <v>0</v>
      </c>
      <c r="Z24">
        <f>IF(DAY($B24)=Z$1,$K24,0)</f>
        <v>0</v>
      </c>
      <c r="AA24">
        <f>IF(DAY($B24)=AA$1,$K24,0)</f>
        <v>0</v>
      </c>
      <c r="AB24">
        <f>IF(DAY($B24)=AB$1,$K24,0)</f>
        <v>0</v>
      </c>
      <c r="AC24">
        <f>IF(DAY($B24)=AC$1,$K24,0)</f>
        <v>0</v>
      </c>
      <c r="AD24">
        <f>IF(DAY($B24)=AD$1,$K24,0)</f>
        <v>0</v>
      </c>
      <c r="AE24">
        <f>IF(DAY($B24)=AE$1,$K24,0)</f>
        <v>0</v>
      </c>
      <c r="AF24">
        <f>IF(DAY($B24)=AF$1,$K24,0)</f>
        <v>0</v>
      </c>
      <c r="AG24">
        <f>IF(DAY($B24)=AG$1,$K24,0)</f>
        <v>0</v>
      </c>
      <c r="AH24">
        <f>IF(DAY($B24)=AH$1,$K24,0)</f>
        <v>0</v>
      </c>
      <c r="AI24">
        <f>IF(DAY($B24)=AI$1,$K24,0)</f>
        <v>0</v>
      </c>
      <c r="AJ24">
        <f>IF(DAY($B24)=AJ$1,$K24,0)</f>
        <v>0</v>
      </c>
      <c r="AK24">
        <f>IF(DAY($B24)=AK$1,$K24,0)</f>
        <v>0</v>
      </c>
      <c r="AL24">
        <f>IF(DAY($B24)=AL$1,$K24,0)</f>
        <v>0</v>
      </c>
      <c r="AM24">
        <f>IF(DAY($B24)=AM$1,$K24,0)</f>
        <v>0</v>
      </c>
      <c r="AN24">
        <f>IF(DAY($B24)=AN$1,$K24,0)</f>
        <v>0</v>
      </c>
      <c r="AO24">
        <f>IF(DAY($B24)=AO$1,$K24,0)</f>
        <v>0</v>
      </c>
      <c r="AP24">
        <f>IF(DAY($B24)=AP$1,$K24,0)</f>
        <v>0</v>
      </c>
    </row>
    <row r="25" spans="1:42" x14ac:dyDescent="0.3">
      <c r="A25">
        <v>24</v>
      </c>
      <c r="B25" s="1">
        <v>44444</v>
      </c>
      <c r="C25" s="2">
        <v>0.69188657407407417</v>
      </c>
      <c r="D25" s="1">
        <v>44444</v>
      </c>
      <c r="E25" s="3">
        <v>0.73365740740740737</v>
      </c>
      <c r="F25">
        <v>11</v>
      </c>
      <c r="G25">
        <v>9</v>
      </c>
      <c r="H25" s="3">
        <f t="shared" si="1"/>
        <v>4.1770833333333202E-2</v>
      </c>
      <c r="I25" s="3">
        <f t="shared" si="2"/>
        <v>4.1770833333333202E-2</v>
      </c>
      <c r="J25" s="3">
        <f t="shared" si="3"/>
        <v>0</v>
      </c>
      <c r="K25">
        <f t="shared" si="0"/>
        <v>60.15</v>
      </c>
      <c r="M25">
        <f>IF(DAY(B25)=$M$1,K25,0)</f>
        <v>0</v>
      </c>
      <c r="N25">
        <f>IF(DAY($B25)=N$1,$K25,0)</f>
        <v>0</v>
      </c>
      <c r="O25">
        <f>IF(DAY($B25)=O$1,$K25,0)</f>
        <v>0</v>
      </c>
      <c r="P25">
        <f>IF(DAY($B25)=P$1,$K25,0)</f>
        <v>0</v>
      </c>
      <c r="Q25">
        <f>IF(DAY($B25)=Q$1,$K25,0)</f>
        <v>60.15</v>
      </c>
      <c r="R25">
        <f>IF(DAY($B25)=R$1,$K25,0)</f>
        <v>0</v>
      </c>
      <c r="S25">
        <f>IF(DAY($B25)=S$1,$K25,0)</f>
        <v>0</v>
      </c>
      <c r="T25">
        <f>IF(DAY($B25)=T$1,$K25,0)</f>
        <v>0</v>
      </c>
      <c r="U25">
        <f>IF(DAY($B25)=U$1,$K25,0)</f>
        <v>0</v>
      </c>
      <c r="V25">
        <f>IF(DAY($B25)=V$1,$K25,0)</f>
        <v>0</v>
      </c>
      <c r="W25">
        <f>IF(DAY($B25)=W$1,$K25,0)</f>
        <v>0</v>
      </c>
      <c r="X25">
        <f>IF(DAY($B25)=X$1,$K25,0)</f>
        <v>0</v>
      </c>
      <c r="Y25">
        <f>IF(DAY($B25)=Y$1,$K25,0)</f>
        <v>0</v>
      </c>
      <c r="Z25">
        <f>IF(DAY($B25)=Z$1,$K25,0)</f>
        <v>0</v>
      </c>
      <c r="AA25">
        <f>IF(DAY($B25)=AA$1,$K25,0)</f>
        <v>0</v>
      </c>
      <c r="AB25">
        <f>IF(DAY($B25)=AB$1,$K25,0)</f>
        <v>0</v>
      </c>
      <c r="AC25">
        <f>IF(DAY($B25)=AC$1,$K25,0)</f>
        <v>0</v>
      </c>
      <c r="AD25">
        <f>IF(DAY($B25)=AD$1,$K25,0)</f>
        <v>0</v>
      </c>
      <c r="AE25">
        <f>IF(DAY($B25)=AE$1,$K25,0)</f>
        <v>0</v>
      </c>
      <c r="AF25">
        <f>IF(DAY($B25)=AF$1,$K25,0)</f>
        <v>0</v>
      </c>
      <c r="AG25">
        <f>IF(DAY($B25)=AG$1,$K25,0)</f>
        <v>0</v>
      </c>
      <c r="AH25">
        <f>IF(DAY($B25)=AH$1,$K25,0)</f>
        <v>0</v>
      </c>
      <c r="AI25">
        <f>IF(DAY($B25)=AI$1,$K25,0)</f>
        <v>0</v>
      </c>
      <c r="AJ25">
        <f>IF(DAY($B25)=AJ$1,$K25,0)</f>
        <v>0</v>
      </c>
      <c r="AK25">
        <f>IF(DAY($B25)=AK$1,$K25,0)</f>
        <v>0</v>
      </c>
      <c r="AL25">
        <f>IF(DAY($B25)=AL$1,$K25,0)</f>
        <v>0</v>
      </c>
      <c r="AM25">
        <f>IF(DAY($B25)=AM$1,$K25,0)</f>
        <v>0</v>
      </c>
      <c r="AN25">
        <f>IF(DAY($B25)=AN$1,$K25,0)</f>
        <v>0</v>
      </c>
      <c r="AO25">
        <f>IF(DAY($B25)=AO$1,$K25,0)</f>
        <v>0</v>
      </c>
      <c r="AP25">
        <f>IF(DAY($B25)=AP$1,$K25,0)</f>
        <v>0</v>
      </c>
    </row>
    <row r="26" spans="1:42" x14ac:dyDescent="0.3">
      <c r="A26">
        <v>25</v>
      </c>
      <c r="B26" s="1">
        <v>44444</v>
      </c>
      <c r="C26" s="2">
        <v>0.77118055555555554</v>
      </c>
      <c r="D26" s="1">
        <v>44444</v>
      </c>
      <c r="E26" s="3">
        <v>0.82657407407407402</v>
      </c>
      <c r="F26">
        <v>15</v>
      </c>
      <c r="G26">
        <v>11</v>
      </c>
      <c r="H26" s="3">
        <f t="shared" si="1"/>
        <v>5.5393518518518481E-2</v>
      </c>
      <c r="I26" s="3">
        <f t="shared" si="2"/>
        <v>5.5393518518518481E-2</v>
      </c>
      <c r="J26" s="3">
        <f t="shared" si="3"/>
        <v>0</v>
      </c>
      <c r="K26">
        <f t="shared" si="0"/>
        <v>79.766666666666666</v>
      </c>
      <c r="M26">
        <f>IF(DAY(B26)=$M$1,K26,0)</f>
        <v>0</v>
      </c>
      <c r="N26">
        <f>IF(DAY($B26)=N$1,$K26,0)</f>
        <v>0</v>
      </c>
      <c r="O26">
        <f>IF(DAY($B26)=O$1,$K26,0)</f>
        <v>0</v>
      </c>
      <c r="P26">
        <f>IF(DAY($B26)=P$1,$K26,0)</f>
        <v>0</v>
      </c>
      <c r="Q26">
        <f>IF(DAY($B26)=Q$1,$K26,0)</f>
        <v>79.766666666666666</v>
      </c>
      <c r="R26">
        <f>IF(DAY($B26)=R$1,$K26,0)</f>
        <v>0</v>
      </c>
      <c r="S26">
        <f>IF(DAY($B26)=S$1,$K26,0)</f>
        <v>0</v>
      </c>
      <c r="T26">
        <f>IF(DAY($B26)=T$1,$K26,0)</f>
        <v>0</v>
      </c>
      <c r="U26">
        <f>IF(DAY($B26)=U$1,$K26,0)</f>
        <v>0</v>
      </c>
      <c r="V26">
        <f>IF(DAY($B26)=V$1,$K26,0)</f>
        <v>0</v>
      </c>
      <c r="W26">
        <f>IF(DAY($B26)=W$1,$K26,0)</f>
        <v>0</v>
      </c>
      <c r="X26">
        <f>IF(DAY($B26)=X$1,$K26,0)</f>
        <v>0</v>
      </c>
      <c r="Y26">
        <f>IF(DAY($B26)=Y$1,$K26,0)</f>
        <v>0</v>
      </c>
      <c r="Z26">
        <f>IF(DAY($B26)=Z$1,$K26,0)</f>
        <v>0</v>
      </c>
      <c r="AA26">
        <f>IF(DAY($B26)=AA$1,$K26,0)</f>
        <v>0</v>
      </c>
      <c r="AB26">
        <f>IF(DAY($B26)=AB$1,$K26,0)</f>
        <v>0</v>
      </c>
      <c r="AC26">
        <f>IF(DAY($B26)=AC$1,$K26,0)</f>
        <v>0</v>
      </c>
      <c r="AD26">
        <f>IF(DAY($B26)=AD$1,$K26,0)</f>
        <v>0</v>
      </c>
      <c r="AE26">
        <f>IF(DAY($B26)=AE$1,$K26,0)</f>
        <v>0</v>
      </c>
      <c r="AF26">
        <f>IF(DAY($B26)=AF$1,$K26,0)</f>
        <v>0</v>
      </c>
      <c r="AG26">
        <f>IF(DAY($B26)=AG$1,$K26,0)</f>
        <v>0</v>
      </c>
      <c r="AH26">
        <f>IF(DAY($B26)=AH$1,$K26,0)</f>
        <v>0</v>
      </c>
      <c r="AI26">
        <f>IF(DAY($B26)=AI$1,$K26,0)</f>
        <v>0</v>
      </c>
      <c r="AJ26">
        <f>IF(DAY($B26)=AJ$1,$K26,0)</f>
        <v>0</v>
      </c>
      <c r="AK26">
        <f>IF(DAY($B26)=AK$1,$K26,0)</f>
        <v>0</v>
      </c>
      <c r="AL26">
        <f>IF(DAY($B26)=AL$1,$K26,0)</f>
        <v>0</v>
      </c>
      <c r="AM26">
        <f>IF(DAY($B26)=AM$1,$K26,0)</f>
        <v>0</v>
      </c>
      <c r="AN26">
        <f>IF(DAY($B26)=AN$1,$K26,0)</f>
        <v>0</v>
      </c>
      <c r="AO26">
        <f>IF(DAY($B26)=AO$1,$K26,0)</f>
        <v>0</v>
      </c>
      <c r="AP26">
        <f>IF(DAY($B26)=AP$1,$K26,0)</f>
        <v>0</v>
      </c>
    </row>
    <row r="27" spans="1:42" x14ac:dyDescent="0.3">
      <c r="A27">
        <v>26</v>
      </c>
      <c r="B27" s="1">
        <v>44444</v>
      </c>
      <c r="C27" s="2">
        <v>0.875</v>
      </c>
      <c r="D27" s="1">
        <v>44445</v>
      </c>
      <c r="E27" s="3">
        <v>1.3495370370370371E-2</v>
      </c>
      <c r="F27">
        <v>15</v>
      </c>
      <c r="G27">
        <v>17</v>
      </c>
      <c r="H27" s="3">
        <f t="shared" si="1"/>
        <v>23.138495370370372</v>
      </c>
      <c r="I27" s="3">
        <f t="shared" si="2"/>
        <v>0</v>
      </c>
      <c r="J27" s="3">
        <f t="shared" si="3"/>
        <v>1.3495370370370371E-2</v>
      </c>
      <c r="K27">
        <f t="shared" si="0"/>
        <v>19.433333333333334</v>
      </c>
      <c r="M27">
        <f>IF(DAY(B27)=$M$1,K27,0)</f>
        <v>0</v>
      </c>
      <c r="N27">
        <f>IF(DAY($B27)=N$1,$K27,0)</f>
        <v>0</v>
      </c>
      <c r="O27">
        <f>IF(DAY($B27)=O$1,$K27,0)</f>
        <v>0</v>
      </c>
      <c r="P27">
        <f>IF(DAY($B27)=P$1,$K27,0)</f>
        <v>0</v>
      </c>
      <c r="Q27">
        <f>IF(DAY($B27)=Q$1,$K27,0)</f>
        <v>19.433333333333334</v>
      </c>
      <c r="R27">
        <f>IF(DAY($B27)=R$1,$K27,0)</f>
        <v>0</v>
      </c>
      <c r="S27">
        <f>IF(DAY($B27)=S$1,$K27,0)</f>
        <v>0</v>
      </c>
      <c r="T27">
        <f>IF(DAY($B27)=T$1,$K27,0)</f>
        <v>0</v>
      </c>
      <c r="U27">
        <f>IF(DAY($B27)=U$1,$K27,0)</f>
        <v>0</v>
      </c>
      <c r="V27">
        <f>IF(DAY($B27)=V$1,$K27,0)</f>
        <v>0</v>
      </c>
      <c r="W27">
        <f>IF(DAY($B27)=W$1,$K27,0)</f>
        <v>0</v>
      </c>
      <c r="X27">
        <f>IF(DAY($B27)=X$1,$K27,0)</f>
        <v>0</v>
      </c>
      <c r="Y27">
        <f>IF(DAY($B27)=Y$1,$K27,0)</f>
        <v>0</v>
      </c>
      <c r="Z27">
        <f>IF(DAY($B27)=Z$1,$K27,0)</f>
        <v>0</v>
      </c>
      <c r="AA27">
        <f>IF(DAY($B27)=AA$1,$K27,0)</f>
        <v>0</v>
      </c>
      <c r="AB27">
        <f>IF(DAY($B27)=AB$1,$K27,0)</f>
        <v>0</v>
      </c>
      <c r="AC27">
        <f>IF(DAY($B27)=AC$1,$K27,0)</f>
        <v>0</v>
      </c>
      <c r="AD27">
        <f>IF(DAY($B27)=AD$1,$K27,0)</f>
        <v>0</v>
      </c>
      <c r="AE27">
        <f>IF(DAY($B27)=AE$1,$K27,0)</f>
        <v>0</v>
      </c>
      <c r="AF27">
        <f>IF(DAY($B27)=AF$1,$K27,0)</f>
        <v>0</v>
      </c>
      <c r="AG27">
        <f>IF(DAY($B27)=AG$1,$K27,0)</f>
        <v>0</v>
      </c>
      <c r="AH27">
        <f>IF(DAY($B27)=AH$1,$K27,0)</f>
        <v>0</v>
      </c>
      <c r="AI27">
        <f>IF(DAY($B27)=AI$1,$K27,0)</f>
        <v>0</v>
      </c>
      <c r="AJ27">
        <f>IF(DAY($B27)=AJ$1,$K27,0)</f>
        <v>0</v>
      </c>
      <c r="AK27">
        <f>IF(DAY($B27)=AK$1,$K27,0)</f>
        <v>0</v>
      </c>
      <c r="AL27">
        <f>IF(DAY($B27)=AL$1,$K27,0)</f>
        <v>0</v>
      </c>
      <c r="AM27">
        <f>IF(DAY($B27)=AM$1,$K27,0)</f>
        <v>0</v>
      </c>
      <c r="AN27">
        <f>IF(DAY($B27)=AN$1,$K27,0)</f>
        <v>0</v>
      </c>
      <c r="AO27">
        <f>IF(DAY($B27)=AO$1,$K27,0)</f>
        <v>0</v>
      </c>
      <c r="AP27">
        <f>IF(DAY($B27)=AP$1,$K27,0)</f>
        <v>0</v>
      </c>
    </row>
    <row r="28" spans="1:42" x14ac:dyDescent="0.3">
      <c r="A28">
        <v>27</v>
      </c>
      <c r="B28" s="1">
        <v>44445</v>
      </c>
      <c r="C28" s="2">
        <v>0.2171990740740741</v>
      </c>
      <c r="D28" s="1">
        <v>44445</v>
      </c>
      <c r="E28" s="3">
        <v>0.2976388888888889</v>
      </c>
      <c r="F28">
        <v>9</v>
      </c>
      <c r="G28">
        <v>6</v>
      </c>
      <c r="H28" s="3">
        <f t="shared" si="1"/>
        <v>8.0439814814814797E-2</v>
      </c>
      <c r="I28" s="3">
        <f t="shared" si="2"/>
        <v>8.0439814814814797E-2</v>
      </c>
      <c r="J28" s="3">
        <f t="shared" si="3"/>
        <v>0</v>
      </c>
      <c r="K28">
        <f t="shared" si="0"/>
        <v>115.83333333333333</v>
      </c>
      <c r="M28">
        <f>IF(DAY(B28)=$M$1,K28,0)</f>
        <v>0</v>
      </c>
      <c r="N28">
        <f>IF(DAY($B28)=N$1,$K28,0)</f>
        <v>0</v>
      </c>
      <c r="O28">
        <f>IF(DAY($B28)=O$1,$K28,0)</f>
        <v>0</v>
      </c>
      <c r="P28">
        <f>IF(DAY($B28)=P$1,$K28,0)</f>
        <v>0</v>
      </c>
      <c r="Q28">
        <f>IF(DAY($B28)=Q$1,$K28,0)</f>
        <v>0</v>
      </c>
      <c r="R28">
        <f>IF(DAY($B28)=R$1,$K28,0)</f>
        <v>115.83333333333333</v>
      </c>
      <c r="S28">
        <f>IF(DAY($B28)=S$1,$K28,0)</f>
        <v>0</v>
      </c>
      <c r="T28">
        <f>IF(DAY($B28)=T$1,$K28,0)</f>
        <v>0</v>
      </c>
      <c r="U28">
        <f>IF(DAY($B28)=U$1,$K28,0)</f>
        <v>0</v>
      </c>
      <c r="V28">
        <f>IF(DAY($B28)=V$1,$K28,0)</f>
        <v>0</v>
      </c>
      <c r="W28">
        <f>IF(DAY($B28)=W$1,$K28,0)</f>
        <v>0</v>
      </c>
      <c r="X28">
        <f>IF(DAY($B28)=X$1,$K28,0)</f>
        <v>0</v>
      </c>
      <c r="Y28">
        <f>IF(DAY($B28)=Y$1,$K28,0)</f>
        <v>0</v>
      </c>
      <c r="Z28">
        <f>IF(DAY($B28)=Z$1,$K28,0)</f>
        <v>0</v>
      </c>
      <c r="AA28">
        <f>IF(DAY($B28)=AA$1,$K28,0)</f>
        <v>0</v>
      </c>
      <c r="AB28">
        <f>IF(DAY($B28)=AB$1,$K28,0)</f>
        <v>0</v>
      </c>
      <c r="AC28">
        <f>IF(DAY($B28)=AC$1,$K28,0)</f>
        <v>0</v>
      </c>
      <c r="AD28">
        <f>IF(DAY($B28)=AD$1,$K28,0)</f>
        <v>0</v>
      </c>
      <c r="AE28">
        <f>IF(DAY($B28)=AE$1,$K28,0)</f>
        <v>0</v>
      </c>
      <c r="AF28">
        <f>IF(DAY($B28)=AF$1,$K28,0)</f>
        <v>0</v>
      </c>
      <c r="AG28">
        <f>IF(DAY($B28)=AG$1,$K28,0)</f>
        <v>0</v>
      </c>
      <c r="AH28">
        <f>IF(DAY($B28)=AH$1,$K28,0)</f>
        <v>0</v>
      </c>
      <c r="AI28">
        <f>IF(DAY($B28)=AI$1,$K28,0)</f>
        <v>0</v>
      </c>
      <c r="AJ28">
        <f>IF(DAY($B28)=AJ$1,$K28,0)</f>
        <v>0</v>
      </c>
      <c r="AK28">
        <f>IF(DAY($B28)=AK$1,$K28,0)</f>
        <v>0</v>
      </c>
      <c r="AL28">
        <f>IF(DAY($B28)=AL$1,$K28,0)</f>
        <v>0</v>
      </c>
      <c r="AM28">
        <f>IF(DAY($B28)=AM$1,$K28,0)</f>
        <v>0</v>
      </c>
      <c r="AN28">
        <f>IF(DAY($B28)=AN$1,$K28,0)</f>
        <v>0</v>
      </c>
      <c r="AO28">
        <f>IF(DAY($B28)=AO$1,$K28,0)</f>
        <v>0</v>
      </c>
      <c r="AP28">
        <f>IF(DAY($B28)=AP$1,$K28,0)</f>
        <v>0</v>
      </c>
    </row>
    <row r="29" spans="1:42" x14ac:dyDescent="0.3">
      <c r="A29">
        <v>28</v>
      </c>
      <c r="B29" s="1">
        <v>44445</v>
      </c>
      <c r="C29" s="2">
        <v>0.38305555555555554</v>
      </c>
      <c r="D29" s="1">
        <v>44445</v>
      </c>
      <c r="E29" s="3">
        <v>0.52521990740740743</v>
      </c>
      <c r="F29">
        <v>14</v>
      </c>
      <c r="G29">
        <v>22</v>
      </c>
      <c r="H29" s="3">
        <f t="shared" si="1"/>
        <v>0.14216435185185189</v>
      </c>
      <c r="I29" s="3">
        <f t="shared" si="2"/>
        <v>0.14216435185185189</v>
      </c>
      <c r="J29" s="3">
        <f t="shared" si="3"/>
        <v>0</v>
      </c>
      <c r="K29">
        <f t="shared" si="0"/>
        <v>204.71666666666667</v>
      </c>
      <c r="M29">
        <f>IF(DAY(B29)=$M$1,K29,0)</f>
        <v>0</v>
      </c>
      <c r="N29">
        <f>IF(DAY($B29)=N$1,$K29,0)</f>
        <v>0</v>
      </c>
      <c r="O29">
        <f>IF(DAY($B29)=O$1,$K29,0)</f>
        <v>0</v>
      </c>
      <c r="P29">
        <f>IF(DAY($B29)=P$1,$K29,0)</f>
        <v>0</v>
      </c>
      <c r="Q29">
        <f>IF(DAY($B29)=Q$1,$K29,0)</f>
        <v>0</v>
      </c>
      <c r="R29">
        <f>IF(DAY($B29)=R$1,$K29,0)</f>
        <v>204.71666666666667</v>
      </c>
      <c r="S29">
        <f>IF(DAY($B29)=S$1,$K29,0)</f>
        <v>0</v>
      </c>
      <c r="T29">
        <f>IF(DAY($B29)=T$1,$K29,0)</f>
        <v>0</v>
      </c>
      <c r="U29">
        <f>IF(DAY($B29)=U$1,$K29,0)</f>
        <v>0</v>
      </c>
      <c r="V29">
        <f>IF(DAY($B29)=V$1,$K29,0)</f>
        <v>0</v>
      </c>
      <c r="W29">
        <f>IF(DAY($B29)=W$1,$K29,0)</f>
        <v>0</v>
      </c>
      <c r="X29">
        <f>IF(DAY($B29)=X$1,$K29,0)</f>
        <v>0</v>
      </c>
      <c r="Y29">
        <f>IF(DAY($B29)=Y$1,$K29,0)</f>
        <v>0</v>
      </c>
      <c r="Z29">
        <f>IF(DAY($B29)=Z$1,$K29,0)</f>
        <v>0</v>
      </c>
      <c r="AA29">
        <f>IF(DAY($B29)=AA$1,$K29,0)</f>
        <v>0</v>
      </c>
      <c r="AB29">
        <f>IF(DAY($B29)=AB$1,$K29,0)</f>
        <v>0</v>
      </c>
      <c r="AC29">
        <f>IF(DAY($B29)=AC$1,$K29,0)</f>
        <v>0</v>
      </c>
      <c r="AD29">
        <f>IF(DAY($B29)=AD$1,$K29,0)</f>
        <v>0</v>
      </c>
      <c r="AE29">
        <f>IF(DAY($B29)=AE$1,$K29,0)</f>
        <v>0</v>
      </c>
      <c r="AF29">
        <f>IF(DAY($B29)=AF$1,$K29,0)</f>
        <v>0</v>
      </c>
      <c r="AG29">
        <f>IF(DAY($B29)=AG$1,$K29,0)</f>
        <v>0</v>
      </c>
      <c r="AH29">
        <f>IF(DAY($B29)=AH$1,$K29,0)</f>
        <v>0</v>
      </c>
      <c r="AI29">
        <f>IF(DAY($B29)=AI$1,$K29,0)</f>
        <v>0</v>
      </c>
      <c r="AJ29">
        <f>IF(DAY($B29)=AJ$1,$K29,0)</f>
        <v>0</v>
      </c>
      <c r="AK29">
        <f>IF(DAY($B29)=AK$1,$K29,0)</f>
        <v>0</v>
      </c>
      <c r="AL29">
        <f>IF(DAY($B29)=AL$1,$K29,0)</f>
        <v>0</v>
      </c>
      <c r="AM29">
        <f>IF(DAY($B29)=AM$1,$K29,0)</f>
        <v>0</v>
      </c>
      <c r="AN29">
        <f>IF(DAY($B29)=AN$1,$K29,0)</f>
        <v>0</v>
      </c>
      <c r="AO29">
        <f>IF(DAY($B29)=AO$1,$K29,0)</f>
        <v>0</v>
      </c>
      <c r="AP29">
        <f>IF(DAY($B29)=AP$1,$K29,0)</f>
        <v>0</v>
      </c>
    </row>
    <row r="30" spans="1:42" x14ac:dyDescent="0.3">
      <c r="A30">
        <v>29</v>
      </c>
      <c r="B30" s="1">
        <v>44445</v>
      </c>
      <c r="C30" s="2">
        <v>0.55920138888888882</v>
      </c>
      <c r="D30" s="1">
        <v>44445</v>
      </c>
      <c r="E30" s="3">
        <v>0.62586805555555558</v>
      </c>
      <c r="F30">
        <v>14</v>
      </c>
      <c r="G30">
        <v>3</v>
      </c>
      <c r="H30" s="3">
        <f t="shared" si="1"/>
        <v>6.6666666666666763E-2</v>
      </c>
      <c r="I30" s="3">
        <f t="shared" si="2"/>
        <v>6.6666666666666763E-2</v>
      </c>
      <c r="J30" s="3">
        <f t="shared" si="3"/>
        <v>0</v>
      </c>
      <c r="K30">
        <f t="shared" si="0"/>
        <v>96</v>
      </c>
      <c r="M30">
        <f>IF(DAY(B30)=$M$1,K30,0)</f>
        <v>0</v>
      </c>
      <c r="N30">
        <f>IF(DAY($B30)=N$1,$K30,0)</f>
        <v>0</v>
      </c>
      <c r="O30">
        <f>IF(DAY($B30)=O$1,$K30,0)</f>
        <v>0</v>
      </c>
      <c r="P30">
        <f>IF(DAY($B30)=P$1,$K30,0)</f>
        <v>0</v>
      </c>
      <c r="Q30">
        <f>IF(DAY($B30)=Q$1,$K30,0)</f>
        <v>0</v>
      </c>
      <c r="R30">
        <f>IF(DAY($B30)=R$1,$K30,0)</f>
        <v>96</v>
      </c>
      <c r="S30">
        <f>IF(DAY($B30)=S$1,$K30,0)</f>
        <v>0</v>
      </c>
      <c r="T30">
        <f>IF(DAY($B30)=T$1,$K30,0)</f>
        <v>0</v>
      </c>
      <c r="U30">
        <f>IF(DAY($B30)=U$1,$K30,0)</f>
        <v>0</v>
      </c>
      <c r="V30">
        <f>IF(DAY($B30)=V$1,$K30,0)</f>
        <v>0</v>
      </c>
      <c r="W30">
        <f>IF(DAY($B30)=W$1,$K30,0)</f>
        <v>0</v>
      </c>
      <c r="X30">
        <f>IF(DAY($B30)=X$1,$K30,0)</f>
        <v>0</v>
      </c>
      <c r="Y30">
        <f>IF(DAY($B30)=Y$1,$K30,0)</f>
        <v>0</v>
      </c>
      <c r="Z30">
        <f>IF(DAY($B30)=Z$1,$K30,0)</f>
        <v>0</v>
      </c>
      <c r="AA30">
        <f>IF(DAY($B30)=AA$1,$K30,0)</f>
        <v>0</v>
      </c>
      <c r="AB30">
        <f>IF(DAY($B30)=AB$1,$K30,0)</f>
        <v>0</v>
      </c>
      <c r="AC30">
        <f>IF(DAY($B30)=AC$1,$K30,0)</f>
        <v>0</v>
      </c>
      <c r="AD30">
        <f>IF(DAY($B30)=AD$1,$K30,0)</f>
        <v>0</v>
      </c>
      <c r="AE30">
        <f>IF(DAY($B30)=AE$1,$K30,0)</f>
        <v>0</v>
      </c>
      <c r="AF30">
        <f>IF(DAY($B30)=AF$1,$K30,0)</f>
        <v>0</v>
      </c>
      <c r="AG30">
        <f>IF(DAY($B30)=AG$1,$K30,0)</f>
        <v>0</v>
      </c>
      <c r="AH30">
        <f>IF(DAY($B30)=AH$1,$K30,0)</f>
        <v>0</v>
      </c>
      <c r="AI30">
        <f>IF(DAY($B30)=AI$1,$K30,0)</f>
        <v>0</v>
      </c>
      <c r="AJ30">
        <f>IF(DAY($B30)=AJ$1,$K30,0)</f>
        <v>0</v>
      </c>
      <c r="AK30">
        <f>IF(DAY($B30)=AK$1,$K30,0)</f>
        <v>0</v>
      </c>
      <c r="AL30">
        <f>IF(DAY($B30)=AL$1,$K30,0)</f>
        <v>0</v>
      </c>
      <c r="AM30">
        <f>IF(DAY($B30)=AM$1,$K30,0)</f>
        <v>0</v>
      </c>
      <c r="AN30">
        <f>IF(DAY($B30)=AN$1,$K30,0)</f>
        <v>0</v>
      </c>
      <c r="AO30">
        <f>IF(DAY($B30)=AO$1,$K30,0)</f>
        <v>0</v>
      </c>
      <c r="AP30">
        <f>IF(DAY($B30)=AP$1,$K30,0)</f>
        <v>0</v>
      </c>
    </row>
    <row r="31" spans="1:42" x14ac:dyDescent="0.3">
      <c r="A31">
        <v>30</v>
      </c>
      <c r="B31" s="1">
        <v>44445</v>
      </c>
      <c r="C31" s="2">
        <v>0.7160185185185185</v>
      </c>
      <c r="D31" s="1">
        <v>44445</v>
      </c>
      <c r="E31" s="3">
        <v>0.7631944444444444</v>
      </c>
      <c r="F31">
        <v>18</v>
      </c>
      <c r="G31">
        <v>14</v>
      </c>
      <c r="H31" s="3">
        <f t="shared" si="1"/>
        <v>4.7175925925925899E-2</v>
      </c>
      <c r="I31" s="3">
        <f t="shared" si="2"/>
        <v>4.7175925925925899E-2</v>
      </c>
      <c r="J31" s="3">
        <f t="shared" si="3"/>
        <v>0</v>
      </c>
      <c r="K31">
        <f t="shared" si="0"/>
        <v>67.933333333333337</v>
      </c>
      <c r="M31">
        <f>IF(DAY(B31)=$M$1,K31,0)</f>
        <v>0</v>
      </c>
      <c r="N31">
        <f>IF(DAY($B31)=N$1,$K31,0)</f>
        <v>0</v>
      </c>
      <c r="O31">
        <f>IF(DAY($B31)=O$1,$K31,0)</f>
        <v>0</v>
      </c>
      <c r="P31">
        <f>IF(DAY($B31)=P$1,$K31,0)</f>
        <v>0</v>
      </c>
      <c r="Q31">
        <f>IF(DAY($B31)=Q$1,$K31,0)</f>
        <v>0</v>
      </c>
      <c r="R31">
        <f>IF(DAY($B31)=R$1,$K31,0)</f>
        <v>67.933333333333337</v>
      </c>
      <c r="S31">
        <f>IF(DAY($B31)=S$1,$K31,0)</f>
        <v>0</v>
      </c>
      <c r="T31">
        <f>IF(DAY($B31)=T$1,$K31,0)</f>
        <v>0</v>
      </c>
      <c r="U31">
        <f>IF(DAY($B31)=U$1,$K31,0)</f>
        <v>0</v>
      </c>
      <c r="V31">
        <f>IF(DAY($B31)=V$1,$K31,0)</f>
        <v>0</v>
      </c>
      <c r="W31">
        <f>IF(DAY($B31)=W$1,$K31,0)</f>
        <v>0</v>
      </c>
      <c r="X31">
        <f>IF(DAY($B31)=X$1,$K31,0)</f>
        <v>0</v>
      </c>
      <c r="Y31">
        <f>IF(DAY($B31)=Y$1,$K31,0)</f>
        <v>0</v>
      </c>
      <c r="Z31">
        <f>IF(DAY($B31)=Z$1,$K31,0)</f>
        <v>0</v>
      </c>
      <c r="AA31">
        <f>IF(DAY($B31)=AA$1,$K31,0)</f>
        <v>0</v>
      </c>
      <c r="AB31">
        <f>IF(DAY($B31)=AB$1,$K31,0)</f>
        <v>0</v>
      </c>
      <c r="AC31">
        <f>IF(DAY($B31)=AC$1,$K31,0)</f>
        <v>0</v>
      </c>
      <c r="AD31">
        <f>IF(DAY($B31)=AD$1,$K31,0)</f>
        <v>0</v>
      </c>
      <c r="AE31">
        <f>IF(DAY($B31)=AE$1,$K31,0)</f>
        <v>0</v>
      </c>
      <c r="AF31">
        <f>IF(DAY($B31)=AF$1,$K31,0)</f>
        <v>0</v>
      </c>
      <c r="AG31">
        <f>IF(DAY($B31)=AG$1,$K31,0)</f>
        <v>0</v>
      </c>
      <c r="AH31">
        <f>IF(DAY($B31)=AH$1,$K31,0)</f>
        <v>0</v>
      </c>
      <c r="AI31">
        <f>IF(DAY($B31)=AI$1,$K31,0)</f>
        <v>0</v>
      </c>
      <c r="AJ31">
        <f>IF(DAY($B31)=AJ$1,$K31,0)</f>
        <v>0</v>
      </c>
      <c r="AK31">
        <f>IF(DAY($B31)=AK$1,$K31,0)</f>
        <v>0</v>
      </c>
      <c r="AL31">
        <f>IF(DAY($B31)=AL$1,$K31,0)</f>
        <v>0</v>
      </c>
      <c r="AM31">
        <f>IF(DAY($B31)=AM$1,$K31,0)</f>
        <v>0</v>
      </c>
      <c r="AN31">
        <f>IF(DAY($B31)=AN$1,$K31,0)</f>
        <v>0</v>
      </c>
      <c r="AO31">
        <f>IF(DAY($B31)=AO$1,$K31,0)</f>
        <v>0</v>
      </c>
      <c r="AP31">
        <f>IF(DAY($B31)=AP$1,$K31,0)</f>
        <v>0</v>
      </c>
    </row>
    <row r="32" spans="1:42" x14ac:dyDescent="0.3">
      <c r="A32">
        <v>31</v>
      </c>
      <c r="B32" s="1">
        <v>44445</v>
      </c>
      <c r="C32" s="2">
        <v>0.82097222222222221</v>
      </c>
      <c r="D32" s="1">
        <v>44445</v>
      </c>
      <c r="E32" s="3">
        <v>0.89042824074074067</v>
      </c>
      <c r="F32">
        <v>16</v>
      </c>
      <c r="G32">
        <v>21</v>
      </c>
      <c r="H32" s="3">
        <f t="shared" si="1"/>
        <v>6.9456018518518459E-2</v>
      </c>
      <c r="I32" s="3">
        <f t="shared" si="2"/>
        <v>6.9456018518518459E-2</v>
      </c>
      <c r="J32" s="3">
        <f t="shared" si="3"/>
        <v>0</v>
      </c>
      <c r="K32">
        <f t="shared" si="0"/>
        <v>100.01666666666667</v>
      </c>
      <c r="M32">
        <f>IF(DAY(B32)=$M$1,K32,0)</f>
        <v>0</v>
      </c>
      <c r="N32">
        <f>IF(DAY($B32)=N$1,$K32,0)</f>
        <v>0</v>
      </c>
      <c r="O32">
        <f>IF(DAY($B32)=O$1,$K32,0)</f>
        <v>0</v>
      </c>
      <c r="P32">
        <f>IF(DAY($B32)=P$1,$K32,0)</f>
        <v>0</v>
      </c>
      <c r="Q32">
        <f>IF(DAY($B32)=Q$1,$K32,0)</f>
        <v>0</v>
      </c>
      <c r="R32">
        <f>IF(DAY($B32)=R$1,$K32,0)</f>
        <v>100.01666666666667</v>
      </c>
      <c r="S32">
        <f>IF(DAY($B32)=S$1,$K32,0)</f>
        <v>0</v>
      </c>
      <c r="T32">
        <f>IF(DAY($B32)=T$1,$K32,0)</f>
        <v>0</v>
      </c>
      <c r="U32">
        <f>IF(DAY($B32)=U$1,$K32,0)</f>
        <v>0</v>
      </c>
      <c r="V32">
        <f>IF(DAY($B32)=V$1,$K32,0)</f>
        <v>0</v>
      </c>
      <c r="W32">
        <f>IF(DAY($B32)=W$1,$K32,0)</f>
        <v>0</v>
      </c>
      <c r="X32">
        <f>IF(DAY($B32)=X$1,$K32,0)</f>
        <v>0</v>
      </c>
      <c r="Y32">
        <f>IF(DAY($B32)=Y$1,$K32,0)</f>
        <v>0</v>
      </c>
      <c r="Z32">
        <f>IF(DAY($B32)=Z$1,$K32,0)</f>
        <v>0</v>
      </c>
      <c r="AA32">
        <f>IF(DAY($B32)=AA$1,$K32,0)</f>
        <v>0</v>
      </c>
      <c r="AB32">
        <f>IF(DAY($B32)=AB$1,$K32,0)</f>
        <v>0</v>
      </c>
      <c r="AC32">
        <f>IF(DAY($B32)=AC$1,$K32,0)</f>
        <v>0</v>
      </c>
      <c r="AD32">
        <f>IF(DAY($B32)=AD$1,$K32,0)</f>
        <v>0</v>
      </c>
      <c r="AE32">
        <f>IF(DAY($B32)=AE$1,$K32,0)</f>
        <v>0</v>
      </c>
      <c r="AF32">
        <f>IF(DAY($B32)=AF$1,$K32,0)</f>
        <v>0</v>
      </c>
      <c r="AG32">
        <f>IF(DAY($B32)=AG$1,$K32,0)</f>
        <v>0</v>
      </c>
      <c r="AH32">
        <f>IF(DAY($B32)=AH$1,$K32,0)</f>
        <v>0</v>
      </c>
      <c r="AI32">
        <f>IF(DAY($B32)=AI$1,$K32,0)</f>
        <v>0</v>
      </c>
      <c r="AJ32">
        <f>IF(DAY($B32)=AJ$1,$K32,0)</f>
        <v>0</v>
      </c>
      <c r="AK32">
        <f>IF(DAY($B32)=AK$1,$K32,0)</f>
        <v>0</v>
      </c>
      <c r="AL32">
        <f>IF(DAY($B32)=AL$1,$K32,0)</f>
        <v>0</v>
      </c>
      <c r="AM32">
        <f>IF(DAY($B32)=AM$1,$K32,0)</f>
        <v>0</v>
      </c>
      <c r="AN32">
        <f>IF(DAY($B32)=AN$1,$K32,0)</f>
        <v>0</v>
      </c>
      <c r="AO32">
        <f>IF(DAY($B32)=AO$1,$K32,0)</f>
        <v>0</v>
      </c>
      <c r="AP32">
        <f>IF(DAY($B32)=AP$1,$K32,0)</f>
        <v>0</v>
      </c>
    </row>
    <row r="33" spans="1:42" x14ac:dyDescent="0.3">
      <c r="A33">
        <v>32</v>
      </c>
      <c r="B33" s="1">
        <v>44446</v>
      </c>
      <c r="C33" s="2">
        <v>0.32383101851851853</v>
      </c>
      <c r="D33" s="1">
        <v>44446</v>
      </c>
      <c r="E33" s="3">
        <v>0.40016203703703707</v>
      </c>
      <c r="F33">
        <v>15</v>
      </c>
      <c r="G33">
        <v>14</v>
      </c>
      <c r="H33" s="3">
        <f t="shared" si="1"/>
        <v>7.6331018518518534E-2</v>
      </c>
      <c r="I33" s="3">
        <f t="shared" si="2"/>
        <v>7.6331018518518534E-2</v>
      </c>
      <c r="J33" s="3">
        <f t="shared" si="3"/>
        <v>0</v>
      </c>
      <c r="K33">
        <f t="shared" si="0"/>
        <v>109.91666666666667</v>
      </c>
      <c r="M33">
        <f>IF(DAY(B33)=$M$1,K33,0)</f>
        <v>0</v>
      </c>
      <c r="N33">
        <f>IF(DAY($B33)=N$1,$K33,0)</f>
        <v>0</v>
      </c>
      <c r="O33">
        <f>IF(DAY($B33)=O$1,$K33,0)</f>
        <v>0</v>
      </c>
      <c r="P33">
        <f>IF(DAY($B33)=P$1,$K33,0)</f>
        <v>0</v>
      </c>
      <c r="Q33">
        <f>IF(DAY($B33)=Q$1,$K33,0)</f>
        <v>0</v>
      </c>
      <c r="R33">
        <f>IF(DAY($B33)=R$1,$K33,0)</f>
        <v>0</v>
      </c>
      <c r="S33">
        <f>IF(DAY($B33)=S$1,$K33,0)</f>
        <v>109.91666666666667</v>
      </c>
      <c r="T33">
        <f>IF(DAY($B33)=T$1,$K33,0)</f>
        <v>0</v>
      </c>
      <c r="U33">
        <f>IF(DAY($B33)=U$1,$K33,0)</f>
        <v>0</v>
      </c>
      <c r="V33">
        <f>IF(DAY($B33)=V$1,$K33,0)</f>
        <v>0</v>
      </c>
      <c r="W33">
        <f>IF(DAY($B33)=W$1,$K33,0)</f>
        <v>0</v>
      </c>
      <c r="X33">
        <f>IF(DAY($B33)=X$1,$K33,0)</f>
        <v>0</v>
      </c>
      <c r="Y33">
        <f>IF(DAY($B33)=Y$1,$K33,0)</f>
        <v>0</v>
      </c>
      <c r="Z33">
        <f>IF(DAY($B33)=Z$1,$K33,0)</f>
        <v>0</v>
      </c>
      <c r="AA33">
        <f>IF(DAY($B33)=AA$1,$K33,0)</f>
        <v>0</v>
      </c>
      <c r="AB33">
        <f>IF(DAY($B33)=AB$1,$K33,0)</f>
        <v>0</v>
      </c>
      <c r="AC33">
        <f>IF(DAY($B33)=AC$1,$K33,0)</f>
        <v>0</v>
      </c>
      <c r="AD33">
        <f>IF(DAY($B33)=AD$1,$K33,0)</f>
        <v>0</v>
      </c>
      <c r="AE33">
        <f>IF(DAY($B33)=AE$1,$K33,0)</f>
        <v>0</v>
      </c>
      <c r="AF33">
        <f>IF(DAY($B33)=AF$1,$K33,0)</f>
        <v>0</v>
      </c>
      <c r="AG33">
        <f>IF(DAY($B33)=AG$1,$K33,0)</f>
        <v>0</v>
      </c>
      <c r="AH33">
        <f>IF(DAY($B33)=AH$1,$K33,0)</f>
        <v>0</v>
      </c>
      <c r="AI33">
        <f>IF(DAY($B33)=AI$1,$K33,0)</f>
        <v>0</v>
      </c>
      <c r="AJ33">
        <f>IF(DAY($B33)=AJ$1,$K33,0)</f>
        <v>0</v>
      </c>
      <c r="AK33">
        <f>IF(DAY($B33)=AK$1,$K33,0)</f>
        <v>0</v>
      </c>
      <c r="AL33">
        <f>IF(DAY($B33)=AL$1,$K33,0)</f>
        <v>0</v>
      </c>
      <c r="AM33">
        <f>IF(DAY($B33)=AM$1,$K33,0)</f>
        <v>0</v>
      </c>
      <c r="AN33">
        <f>IF(DAY($B33)=AN$1,$K33,0)</f>
        <v>0</v>
      </c>
      <c r="AO33">
        <f>IF(DAY($B33)=AO$1,$K33,0)</f>
        <v>0</v>
      </c>
      <c r="AP33">
        <f>IF(DAY($B33)=AP$1,$K33,0)</f>
        <v>0</v>
      </c>
    </row>
    <row r="34" spans="1:42" x14ac:dyDescent="0.3">
      <c r="A34">
        <v>33</v>
      </c>
      <c r="B34" s="1">
        <v>44446</v>
      </c>
      <c r="C34" s="2">
        <v>0.46467592592592594</v>
      </c>
      <c r="D34" s="1">
        <v>44446</v>
      </c>
      <c r="E34" s="3">
        <v>0.52171296296296299</v>
      </c>
      <c r="F34">
        <v>12</v>
      </c>
      <c r="G34">
        <v>23</v>
      </c>
      <c r="H34" s="3">
        <f t="shared" si="1"/>
        <v>5.7037037037037053E-2</v>
      </c>
      <c r="I34" s="3">
        <f t="shared" si="2"/>
        <v>5.7037037037037053E-2</v>
      </c>
      <c r="J34" s="3">
        <f t="shared" si="3"/>
        <v>0</v>
      </c>
      <c r="K34">
        <f t="shared" si="0"/>
        <v>82.13333333333334</v>
      </c>
      <c r="M34">
        <f>IF(DAY(B34)=$M$1,K34,0)</f>
        <v>0</v>
      </c>
      <c r="N34">
        <f>IF(DAY($B34)=N$1,$K34,0)</f>
        <v>0</v>
      </c>
      <c r="O34">
        <f>IF(DAY($B34)=O$1,$K34,0)</f>
        <v>0</v>
      </c>
      <c r="P34">
        <f>IF(DAY($B34)=P$1,$K34,0)</f>
        <v>0</v>
      </c>
      <c r="Q34">
        <f>IF(DAY($B34)=Q$1,$K34,0)</f>
        <v>0</v>
      </c>
      <c r="R34">
        <f>IF(DAY($B34)=R$1,$K34,0)</f>
        <v>0</v>
      </c>
      <c r="S34">
        <f>IF(DAY($B34)=S$1,$K34,0)</f>
        <v>82.13333333333334</v>
      </c>
      <c r="T34">
        <f>IF(DAY($B34)=T$1,$K34,0)</f>
        <v>0</v>
      </c>
      <c r="U34">
        <f>IF(DAY($B34)=U$1,$K34,0)</f>
        <v>0</v>
      </c>
      <c r="V34">
        <f>IF(DAY($B34)=V$1,$K34,0)</f>
        <v>0</v>
      </c>
      <c r="W34">
        <f>IF(DAY($B34)=W$1,$K34,0)</f>
        <v>0</v>
      </c>
      <c r="X34">
        <f>IF(DAY($B34)=X$1,$K34,0)</f>
        <v>0</v>
      </c>
      <c r="Y34">
        <f>IF(DAY($B34)=Y$1,$K34,0)</f>
        <v>0</v>
      </c>
      <c r="Z34">
        <f>IF(DAY($B34)=Z$1,$K34,0)</f>
        <v>0</v>
      </c>
      <c r="AA34">
        <f>IF(DAY($B34)=AA$1,$K34,0)</f>
        <v>0</v>
      </c>
      <c r="AB34">
        <f>IF(DAY($B34)=AB$1,$K34,0)</f>
        <v>0</v>
      </c>
      <c r="AC34">
        <f>IF(DAY($B34)=AC$1,$K34,0)</f>
        <v>0</v>
      </c>
      <c r="AD34">
        <f>IF(DAY($B34)=AD$1,$K34,0)</f>
        <v>0</v>
      </c>
      <c r="AE34">
        <f>IF(DAY($B34)=AE$1,$K34,0)</f>
        <v>0</v>
      </c>
      <c r="AF34">
        <f>IF(DAY($B34)=AF$1,$K34,0)</f>
        <v>0</v>
      </c>
      <c r="AG34">
        <f>IF(DAY($B34)=AG$1,$K34,0)</f>
        <v>0</v>
      </c>
      <c r="AH34">
        <f>IF(DAY($B34)=AH$1,$K34,0)</f>
        <v>0</v>
      </c>
      <c r="AI34">
        <f>IF(DAY($B34)=AI$1,$K34,0)</f>
        <v>0</v>
      </c>
      <c r="AJ34">
        <f>IF(DAY($B34)=AJ$1,$K34,0)</f>
        <v>0</v>
      </c>
      <c r="AK34">
        <f>IF(DAY($B34)=AK$1,$K34,0)</f>
        <v>0</v>
      </c>
      <c r="AL34">
        <f>IF(DAY($B34)=AL$1,$K34,0)</f>
        <v>0</v>
      </c>
      <c r="AM34">
        <f>IF(DAY($B34)=AM$1,$K34,0)</f>
        <v>0</v>
      </c>
      <c r="AN34">
        <f>IF(DAY($B34)=AN$1,$K34,0)</f>
        <v>0</v>
      </c>
      <c r="AO34">
        <f>IF(DAY($B34)=AO$1,$K34,0)</f>
        <v>0</v>
      </c>
      <c r="AP34">
        <f>IF(DAY($B34)=AP$1,$K34,0)</f>
        <v>0</v>
      </c>
    </row>
    <row r="35" spans="1:42" x14ac:dyDescent="0.3">
      <c r="A35">
        <v>34</v>
      </c>
      <c r="B35" s="1">
        <v>44446</v>
      </c>
      <c r="C35" s="2">
        <v>0.57347222222222227</v>
      </c>
      <c r="D35" s="1">
        <v>44446</v>
      </c>
      <c r="E35" s="3">
        <v>0.64879629629629632</v>
      </c>
      <c r="F35">
        <v>17</v>
      </c>
      <c r="G35">
        <v>6</v>
      </c>
      <c r="H35" s="3">
        <f t="shared" si="1"/>
        <v>7.5324074074074043E-2</v>
      </c>
      <c r="I35" s="3">
        <f t="shared" si="2"/>
        <v>7.5324074074074043E-2</v>
      </c>
      <c r="J35" s="3">
        <f t="shared" si="3"/>
        <v>0</v>
      </c>
      <c r="K35">
        <f t="shared" si="0"/>
        <v>108.46666666666667</v>
      </c>
      <c r="M35">
        <f>IF(DAY(B35)=$M$1,K35,0)</f>
        <v>0</v>
      </c>
      <c r="N35">
        <f>IF(DAY($B35)=N$1,$K35,0)</f>
        <v>0</v>
      </c>
      <c r="O35">
        <f>IF(DAY($B35)=O$1,$K35,0)</f>
        <v>0</v>
      </c>
      <c r="P35">
        <f>IF(DAY($B35)=P$1,$K35,0)</f>
        <v>0</v>
      </c>
      <c r="Q35">
        <f>IF(DAY($B35)=Q$1,$K35,0)</f>
        <v>0</v>
      </c>
      <c r="R35">
        <f>IF(DAY($B35)=R$1,$K35,0)</f>
        <v>0</v>
      </c>
      <c r="S35">
        <f>IF(DAY($B35)=S$1,$K35,0)</f>
        <v>108.46666666666667</v>
      </c>
      <c r="T35">
        <f>IF(DAY($B35)=T$1,$K35,0)</f>
        <v>0</v>
      </c>
      <c r="U35">
        <f>IF(DAY($B35)=U$1,$K35,0)</f>
        <v>0</v>
      </c>
      <c r="V35">
        <f>IF(DAY($B35)=V$1,$K35,0)</f>
        <v>0</v>
      </c>
      <c r="W35">
        <f>IF(DAY($B35)=W$1,$K35,0)</f>
        <v>0</v>
      </c>
      <c r="X35">
        <f>IF(DAY($B35)=X$1,$K35,0)</f>
        <v>0</v>
      </c>
      <c r="Y35">
        <f>IF(DAY($B35)=Y$1,$K35,0)</f>
        <v>0</v>
      </c>
      <c r="Z35">
        <f>IF(DAY($B35)=Z$1,$K35,0)</f>
        <v>0</v>
      </c>
      <c r="AA35">
        <f>IF(DAY($B35)=AA$1,$K35,0)</f>
        <v>0</v>
      </c>
      <c r="AB35">
        <f>IF(DAY($B35)=AB$1,$K35,0)</f>
        <v>0</v>
      </c>
      <c r="AC35">
        <f>IF(DAY($B35)=AC$1,$K35,0)</f>
        <v>0</v>
      </c>
      <c r="AD35">
        <f>IF(DAY($B35)=AD$1,$K35,0)</f>
        <v>0</v>
      </c>
      <c r="AE35">
        <f>IF(DAY($B35)=AE$1,$K35,0)</f>
        <v>0</v>
      </c>
      <c r="AF35">
        <f>IF(DAY($B35)=AF$1,$K35,0)</f>
        <v>0</v>
      </c>
      <c r="AG35">
        <f>IF(DAY($B35)=AG$1,$K35,0)</f>
        <v>0</v>
      </c>
      <c r="AH35">
        <f>IF(DAY($B35)=AH$1,$K35,0)</f>
        <v>0</v>
      </c>
      <c r="AI35">
        <f>IF(DAY($B35)=AI$1,$K35,0)</f>
        <v>0</v>
      </c>
      <c r="AJ35">
        <f>IF(DAY($B35)=AJ$1,$K35,0)</f>
        <v>0</v>
      </c>
      <c r="AK35">
        <f>IF(DAY($B35)=AK$1,$K35,0)</f>
        <v>0</v>
      </c>
      <c r="AL35">
        <f>IF(DAY($B35)=AL$1,$K35,0)</f>
        <v>0</v>
      </c>
      <c r="AM35">
        <f>IF(DAY($B35)=AM$1,$K35,0)</f>
        <v>0</v>
      </c>
      <c r="AN35">
        <f>IF(DAY($B35)=AN$1,$K35,0)</f>
        <v>0</v>
      </c>
      <c r="AO35">
        <f>IF(DAY($B35)=AO$1,$K35,0)</f>
        <v>0</v>
      </c>
      <c r="AP35">
        <f>IF(DAY($B35)=AP$1,$K35,0)</f>
        <v>0</v>
      </c>
    </row>
    <row r="36" spans="1:42" x14ac:dyDescent="0.3">
      <c r="A36">
        <v>35</v>
      </c>
      <c r="B36" s="1">
        <v>44446</v>
      </c>
      <c r="C36" s="2">
        <v>0.70577546296296301</v>
      </c>
      <c r="D36" s="1">
        <v>44446</v>
      </c>
      <c r="E36" s="3">
        <v>0.7917939814814815</v>
      </c>
      <c r="F36">
        <v>19</v>
      </c>
      <c r="G36">
        <v>16</v>
      </c>
      <c r="H36" s="3">
        <f t="shared" si="1"/>
        <v>8.6018518518518494E-2</v>
      </c>
      <c r="I36" s="3">
        <f t="shared" si="2"/>
        <v>8.6018518518518494E-2</v>
      </c>
      <c r="J36" s="3">
        <f t="shared" si="3"/>
        <v>0</v>
      </c>
      <c r="K36">
        <f t="shared" si="0"/>
        <v>123.86666666666666</v>
      </c>
      <c r="M36">
        <f>IF(DAY(B36)=$M$1,K36,0)</f>
        <v>0</v>
      </c>
      <c r="N36">
        <f>IF(DAY($B36)=N$1,$K36,0)</f>
        <v>0</v>
      </c>
      <c r="O36">
        <f>IF(DAY($B36)=O$1,$K36,0)</f>
        <v>0</v>
      </c>
      <c r="P36">
        <f>IF(DAY($B36)=P$1,$K36,0)</f>
        <v>0</v>
      </c>
      <c r="Q36">
        <f>IF(DAY($B36)=Q$1,$K36,0)</f>
        <v>0</v>
      </c>
      <c r="R36">
        <f>IF(DAY($B36)=R$1,$K36,0)</f>
        <v>0</v>
      </c>
      <c r="S36">
        <f>IF(DAY($B36)=S$1,$K36,0)</f>
        <v>123.86666666666666</v>
      </c>
      <c r="T36">
        <f>IF(DAY($B36)=T$1,$K36,0)</f>
        <v>0</v>
      </c>
      <c r="U36">
        <f>IF(DAY($B36)=U$1,$K36,0)</f>
        <v>0</v>
      </c>
      <c r="V36">
        <f>IF(DAY($B36)=V$1,$K36,0)</f>
        <v>0</v>
      </c>
      <c r="W36">
        <f>IF(DAY($B36)=W$1,$K36,0)</f>
        <v>0</v>
      </c>
      <c r="X36">
        <f>IF(DAY($B36)=X$1,$K36,0)</f>
        <v>0</v>
      </c>
      <c r="Y36">
        <f>IF(DAY($B36)=Y$1,$K36,0)</f>
        <v>0</v>
      </c>
      <c r="Z36">
        <f>IF(DAY($B36)=Z$1,$K36,0)</f>
        <v>0</v>
      </c>
      <c r="AA36">
        <f>IF(DAY($B36)=AA$1,$K36,0)</f>
        <v>0</v>
      </c>
      <c r="AB36">
        <f>IF(DAY($B36)=AB$1,$K36,0)</f>
        <v>0</v>
      </c>
      <c r="AC36">
        <f>IF(DAY($B36)=AC$1,$K36,0)</f>
        <v>0</v>
      </c>
      <c r="AD36">
        <f>IF(DAY($B36)=AD$1,$K36,0)</f>
        <v>0</v>
      </c>
      <c r="AE36">
        <f>IF(DAY($B36)=AE$1,$K36,0)</f>
        <v>0</v>
      </c>
      <c r="AF36">
        <f>IF(DAY($B36)=AF$1,$K36,0)</f>
        <v>0</v>
      </c>
      <c r="AG36">
        <f>IF(DAY($B36)=AG$1,$K36,0)</f>
        <v>0</v>
      </c>
      <c r="AH36">
        <f>IF(DAY($B36)=AH$1,$K36,0)</f>
        <v>0</v>
      </c>
      <c r="AI36">
        <f>IF(DAY($B36)=AI$1,$K36,0)</f>
        <v>0</v>
      </c>
      <c r="AJ36">
        <f>IF(DAY($B36)=AJ$1,$K36,0)</f>
        <v>0</v>
      </c>
      <c r="AK36">
        <f>IF(DAY($B36)=AK$1,$K36,0)</f>
        <v>0</v>
      </c>
      <c r="AL36">
        <f>IF(DAY($B36)=AL$1,$K36,0)</f>
        <v>0</v>
      </c>
      <c r="AM36">
        <f>IF(DAY($B36)=AM$1,$K36,0)</f>
        <v>0</v>
      </c>
      <c r="AN36">
        <f>IF(DAY($B36)=AN$1,$K36,0)</f>
        <v>0</v>
      </c>
      <c r="AO36">
        <f>IF(DAY($B36)=AO$1,$K36,0)</f>
        <v>0</v>
      </c>
      <c r="AP36">
        <f>IF(DAY($B36)=AP$1,$K36,0)</f>
        <v>0</v>
      </c>
    </row>
    <row r="37" spans="1:42" x14ac:dyDescent="0.3">
      <c r="A37">
        <v>36</v>
      </c>
      <c r="B37" s="1">
        <v>44446</v>
      </c>
      <c r="C37" s="2">
        <v>0.84167824074074071</v>
      </c>
      <c r="D37" s="1">
        <v>44446</v>
      </c>
      <c r="E37" s="3">
        <v>0.9406944444444445</v>
      </c>
      <c r="F37">
        <v>11</v>
      </c>
      <c r="G37">
        <v>14</v>
      </c>
      <c r="H37" s="3">
        <f t="shared" si="1"/>
        <v>9.9016203703703787E-2</v>
      </c>
      <c r="I37" s="3">
        <f t="shared" si="2"/>
        <v>9.9016203703703787E-2</v>
      </c>
      <c r="J37" s="3">
        <f t="shared" si="3"/>
        <v>0</v>
      </c>
      <c r="K37">
        <f t="shared" si="0"/>
        <v>142.58333333333334</v>
      </c>
      <c r="M37">
        <f>IF(DAY(B37)=$M$1,K37,0)</f>
        <v>0</v>
      </c>
      <c r="N37">
        <f>IF(DAY($B37)=N$1,$K37,0)</f>
        <v>0</v>
      </c>
      <c r="O37">
        <f>IF(DAY($B37)=O$1,$K37,0)</f>
        <v>0</v>
      </c>
      <c r="P37">
        <f>IF(DAY($B37)=P$1,$K37,0)</f>
        <v>0</v>
      </c>
      <c r="Q37">
        <f>IF(DAY($B37)=Q$1,$K37,0)</f>
        <v>0</v>
      </c>
      <c r="R37">
        <f>IF(DAY($B37)=R$1,$K37,0)</f>
        <v>0</v>
      </c>
      <c r="S37">
        <f>IF(DAY($B37)=S$1,$K37,0)</f>
        <v>142.58333333333334</v>
      </c>
      <c r="T37">
        <f>IF(DAY($B37)=T$1,$K37,0)</f>
        <v>0</v>
      </c>
      <c r="U37">
        <f>IF(DAY($B37)=U$1,$K37,0)</f>
        <v>0</v>
      </c>
      <c r="V37">
        <f>IF(DAY($B37)=V$1,$K37,0)</f>
        <v>0</v>
      </c>
      <c r="W37">
        <f>IF(DAY($B37)=W$1,$K37,0)</f>
        <v>0</v>
      </c>
      <c r="X37">
        <f>IF(DAY($B37)=X$1,$K37,0)</f>
        <v>0</v>
      </c>
      <c r="Y37">
        <f>IF(DAY($B37)=Y$1,$K37,0)</f>
        <v>0</v>
      </c>
      <c r="Z37">
        <f>IF(DAY($B37)=Z$1,$K37,0)</f>
        <v>0</v>
      </c>
      <c r="AA37">
        <f>IF(DAY($B37)=AA$1,$K37,0)</f>
        <v>0</v>
      </c>
      <c r="AB37">
        <f>IF(DAY($B37)=AB$1,$K37,0)</f>
        <v>0</v>
      </c>
      <c r="AC37">
        <f>IF(DAY($B37)=AC$1,$K37,0)</f>
        <v>0</v>
      </c>
      <c r="AD37">
        <f>IF(DAY($B37)=AD$1,$K37,0)</f>
        <v>0</v>
      </c>
      <c r="AE37">
        <f>IF(DAY($B37)=AE$1,$K37,0)</f>
        <v>0</v>
      </c>
      <c r="AF37">
        <f>IF(DAY($B37)=AF$1,$K37,0)</f>
        <v>0</v>
      </c>
      <c r="AG37">
        <f>IF(DAY($B37)=AG$1,$K37,0)</f>
        <v>0</v>
      </c>
      <c r="AH37">
        <f>IF(DAY($B37)=AH$1,$K37,0)</f>
        <v>0</v>
      </c>
      <c r="AI37">
        <f>IF(DAY($B37)=AI$1,$K37,0)</f>
        <v>0</v>
      </c>
      <c r="AJ37">
        <f>IF(DAY($B37)=AJ$1,$K37,0)</f>
        <v>0</v>
      </c>
      <c r="AK37">
        <f>IF(DAY($B37)=AK$1,$K37,0)</f>
        <v>0</v>
      </c>
      <c r="AL37">
        <f>IF(DAY($B37)=AL$1,$K37,0)</f>
        <v>0</v>
      </c>
      <c r="AM37">
        <f>IF(DAY($B37)=AM$1,$K37,0)</f>
        <v>0</v>
      </c>
      <c r="AN37">
        <f>IF(DAY($B37)=AN$1,$K37,0)</f>
        <v>0</v>
      </c>
      <c r="AO37">
        <f>IF(DAY($B37)=AO$1,$K37,0)</f>
        <v>0</v>
      </c>
      <c r="AP37">
        <f>IF(DAY($B37)=AP$1,$K37,0)</f>
        <v>0</v>
      </c>
    </row>
    <row r="38" spans="1:42" x14ac:dyDescent="0.3">
      <c r="A38">
        <v>37</v>
      </c>
      <c r="B38" s="1">
        <v>44447</v>
      </c>
      <c r="C38" s="2">
        <v>0.13560185185185183</v>
      </c>
      <c r="D38" s="1">
        <v>44447</v>
      </c>
      <c r="E38" s="3">
        <v>0.26116898148148149</v>
      </c>
      <c r="F38">
        <v>13</v>
      </c>
      <c r="G38">
        <v>22</v>
      </c>
      <c r="H38" s="3">
        <f t="shared" si="1"/>
        <v>0.12556712962962965</v>
      </c>
      <c r="I38" s="3">
        <f t="shared" si="2"/>
        <v>0.12556712962962965</v>
      </c>
      <c r="J38" s="3">
        <f t="shared" si="3"/>
        <v>0</v>
      </c>
      <c r="K38">
        <f t="shared" si="0"/>
        <v>180.81666666666666</v>
      </c>
      <c r="M38">
        <f>IF(DAY(B38)=$M$1,K38,0)</f>
        <v>0</v>
      </c>
      <c r="N38">
        <f>IF(DAY($B38)=N$1,$K38,0)</f>
        <v>0</v>
      </c>
      <c r="O38">
        <f>IF(DAY($B38)=O$1,$K38,0)</f>
        <v>0</v>
      </c>
      <c r="P38">
        <f>IF(DAY($B38)=P$1,$K38,0)</f>
        <v>0</v>
      </c>
      <c r="Q38">
        <f>IF(DAY($B38)=Q$1,$K38,0)</f>
        <v>0</v>
      </c>
      <c r="R38">
        <f>IF(DAY($B38)=R$1,$K38,0)</f>
        <v>0</v>
      </c>
      <c r="S38">
        <f>IF(DAY($B38)=S$1,$K38,0)</f>
        <v>0</v>
      </c>
      <c r="T38">
        <f>IF(DAY($B38)=T$1,$K38,0)</f>
        <v>180.81666666666666</v>
      </c>
      <c r="U38">
        <f>IF(DAY($B38)=U$1,$K38,0)</f>
        <v>0</v>
      </c>
      <c r="V38">
        <f>IF(DAY($B38)=V$1,$K38,0)</f>
        <v>0</v>
      </c>
      <c r="W38">
        <f>IF(DAY($B38)=W$1,$K38,0)</f>
        <v>0</v>
      </c>
      <c r="X38">
        <f>IF(DAY($B38)=X$1,$K38,0)</f>
        <v>0</v>
      </c>
      <c r="Y38">
        <f>IF(DAY($B38)=Y$1,$K38,0)</f>
        <v>0</v>
      </c>
      <c r="Z38">
        <f>IF(DAY($B38)=Z$1,$K38,0)</f>
        <v>0</v>
      </c>
      <c r="AA38">
        <f>IF(DAY($B38)=AA$1,$K38,0)</f>
        <v>0</v>
      </c>
      <c r="AB38">
        <f>IF(DAY($B38)=AB$1,$K38,0)</f>
        <v>0</v>
      </c>
      <c r="AC38">
        <f>IF(DAY($B38)=AC$1,$K38,0)</f>
        <v>0</v>
      </c>
      <c r="AD38">
        <f>IF(DAY($B38)=AD$1,$K38,0)</f>
        <v>0</v>
      </c>
      <c r="AE38">
        <f>IF(DAY($B38)=AE$1,$K38,0)</f>
        <v>0</v>
      </c>
      <c r="AF38">
        <f>IF(DAY($B38)=AF$1,$K38,0)</f>
        <v>0</v>
      </c>
      <c r="AG38">
        <f>IF(DAY($B38)=AG$1,$K38,0)</f>
        <v>0</v>
      </c>
      <c r="AH38">
        <f>IF(DAY($B38)=AH$1,$K38,0)</f>
        <v>0</v>
      </c>
      <c r="AI38">
        <f>IF(DAY($B38)=AI$1,$K38,0)</f>
        <v>0</v>
      </c>
      <c r="AJ38">
        <f>IF(DAY($B38)=AJ$1,$K38,0)</f>
        <v>0</v>
      </c>
      <c r="AK38">
        <f>IF(DAY($B38)=AK$1,$K38,0)</f>
        <v>0</v>
      </c>
      <c r="AL38">
        <f>IF(DAY($B38)=AL$1,$K38,0)</f>
        <v>0</v>
      </c>
      <c r="AM38">
        <f>IF(DAY($B38)=AM$1,$K38,0)</f>
        <v>0</v>
      </c>
      <c r="AN38">
        <f>IF(DAY($B38)=AN$1,$K38,0)</f>
        <v>0</v>
      </c>
      <c r="AO38">
        <f>IF(DAY($B38)=AO$1,$K38,0)</f>
        <v>0</v>
      </c>
      <c r="AP38">
        <f>IF(DAY($B38)=AP$1,$K38,0)</f>
        <v>0</v>
      </c>
    </row>
    <row r="39" spans="1:42" x14ac:dyDescent="0.3">
      <c r="A39">
        <v>38</v>
      </c>
      <c r="B39" s="1">
        <v>44447</v>
      </c>
      <c r="C39" s="2">
        <v>0.32587962962962963</v>
      </c>
      <c r="D39" s="1">
        <v>44447</v>
      </c>
      <c r="E39" s="3">
        <v>0.39796296296296302</v>
      </c>
      <c r="F39">
        <v>11</v>
      </c>
      <c r="G39">
        <v>4</v>
      </c>
      <c r="H39" s="3">
        <f t="shared" si="1"/>
        <v>7.2083333333333388E-2</v>
      </c>
      <c r="I39" s="3">
        <f t="shared" si="2"/>
        <v>7.2083333333333388E-2</v>
      </c>
      <c r="J39" s="3">
        <f t="shared" si="3"/>
        <v>0</v>
      </c>
      <c r="K39">
        <f t="shared" si="0"/>
        <v>103.8</v>
      </c>
      <c r="M39">
        <f>IF(DAY(B39)=$M$1,K39,0)</f>
        <v>0</v>
      </c>
      <c r="N39">
        <f>IF(DAY($B39)=N$1,$K39,0)</f>
        <v>0</v>
      </c>
      <c r="O39">
        <f>IF(DAY($B39)=O$1,$K39,0)</f>
        <v>0</v>
      </c>
      <c r="P39">
        <f>IF(DAY($B39)=P$1,$K39,0)</f>
        <v>0</v>
      </c>
      <c r="Q39">
        <f>IF(DAY($B39)=Q$1,$K39,0)</f>
        <v>0</v>
      </c>
      <c r="R39">
        <f>IF(DAY($B39)=R$1,$K39,0)</f>
        <v>0</v>
      </c>
      <c r="S39">
        <f>IF(DAY($B39)=S$1,$K39,0)</f>
        <v>0</v>
      </c>
      <c r="T39">
        <f>IF(DAY($B39)=T$1,$K39,0)</f>
        <v>103.8</v>
      </c>
      <c r="U39">
        <f>IF(DAY($B39)=U$1,$K39,0)</f>
        <v>0</v>
      </c>
      <c r="V39">
        <f>IF(DAY($B39)=V$1,$K39,0)</f>
        <v>0</v>
      </c>
      <c r="W39">
        <f>IF(DAY($B39)=W$1,$K39,0)</f>
        <v>0</v>
      </c>
      <c r="X39">
        <f>IF(DAY($B39)=X$1,$K39,0)</f>
        <v>0</v>
      </c>
      <c r="Y39">
        <f>IF(DAY($B39)=Y$1,$K39,0)</f>
        <v>0</v>
      </c>
      <c r="Z39">
        <f>IF(DAY($B39)=Z$1,$K39,0)</f>
        <v>0</v>
      </c>
      <c r="AA39">
        <f>IF(DAY($B39)=AA$1,$K39,0)</f>
        <v>0</v>
      </c>
      <c r="AB39">
        <f>IF(DAY($B39)=AB$1,$K39,0)</f>
        <v>0</v>
      </c>
      <c r="AC39">
        <f>IF(DAY($B39)=AC$1,$K39,0)</f>
        <v>0</v>
      </c>
      <c r="AD39">
        <f>IF(DAY($B39)=AD$1,$K39,0)</f>
        <v>0</v>
      </c>
      <c r="AE39">
        <f>IF(DAY($B39)=AE$1,$K39,0)</f>
        <v>0</v>
      </c>
      <c r="AF39">
        <f>IF(DAY($B39)=AF$1,$K39,0)</f>
        <v>0</v>
      </c>
      <c r="AG39">
        <f>IF(DAY($B39)=AG$1,$K39,0)</f>
        <v>0</v>
      </c>
      <c r="AH39">
        <f>IF(DAY($B39)=AH$1,$K39,0)</f>
        <v>0</v>
      </c>
      <c r="AI39">
        <f>IF(DAY($B39)=AI$1,$K39,0)</f>
        <v>0</v>
      </c>
      <c r="AJ39">
        <f>IF(DAY($B39)=AJ$1,$K39,0)</f>
        <v>0</v>
      </c>
      <c r="AK39">
        <f>IF(DAY($B39)=AK$1,$K39,0)</f>
        <v>0</v>
      </c>
      <c r="AL39">
        <f>IF(DAY($B39)=AL$1,$K39,0)</f>
        <v>0</v>
      </c>
      <c r="AM39">
        <f>IF(DAY($B39)=AM$1,$K39,0)</f>
        <v>0</v>
      </c>
      <c r="AN39">
        <f>IF(DAY($B39)=AN$1,$K39,0)</f>
        <v>0</v>
      </c>
      <c r="AO39">
        <f>IF(DAY($B39)=AO$1,$K39,0)</f>
        <v>0</v>
      </c>
      <c r="AP39">
        <f>IF(DAY($B39)=AP$1,$K39,0)</f>
        <v>0</v>
      </c>
    </row>
    <row r="40" spans="1:42" x14ac:dyDescent="0.3">
      <c r="A40">
        <v>39</v>
      </c>
      <c r="B40" s="1">
        <v>44447</v>
      </c>
      <c r="C40" s="2">
        <v>0.41761574074074076</v>
      </c>
      <c r="D40" s="1">
        <v>44447</v>
      </c>
      <c r="E40" s="3">
        <v>0.52447916666666672</v>
      </c>
      <c r="F40">
        <v>14</v>
      </c>
      <c r="G40">
        <v>21</v>
      </c>
      <c r="H40" s="3">
        <f t="shared" si="1"/>
        <v>0.10686342592592596</v>
      </c>
      <c r="I40" s="3">
        <f t="shared" si="2"/>
        <v>0.10686342592592596</v>
      </c>
      <c r="J40" s="3">
        <f t="shared" si="3"/>
        <v>0</v>
      </c>
      <c r="K40">
        <f t="shared" si="0"/>
        <v>153.88333333333333</v>
      </c>
      <c r="M40">
        <f>IF(DAY(B40)=$M$1,K40,0)</f>
        <v>0</v>
      </c>
      <c r="N40">
        <f>IF(DAY($B40)=N$1,$K40,0)</f>
        <v>0</v>
      </c>
      <c r="O40">
        <f>IF(DAY($B40)=O$1,$K40,0)</f>
        <v>0</v>
      </c>
      <c r="P40">
        <f>IF(DAY($B40)=P$1,$K40,0)</f>
        <v>0</v>
      </c>
      <c r="Q40">
        <f>IF(DAY($B40)=Q$1,$K40,0)</f>
        <v>0</v>
      </c>
      <c r="R40">
        <f>IF(DAY($B40)=R$1,$K40,0)</f>
        <v>0</v>
      </c>
      <c r="S40">
        <f>IF(DAY($B40)=S$1,$K40,0)</f>
        <v>0</v>
      </c>
      <c r="T40">
        <f>IF(DAY($B40)=T$1,$K40,0)</f>
        <v>153.88333333333333</v>
      </c>
      <c r="U40">
        <f>IF(DAY($B40)=U$1,$K40,0)</f>
        <v>0</v>
      </c>
      <c r="V40">
        <f>IF(DAY($B40)=V$1,$K40,0)</f>
        <v>0</v>
      </c>
      <c r="W40">
        <f>IF(DAY($B40)=W$1,$K40,0)</f>
        <v>0</v>
      </c>
      <c r="X40">
        <f>IF(DAY($B40)=X$1,$K40,0)</f>
        <v>0</v>
      </c>
      <c r="Y40">
        <f>IF(DAY($B40)=Y$1,$K40,0)</f>
        <v>0</v>
      </c>
      <c r="Z40">
        <f>IF(DAY($B40)=Z$1,$K40,0)</f>
        <v>0</v>
      </c>
      <c r="AA40">
        <f>IF(DAY($B40)=AA$1,$K40,0)</f>
        <v>0</v>
      </c>
      <c r="AB40">
        <f>IF(DAY($B40)=AB$1,$K40,0)</f>
        <v>0</v>
      </c>
      <c r="AC40">
        <f>IF(DAY($B40)=AC$1,$K40,0)</f>
        <v>0</v>
      </c>
      <c r="AD40">
        <f>IF(DAY($B40)=AD$1,$K40,0)</f>
        <v>0</v>
      </c>
      <c r="AE40">
        <f>IF(DAY($B40)=AE$1,$K40,0)</f>
        <v>0</v>
      </c>
      <c r="AF40">
        <f>IF(DAY($B40)=AF$1,$K40,0)</f>
        <v>0</v>
      </c>
      <c r="AG40">
        <f>IF(DAY($B40)=AG$1,$K40,0)</f>
        <v>0</v>
      </c>
      <c r="AH40">
        <f>IF(DAY($B40)=AH$1,$K40,0)</f>
        <v>0</v>
      </c>
      <c r="AI40">
        <f>IF(DAY($B40)=AI$1,$K40,0)</f>
        <v>0</v>
      </c>
      <c r="AJ40">
        <f>IF(DAY($B40)=AJ$1,$K40,0)</f>
        <v>0</v>
      </c>
      <c r="AK40">
        <f>IF(DAY($B40)=AK$1,$K40,0)</f>
        <v>0</v>
      </c>
      <c r="AL40">
        <f>IF(DAY($B40)=AL$1,$K40,0)</f>
        <v>0</v>
      </c>
      <c r="AM40">
        <f>IF(DAY($B40)=AM$1,$K40,0)</f>
        <v>0</v>
      </c>
      <c r="AN40">
        <f>IF(DAY($B40)=AN$1,$K40,0)</f>
        <v>0</v>
      </c>
      <c r="AO40">
        <f>IF(DAY($B40)=AO$1,$K40,0)</f>
        <v>0</v>
      </c>
      <c r="AP40">
        <f>IF(DAY($B40)=AP$1,$K40,0)</f>
        <v>0</v>
      </c>
    </row>
    <row r="41" spans="1:42" x14ac:dyDescent="0.3">
      <c r="A41">
        <v>40</v>
      </c>
      <c r="B41" s="1">
        <v>44447</v>
      </c>
      <c r="C41" s="2">
        <v>0.59138888888888885</v>
      </c>
      <c r="D41" s="1">
        <v>44447</v>
      </c>
      <c r="E41" s="3">
        <v>0.68494212962962964</v>
      </c>
      <c r="F41">
        <v>16</v>
      </c>
      <c r="G41">
        <v>9</v>
      </c>
      <c r="H41" s="3">
        <f t="shared" si="1"/>
        <v>9.3553240740740784E-2</v>
      </c>
      <c r="I41" s="3">
        <f t="shared" si="2"/>
        <v>9.3553240740740784E-2</v>
      </c>
      <c r="J41" s="3">
        <f t="shared" si="3"/>
        <v>0</v>
      </c>
      <c r="K41">
        <f t="shared" si="0"/>
        <v>134.71666666666667</v>
      </c>
      <c r="M41">
        <f>IF(DAY(B41)=$M$1,K41,0)</f>
        <v>0</v>
      </c>
      <c r="N41">
        <f>IF(DAY($B41)=N$1,$K41,0)</f>
        <v>0</v>
      </c>
      <c r="O41">
        <f>IF(DAY($B41)=O$1,$K41,0)</f>
        <v>0</v>
      </c>
      <c r="P41">
        <f>IF(DAY($B41)=P$1,$K41,0)</f>
        <v>0</v>
      </c>
      <c r="Q41">
        <f>IF(DAY($B41)=Q$1,$K41,0)</f>
        <v>0</v>
      </c>
      <c r="R41">
        <f>IF(DAY($B41)=R$1,$K41,0)</f>
        <v>0</v>
      </c>
      <c r="S41">
        <f>IF(DAY($B41)=S$1,$K41,0)</f>
        <v>0</v>
      </c>
      <c r="T41">
        <f>IF(DAY($B41)=T$1,$K41,0)</f>
        <v>134.71666666666667</v>
      </c>
      <c r="U41">
        <f>IF(DAY($B41)=U$1,$K41,0)</f>
        <v>0</v>
      </c>
      <c r="V41">
        <f>IF(DAY($B41)=V$1,$K41,0)</f>
        <v>0</v>
      </c>
      <c r="W41">
        <f>IF(DAY($B41)=W$1,$K41,0)</f>
        <v>0</v>
      </c>
      <c r="X41">
        <f>IF(DAY($B41)=X$1,$K41,0)</f>
        <v>0</v>
      </c>
      <c r="Y41">
        <f>IF(DAY($B41)=Y$1,$K41,0)</f>
        <v>0</v>
      </c>
      <c r="Z41">
        <f>IF(DAY($B41)=Z$1,$K41,0)</f>
        <v>0</v>
      </c>
      <c r="AA41">
        <f>IF(DAY($B41)=AA$1,$K41,0)</f>
        <v>0</v>
      </c>
      <c r="AB41">
        <f>IF(DAY($B41)=AB$1,$K41,0)</f>
        <v>0</v>
      </c>
      <c r="AC41">
        <f>IF(DAY($B41)=AC$1,$K41,0)</f>
        <v>0</v>
      </c>
      <c r="AD41">
        <f>IF(DAY($B41)=AD$1,$K41,0)</f>
        <v>0</v>
      </c>
      <c r="AE41">
        <f>IF(DAY($B41)=AE$1,$K41,0)</f>
        <v>0</v>
      </c>
      <c r="AF41">
        <f>IF(DAY($B41)=AF$1,$K41,0)</f>
        <v>0</v>
      </c>
      <c r="AG41">
        <f>IF(DAY($B41)=AG$1,$K41,0)</f>
        <v>0</v>
      </c>
      <c r="AH41">
        <f>IF(DAY($B41)=AH$1,$K41,0)</f>
        <v>0</v>
      </c>
      <c r="AI41">
        <f>IF(DAY($B41)=AI$1,$K41,0)</f>
        <v>0</v>
      </c>
      <c r="AJ41">
        <f>IF(DAY($B41)=AJ$1,$K41,0)</f>
        <v>0</v>
      </c>
      <c r="AK41">
        <f>IF(DAY($B41)=AK$1,$K41,0)</f>
        <v>0</v>
      </c>
      <c r="AL41">
        <f>IF(DAY($B41)=AL$1,$K41,0)</f>
        <v>0</v>
      </c>
      <c r="AM41">
        <f>IF(DAY($B41)=AM$1,$K41,0)</f>
        <v>0</v>
      </c>
      <c r="AN41">
        <f>IF(DAY($B41)=AN$1,$K41,0)</f>
        <v>0</v>
      </c>
      <c r="AO41">
        <f>IF(DAY($B41)=AO$1,$K41,0)</f>
        <v>0</v>
      </c>
      <c r="AP41">
        <f>IF(DAY($B41)=AP$1,$K41,0)</f>
        <v>0</v>
      </c>
    </row>
    <row r="42" spans="1:42" x14ac:dyDescent="0.3">
      <c r="A42">
        <v>41</v>
      </c>
      <c r="B42" s="1">
        <v>44447</v>
      </c>
      <c r="C42" s="2">
        <v>0.7338541666666667</v>
      </c>
      <c r="D42" s="1">
        <v>44447</v>
      </c>
      <c r="E42" s="3">
        <v>0.77248842592592604</v>
      </c>
      <c r="F42">
        <v>12</v>
      </c>
      <c r="G42">
        <v>24</v>
      </c>
      <c r="H42" s="3">
        <f t="shared" si="1"/>
        <v>3.863425925925934E-2</v>
      </c>
      <c r="I42" s="3">
        <f t="shared" si="2"/>
        <v>3.863425925925934E-2</v>
      </c>
      <c r="J42" s="3">
        <f t="shared" si="3"/>
        <v>0</v>
      </c>
      <c r="K42">
        <f t="shared" si="0"/>
        <v>55.633333333333333</v>
      </c>
      <c r="M42">
        <f>IF(DAY(B42)=$M$1,K42,0)</f>
        <v>0</v>
      </c>
      <c r="N42">
        <f>IF(DAY($B42)=N$1,$K42,0)</f>
        <v>0</v>
      </c>
      <c r="O42">
        <f>IF(DAY($B42)=O$1,$K42,0)</f>
        <v>0</v>
      </c>
      <c r="P42">
        <f>IF(DAY($B42)=P$1,$K42,0)</f>
        <v>0</v>
      </c>
      <c r="Q42">
        <f>IF(DAY($B42)=Q$1,$K42,0)</f>
        <v>0</v>
      </c>
      <c r="R42">
        <f>IF(DAY($B42)=R$1,$K42,0)</f>
        <v>0</v>
      </c>
      <c r="S42">
        <f>IF(DAY($B42)=S$1,$K42,0)</f>
        <v>0</v>
      </c>
      <c r="T42">
        <f>IF(DAY($B42)=T$1,$K42,0)</f>
        <v>55.633333333333333</v>
      </c>
      <c r="U42">
        <f>IF(DAY($B42)=U$1,$K42,0)</f>
        <v>0</v>
      </c>
      <c r="V42">
        <f>IF(DAY($B42)=V$1,$K42,0)</f>
        <v>0</v>
      </c>
      <c r="W42">
        <f>IF(DAY($B42)=W$1,$K42,0)</f>
        <v>0</v>
      </c>
      <c r="X42">
        <f>IF(DAY($B42)=X$1,$K42,0)</f>
        <v>0</v>
      </c>
      <c r="Y42">
        <f>IF(DAY($B42)=Y$1,$K42,0)</f>
        <v>0</v>
      </c>
      <c r="Z42">
        <f>IF(DAY($B42)=Z$1,$K42,0)</f>
        <v>0</v>
      </c>
      <c r="AA42">
        <f>IF(DAY($B42)=AA$1,$K42,0)</f>
        <v>0</v>
      </c>
      <c r="AB42">
        <f>IF(DAY($B42)=AB$1,$K42,0)</f>
        <v>0</v>
      </c>
      <c r="AC42">
        <f>IF(DAY($B42)=AC$1,$K42,0)</f>
        <v>0</v>
      </c>
      <c r="AD42">
        <f>IF(DAY($B42)=AD$1,$K42,0)</f>
        <v>0</v>
      </c>
      <c r="AE42">
        <f>IF(DAY($B42)=AE$1,$K42,0)</f>
        <v>0</v>
      </c>
      <c r="AF42">
        <f>IF(DAY($B42)=AF$1,$K42,0)</f>
        <v>0</v>
      </c>
      <c r="AG42">
        <f>IF(DAY($B42)=AG$1,$K42,0)</f>
        <v>0</v>
      </c>
      <c r="AH42">
        <f>IF(DAY($B42)=AH$1,$K42,0)</f>
        <v>0</v>
      </c>
      <c r="AI42">
        <f>IF(DAY($B42)=AI$1,$K42,0)</f>
        <v>0</v>
      </c>
      <c r="AJ42">
        <f>IF(DAY($B42)=AJ$1,$K42,0)</f>
        <v>0</v>
      </c>
      <c r="AK42">
        <f>IF(DAY($B42)=AK$1,$K42,0)</f>
        <v>0</v>
      </c>
      <c r="AL42">
        <f>IF(DAY($B42)=AL$1,$K42,0)</f>
        <v>0</v>
      </c>
      <c r="AM42">
        <f>IF(DAY($B42)=AM$1,$K42,0)</f>
        <v>0</v>
      </c>
      <c r="AN42">
        <f>IF(DAY($B42)=AN$1,$K42,0)</f>
        <v>0</v>
      </c>
      <c r="AO42">
        <f>IF(DAY($B42)=AO$1,$K42,0)</f>
        <v>0</v>
      </c>
      <c r="AP42">
        <f>IF(DAY($B42)=AP$1,$K42,0)</f>
        <v>0</v>
      </c>
    </row>
    <row r="43" spans="1:42" x14ac:dyDescent="0.3">
      <c r="A43">
        <v>42</v>
      </c>
      <c r="B43" s="1">
        <v>44447</v>
      </c>
      <c r="C43" s="2">
        <v>0.83333333333333337</v>
      </c>
      <c r="D43" s="1">
        <v>44447</v>
      </c>
      <c r="E43" s="3">
        <v>0.89694444444444443</v>
      </c>
      <c r="F43">
        <v>9</v>
      </c>
      <c r="G43">
        <v>2</v>
      </c>
      <c r="H43" s="3">
        <f t="shared" si="1"/>
        <v>6.3611111111111063E-2</v>
      </c>
      <c r="I43" s="3">
        <f t="shared" si="2"/>
        <v>6.3611111111111063E-2</v>
      </c>
      <c r="J43" s="3">
        <f t="shared" si="3"/>
        <v>0</v>
      </c>
      <c r="K43">
        <f t="shared" si="0"/>
        <v>91.6</v>
      </c>
      <c r="M43">
        <f>IF(DAY(B43)=$M$1,K43,0)</f>
        <v>0</v>
      </c>
      <c r="N43">
        <f>IF(DAY($B43)=N$1,$K43,0)</f>
        <v>0</v>
      </c>
      <c r="O43">
        <f>IF(DAY($B43)=O$1,$K43,0)</f>
        <v>0</v>
      </c>
      <c r="P43">
        <f>IF(DAY($B43)=P$1,$K43,0)</f>
        <v>0</v>
      </c>
      <c r="Q43">
        <f>IF(DAY($B43)=Q$1,$K43,0)</f>
        <v>0</v>
      </c>
      <c r="R43">
        <f>IF(DAY($B43)=R$1,$K43,0)</f>
        <v>0</v>
      </c>
      <c r="S43">
        <f>IF(DAY($B43)=S$1,$K43,0)</f>
        <v>0</v>
      </c>
      <c r="T43">
        <f>IF(DAY($B43)=T$1,$K43,0)</f>
        <v>91.6</v>
      </c>
      <c r="U43">
        <f>IF(DAY($B43)=U$1,$K43,0)</f>
        <v>0</v>
      </c>
      <c r="V43">
        <f>IF(DAY($B43)=V$1,$K43,0)</f>
        <v>0</v>
      </c>
      <c r="W43">
        <f>IF(DAY($B43)=W$1,$K43,0)</f>
        <v>0</v>
      </c>
      <c r="X43">
        <f>IF(DAY($B43)=X$1,$K43,0)</f>
        <v>0</v>
      </c>
      <c r="Y43">
        <f>IF(DAY($B43)=Y$1,$K43,0)</f>
        <v>0</v>
      </c>
      <c r="Z43">
        <f>IF(DAY($B43)=Z$1,$K43,0)</f>
        <v>0</v>
      </c>
      <c r="AA43">
        <f>IF(DAY($B43)=AA$1,$K43,0)</f>
        <v>0</v>
      </c>
      <c r="AB43">
        <f>IF(DAY($B43)=AB$1,$K43,0)</f>
        <v>0</v>
      </c>
      <c r="AC43">
        <f>IF(DAY($B43)=AC$1,$K43,0)</f>
        <v>0</v>
      </c>
      <c r="AD43">
        <f>IF(DAY($B43)=AD$1,$K43,0)</f>
        <v>0</v>
      </c>
      <c r="AE43">
        <f>IF(DAY($B43)=AE$1,$K43,0)</f>
        <v>0</v>
      </c>
      <c r="AF43">
        <f>IF(DAY($B43)=AF$1,$K43,0)</f>
        <v>0</v>
      </c>
      <c r="AG43">
        <f>IF(DAY($B43)=AG$1,$K43,0)</f>
        <v>0</v>
      </c>
      <c r="AH43">
        <f>IF(DAY($B43)=AH$1,$K43,0)</f>
        <v>0</v>
      </c>
      <c r="AI43">
        <f>IF(DAY($B43)=AI$1,$K43,0)</f>
        <v>0</v>
      </c>
      <c r="AJ43">
        <f>IF(DAY($B43)=AJ$1,$K43,0)</f>
        <v>0</v>
      </c>
      <c r="AK43">
        <f>IF(DAY($B43)=AK$1,$K43,0)</f>
        <v>0</v>
      </c>
      <c r="AL43">
        <f>IF(DAY($B43)=AL$1,$K43,0)</f>
        <v>0</v>
      </c>
      <c r="AM43">
        <f>IF(DAY($B43)=AM$1,$K43,0)</f>
        <v>0</v>
      </c>
      <c r="AN43">
        <f>IF(DAY($B43)=AN$1,$K43,0)</f>
        <v>0</v>
      </c>
      <c r="AO43">
        <f>IF(DAY($B43)=AO$1,$K43,0)</f>
        <v>0</v>
      </c>
      <c r="AP43">
        <f>IF(DAY($B43)=AP$1,$K43,0)</f>
        <v>0</v>
      </c>
    </row>
    <row r="44" spans="1:42" x14ac:dyDescent="0.3">
      <c r="A44">
        <v>43</v>
      </c>
      <c r="B44" s="1">
        <v>44448</v>
      </c>
      <c r="C44" s="2">
        <v>0.25793981481481482</v>
      </c>
      <c r="D44" s="1">
        <v>44448</v>
      </c>
      <c r="E44" s="3">
        <v>0.32356481481481481</v>
      </c>
      <c r="F44">
        <v>9</v>
      </c>
      <c r="G44">
        <v>4</v>
      </c>
      <c r="H44" s="3">
        <f t="shared" si="1"/>
        <v>6.5624999999999989E-2</v>
      </c>
      <c r="I44" s="3">
        <f t="shared" si="2"/>
        <v>6.5624999999999989E-2</v>
      </c>
      <c r="J44" s="3">
        <f t="shared" si="3"/>
        <v>0</v>
      </c>
      <c r="K44">
        <f t="shared" si="0"/>
        <v>94.5</v>
      </c>
      <c r="M44">
        <f>IF(DAY(B44)=$M$1,K44,0)</f>
        <v>0</v>
      </c>
      <c r="N44">
        <f>IF(DAY($B44)=N$1,$K44,0)</f>
        <v>0</v>
      </c>
      <c r="O44">
        <f>IF(DAY($B44)=O$1,$K44,0)</f>
        <v>0</v>
      </c>
      <c r="P44">
        <f>IF(DAY($B44)=P$1,$K44,0)</f>
        <v>0</v>
      </c>
      <c r="Q44">
        <f>IF(DAY($B44)=Q$1,$K44,0)</f>
        <v>0</v>
      </c>
      <c r="R44">
        <f>IF(DAY($B44)=R$1,$K44,0)</f>
        <v>0</v>
      </c>
      <c r="S44">
        <f>IF(DAY($B44)=S$1,$K44,0)</f>
        <v>0</v>
      </c>
      <c r="T44">
        <f>IF(DAY($B44)=T$1,$K44,0)</f>
        <v>0</v>
      </c>
      <c r="U44">
        <f>IF(DAY($B44)=U$1,$K44,0)</f>
        <v>94.5</v>
      </c>
      <c r="V44">
        <f>IF(DAY($B44)=V$1,$K44,0)</f>
        <v>0</v>
      </c>
      <c r="W44">
        <f>IF(DAY($B44)=W$1,$K44,0)</f>
        <v>0</v>
      </c>
      <c r="X44">
        <f>IF(DAY($B44)=X$1,$K44,0)</f>
        <v>0</v>
      </c>
      <c r="Y44">
        <f>IF(DAY($B44)=Y$1,$K44,0)</f>
        <v>0</v>
      </c>
      <c r="Z44">
        <f>IF(DAY($B44)=Z$1,$K44,0)</f>
        <v>0</v>
      </c>
      <c r="AA44">
        <f>IF(DAY($B44)=AA$1,$K44,0)</f>
        <v>0</v>
      </c>
      <c r="AB44">
        <f>IF(DAY($B44)=AB$1,$K44,0)</f>
        <v>0</v>
      </c>
      <c r="AC44">
        <f>IF(DAY($B44)=AC$1,$K44,0)</f>
        <v>0</v>
      </c>
      <c r="AD44">
        <f>IF(DAY($B44)=AD$1,$K44,0)</f>
        <v>0</v>
      </c>
      <c r="AE44">
        <f>IF(DAY($B44)=AE$1,$K44,0)</f>
        <v>0</v>
      </c>
      <c r="AF44">
        <f>IF(DAY($B44)=AF$1,$K44,0)</f>
        <v>0</v>
      </c>
      <c r="AG44">
        <f>IF(DAY($B44)=AG$1,$K44,0)</f>
        <v>0</v>
      </c>
      <c r="AH44">
        <f>IF(DAY($B44)=AH$1,$K44,0)</f>
        <v>0</v>
      </c>
      <c r="AI44">
        <f>IF(DAY($B44)=AI$1,$K44,0)</f>
        <v>0</v>
      </c>
      <c r="AJ44">
        <f>IF(DAY($B44)=AJ$1,$K44,0)</f>
        <v>0</v>
      </c>
      <c r="AK44">
        <f>IF(DAY($B44)=AK$1,$K44,0)</f>
        <v>0</v>
      </c>
      <c r="AL44">
        <f>IF(DAY($B44)=AL$1,$K44,0)</f>
        <v>0</v>
      </c>
      <c r="AM44">
        <f>IF(DAY($B44)=AM$1,$K44,0)</f>
        <v>0</v>
      </c>
      <c r="AN44">
        <f>IF(DAY($B44)=AN$1,$K44,0)</f>
        <v>0</v>
      </c>
      <c r="AO44">
        <f>IF(DAY($B44)=AO$1,$K44,0)</f>
        <v>0</v>
      </c>
      <c r="AP44">
        <f>IF(DAY($B44)=AP$1,$K44,0)</f>
        <v>0</v>
      </c>
    </row>
    <row r="45" spans="1:42" x14ac:dyDescent="0.3">
      <c r="A45">
        <v>44</v>
      </c>
      <c r="B45" s="1">
        <v>44448</v>
      </c>
      <c r="C45" s="2">
        <v>0.41349537037037037</v>
      </c>
      <c r="D45" s="1">
        <v>44448</v>
      </c>
      <c r="E45" s="3">
        <v>0.45501157407407411</v>
      </c>
      <c r="F45">
        <v>9</v>
      </c>
      <c r="G45">
        <v>14</v>
      </c>
      <c r="H45" s="3">
        <f t="shared" si="1"/>
        <v>4.1516203703703736E-2</v>
      </c>
      <c r="I45" s="3">
        <f t="shared" si="2"/>
        <v>4.1516203703703736E-2</v>
      </c>
      <c r="J45" s="3">
        <f t="shared" si="3"/>
        <v>0</v>
      </c>
      <c r="K45">
        <f t="shared" si="0"/>
        <v>59.783333333333331</v>
      </c>
      <c r="M45">
        <f>IF(DAY(B45)=$M$1,K45,0)</f>
        <v>0</v>
      </c>
      <c r="N45">
        <f>IF(DAY($B45)=N$1,$K45,0)</f>
        <v>0</v>
      </c>
      <c r="O45">
        <f>IF(DAY($B45)=O$1,$K45,0)</f>
        <v>0</v>
      </c>
      <c r="P45">
        <f>IF(DAY($B45)=P$1,$K45,0)</f>
        <v>0</v>
      </c>
      <c r="Q45">
        <f>IF(DAY($B45)=Q$1,$K45,0)</f>
        <v>0</v>
      </c>
      <c r="R45">
        <f>IF(DAY($B45)=R$1,$K45,0)</f>
        <v>0</v>
      </c>
      <c r="S45">
        <f>IF(DAY($B45)=S$1,$K45,0)</f>
        <v>0</v>
      </c>
      <c r="T45">
        <f>IF(DAY($B45)=T$1,$K45,0)</f>
        <v>0</v>
      </c>
      <c r="U45">
        <f>IF(DAY($B45)=U$1,$K45,0)</f>
        <v>59.783333333333331</v>
      </c>
      <c r="V45">
        <f>IF(DAY($B45)=V$1,$K45,0)</f>
        <v>0</v>
      </c>
      <c r="W45">
        <f>IF(DAY($B45)=W$1,$K45,0)</f>
        <v>0</v>
      </c>
      <c r="X45">
        <f>IF(DAY($B45)=X$1,$K45,0)</f>
        <v>0</v>
      </c>
      <c r="Y45">
        <f>IF(DAY($B45)=Y$1,$K45,0)</f>
        <v>0</v>
      </c>
      <c r="Z45">
        <f>IF(DAY($B45)=Z$1,$K45,0)</f>
        <v>0</v>
      </c>
      <c r="AA45">
        <f>IF(DAY($B45)=AA$1,$K45,0)</f>
        <v>0</v>
      </c>
      <c r="AB45">
        <f>IF(DAY($B45)=AB$1,$K45,0)</f>
        <v>0</v>
      </c>
      <c r="AC45">
        <f>IF(DAY($B45)=AC$1,$K45,0)</f>
        <v>0</v>
      </c>
      <c r="AD45">
        <f>IF(DAY($B45)=AD$1,$K45,0)</f>
        <v>0</v>
      </c>
      <c r="AE45">
        <f>IF(DAY($B45)=AE$1,$K45,0)</f>
        <v>0</v>
      </c>
      <c r="AF45">
        <f>IF(DAY($B45)=AF$1,$K45,0)</f>
        <v>0</v>
      </c>
      <c r="AG45">
        <f>IF(DAY($B45)=AG$1,$K45,0)</f>
        <v>0</v>
      </c>
      <c r="AH45">
        <f>IF(DAY($B45)=AH$1,$K45,0)</f>
        <v>0</v>
      </c>
      <c r="AI45">
        <f>IF(DAY($B45)=AI$1,$K45,0)</f>
        <v>0</v>
      </c>
      <c r="AJ45">
        <f>IF(DAY($B45)=AJ$1,$K45,0)</f>
        <v>0</v>
      </c>
      <c r="AK45">
        <f>IF(DAY($B45)=AK$1,$K45,0)</f>
        <v>0</v>
      </c>
      <c r="AL45">
        <f>IF(DAY($B45)=AL$1,$K45,0)</f>
        <v>0</v>
      </c>
      <c r="AM45">
        <f>IF(DAY($B45)=AM$1,$K45,0)</f>
        <v>0</v>
      </c>
      <c r="AN45">
        <f>IF(DAY($B45)=AN$1,$K45,0)</f>
        <v>0</v>
      </c>
      <c r="AO45">
        <f>IF(DAY($B45)=AO$1,$K45,0)</f>
        <v>0</v>
      </c>
      <c r="AP45">
        <f>IF(DAY($B45)=AP$1,$K45,0)</f>
        <v>0</v>
      </c>
    </row>
    <row r="46" spans="1:42" x14ac:dyDescent="0.3">
      <c r="A46">
        <v>45</v>
      </c>
      <c r="B46" s="1">
        <v>44448</v>
      </c>
      <c r="C46" s="2">
        <v>0.50607638888888895</v>
      </c>
      <c r="D46" s="1">
        <v>44448</v>
      </c>
      <c r="E46" s="3">
        <v>0.59107638888888892</v>
      </c>
      <c r="F46">
        <v>12</v>
      </c>
      <c r="G46">
        <v>10</v>
      </c>
      <c r="H46" s="3">
        <f t="shared" si="1"/>
        <v>8.4999999999999964E-2</v>
      </c>
      <c r="I46" s="3">
        <f t="shared" si="2"/>
        <v>8.4999999999999964E-2</v>
      </c>
      <c r="J46" s="3">
        <f t="shared" si="3"/>
        <v>0</v>
      </c>
      <c r="K46">
        <f t="shared" si="0"/>
        <v>122.4</v>
      </c>
      <c r="M46">
        <f>IF(DAY(B46)=$M$1,K46,0)</f>
        <v>0</v>
      </c>
      <c r="N46">
        <f>IF(DAY($B46)=N$1,$K46,0)</f>
        <v>0</v>
      </c>
      <c r="O46">
        <f>IF(DAY($B46)=O$1,$K46,0)</f>
        <v>0</v>
      </c>
      <c r="P46">
        <f>IF(DAY($B46)=P$1,$K46,0)</f>
        <v>0</v>
      </c>
      <c r="Q46">
        <f>IF(DAY($B46)=Q$1,$K46,0)</f>
        <v>0</v>
      </c>
      <c r="R46">
        <f>IF(DAY($B46)=R$1,$K46,0)</f>
        <v>0</v>
      </c>
      <c r="S46">
        <f>IF(DAY($B46)=S$1,$K46,0)</f>
        <v>0</v>
      </c>
      <c r="T46">
        <f>IF(DAY($B46)=T$1,$K46,0)</f>
        <v>0</v>
      </c>
      <c r="U46">
        <f>IF(DAY($B46)=U$1,$K46,0)</f>
        <v>122.4</v>
      </c>
      <c r="V46">
        <f>IF(DAY($B46)=V$1,$K46,0)</f>
        <v>0</v>
      </c>
      <c r="W46">
        <f>IF(DAY($B46)=W$1,$K46,0)</f>
        <v>0</v>
      </c>
      <c r="X46">
        <f>IF(DAY($B46)=X$1,$K46,0)</f>
        <v>0</v>
      </c>
      <c r="Y46">
        <f>IF(DAY($B46)=Y$1,$K46,0)</f>
        <v>0</v>
      </c>
      <c r="Z46">
        <f>IF(DAY($B46)=Z$1,$K46,0)</f>
        <v>0</v>
      </c>
      <c r="AA46">
        <f>IF(DAY($B46)=AA$1,$K46,0)</f>
        <v>0</v>
      </c>
      <c r="AB46">
        <f>IF(DAY($B46)=AB$1,$K46,0)</f>
        <v>0</v>
      </c>
      <c r="AC46">
        <f>IF(DAY($B46)=AC$1,$K46,0)</f>
        <v>0</v>
      </c>
      <c r="AD46">
        <f>IF(DAY($B46)=AD$1,$K46,0)</f>
        <v>0</v>
      </c>
      <c r="AE46">
        <f>IF(DAY($B46)=AE$1,$K46,0)</f>
        <v>0</v>
      </c>
      <c r="AF46">
        <f>IF(DAY($B46)=AF$1,$K46,0)</f>
        <v>0</v>
      </c>
      <c r="AG46">
        <f>IF(DAY($B46)=AG$1,$K46,0)</f>
        <v>0</v>
      </c>
      <c r="AH46">
        <f>IF(DAY($B46)=AH$1,$K46,0)</f>
        <v>0</v>
      </c>
      <c r="AI46">
        <f>IF(DAY($B46)=AI$1,$K46,0)</f>
        <v>0</v>
      </c>
      <c r="AJ46">
        <f>IF(DAY($B46)=AJ$1,$K46,0)</f>
        <v>0</v>
      </c>
      <c r="AK46">
        <f>IF(DAY($B46)=AK$1,$K46,0)</f>
        <v>0</v>
      </c>
      <c r="AL46">
        <f>IF(DAY($B46)=AL$1,$K46,0)</f>
        <v>0</v>
      </c>
      <c r="AM46">
        <f>IF(DAY($B46)=AM$1,$K46,0)</f>
        <v>0</v>
      </c>
      <c r="AN46">
        <f>IF(DAY($B46)=AN$1,$K46,0)</f>
        <v>0</v>
      </c>
      <c r="AO46">
        <f>IF(DAY($B46)=AO$1,$K46,0)</f>
        <v>0</v>
      </c>
      <c r="AP46">
        <f>IF(DAY($B46)=AP$1,$K46,0)</f>
        <v>0</v>
      </c>
    </row>
    <row r="47" spans="1:42" x14ac:dyDescent="0.3">
      <c r="A47">
        <v>46</v>
      </c>
      <c r="B47" s="1">
        <v>44448</v>
      </c>
      <c r="C47" s="2">
        <v>0.68482638888888892</v>
      </c>
      <c r="D47" s="1">
        <v>44448</v>
      </c>
      <c r="E47" s="3">
        <v>0.77111111111111119</v>
      </c>
      <c r="F47">
        <v>16</v>
      </c>
      <c r="G47">
        <v>11</v>
      </c>
      <c r="H47" s="3">
        <f t="shared" si="1"/>
        <v>8.6284722222222276E-2</v>
      </c>
      <c r="I47" s="3">
        <f t="shared" si="2"/>
        <v>8.6284722222222276E-2</v>
      </c>
      <c r="J47" s="3">
        <f t="shared" si="3"/>
        <v>0</v>
      </c>
      <c r="K47">
        <f t="shared" si="0"/>
        <v>124.25</v>
      </c>
      <c r="M47">
        <f>IF(DAY(B47)=$M$1,K47,0)</f>
        <v>0</v>
      </c>
      <c r="N47">
        <f>IF(DAY($B47)=N$1,$K47,0)</f>
        <v>0</v>
      </c>
      <c r="O47">
        <f>IF(DAY($B47)=O$1,$K47,0)</f>
        <v>0</v>
      </c>
      <c r="P47">
        <f>IF(DAY($B47)=P$1,$K47,0)</f>
        <v>0</v>
      </c>
      <c r="Q47">
        <f>IF(DAY($B47)=Q$1,$K47,0)</f>
        <v>0</v>
      </c>
      <c r="R47">
        <f>IF(DAY($B47)=R$1,$K47,0)</f>
        <v>0</v>
      </c>
      <c r="S47">
        <f>IF(DAY($B47)=S$1,$K47,0)</f>
        <v>0</v>
      </c>
      <c r="T47">
        <f>IF(DAY($B47)=T$1,$K47,0)</f>
        <v>0</v>
      </c>
      <c r="U47">
        <f>IF(DAY($B47)=U$1,$K47,0)</f>
        <v>124.25</v>
      </c>
      <c r="V47">
        <f>IF(DAY($B47)=V$1,$K47,0)</f>
        <v>0</v>
      </c>
      <c r="W47">
        <f>IF(DAY($B47)=W$1,$K47,0)</f>
        <v>0</v>
      </c>
      <c r="X47">
        <f>IF(DAY($B47)=X$1,$K47,0)</f>
        <v>0</v>
      </c>
      <c r="Y47">
        <f>IF(DAY($B47)=Y$1,$K47,0)</f>
        <v>0</v>
      </c>
      <c r="Z47">
        <f>IF(DAY($B47)=Z$1,$K47,0)</f>
        <v>0</v>
      </c>
      <c r="AA47">
        <f>IF(DAY($B47)=AA$1,$K47,0)</f>
        <v>0</v>
      </c>
      <c r="AB47">
        <f>IF(DAY($B47)=AB$1,$K47,0)</f>
        <v>0</v>
      </c>
      <c r="AC47">
        <f>IF(DAY($B47)=AC$1,$K47,0)</f>
        <v>0</v>
      </c>
      <c r="AD47">
        <f>IF(DAY($B47)=AD$1,$K47,0)</f>
        <v>0</v>
      </c>
      <c r="AE47">
        <f>IF(DAY($B47)=AE$1,$K47,0)</f>
        <v>0</v>
      </c>
      <c r="AF47">
        <f>IF(DAY($B47)=AF$1,$K47,0)</f>
        <v>0</v>
      </c>
      <c r="AG47">
        <f>IF(DAY($B47)=AG$1,$K47,0)</f>
        <v>0</v>
      </c>
      <c r="AH47">
        <f>IF(DAY($B47)=AH$1,$K47,0)</f>
        <v>0</v>
      </c>
      <c r="AI47">
        <f>IF(DAY($B47)=AI$1,$K47,0)</f>
        <v>0</v>
      </c>
      <c r="AJ47">
        <f>IF(DAY($B47)=AJ$1,$K47,0)</f>
        <v>0</v>
      </c>
      <c r="AK47">
        <f>IF(DAY($B47)=AK$1,$K47,0)</f>
        <v>0</v>
      </c>
      <c r="AL47">
        <f>IF(DAY($B47)=AL$1,$K47,0)</f>
        <v>0</v>
      </c>
      <c r="AM47">
        <f>IF(DAY($B47)=AM$1,$K47,0)</f>
        <v>0</v>
      </c>
      <c r="AN47">
        <f>IF(DAY($B47)=AN$1,$K47,0)</f>
        <v>0</v>
      </c>
      <c r="AO47">
        <f>IF(DAY($B47)=AO$1,$K47,0)</f>
        <v>0</v>
      </c>
      <c r="AP47">
        <f>IF(DAY($B47)=AP$1,$K47,0)</f>
        <v>0</v>
      </c>
    </row>
    <row r="48" spans="1:42" x14ac:dyDescent="0.3">
      <c r="A48">
        <v>47</v>
      </c>
      <c r="B48" s="1">
        <v>44448</v>
      </c>
      <c r="C48" s="2">
        <v>0.85435185185185192</v>
      </c>
      <c r="D48" s="1">
        <v>44448</v>
      </c>
      <c r="E48" s="3">
        <v>0.89</v>
      </c>
      <c r="F48">
        <v>13</v>
      </c>
      <c r="G48">
        <v>21</v>
      </c>
      <c r="H48" s="3">
        <f t="shared" si="1"/>
        <v>3.5648148148148096E-2</v>
      </c>
      <c r="I48" s="3">
        <f t="shared" si="2"/>
        <v>3.5648148148148096E-2</v>
      </c>
      <c r="J48" s="3">
        <f t="shared" si="3"/>
        <v>0</v>
      </c>
      <c r="K48">
        <f t="shared" si="0"/>
        <v>51.333333333333336</v>
      </c>
      <c r="M48">
        <f>IF(DAY(B48)=$M$1,K48,0)</f>
        <v>0</v>
      </c>
      <c r="N48">
        <f>IF(DAY($B48)=N$1,$K48,0)</f>
        <v>0</v>
      </c>
      <c r="O48">
        <f>IF(DAY($B48)=O$1,$K48,0)</f>
        <v>0</v>
      </c>
      <c r="P48">
        <f>IF(DAY($B48)=P$1,$K48,0)</f>
        <v>0</v>
      </c>
      <c r="Q48">
        <f>IF(DAY($B48)=Q$1,$K48,0)</f>
        <v>0</v>
      </c>
      <c r="R48">
        <f>IF(DAY($B48)=R$1,$K48,0)</f>
        <v>0</v>
      </c>
      <c r="S48">
        <f>IF(DAY($B48)=S$1,$K48,0)</f>
        <v>0</v>
      </c>
      <c r="T48">
        <f>IF(DAY($B48)=T$1,$K48,0)</f>
        <v>0</v>
      </c>
      <c r="U48">
        <f>IF(DAY($B48)=U$1,$K48,0)</f>
        <v>51.333333333333336</v>
      </c>
      <c r="V48">
        <f>IF(DAY($B48)=V$1,$K48,0)</f>
        <v>0</v>
      </c>
      <c r="W48">
        <f>IF(DAY($B48)=W$1,$K48,0)</f>
        <v>0</v>
      </c>
      <c r="X48">
        <f>IF(DAY($B48)=X$1,$K48,0)</f>
        <v>0</v>
      </c>
      <c r="Y48">
        <f>IF(DAY($B48)=Y$1,$K48,0)</f>
        <v>0</v>
      </c>
      <c r="Z48">
        <f>IF(DAY($B48)=Z$1,$K48,0)</f>
        <v>0</v>
      </c>
      <c r="AA48">
        <f>IF(DAY($B48)=AA$1,$K48,0)</f>
        <v>0</v>
      </c>
      <c r="AB48">
        <f>IF(DAY($B48)=AB$1,$K48,0)</f>
        <v>0</v>
      </c>
      <c r="AC48">
        <f>IF(DAY($B48)=AC$1,$K48,0)</f>
        <v>0</v>
      </c>
      <c r="AD48">
        <f>IF(DAY($B48)=AD$1,$K48,0)</f>
        <v>0</v>
      </c>
      <c r="AE48">
        <f>IF(DAY($B48)=AE$1,$K48,0)</f>
        <v>0</v>
      </c>
      <c r="AF48">
        <f>IF(DAY($B48)=AF$1,$K48,0)</f>
        <v>0</v>
      </c>
      <c r="AG48">
        <f>IF(DAY($B48)=AG$1,$K48,0)</f>
        <v>0</v>
      </c>
      <c r="AH48">
        <f>IF(DAY($B48)=AH$1,$K48,0)</f>
        <v>0</v>
      </c>
      <c r="AI48">
        <f>IF(DAY($B48)=AI$1,$K48,0)</f>
        <v>0</v>
      </c>
      <c r="AJ48">
        <f>IF(DAY($B48)=AJ$1,$K48,0)</f>
        <v>0</v>
      </c>
      <c r="AK48">
        <f>IF(DAY($B48)=AK$1,$K48,0)</f>
        <v>0</v>
      </c>
      <c r="AL48">
        <f>IF(DAY($B48)=AL$1,$K48,0)</f>
        <v>0</v>
      </c>
      <c r="AM48">
        <f>IF(DAY($B48)=AM$1,$K48,0)</f>
        <v>0</v>
      </c>
      <c r="AN48">
        <f>IF(DAY($B48)=AN$1,$K48,0)</f>
        <v>0</v>
      </c>
      <c r="AO48">
        <f>IF(DAY($B48)=AO$1,$K48,0)</f>
        <v>0</v>
      </c>
      <c r="AP48">
        <f>IF(DAY($B48)=AP$1,$K48,0)</f>
        <v>0</v>
      </c>
    </row>
    <row r="49" spans="1:42" x14ac:dyDescent="0.3">
      <c r="A49">
        <v>48</v>
      </c>
      <c r="B49" s="1">
        <v>44449</v>
      </c>
      <c r="C49" s="2">
        <v>0.21634259259259259</v>
      </c>
      <c r="D49" s="1">
        <v>44449</v>
      </c>
      <c r="E49" s="3">
        <v>0.30988425925925928</v>
      </c>
      <c r="F49">
        <v>7</v>
      </c>
      <c r="G49">
        <v>15</v>
      </c>
      <c r="H49" s="3">
        <f t="shared" si="1"/>
        <v>9.354166666666669E-2</v>
      </c>
      <c r="I49" s="3">
        <f t="shared" si="2"/>
        <v>9.354166666666669E-2</v>
      </c>
      <c r="J49" s="3">
        <f t="shared" si="3"/>
        <v>0</v>
      </c>
      <c r="K49">
        <f t="shared" si="0"/>
        <v>134.69999999999999</v>
      </c>
      <c r="M49">
        <f>IF(DAY(B49)=$M$1,K49,0)</f>
        <v>0</v>
      </c>
      <c r="N49">
        <f>IF(DAY($B49)=N$1,$K49,0)</f>
        <v>0</v>
      </c>
      <c r="O49">
        <f>IF(DAY($B49)=O$1,$K49,0)</f>
        <v>0</v>
      </c>
      <c r="P49">
        <f>IF(DAY($B49)=P$1,$K49,0)</f>
        <v>0</v>
      </c>
      <c r="Q49">
        <f>IF(DAY($B49)=Q$1,$K49,0)</f>
        <v>0</v>
      </c>
      <c r="R49">
        <f>IF(DAY($B49)=R$1,$K49,0)</f>
        <v>0</v>
      </c>
      <c r="S49">
        <f>IF(DAY($B49)=S$1,$K49,0)</f>
        <v>0</v>
      </c>
      <c r="T49">
        <f>IF(DAY($B49)=T$1,$K49,0)</f>
        <v>0</v>
      </c>
      <c r="U49">
        <f>IF(DAY($B49)=U$1,$K49,0)</f>
        <v>0</v>
      </c>
      <c r="V49">
        <f>IF(DAY($B49)=V$1,$K49,0)</f>
        <v>134.69999999999999</v>
      </c>
      <c r="W49">
        <f>IF(DAY($B49)=W$1,$K49,0)</f>
        <v>0</v>
      </c>
      <c r="X49">
        <f>IF(DAY($B49)=X$1,$K49,0)</f>
        <v>0</v>
      </c>
      <c r="Y49">
        <f>IF(DAY($B49)=Y$1,$K49,0)</f>
        <v>0</v>
      </c>
      <c r="Z49">
        <f>IF(DAY($B49)=Z$1,$K49,0)</f>
        <v>0</v>
      </c>
      <c r="AA49">
        <f>IF(DAY($B49)=AA$1,$K49,0)</f>
        <v>0</v>
      </c>
      <c r="AB49">
        <f>IF(DAY($B49)=AB$1,$K49,0)</f>
        <v>0</v>
      </c>
      <c r="AC49">
        <f>IF(DAY($B49)=AC$1,$K49,0)</f>
        <v>0</v>
      </c>
      <c r="AD49">
        <f>IF(DAY($B49)=AD$1,$K49,0)</f>
        <v>0</v>
      </c>
      <c r="AE49">
        <f>IF(DAY($B49)=AE$1,$K49,0)</f>
        <v>0</v>
      </c>
      <c r="AF49">
        <f>IF(DAY($B49)=AF$1,$K49,0)</f>
        <v>0</v>
      </c>
      <c r="AG49">
        <f>IF(DAY($B49)=AG$1,$K49,0)</f>
        <v>0</v>
      </c>
      <c r="AH49">
        <f>IF(DAY($B49)=AH$1,$K49,0)</f>
        <v>0</v>
      </c>
      <c r="AI49">
        <f>IF(DAY($B49)=AI$1,$K49,0)</f>
        <v>0</v>
      </c>
      <c r="AJ49">
        <f>IF(DAY($B49)=AJ$1,$K49,0)</f>
        <v>0</v>
      </c>
      <c r="AK49">
        <f>IF(DAY($B49)=AK$1,$K49,0)</f>
        <v>0</v>
      </c>
      <c r="AL49">
        <f>IF(DAY($B49)=AL$1,$K49,0)</f>
        <v>0</v>
      </c>
      <c r="AM49">
        <f>IF(DAY($B49)=AM$1,$K49,0)</f>
        <v>0</v>
      </c>
      <c r="AN49">
        <f>IF(DAY($B49)=AN$1,$K49,0)</f>
        <v>0</v>
      </c>
      <c r="AO49">
        <f>IF(DAY($B49)=AO$1,$K49,0)</f>
        <v>0</v>
      </c>
      <c r="AP49">
        <f>IF(DAY($B49)=AP$1,$K49,0)</f>
        <v>0</v>
      </c>
    </row>
    <row r="50" spans="1:42" x14ac:dyDescent="0.3">
      <c r="A50">
        <v>49</v>
      </c>
      <c r="B50" s="1">
        <v>44449</v>
      </c>
      <c r="C50" s="2">
        <v>0.38201388888888888</v>
      </c>
      <c r="D50" s="1">
        <v>44449</v>
      </c>
      <c r="E50" s="3">
        <v>0.44449074074074074</v>
      </c>
      <c r="F50">
        <v>7</v>
      </c>
      <c r="G50">
        <v>0</v>
      </c>
      <c r="H50" s="3">
        <f t="shared" si="1"/>
        <v>6.2476851851851867E-2</v>
      </c>
      <c r="I50" s="3">
        <f t="shared" si="2"/>
        <v>6.2476851851851867E-2</v>
      </c>
      <c r="J50" s="3">
        <f t="shared" si="3"/>
        <v>0</v>
      </c>
      <c r="K50">
        <f t="shared" si="0"/>
        <v>89.966666666666669</v>
      </c>
      <c r="M50">
        <f>IF(DAY(B50)=$M$1,K50,0)</f>
        <v>0</v>
      </c>
      <c r="N50">
        <f>IF(DAY($B50)=N$1,$K50,0)</f>
        <v>0</v>
      </c>
      <c r="O50">
        <f>IF(DAY($B50)=O$1,$K50,0)</f>
        <v>0</v>
      </c>
      <c r="P50">
        <f>IF(DAY($B50)=P$1,$K50,0)</f>
        <v>0</v>
      </c>
      <c r="Q50">
        <f>IF(DAY($B50)=Q$1,$K50,0)</f>
        <v>0</v>
      </c>
      <c r="R50">
        <f>IF(DAY($B50)=R$1,$K50,0)</f>
        <v>0</v>
      </c>
      <c r="S50">
        <f>IF(DAY($B50)=S$1,$K50,0)</f>
        <v>0</v>
      </c>
      <c r="T50">
        <f>IF(DAY($B50)=T$1,$K50,0)</f>
        <v>0</v>
      </c>
      <c r="U50">
        <f>IF(DAY($B50)=U$1,$K50,0)</f>
        <v>0</v>
      </c>
      <c r="V50">
        <f>IF(DAY($B50)=V$1,$K50,0)</f>
        <v>89.966666666666669</v>
      </c>
      <c r="W50">
        <f>IF(DAY($B50)=W$1,$K50,0)</f>
        <v>0</v>
      </c>
      <c r="X50">
        <f>IF(DAY($B50)=X$1,$K50,0)</f>
        <v>0</v>
      </c>
      <c r="Y50">
        <f>IF(DAY($B50)=Y$1,$K50,0)</f>
        <v>0</v>
      </c>
      <c r="Z50">
        <f>IF(DAY($B50)=Z$1,$K50,0)</f>
        <v>0</v>
      </c>
      <c r="AA50">
        <f>IF(DAY($B50)=AA$1,$K50,0)</f>
        <v>0</v>
      </c>
      <c r="AB50">
        <f>IF(DAY($B50)=AB$1,$K50,0)</f>
        <v>0</v>
      </c>
      <c r="AC50">
        <f>IF(DAY($B50)=AC$1,$K50,0)</f>
        <v>0</v>
      </c>
      <c r="AD50">
        <f>IF(DAY($B50)=AD$1,$K50,0)</f>
        <v>0</v>
      </c>
      <c r="AE50">
        <f>IF(DAY($B50)=AE$1,$K50,0)</f>
        <v>0</v>
      </c>
      <c r="AF50">
        <f>IF(DAY($B50)=AF$1,$K50,0)</f>
        <v>0</v>
      </c>
      <c r="AG50">
        <f>IF(DAY($B50)=AG$1,$K50,0)</f>
        <v>0</v>
      </c>
      <c r="AH50">
        <f>IF(DAY($B50)=AH$1,$K50,0)</f>
        <v>0</v>
      </c>
      <c r="AI50">
        <f>IF(DAY($B50)=AI$1,$K50,0)</f>
        <v>0</v>
      </c>
      <c r="AJ50">
        <f>IF(DAY($B50)=AJ$1,$K50,0)</f>
        <v>0</v>
      </c>
      <c r="AK50">
        <f>IF(DAY($B50)=AK$1,$K50,0)</f>
        <v>0</v>
      </c>
      <c r="AL50">
        <f>IF(DAY($B50)=AL$1,$K50,0)</f>
        <v>0</v>
      </c>
      <c r="AM50">
        <f>IF(DAY($B50)=AM$1,$K50,0)</f>
        <v>0</v>
      </c>
      <c r="AN50">
        <f>IF(DAY($B50)=AN$1,$K50,0)</f>
        <v>0</v>
      </c>
      <c r="AO50">
        <f>IF(DAY($B50)=AO$1,$K50,0)</f>
        <v>0</v>
      </c>
      <c r="AP50">
        <f>IF(DAY($B50)=AP$1,$K50,0)</f>
        <v>0</v>
      </c>
    </row>
    <row r="51" spans="1:42" x14ac:dyDescent="0.3">
      <c r="A51">
        <v>50</v>
      </c>
      <c r="B51" s="1">
        <v>44449</v>
      </c>
      <c r="C51" s="2">
        <v>0.49995370370370368</v>
      </c>
      <c r="D51" s="1">
        <v>44449</v>
      </c>
      <c r="E51" s="3">
        <v>0.59361111111111109</v>
      </c>
      <c r="F51">
        <v>7</v>
      </c>
      <c r="G51">
        <v>1</v>
      </c>
      <c r="H51" s="3">
        <f t="shared" si="1"/>
        <v>9.3657407407407411E-2</v>
      </c>
      <c r="I51" s="3">
        <f t="shared" si="2"/>
        <v>9.3657407407407411E-2</v>
      </c>
      <c r="J51" s="3">
        <f t="shared" si="3"/>
        <v>0</v>
      </c>
      <c r="K51">
        <f t="shared" si="0"/>
        <v>134.86666666666667</v>
      </c>
      <c r="M51">
        <f>IF(DAY(B51)=$M$1,K51,0)</f>
        <v>0</v>
      </c>
      <c r="N51">
        <f>IF(DAY($B51)=N$1,$K51,0)</f>
        <v>0</v>
      </c>
      <c r="O51">
        <f>IF(DAY($B51)=O$1,$K51,0)</f>
        <v>0</v>
      </c>
      <c r="P51">
        <f>IF(DAY($B51)=P$1,$K51,0)</f>
        <v>0</v>
      </c>
      <c r="Q51">
        <f>IF(DAY($B51)=Q$1,$K51,0)</f>
        <v>0</v>
      </c>
      <c r="R51">
        <f>IF(DAY($B51)=R$1,$K51,0)</f>
        <v>0</v>
      </c>
      <c r="S51">
        <f>IF(DAY($B51)=S$1,$K51,0)</f>
        <v>0</v>
      </c>
      <c r="T51">
        <f>IF(DAY($B51)=T$1,$K51,0)</f>
        <v>0</v>
      </c>
      <c r="U51">
        <f>IF(DAY($B51)=U$1,$K51,0)</f>
        <v>0</v>
      </c>
      <c r="V51">
        <f>IF(DAY($B51)=V$1,$K51,0)</f>
        <v>134.86666666666667</v>
      </c>
      <c r="W51">
        <f>IF(DAY($B51)=W$1,$K51,0)</f>
        <v>0</v>
      </c>
      <c r="X51">
        <f>IF(DAY($B51)=X$1,$K51,0)</f>
        <v>0</v>
      </c>
      <c r="Y51">
        <f>IF(DAY($B51)=Y$1,$K51,0)</f>
        <v>0</v>
      </c>
      <c r="Z51">
        <f>IF(DAY($B51)=Z$1,$K51,0)</f>
        <v>0</v>
      </c>
      <c r="AA51">
        <f>IF(DAY($B51)=AA$1,$K51,0)</f>
        <v>0</v>
      </c>
      <c r="AB51">
        <f>IF(DAY($B51)=AB$1,$K51,0)</f>
        <v>0</v>
      </c>
      <c r="AC51">
        <f>IF(DAY($B51)=AC$1,$K51,0)</f>
        <v>0</v>
      </c>
      <c r="AD51">
        <f>IF(DAY($B51)=AD$1,$K51,0)</f>
        <v>0</v>
      </c>
      <c r="AE51">
        <f>IF(DAY($B51)=AE$1,$K51,0)</f>
        <v>0</v>
      </c>
      <c r="AF51">
        <f>IF(DAY($B51)=AF$1,$K51,0)</f>
        <v>0</v>
      </c>
      <c r="AG51">
        <f>IF(DAY($B51)=AG$1,$K51,0)</f>
        <v>0</v>
      </c>
      <c r="AH51">
        <f>IF(DAY($B51)=AH$1,$K51,0)</f>
        <v>0</v>
      </c>
      <c r="AI51">
        <f>IF(DAY($B51)=AI$1,$K51,0)</f>
        <v>0</v>
      </c>
      <c r="AJ51">
        <f>IF(DAY($B51)=AJ$1,$K51,0)</f>
        <v>0</v>
      </c>
      <c r="AK51">
        <f>IF(DAY($B51)=AK$1,$K51,0)</f>
        <v>0</v>
      </c>
      <c r="AL51">
        <f>IF(DAY($B51)=AL$1,$K51,0)</f>
        <v>0</v>
      </c>
      <c r="AM51">
        <f>IF(DAY($B51)=AM$1,$K51,0)</f>
        <v>0</v>
      </c>
      <c r="AN51">
        <f>IF(DAY($B51)=AN$1,$K51,0)</f>
        <v>0</v>
      </c>
      <c r="AO51">
        <f>IF(DAY($B51)=AO$1,$K51,0)</f>
        <v>0</v>
      </c>
      <c r="AP51">
        <f>IF(DAY($B51)=AP$1,$K51,0)</f>
        <v>0</v>
      </c>
    </row>
    <row r="52" spans="1:42" x14ac:dyDescent="0.3">
      <c r="A52">
        <v>51</v>
      </c>
      <c r="B52" s="1">
        <v>44449</v>
      </c>
      <c r="C52" s="2">
        <v>0.64993055555555557</v>
      </c>
      <c r="D52" s="1">
        <v>44449</v>
      </c>
      <c r="E52" s="3">
        <v>0.70430555555555552</v>
      </c>
      <c r="F52">
        <v>13</v>
      </c>
      <c r="G52">
        <v>20</v>
      </c>
      <c r="H52" s="3">
        <f t="shared" si="1"/>
        <v>5.4374999999999951E-2</v>
      </c>
      <c r="I52" s="3">
        <f t="shared" si="2"/>
        <v>5.4374999999999951E-2</v>
      </c>
      <c r="J52" s="3">
        <f t="shared" si="3"/>
        <v>0</v>
      </c>
      <c r="K52">
        <f t="shared" si="0"/>
        <v>78.3</v>
      </c>
      <c r="M52">
        <f>IF(DAY(B52)=$M$1,K52,0)</f>
        <v>0</v>
      </c>
      <c r="N52">
        <f>IF(DAY($B52)=N$1,$K52,0)</f>
        <v>0</v>
      </c>
      <c r="O52">
        <f>IF(DAY($B52)=O$1,$K52,0)</f>
        <v>0</v>
      </c>
      <c r="P52">
        <f>IF(DAY($B52)=P$1,$K52,0)</f>
        <v>0</v>
      </c>
      <c r="Q52">
        <f>IF(DAY($B52)=Q$1,$K52,0)</f>
        <v>0</v>
      </c>
      <c r="R52">
        <f>IF(DAY($B52)=R$1,$K52,0)</f>
        <v>0</v>
      </c>
      <c r="S52">
        <f>IF(DAY($B52)=S$1,$K52,0)</f>
        <v>0</v>
      </c>
      <c r="T52">
        <f>IF(DAY($B52)=T$1,$K52,0)</f>
        <v>0</v>
      </c>
      <c r="U52">
        <f>IF(DAY($B52)=U$1,$K52,0)</f>
        <v>0</v>
      </c>
      <c r="V52">
        <f>IF(DAY($B52)=V$1,$K52,0)</f>
        <v>78.3</v>
      </c>
      <c r="W52">
        <f>IF(DAY($B52)=W$1,$K52,0)</f>
        <v>0</v>
      </c>
      <c r="X52">
        <f>IF(DAY($B52)=X$1,$K52,0)</f>
        <v>0</v>
      </c>
      <c r="Y52">
        <f>IF(DAY($B52)=Y$1,$K52,0)</f>
        <v>0</v>
      </c>
      <c r="Z52">
        <f>IF(DAY($B52)=Z$1,$K52,0)</f>
        <v>0</v>
      </c>
      <c r="AA52">
        <f>IF(DAY($B52)=AA$1,$K52,0)</f>
        <v>0</v>
      </c>
      <c r="AB52">
        <f>IF(DAY($B52)=AB$1,$K52,0)</f>
        <v>0</v>
      </c>
      <c r="AC52">
        <f>IF(DAY($B52)=AC$1,$K52,0)</f>
        <v>0</v>
      </c>
      <c r="AD52">
        <f>IF(DAY($B52)=AD$1,$K52,0)</f>
        <v>0</v>
      </c>
      <c r="AE52">
        <f>IF(DAY($B52)=AE$1,$K52,0)</f>
        <v>0</v>
      </c>
      <c r="AF52">
        <f>IF(DAY($B52)=AF$1,$K52,0)</f>
        <v>0</v>
      </c>
      <c r="AG52">
        <f>IF(DAY($B52)=AG$1,$K52,0)</f>
        <v>0</v>
      </c>
      <c r="AH52">
        <f>IF(DAY($B52)=AH$1,$K52,0)</f>
        <v>0</v>
      </c>
      <c r="AI52">
        <f>IF(DAY($B52)=AI$1,$K52,0)</f>
        <v>0</v>
      </c>
      <c r="AJ52">
        <f>IF(DAY($B52)=AJ$1,$K52,0)</f>
        <v>0</v>
      </c>
      <c r="AK52">
        <f>IF(DAY($B52)=AK$1,$K52,0)</f>
        <v>0</v>
      </c>
      <c r="AL52">
        <f>IF(DAY($B52)=AL$1,$K52,0)</f>
        <v>0</v>
      </c>
      <c r="AM52">
        <f>IF(DAY($B52)=AM$1,$K52,0)</f>
        <v>0</v>
      </c>
      <c r="AN52">
        <f>IF(DAY($B52)=AN$1,$K52,0)</f>
        <v>0</v>
      </c>
      <c r="AO52">
        <f>IF(DAY($B52)=AO$1,$K52,0)</f>
        <v>0</v>
      </c>
      <c r="AP52">
        <f>IF(DAY($B52)=AP$1,$K52,0)</f>
        <v>0</v>
      </c>
    </row>
    <row r="53" spans="1:42" x14ac:dyDescent="0.3">
      <c r="A53">
        <v>52</v>
      </c>
      <c r="B53" s="1">
        <v>44449</v>
      </c>
      <c r="C53" s="2">
        <v>0.79276620370370365</v>
      </c>
      <c r="D53" s="1">
        <v>44449</v>
      </c>
      <c r="E53" s="3">
        <v>0.82553240740740741</v>
      </c>
      <c r="F53">
        <v>12</v>
      </c>
      <c r="G53">
        <v>4</v>
      </c>
      <c r="H53" s="3">
        <f t="shared" si="1"/>
        <v>3.2766203703703756E-2</v>
      </c>
      <c r="I53" s="3">
        <f t="shared" si="2"/>
        <v>3.2766203703703756E-2</v>
      </c>
      <c r="J53" s="3">
        <f t="shared" si="3"/>
        <v>0</v>
      </c>
      <c r="K53">
        <f t="shared" si="0"/>
        <v>47.18333333333333</v>
      </c>
      <c r="M53">
        <f>IF(DAY(B53)=$M$1,K53,0)</f>
        <v>0</v>
      </c>
      <c r="N53">
        <f>IF(DAY($B53)=N$1,$K53,0)</f>
        <v>0</v>
      </c>
      <c r="O53">
        <f>IF(DAY($B53)=O$1,$K53,0)</f>
        <v>0</v>
      </c>
      <c r="P53">
        <f>IF(DAY($B53)=P$1,$K53,0)</f>
        <v>0</v>
      </c>
      <c r="Q53">
        <f>IF(DAY($B53)=Q$1,$K53,0)</f>
        <v>0</v>
      </c>
      <c r="R53">
        <f>IF(DAY($B53)=R$1,$K53,0)</f>
        <v>0</v>
      </c>
      <c r="S53">
        <f>IF(DAY($B53)=S$1,$K53,0)</f>
        <v>0</v>
      </c>
      <c r="T53">
        <f>IF(DAY($B53)=T$1,$K53,0)</f>
        <v>0</v>
      </c>
      <c r="U53">
        <f>IF(DAY($B53)=U$1,$K53,0)</f>
        <v>0</v>
      </c>
      <c r="V53">
        <f>IF(DAY($B53)=V$1,$K53,0)</f>
        <v>47.18333333333333</v>
      </c>
      <c r="W53">
        <f>IF(DAY($B53)=W$1,$K53,0)</f>
        <v>0</v>
      </c>
      <c r="X53">
        <f>IF(DAY($B53)=X$1,$K53,0)</f>
        <v>0</v>
      </c>
      <c r="Y53">
        <f>IF(DAY($B53)=Y$1,$K53,0)</f>
        <v>0</v>
      </c>
      <c r="Z53">
        <f>IF(DAY($B53)=Z$1,$K53,0)</f>
        <v>0</v>
      </c>
      <c r="AA53">
        <f>IF(DAY($B53)=AA$1,$K53,0)</f>
        <v>0</v>
      </c>
      <c r="AB53">
        <f>IF(DAY($B53)=AB$1,$K53,0)</f>
        <v>0</v>
      </c>
      <c r="AC53">
        <f>IF(DAY($B53)=AC$1,$K53,0)</f>
        <v>0</v>
      </c>
      <c r="AD53">
        <f>IF(DAY($B53)=AD$1,$K53,0)</f>
        <v>0</v>
      </c>
      <c r="AE53">
        <f>IF(DAY($B53)=AE$1,$K53,0)</f>
        <v>0</v>
      </c>
      <c r="AF53">
        <f>IF(DAY($B53)=AF$1,$K53,0)</f>
        <v>0</v>
      </c>
      <c r="AG53">
        <f>IF(DAY($B53)=AG$1,$K53,0)</f>
        <v>0</v>
      </c>
      <c r="AH53">
        <f>IF(DAY($B53)=AH$1,$K53,0)</f>
        <v>0</v>
      </c>
      <c r="AI53">
        <f>IF(DAY($B53)=AI$1,$K53,0)</f>
        <v>0</v>
      </c>
      <c r="AJ53">
        <f>IF(DAY($B53)=AJ$1,$K53,0)</f>
        <v>0</v>
      </c>
      <c r="AK53">
        <f>IF(DAY($B53)=AK$1,$K53,0)</f>
        <v>0</v>
      </c>
      <c r="AL53">
        <f>IF(DAY($B53)=AL$1,$K53,0)</f>
        <v>0</v>
      </c>
      <c r="AM53">
        <f>IF(DAY($B53)=AM$1,$K53,0)</f>
        <v>0</v>
      </c>
      <c r="AN53">
        <f>IF(DAY($B53)=AN$1,$K53,0)</f>
        <v>0</v>
      </c>
      <c r="AO53">
        <f>IF(DAY($B53)=AO$1,$K53,0)</f>
        <v>0</v>
      </c>
      <c r="AP53">
        <f>IF(DAY($B53)=AP$1,$K53,0)</f>
        <v>0</v>
      </c>
    </row>
    <row r="54" spans="1:42" x14ac:dyDescent="0.3">
      <c r="A54">
        <v>53</v>
      </c>
      <c r="B54" s="1">
        <v>44449</v>
      </c>
      <c r="C54" s="2">
        <v>0.87574074074074071</v>
      </c>
      <c r="D54" s="1">
        <v>44450</v>
      </c>
      <c r="E54" s="3">
        <v>3.770833333333333E-2</v>
      </c>
      <c r="F54">
        <v>11</v>
      </c>
      <c r="G54">
        <v>9</v>
      </c>
      <c r="H54" s="3">
        <f t="shared" si="1"/>
        <v>23.161967592592593</v>
      </c>
      <c r="I54" s="3">
        <f t="shared" si="2"/>
        <v>0</v>
      </c>
      <c r="J54" s="3">
        <f t="shared" si="3"/>
        <v>3.770833333333333E-2</v>
      </c>
      <c r="K54">
        <f t="shared" si="0"/>
        <v>54.3</v>
      </c>
      <c r="M54">
        <f>IF(DAY(B54)=$M$1,K54,0)</f>
        <v>0</v>
      </c>
      <c r="N54">
        <f>IF(DAY($B54)=N$1,$K54,0)</f>
        <v>0</v>
      </c>
      <c r="O54">
        <f>IF(DAY($B54)=O$1,$K54,0)</f>
        <v>0</v>
      </c>
      <c r="P54">
        <f>IF(DAY($B54)=P$1,$K54,0)</f>
        <v>0</v>
      </c>
      <c r="Q54">
        <f>IF(DAY($B54)=Q$1,$K54,0)</f>
        <v>0</v>
      </c>
      <c r="R54">
        <f>IF(DAY($B54)=R$1,$K54,0)</f>
        <v>0</v>
      </c>
      <c r="S54">
        <f>IF(DAY($B54)=S$1,$K54,0)</f>
        <v>0</v>
      </c>
      <c r="T54">
        <f>IF(DAY($B54)=T$1,$K54,0)</f>
        <v>0</v>
      </c>
      <c r="U54">
        <f>IF(DAY($B54)=U$1,$K54,0)</f>
        <v>0</v>
      </c>
      <c r="V54">
        <f>IF(DAY($B54)=V$1,$K54,0)</f>
        <v>54.3</v>
      </c>
      <c r="W54">
        <f>IF(DAY($B54)=W$1,$K54,0)</f>
        <v>0</v>
      </c>
      <c r="X54">
        <f>IF(DAY($B54)=X$1,$K54,0)</f>
        <v>0</v>
      </c>
      <c r="Y54">
        <f>IF(DAY($B54)=Y$1,$K54,0)</f>
        <v>0</v>
      </c>
      <c r="Z54">
        <f>IF(DAY($B54)=Z$1,$K54,0)</f>
        <v>0</v>
      </c>
      <c r="AA54">
        <f>IF(DAY($B54)=AA$1,$K54,0)</f>
        <v>0</v>
      </c>
      <c r="AB54">
        <f>IF(DAY($B54)=AB$1,$K54,0)</f>
        <v>0</v>
      </c>
      <c r="AC54">
        <f>IF(DAY($B54)=AC$1,$K54,0)</f>
        <v>0</v>
      </c>
      <c r="AD54">
        <f>IF(DAY($B54)=AD$1,$K54,0)</f>
        <v>0</v>
      </c>
      <c r="AE54">
        <f>IF(DAY($B54)=AE$1,$K54,0)</f>
        <v>0</v>
      </c>
      <c r="AF54">
        <f>IF(DAY($B54)=AF$1,$K54,0)</f>
        <v>0</v>
      </c>
      <c r="AG54">
        <f>IF(DAY($B54)=AG$1,$K54,0)</f>
        <v>0</v>
      </c>
      <c r="AH54">
        <f>IF(DAY($B54)=AH$1,$K54,0)</f>
        <v>0</v>
      </c>
      <c r="AI54">
        <f>IF(DAY($B54)=AI$1,$K54,0)</f>
        <v>0</v>
      </c>
      <c r="AJ54">
        <f>IF(DAY($B54)=AJ$1,$K54,0)</f>
        <v>0</v>
      </c>
      <c r="AK54">
        <f>IF(DAY($B54)=AK$1,$K54,0)</f>
        <v>0</v>
      </c>
      <c r="AL54">
        <f>IF(DAY($B54)=AL$1,$K54,0)</f>
        <v>0</v>
      </c>
      <c r="AM54">
        <f>IF(DAY($B54)=AM$1,$K54,0)</f>
        <v>0</v>
      </c>
      <c r="AN54">
        <f>IF(DAY($B54)=AN$1,$K54,0)</f>
        <v>0</v>
      </c>
      <c r="AO54">
        <f>IF(DAY($B54)=AO$1,$K54,0)</f>
        <v>0</v>
      </c>
      <c r="AP54">
        <f>IF(DAY($B54)=AP$1,$K54,0)</f>
        <v>0</v>
      </c>
    </row>
    <row r="55" spans="1:42" x14ac:dyDescent="0.3">
      <c r="A55">
        <v>54</v>
      </c>
      <c r="B55" s="1">
        <v>44450</v>
      </c>
      <c r="C55" s="2">
        <v>0.26106481481481481</v>
      </c>
      <c r="D55" s="1">
        <v>44450</v>
      </c>
      <c r="E55" s="3">
        <v>0.38315972222222222</v>
      </c>
      <c r="F55">
        <v>12</v>
      </c>
      <c r="G55">
        <v>21</v>
      </c>
      <c r="H55" s="3">
        <f t="shared" si="1"/>
        <v>0.12209490740740742</v>
      </c>
      <c r="I55" s="3">
        <f t="shared" si="2"/>
        <v>0.12209490740740742</v>
      </c>
      <c r="J55" s="3">
        <f t="shared" si="3"/>
        <v>0</v>
      </c>
      <c r="K55">
        <f t="shared" si="0"/>
        <v>175.81666666666666</v>
      </c>
      <c r="M55">
        <f>IF(DAY(B55)=$M$1,K55,0)</f>
        <v>0</v>
      </c>
      <c r="N55">
        <f>IF(DAY($B55)=N$1,$K55,0)</f>
        <v>0</v>
      </c>
      <c r="O55">
        <f>IF(DAY($B55)=O$1,$K55,0)</f>
        <v>0</v>
      </c>
      <c r="P55">
        <f>IF(DAY($B55)=P$1,$K55,0)</f>
        <v>0</v>
      </c>
      <c r="Q55">
        <f>IF(DAY($B55)=Q$1,$K55,0)</f>
        <v>0</v>
      </c>
      <c r="R55">
        <f>IF(DAY($B55)=R$1,$K55,0)</f>
        <v>0</v>
      </c>
      <c r="S55">
        <f>IF(DAY($B55)=S$1,$K55,0)</f>
        <v>0</v>
      </c>
      <c r="T55">
        <f>IF(DAY($B55)=T$1,$K55,0)</f>
        <v>0</v>
      </c>
      <c r="U55">
        <f>IF(DAY($B55)=U$1,$K55,0)</f>
        <v>0</v>
      </c>
      <c r="V55">
        <f>IF(DAY($B55)=V$1,$K55,0)</f>
        <v>0</v>
      </c>
      <c r="W55">
        <f>IF(DAY($B55)=W$1,$K55,0)</f>
        <v>175.81666666666666</v>
      </c>
      <c r="X55">
        <f>IF(DAY($B55)=X$1,$K55,0)</f>
        <v>0</v>
      </c>
      <c r="Y55">
        <f>IF(DAY($B55)=Y$1,$K55,0)</f>
        <v>0</v>
      </c>
      <c r="Z55">
        <f>IF(DAY($B55)=Z$1,$K55,0)</f>
        <v>0</v>
      </c>
      <c r="AA55">
        <f>IF(DAY($B55)=AA$1,$K55,0)</f>
        <v>0</v>
      </c>
      <c r="AB55">
        <f>IF(DAY($B55)=AB$1,$K55,0)</f>
        <v>0</v>
      </c>
      <c r="AC55">
        <f>IF(DAY($B55)=AC$1,$K55,0)</f>
        <v>0</v>
      </c>
      <c r="AD55">
        <f>IF(DAY($B55)=AD$1,$K55,0)</f>
        <v>0</v>
      </c>
      <c r="AE55">
        <f>IF(DAY($B55)=AE$1,$K55,0)</f>
        <v>0</v>
      </c>
      <c r="AF55">
        <f>IF(DAY($B55)=AF$1,$K55,0)</f>
        <v>0</v>
      </c>
      <c r="AG55">
        <f>IF(DAY($B55)=AG$1,$K55,0)</f>
        <v>0</v>
      </c>
      <c r="AH55">
        <f>IF(DAY($B55)=AH$1,$K55,0)</f>
        <v>0</v>
      </c>
      <c r="AI55">
        <f>IF(DAY($B55)=AI$1,$K55,0)</f>
        <v>0</v>
      </c>
      <c r="AJ55">
        <f>IF(DAY($B55)=AJ$1,$K55,0)</f>
        <v>0</v>
      </c>
      <c r="AK55">
        <f>IF(DAY($B55)=AK$1,$K55,0)</f>
        <v>0</v>
      </c>
      <c r="AL55">
        <f>IF(DAY($B55)=AL$1,$K55,0)</f>
        <v>0</v>
      </c>
      <c r="AM55">
        <f>IF(DAY($B55)=AM$1,$K55,0)</f>
        <v>0</v>
      </c>
      <c r="AN55">
        <f>IF(DAY($B55)=AN$1,$K55,0)</f>
        <v>0</v>
      </c>
      <c r="AO55">
        <f>IF(DAY($B55)=AO$1,$K55,0)</f>
        <v>0</v>
      </c>
      <c r="AP55">
        <f>IF(DAY($B55)=AP$1,$K55,0)</f>
        <v>0</v>
      </c>
    </row>
    <row r="56" spans="1:42" x14ac:dyDescent="0.3">
      <c r="A56">
        <v>55</v>
      </c>
      <c r="B56" s="1">
        <v>44450</v>
      </c>
      <c r="C56" s="2">
        <v>0.46128472222222222</v>
      </c>
      <c r="D56" s="1">
        <v>44450</v>
      </c>
      <c r="E56" s="3">
        <v>0.50633101851851847</v>
      </c>
      <c r="F56">
        <v>14</v>
      </c>
      <c r="G56">
        <v>2</v>
      </c>
      <c r="H56" s="3">
        <f t="shared" si="1"/>
        <v>4.5046296296296251E-2</v>
      </c>
      <c r="I56" s="3">
        <f t="shared" si="2"/>
        <v>4.5046296296296251E-2</v>
      </c>
      <c r="J56" s="3">
        <f t="shared" si="3"/>
        <v>0</v>
      </c>
      <c r="K56">
        <f t="shared" si="0"/>
        <v>64.86666666666666</v>
      </c>
      <c r="M56">
        <f>IF(DAY(B56)=$M$1,K56,0)</f>
        <v>0</v>
      </c>
      <c r="N56">
        <f>IF(DAY($B56)=N$1,$K56,0)</f>
        <v>0</v>
      </c>
      <c r="O56">
        <f>IF(DAY($B56)=O$1,$K56,0)</f>
        <v>0</v>
      </c>
      <c r="P56">
        <f>IF(DAY($B56)=P$1,$K56,0)</f>
        <v>0</v>
      </c>
      <c r="Q56">
        <f>IF(DAY($B56)=Q$1,$K56,0)</f>
        <v>0</v>
      </c>
      <c r="R56">
        <f>IF(DAY($B56)=R$1,$K56,0)</f>
        <v>0</v>
      </c>
      <c r="S56">
        <f>IF(DAY($B56)=S$1,$K56,0)</f>
        <v>0</v>
      </c>
      <c r="T56">
        <f>IF(DAY($B56)=T$1,$K56,0)</f>
        <v>0</v>
      </c>
      <c r="U56">
        <f>IF(DAY($B56)=U$1,$K56,0)</f>
        <v>0</v>
      </c>
      <c r="V56">
        <f>IF(DAY($B56)=V$1,$K56,0)</f>
        <v>0</v>
      </c>
      <c r="W56">
        <f>IF(DAY($B56)=W$1,$K56,0)</f>
        <v>64.86666666666666</v>
      </c>
      <c r="X56">
        <f>IF(DAY($B56)=X$1,$K56,0)</f>
        <v>0</v>
      </c>
      <c r="Y56">
        <f>IF(DAY($B56)=Y$1,$K56,0)</f>
        <v>0</v>
      </c>
      <c r="Z56">
        <f>IF(DAY($B56)=Z$1,$K56,0)</f>
        <v>0</v>
      </c>
      <c r="AA56">
        <f>IF(DAY($B56)=AA$1,$K56,0)</f>
        <v>0</v>
      </c>
      <c r="AB56">
        <f>IF(DAY($B56)=AB$1,$K56,0)</f>
        <v>0</v>
      </c>
      <c r="AC56">
        <f>IF(DAY($B56)=AC$1,$K56,0)</f>
        <v>0</v>
      </c>
      <c r="AD56">
        <f>IF(DAY($B56)=AD$1,$K56,0)</f>
        <v>0</v>
      </c>
      <c r="AE56">
        <f>IF(DAY($B56)=AE$1,$K56,0)</f>
        <v>0</v>
      </c>
      <c r="AF56">
        <f>IF(DAY($B56)=AF$1,$K56,0)</f>
        <v>0</v>
      </c>
      <c r="AG56">
        <f>IF(DAY($B56)=AG$1,$K56,0)</f>
        <v>0</v>
      </c>
      <c r="AH56">
        <f>IF(DAY($B56)=AH$1,$K56,0)</f>
        <v>0</v>
      </c>
      <c r="AI56">
        <f>IF(DAY($B56)=AI$1,$K56,0)</f>
        <v>0</v>
      </c>
      <c r="AJ56">
        <f>IF(DAY($B56)=AJ$1,$K56,0)</f>
        <v>0</v>
      </c>
      <c r="AK56">
        <f>IF(DAY($B56)=AK$1,$K56,0)</f>
        <v>0</v>
      </c>
      <c r="AL56">
        <f>IF(DAY($B56)=AL$1,$K56,0)</f>
        <v>0</v>
      </c>
      <c r="AM56">
        <f>IF(DAY($B56)=AM$1,$K56,0)</f>
        <v>0</v>
      </c>
      <c r="AN56">
        <f>IF(DAY($B56)=AN$1,$K56,0)</f>
        <v>0</v>
      </c>
      <c r="AO56">
        <f>IF(DAY($B56)=AO$1,$K56,0)</f>
        <v>0</v>
      </c>
      <c r="AP56">
        <f>IF(DAY($B56)=AP$1,$K56,0)</f>
        <v>0</v>
      </c>
    </row>
    <row r="57" spans="1:42" x14ac:dyDescent="0.3">
      <c r="A57">
        <v>56</v>
      </c>
      <c r="B57" s="1">
        <v>44450</v>
      </c>
      <c r="C57" s="2">
        <v>0.56730324074074068</v>
      </c>
      <c r="D57" s="1">
        <v>44450</v>
      </c>
      <c r="E57" s="3">
        <v>0.60193287037037035</v>
      </c>
      <c r="F57">
        <v>17</v>
      </c>
      <c r="G57">
        <v>9</v>
      </c>
      <c r="H57" s="3">
        <f t="shared" si="1"/>
        <v>3.4629629629629677E-2</v>
      </c>
      <c r="I57" s="3">
        <f t="shared" si="2"/>
        <v>3.4629629629629677E-2</v>
      </c>
      <c r="J57" s="3">
        <f t="shared" si="3"/>
        <v>0</v>
      </c>
      <c r="K57">
        <f t="shared" si="0"/>
        <v>49.866666666666667</v>
      </c>
      <c r="M57">
        <f>IF(DAY(B57)=$M$1,K57,0)</f>
        <v>0</v>
      </c>
      <c r="N57">
        <f>IF(DAY($B57)=N$1,$K57,0)</f>
        <v>0</v>
      </c>
      <c r="O57">
        <f>IF(DAY($B57)=O$1,$K57,0)</f>
        <v>0</v>
      </c>
      <c r="P57">
        <f>IF(DAY($B57)=P$1,$K57,0)</f>
        <v>0</v>
      </c>
      <c r="Q57">
        <f>IF(DAY($B57)=Q$1,$K57,0)</f>
        <v>0</v>
      </c>
      <c r="R57">
        <f>IF(DAY($B57)=R$1,$K57,0)</f>
        <v>0</v>
      </c>
      <c r="S57">
        <f>IF(DAY($B57)=S$1,$K57,0)</f>
        <v>0</v>
      </c>
      <c r="T57">
        <f>IF(DAY($B57)=T$1,$K57,0)</f>
        <v>0</v>
      </c>
      <c r="U57">
        <f>IF(DAY($B57)=U$1,$K57,0)</f>
        <v>0</v>
      </c>
      <c r="V57">
        <f>IF(DAY($B57)=V$1,$K57,0)</f>
        <v>0</v>
      </c>
      <c r="W57">
        <f>IF(DAY($B57)=W$1,$K57,0)</f>
        <v>49.866666666666667</v>
      </c>
      <c r="X57">
        <f>IF(DAY($B57)=X$1,$K57,0)</f>
        <v>0</v>
      </c>
      <c r="Y57">
        <f>IF(DAY($B57)=Y$1,$K57,0)</f>
        <v>0</v>
      </c>
      <c r="Z57">
        <f>IF(DAY($B57)=Z$1,$K57,0)</f>
        <v>0</v>
      </c>
      <c r="AA57">
        <f>IF(DAY($B57)=AA$1,$K57,0)</f>
        <v>0</v>
      </c>
      <c r="AB57">
        <f>IF(DAY($B57)=AB$1,$K57,0)</f>
        <v>0</v>
      </c>
      <c r="AC57">
        <f>IF(DAY($B57)=AC$1,$K57,0)</f>
        <v>0</v>
      </c>
      <c r="AD57">
        <f>IF(DAY($B57)=AD$1,$K57,0)</f>
        <v>0</v>
      </c>
      <c r="AE57">
        <f>IF(DAY($B57)=AE$1,$K57,0)</f>
        <v>0</v>
      </c>
      <c r="AF57">
        <f>IF(DAY($B57)=AF$1,$K57,0)</f>
        <v>0</v>
      </c>
      <c r="AG57">
        <f>IF(DAY($B57)=AG$1,$K57,0)</f>
        <v>0</v>
      </c>
      <c r="AH57">
        <f>IF(DAY($B57)=AH$1,$K57,0)</f>
        <v>0</v>
      </c>
      <c r="AI57">
        <f>IF(DAY($B57)=AI$1,$K57,0)</f>
        <v>0</v>
      </c>
      <c r="AJ57">
        <f>IF(DAY($B57)=AJ$1,$K57,0)</f>
        <v>0</v>
      </c>
      <c r="AK57">
        <f>IF(DAY($B57)=AK$1,$K57,0)</f>
        <v>0</v>
      </c>
      <c r="AL57">
        <f>IF(DAY($B57)=AL$1,$K57,0)</f>
        <v>0</v>
      </c>
      <c r="AM57">
        <f>IF(DAY($B57)=AM$1,$K57,0)</f>
        <v>0</v>
      </c>
      <c r="AN57">
        <f>IF(DAY($B57)=AN$1,$K57,0)</f>
        <v>0</v>
      </c>
      <c r="AO57">
        <f>IF(DAY($B57)=AO$1,$K57,0)</f>
        <v>0</v>
      </c>
      <c r="AP57">
        <f>IF(DAY($B57)=AP$1,$K57,0)</f>
        <v>0</v>
      </c>
    </row>
    <row r="58" spans="1:42" x14ac:dyDescent="0.3">
      <c r="A58">
        <v>57</v>
      </c>
      <c r="B58" s="1">
        <v>44450</v>
      </c>
      <c r="C58" s="2">
        <v>0.66475694444444444</v>
      </c>
      <c r="D58" s="1">
        <v>44450</v>
      </c>
      <c r="E58" s="3">
        <v>0.71930555555555553</v>
      </c>
      <c r="F58">
        <v>3</v>
      </c>
      <c r="G58">
        <v>9</v>
      </c>
      <c r="H58" s="3">
        <f t="shared" si="1"/>
        <v>5.4548611111111089E-2</v>
      </c>
      <c r="I58" s="3">
        <f t="shared" si="2"/>
        <v>5.4548611111111089E-2</v>
      </c>
      <c r="J58" s="3">
        <f t="shared" si="3"/>
        <v>0</v>
      </c>
      <c r="K58">
        <f t="shared" si="0"/>
        <v>78.55</v>
      </c>
      <c r="M58">
        <f>IF(DAY(B58)=$M$1,K58,0)</f>
        <v>0</v>
      </c>
      <c r="N58">
        <f>IF(DAY($B58)=N$1,$K58,0)</f>
        <v>0</v>
      </c>
      <c r="O58">
        <f>IF(DAY($B58)=O$1,$K58,0)</f>
        <v>0</v>
      </c>
      <c r="P58">
        <f>IF(DAY($B58)=P$1,$K58,0)</f>
        <v>0</v>
      </c>
      <c r="Q58">
        <f>IF(DAY($B58)=Q$1,$K58,0)</f>
        <v>0</v>
      </c>
      <c r="R58">
        <f>IF(DAY($B58)=R$1,$K58,0)</f>
        <v>0</v>
      </c>
      <c r="S58">
        <f>IF(DAY($B58)=S$1,$K58,0)</f>
        <v>0</v>
      </c>
      <c r="T58">
        <f>IF(DAY($B58)=T$1,$K58,0)</f>
        <v>0</v>
      </c>
      <c r="U58">
        <f>IF(DAY($B58)=U$1,$K58,0)</f>
        <v>0</v>
      </c>
      <c r="V58">
        <f>IF(DAY($B58)=V$1,$K58,0)</f>
        <v>0</v>
      </c>
      <c r="W58">
        <f>IF(DAY($B58)=W$1,$K58,0)</f>
        <v>78.55</v>
      </c>
      <c r="X58">
        <f>IF(DAY($B58)=X$1,$K58,0)</f>
        <v>0</v>
      </c>
      <c r="Y58">
        <f>IF(DAY($B58)=Y$1,$K58,0)</f>
        <v>0</v>
      </c>
      <c r="Z58">
        <f>IF(DAY($B58)=Z$1,$K58,0)</f>
        <v>0</v>
      </c>
      <c r="AA58">
        <f>IF(DAY($B58)=AA$1,$K58,0)</f>
        <v>0</v>
      </c>
      <c r="AB58">
        <f>IF(DAY($B58)=AB$1,$K58,0)</f>
        <v>0</v>
      </c>
      <c r="AC58">
        <f>IF(DAY($B58)=AC$1,$K58,0)</f>
        <v>0</v>
      </c>
      <c r="AD58">
        <f>IF(DAY($B58)=AD$1,$K58,0)</f>
        <v>0</v>
      </c>
      <c r="AE58">
        <f>IF(DAY($B58)=AE$1,$K58,0)</f>
        <v>0</v>
      </c>
      <c r="AF58">
        <f>IF(DAY($B58)=AF$1,$K58,0)</f>
        <v>0</v>
      </c>
      <c r="AG58">
        <f>IF(DAY($B58)=AG$1,$K58,0)</f>
        <v>0</v>
      </c>
      <c r="AH58">
        <f>IF(DAY($B58)=AH$1,$K58,0)</f>
        <v>0</v>
      </c>
      <c r="AI58">
        <f>IF(DAY($B58)=AI$1,$K58,0)</f>
        <v>0</v>
      </c>
      <c r="AJ58">
        <f>IF(DAY($B58)=AJ$1,$K58,0)</f>
        <v>0</v>
      </c>
      <c r="AK58">
        <f>IF(DAY($B58)=AK$1,$K58,0)</f>
        <v>0</v>
      </c>
      <c r="AL58">
        <f>IF(DAY($B58)=AL$1,$K58,0)</f>
        <v>0</v>
      </c>
      <c r="AM58">
        <f>IF(DAY($B58)=AM$1,$K58,0)</f>
        <v>0</v>
      </c>
      <c r="AN58">
        <f>IF(DAY($B58)=AN$1,$K58,0)</f>
        <v>0</v>
      </c>
      <c r="AO58">
        <f>IF(DAY($B58)=AO$1,$K58,0)</f>
        <v>0</v>
      </c>
      <c r="AP58">
        <f>IF(DAY($B58)=AP$1,$K58,0)</f>
        <v>0</v>
      </c>
    </row>
    <row r="59" spans="1:42" x14ac:dyDescent="0.3">
      <c r="A59">
        <v>58</v>
      </c>
      <c r="B59" s="1">
        <v>44450</v>
      </c>
      <c r="C59" s="2">
        <v>0.79238425925925926</v>
      </c>
      <c r="D59" s="1">
        <v>44450</v>
      </c>
      <c r="E59" s="3">
        <v>0.88265046296296301</v>
      </c>
      <c r="F59">
        <v>11</v>
      </c>
      <c r="G59">
        <v>3</v>
      </c>
      <c r="H59" s="3">
        <f t="shared" si="1"/>
        <v>9.0266203703703751E-2</v>
      </c>
      <c r="I59" s="3">
        <f t="shared" si="2"/>
        <v>9.0266203703703751E-2</v>
      </c>
      <c r="J59" s="3">
        <f t="shared" si="3"/>
        <v>0</v>
      </c>
      <c r="K59">
        <f t="shared" si="0"/>
        <v>129.98333333333332</v>
      </c>
      <c r="M59">
        <f>IF(DAY(B59)=$M$1,K59,0)</f>
        <v>0</v>
      </c>
      <c r="N59">
        <f>IF(DAY($B59)=N$1,$K59,0)</f>
        <v>0</v>
      </c>
      <c r="O59">
        <f>IF(DAY($B59)=O$1,$K59,0)</f>
        <v>0</v>
      </c>
      <c r="P59">
        <f>IF(DAY($B59)=P$1,$K59,0)</f>
        <v>0</v>
      </c>
      <c r="Q59">
        <f>IF(DAY($B59)=Q$1,$K59,0)</f>
        <v>0</v>
      </c>
      <c r="R59">
        <f>IF(DAY($B59)=R$1,$K59,0)</f>
        <v>0</v>
      </c>
      <c r="S59">
        <f>IF(DAY($B59)=S$1,$K59,0)</f>
        <v>0</v>
      </c>
      <c r="T59">
        <f>IF(DAY($B59)=T$1,$K59,0)</f>
        <v>0</v>
      </c>
      <c r="U59">
        <f>IF(DAY($B59)=U$1,$K59,0)</f>
        <v>0</v>
      </c>
      <c r="V59">
        <f>IF(DAY($B59)=V$1,$K59,0)</f>
        <v>0</v>
      </c>
      <c r="W59">
        <f>IF(DAY($B59)=W$1,$K59,0)</f>
        <v>129.98333333333332</v>
      </c>
      <c r="X59">
        <f>IF(DAY($B59)=X$1,$K59,0)</f>
        <v>0</v>
      </c>
      <c r="Y59">
        <f>IF(DAY($B59)=Y$1,$K59,0)</f>
        <v>0</v>
      </c>
      <c r="Z59">
        <f>IF(DAY($B59)=Z$1,$K59,0)</f>
        <v>0</v>
      </c>
      <c r="AA59">
        <f>IF(DAY($B59)=AA$1,$K59,0)</f>
        <v>0</v>
      </c>
      <c r="AB59">
        <f>IF(DAY($B59)=AB$1,$K59,0)</f>
        <v>0</v>
      </c>
      <c r="AC59">
        <f>IF(DAY($B59)=AC$1,$K59,0)</f>
        <v>0</v>
      </c>
      <c r="AD59">
        <f>IF(DAY($B59)=AD$1,$K59,0)</f>
        <v>0</v>
      </c>
      <c r="AE59">
        <f>IF(DAY($B59)=AE$1,$K59,0)</f>
        <v>0</v>
      </c>
      <c r="AF59">
        <f>IF(DAY($B59)=AF$1,$K59,0)</f>
        <v>0</v>
      </c>
      <c r="AG59">
        <f>IF(DAY($B59)=AG$1,$K59,0)</f>
        <v>0</v>
      </c>
      <c r="AH59">
        <f>IF(DAY($B59)=AH$1,$K59,0)</f>
        <v>0</v>
      </c>
      <c r="AI59">
        <f>IF(DAY($B59)=AI$1,$K59,0)</f>
        <v>0</v>
      </c>
      <c r="AJ59">
        <f>IF(DAY($B59)=AJ$1,$K59,0)</f>
        <v>0</v>
      </c>
      <c r="AK59">
        <f>IF(DAY($B59)=AK$1,$K59,0)</f>
        <v>0</v>
      </c>
      <c r="AL59">
        <f>IF(DAY($B59)=AL$1,$K59,0)</f>
        <v>0</v>
      </c>
      <c r="AM59">
        <f>IF(DAY($B59)=AM$1,$K59,0)</f>
        <v>0</v>
      </c>
      <c r="AN59">
        <f>IF(DAY($B59)=AN$1,$K59,0)</f>
        <v>0</v>
      </c>
      <c r="AO59">
        <f>IF(DAY($B59)=AO$1,$K59,0)</f>
        <v>0</v>
      </c>
      <c r="AP59">
        <f>IF(DAY($B59)=AP$1,$K59,0)</f>
        <v>0</v>
      </c>
    </row>
    <row r="60" spans="1:42" x14ac:dyDescent="0.3">
      <c r="A60">
        <v>59</v>
      </c>
      <c r="B60" s="1">
        <v>44451</v>
      </c>
      <c r="C60" s="2">
        <v>0.16666666666666666</v>
      </c>
      <c r="D60" s="1">
        <v>44451</v>
      </c>
      <c r="E60" s="3">
        <v>0.23270833333333332</v>
      </c>
      <c r="F60">
        <v>8</v>
      </c>
      <c r="G60">
        <v>4</v>
      </c>
      <c r="H60" s="3">
        <f t="shared" si="1"/>
        <v>6.6041666666666665E-2</v>
      </c>
      <c r="I60" s="3">
        <f t="shared" si="2"/>
        <v>6.6041666666666665E-2</v>
      </c>
      <c r="J60" s="3">
        <f t="shared" si="3"/>
        <v>0</v>
      </c>
      <c r="K60">
        <f t="shared" si="0"/>
        <v>95.1</v>
      </c>
      <c r="M60">
        <f>IF(DAY(B60)=$M$1,K60,0)</f>
        <v>0</v>
      </c>
      <c r="N60">
        <f>IF(DAY($B60)=N$1,$K60,0)</f>
        <v>0</v>
      </c>
      <c r="O60">
        <f>IF(DAY($B60)=O$1,$K60,0)</f>
        <v>0</v>
      </c>
      <c r="P60">
        <f>IF(DAY($B60)=P$1,$K60,0)</f>
        <v>0</v>
      </c>
      <c r="Q60">
        <f>IF(DAY($B60)=Q$1,$K60,0)</f>
        <v>0</v>
      </c>
      <c r="R60">
        <f>IF(DAY($B60)=R$1,$K60,0)</f>
        <v>0</v>
      </c>
      <c r="S60">
        <f>IF(DAY($B60)=S$1,$K60,0)</f>
        <v>0</v>
      </c>
      <c r="T60">
        <f>IF(DAY($B60)=T$1,$K60,0)</f>
        <v>0</v>
      </c>
      <c r="U60">
        <f>IF(DAY($B60)=U$1,$K60,0)</f>
        <v>0</v>
      </c>
      <c r="V60">
        <f>IF(DAY($B60)=V$1,$K60,0)</f>
        <v>0</v>
      </c>
      <c r="W60">
        <f>IF(DAY($B60)=W$1,$K60,0)</f>
        <v>0</v>
      </c>
      <c r="X60">
        <f>IF(DAY($B60)=X$1,$K60,0)</f>
        <v>95.1</v>
      </c>
      <c r="Y60">
        <f>IF(DAY($B60)=Y$1,$K60,0)</f>
        <v>0</v>
      </c>
      <c r="Z60">
        <f>IF(DAY($B60)=Z$1,$K60,0)</f>
        <v>0</v>
      </c>
      <c r="AA60">
        <f>IF(DAY($B60)=AA$1,$K60,0)</f>
        <v>0</v>
      </c>
      <c r="AB60">
        <f>IF(DAY($B60)=AB$1,$K60,0)</f>
        <v>0</v>
      </c>
      <c r="AC60">
        <f>IF(DAY($B60)=AC$1,$K60,0)</f>
        <v>0</v>
      </c>
      <c r="AD60">
        <f>IF(DAY($B60)=AD$1,$K60,0)</f>
        <v>0</v>
      </c>
      <c r="AE60">
        <f>IF(DAY($B60)=AE$1,$K60,0)</f>
        <v>0</v>
      </c>
      <c r="AF60">
        <f>IF(DAY($B60)=AF$1,$K60,0)</f>
        <v>0</v>
      </c>
      <c r="AG60">
        <f>IF(DAY($B60)=AG$1,$K60,0)</f>
        <v>0</v>
      </c>
      <c r="AH60">
        <f>IF(DAY($B60)=AH$1,$K60,0)</f>
        <v>0</v>
      </c>
      <c r="AI60">
        <f>IF(DAY($B60)=AI$1,$K60,0)</f>
        <v>0</v>
      </c>
      <c r="AJ60">
        <f>IF(DAY($B60)=AJ$1,$K60,0)</f>
        <v>0</v>
      </c>
      <c r="AK60">
        <f>IF(DAY($B60)=AK$1,$K60,0)</f>
        <v>0</v>
      </c>
      <c r="AL60">
        <f>IF(DAY($B60)=AL$1,$K60,0)</f>
        <v>0</v>
      </c>
      <c r="AM60">
        <f>IF(DAY($B60)=AM$1,$K60,0)</f>
        <v>0</v>
      </c>
      <c r="AN60">
        <f>IF(DAY($B60)=AN$1,$K60,0)</f>
        <v>0</v>
      </c>
      <c r="AO60">
        <f>IF(DAY($B60)=AO$1,$K60,0)</f>
        <v>0</v>
      </c>
      <c r="AP60">
        <f>IF(DAY($B60)=AP$1,$K60,0)</f>
        <v>0</v>
      </c>
    </row>
    <row r="61" spans="1:42" x14ac:dyDescent="0.3">
      <c r="A61">
        <v>60</v>
      </c>
      <c r="B61" s="1">
        <v>44451</v>
      </c>
      <c r="C61" s="2">
        <v>0.34324074074074074</v>
      </c>
      <c r="D61" s="1">
        <v>44451</v>
      </c>
      <c r="E61" s="3">
        <v>0.42799768518518522</v>
      </c>
      <c r="F61">
        <v>1</v>
      </c>
      <c r="G61">
        <v>6</v>
      </c>
      <c r="H61" s="3">
        <f t="shared" si="1"/>
        <v>8.4756944444444482E-2</v>
      </c>
      <c r="I61" s="3">
        <f t="shared" si="2"/>
        <v>8.4756944444444482E-2</v>
      </c>
      <c r="J61" s="3">
        <f t="shared" si="3"/>
        <v>0</v>
      </c>
      <c r="K61">
        <f t="shared" si="0"/>
        <v>122.05</v>
      </c>
      <c r="M61">
        <f>IF(DAY(B61)=$M$1,K61,0)</f>
        <v>0</v>
      </c>
      <c r="N61">
        <f>IF(DAY($B61)=N$1,$K61,0)</f>
        <v>0</v>
      </c>
      <c r="O61">
        <f>IF(DAY($B61)=O$1,$K61,0)</f>
        <v>0</v>
      </c>
      <c r="P61">
        <f>IF(DAY($B61)=P$1,$K61,0)</f>
        <v>0</v>
      </c>
      <c r="Q61">
        <f>IF(DAY($B61)=Q$1,$K61,0)</f>
        <v>0</v>
      </c>
      <c r="R61">
        <f>IF(DAY($B61)=R$1,$K61,0)</f>
        <v>0</v>
      </c>
      <c r="S61">
        <f>IF(DAY($B61)=S$1,$K61,0)</f>
        <v>0</v>
      </c>
      <c r="T61">
        <f>IF(DAY($B61)=T$1,$K61,0)</f>
        <v>0</v>
      </c>
      <c r="U61">
        <f>IF(DAY($B61)=U$1,$K61,0)</f>
        <v>0</v>
      </c>
      <c r="V61">
        <f>IF(DAY($B61)=V$1,$K61,0)</f>
        <v>0</v>
      </c>
      <c r="W61">
        <f>IF(DAY($B61)=W$1,$K61,0)</f>
        <v>0</v>
      </c>
      <c r="X61">
        <f>IF(DAY($B61)=X$1,$K61,0)</f>
        <v>122.05</v>
      </c>
      <c r="Y61">
        <f>IF(DAY($B61)=Y$1,$K61,0)</f>
        <v>0</v>
      </c>
      <c r="Z61">
        <f>IF(DAY($B61)=Z$1,$K61,0)</f>
        <v>0</v>
      </c>
      <c r="AA61">
        <f>IF(DAY($B61)=AA$1,$K61,0)</f>
        <v>0</v>
      </c>
      <c r="AB61">
        <f>IF(DAY($B61)=AB$1,$K61,0)</f>
        <v>0</v>
      </c>
      <c r="AC61">
        <f>IF(DAY($B61)=AC$1,$K61,0)</f>
        <v>0</v>
      </c>
      <c r="AD61">
        <f>IF(DAY($B61)=AD$1,$K61,0)</f>
        <v>0</v>
      </c>
      <c r="AE61">
        <f>IF(DAY($B61)=AE$1,$K61,0)</f>
        <v>0</v>
      </c>
      <c r="AF61">
        <f>IF(DAY($B61)=AF$1,$K61,0)</f>
        <v>0</v>
      </c>
      <c r="AG61">
        <f>IF(DAY($B61)=AG$1,$K61,0)</f>
        <v>0</v>
      </c>
      <c r="AH61">
        <f>IF(DAY($B61)=AH$1,$K61,0)</f>
        <v>0</v>
      </c>
      <c r="AI61">
        <f>IF(DAY($B61)=AI$1,$K61,0)</f>
        <v>0</v>
      </c>
      <c r="AJ61">
        <f>IF(DAY($B61)=AJ$1,$K61,0)</f>
        <v>0</v>
      </c>
      <c r="AK61">
        <f>IF(DAY($B61)=AK$1,$K61,0)</f>
        <v>0</v>
      </c>
      <c r="AL61">
        <f>IF(DAY($B61)=AL$1,$K61,0)</f>
        <v>0</v>
      </c>
      <c r="AM61">
        <f>IF(DAY($B61)=AM$1,$K61,0)</f>
        <v>0</v>
      </c>
      <c r="AN61">
        <f>IF(DAY($B61)=AN$1,$K61,0)</f>
        <v>0</v>
      </c>
      <c r="AO61">
        <f>IF(DAY($B61)=AO$1,$K61,0)</f>
        <v>0</v>
      </c>
      <c r="AP61">
        <f>IF(DAY($B61)=AP$1,$K61,0)</f>
        <v>0</v>
      </c>
    </row>
    <row r="62" spans="1:42" x14ac:dyDescent="0.3">
      <c r="A62">
        <v>61</v>
      </c>
      <c r="B62" s="1">
        <v>44451</v>
      </c>
      <c r="C62" s="2">
        <v>0.52084490740740741</v>
      </c>
      <c r="D62" s="1">
        <v>44451</v>
      </c>
      <c r="E62" s="3">
        <v>0.59403935185185186</v>
      </c>
      <c r="F62">
        <v>4</v>
      </c>
      <c r="G62">
        <v>21</v>
      </c>
      <c r="H62" s="3">
        <f t="shared" si="1"/>
        <v>7.3194444444444451E-2</v>
      </c>
      <c r="I62" s="3">
        <f t="shared" si="2"/>
        <v>7.3194444444444451E-2</v>
      </c>
      <c r="J62" s="3">
        <f t="shared" si="3"/>
        <v>0</v>
      </c>
      <c r="K62">
        <f t="shared" si="0"/>
        <v>105.4</v>
      </c>
      <c r="M62">
        <f>IF(DAY(B62)=$M$1,K62,0)</f>
        <v>0</v>
      </c>
      <c r="N62">
        <f>IF(DAY($B62)=N$1,$K62,0)</f>
        <v>0</v>
      </c>
      <c r="O62">
        <f>IF(DAY($B62)=O$1,$K62,0)</f>
        <v>0</v>
      </c>
      <c r="P62">
        <f>IF(DAY($B62)=P$1,$K62,0)</f>
        <v>0</v>
      </c>
      <c r="Q62">
        <f>IF(DAY($B62)=Q$1,$K62,0)</f>
        <v>0</v>
      </c>
      <c r="R62">
        <f>IF(DAY($B62)=R$1,$K62,0)</f>
        <v>0</v>
      </c>
      <c r="S62">
        <f>IF(DAY($B62)=S$1,$K62,0)</f>
        <v>0</v>
      </c>
      <c r="T62">
        <f>IF(DAY($B62)=T$1,$K62,0)</f>
        <v>0</v>
      </c>
      <c r="U62">
        <f>IF(DAY($B62)=U$1,$K62,0)</f>
        <v>0</v>
      </c>
      <c r="V62">
        <f>IF(DAY($B62)=V$1,$K62,0)</f>
        <v>0</v>
      </c>
      <c r="W62">
        <f>IF(DAY($B62)=W$1,$K62,0)</f>
        <v>0</v>
      </c>
      <c r="X62">
        <f>IF(DAY($B62)=X$1,$K62,0)</f>
        <v>105.4</v>
      </c>
      <c r="Y62">
        <f>IF(DAY($B62)=Y$1,$K62,0)</f>
        <v>0</v>
      </c>
      <c r="Z62">
        <f>IF(DAY($B62)=Z$1,$K62,0)</f>
        <v>0</v>
      </c>
      <c r="AA62">
        <f>IF(DAY($B62)=AA$1,$K62,0)</f>
        <v>0</v>
      </c>
      <c r="AB62">
        <f>IF(DAY($B62)=AB$1,$K62,0)</f>
        <v>0</v>
      </c>
      <c r="AC62">
        <f>IF(DAY($B62)=AC$1,$K62,0)</f>
        <v>0</v>
      </c>
      <c r="AD62">
        <f>IF(DAY($B62)=AD$1,$K62,0)</f>
        <v>0</v>
      </c>
      <c r="AE62">
        <f>IF(DAY($B62)=AE$1,$K62,0)</f>
        <v>0</v>
      </c>
      <c r="AF62">
        <f>IF(DAY($B62)=AF$1,$K62,0)</f>
        <v>0</v>
      </c>
      <c r="AG62">
        <f>IF(DAY($B62)=AG$1,$K62,0)</f>
        <v>0</v>
      </c>
      <c r="AH62">
        <f>IF(DAY($B62)=AH$1,$K62,0)</f>
        <v>0</v>
      </c>
      <c r="AI62">
        <f>IF(DAY($B62)=AI$1,$K62,0)</f>
        <v>0</v>
      </c>
      <c r="AJ62">
        <f>IF(DAY($B62)=AJ$1,$K62,0)</f>
        <v>0</v>
      </c>
      <c r="AK62">
        <f>IF(DAY($B62)=AK$1,$K62,0)</f>
        <v>0</v>
      </c>
      <c r="AL62">
        <f>IF(DAY($B62)=AL$1,$K62,0)</f>
        <v>0</v>
      </c>
      <c r="AM62">
        <f>IF(DAY($B62)=AM$1,$K62,0)</f>
        <v>0</v>
      </c>
      <c r="AN62">
        <f>IF(DAY($B62)=AN$1,$K62,0)</f>
        <v>0</v>
      </c>
      <c r="AO62">
        <f>IF(DAY($B62)=AO$1,$K62,0)</f>
        <v>0</v>
      </c>
      <c r="AP62">
        <f>IF(DAY($B62)=AP$1,$K62,0)</f>
        <v>0</v>
      </c>
    </row>
    <row r="63" spans="1:42" x14ac:dyDescent="0.3">
      <c r="A63">
        <v>62</v>
      </c>
      <c r="B63" s="1">
        <v>44451</v>
      </c>
      <c r="C63" s="2">
        <v>0.73968750000000005</v>
      </c>
      <c r="D63" s="1">
        <v>44451</v>
      </c>
      <c r="E63" s="3">
        <v>0.79862268518518509</v>
      </c>
      <c r="F63">
        <v>9</v>
      </c>
      <c r="G63">
        <v>11</v>
      </c>
      <c r="H63" s="3">
        <f t="shared" si="1"/>
        <v>5.8935185185185035E-2</v>
      </c>
      <c r="I63" s="3">
        <f t="shared" si="2"/>
        <v>5.8935185185185035E-2</v>
      </c>
      <c r="J63" s="3">
        <f t="shared" si="3"/>
        <v>0</v>
      </c>
      <c r="K63">
        <f t="shared" si="0"/>
        <v>84.86666666666666</v>
      </c>
      <c r="M63">
        <f>IF(DAY(B63)=$M$1,K63,0)</f>
        <v>0</v>
      </c>
      <c r="N63">
        <f>IF(DAY($B63)=N$1,$K63,0)</f>
        <v>0</v>
      </c>
      <c r="O63">
        <f>IF(DAY($B63)=O$1,$K63,0)</f>
        <v>0</v>
      </c>
      <c r="P63">
        <f>IF(DAY($B63)=P$1,$K63,0)</f>
        <v>0</v>
      </c>
      <c r="Q63">
        <f>IF(DAY($B63)=Q$1,$K63,0)</f>
        <v>0</v>
      </c>
      <c r="R63">
        <f>IF(DAY($B63)=R$1,$K63,0)</f>
        <v>0</v>
      </c>
      <c r="S63">
        <f>IF(DAY($B63)=S$1,$K63,0)</f>
        <v>0</v>
      </c>
      <c r="T63">
        <f>IF(DAY($B63)=T$1,$K63,0)</f>
        <v>0</v>
      </c>
      <c r="U63">
        <f>IF(DAY($B63)=U$1,$K63,0)</f>
        <v>0</v>
      </c>
      <c r="V63">
        <f>IF(DAY($B63)=V$1,$K63,0)</f>
        <v>0</v>
      </c>
      <c r="W63">
        <f>IF(DAY($B63)=W$1,$K63,0)</f>
        <v>0</v>
      </c>
      <c r="X63">
        <f>IF(DAY($B63)=X$1,$K63,0)</f>
        <v>84.86666666666666</v>
      </c>
      <c r="Y63">
        <f>IF(DAY($B63)=Y$1,$K63,0)</f>
        <v>0</v>
      </c>
      <c r="Z63">
        <f>IF(DAY($B63)=Z$1,$K63,0)</f>
        <v>0</v>
      </c>
      <c r="AA63">
        <f>IF(DAY($B63)=AA$1,$K63,0)</f>
        <v>0</v>
      </c>
      <c r="AB63">
        <f>IF(DAY($B63)=AB$1,$K63,0)</f>
        <v>0</v>
      </c>
      <c r="AC63">
        <f>IF(DAY($B63)=AC$1,$K63,0)</f>
        <v>0</v>
      </c>
      <c r="AD63">
        <f>IF(DAY($B63)=AD$1,$K63,0)</f>
        <v>0</v>
      </c>
      <c r="AE63">
        <f>IF(DAY($B63)=AE$1,$K63,0)</f>
        <v>0</v>
      </c>
      <c r="AF63">
        <f>IF(DAY($B63)=AF$1,$K63,0)</f>
        <v>0</v>
      </c>
      <c r="AG63">
        <f>IF(DAY($B63)=AG$1,$K63,0)</f>
        <v>0</v>
      </c>
      <c r="AH63">
        <f>IF(DAY($B63)=AH$1,$K63,0)</f>
        <v>0</v>
      </c>
      <c r="AI63">
        <f>IF(DAY($B63)=AI$1,$K63,0)</f>
        <v>0</v>
      </c>
      <c r="AJ63">
        <f>IF(DAY($B63)=AJ$1,$K63,0)</f>
        <v>0</v>
      </c>
      <c r="AK63">
        <f>IF(DAY($B63)=AK$1,$K63,0)</f>
        <v>0</v>
      </c>
      <c r="AL63">
        <f>IF(DAY($B63)=AL$1,$K63,0)</f>
        <v>0</v>
      </c>
      <c r="AM63">
        <f>IF(DAY($B63)=AM$1,$K63,0)</f>
        <v>0</v>
      </c>
      <c r="AN63">
        <f>IF(DAY($B63)=AN$1,$K63,0)</f>
        <v>0</v>
      </c>
      <c r="AO63">
        <f>IF(DAY($B63)=AO$1,$K63,0)</f>
        <v>0</v>
      </c>
      <c r="AP63">
        <f>IF(DAY($B63)=AP$1,$K63,0)</f>
        <v>0</v>
      </c>
    </row>
    <row r="64" spans="1:42" x14ac:dyDescent="0.3">
      <c r="A64">
        <v>63</v>
      </c>
      <c r="B64" s="1">
        <v>44452</v>
      </c>
      <c r="C64" s="2">
        <v>0.21440972222222221</v>
      </c>
      <c r="D64" s="1">
        <v>44452</v>
      </c>
      <c r="E64" s="3">
        <v>0.38071759259259258</v>
      </c>
      <c r="F64">
        <v>12</v>
      </c>
      <c r="G64">
        <v>7</v>
      </c>
      <c r="H64" s="3">
        <f t="shared" si="1"/>
        <v>0.16630787037037037</v>
      </c>
      <c r="I64" s="3">
        <f t="shared" si="2"/>
        <v>0.16630787037037037</v>
      </c>
      <c r="J64" s="3">
        <f t="shared" si="3"/>
        <v>0</v>
      </c>
      <c r="K64">
        <f t="shared" si="0"/>
        <v>239.48333333333332</v>
      </c>
      <c r="M64">
        <f>IF(DAY(B64)=$M$1,K64,0)</f>
        <v>0</v>
      </c>
      <c r="N64">
        <f>IF(DAY($B64)=N$1,$K64,0)</f>
        <v>0</v>
      </c>
      <c r="O64">
        <f>IF(DAY($B64)=O$1,$K64,0)</f>
        <v>0</v>
      </c>
      <c r="P64">
        <f>IF(DAY($B64)=P$1,$K64,0)</f>
        <v>0</v>
      </c>
      <c r="Q64">
        <f>IF(DAY($B64)=Q$1,$K64,0)</f>
        <v>0</v>
      </c>
      <c r="R64">
        <f>IF(DAY($B64)=R$1,$K64,0)</f>
        <v>0</v>
      </c>
      <c r="S64">
        <f>IF(DAY($B64)=S$1,$K64,0)</f>
        <v>0</v>
      </c>
      <c r="T64">
        <f>IF(DAY($B64)=T$1,$K64,0)</f>
        <v>0</v>
      </c>
      <c r="U64">
        <f>IF(DAY($B64)=U$1,$K64,0)</f>
        <v>0</v>
      </c>
      <c r="V64">
        <f>IF(DAY($B64)=V$1,$K64,0)</f>
        <v>0</v>
      </c>
      <c r="W64">
        <f>IF(DAY($B64)=W$1,$K64,0)</f>
        <v>0</v>
      </c>
      <c r="X64">
        <f>IF(DAY($B64)=X$1,$K64,0)</f>
        <v>0</v>
      </c>
      <c r="Y64">
        <f>IF(DAY($B64)=Y$1,$K64,0)</f>
        <v>239.48333333333332</v>
      </c>
      <c r="Z64">
        <f>IF(DAY($B64)=Z$1,$K64,0)</f>
        <v>0</v>
      </c>
      <c r="AA64">
        <f>IF(DAY($B64)=AA$1,$K64,0)</f>
        <v>0</v>
      </c>
      <c r="AB64">
        <f>IF(DAY($B64)=AB$1,$K64,0)</f>
        <v>0</v>
      </c>
      <c r="AC64">
        <f>IF(DAY($B64)=AC$1,$K64,0)</f>
        <v>0</v>
      </c>
      <c r="AD64">
        <f>IF(DAY($B64)=AD$1,$K64,0)</f>
        <v>0</v>
      </c>
      <c r="AE64">
        <f>IF(DAY($B64)=AE$1,$K64,0)</f>
        <v>0</v>
      </c>
      <c r="AF64">
        <f>IF(DAY($B64)=AF$1,$K64,0)</f>
        <v>0</v>
      </c>
      <c r="AG64">
        <f>IF(DAY($B64)=AG$1,$K64,0)</f>
        <v>0</v>
      </c>
      <c r="AH64">
        <f>IF(DAY($B64)=AH$1,$K64,0)</f>
        <v>0</v>
      </c>
      <c r="AI64">
        <f>IF(DAY($B64)=AI$1,$K64,0)</f>
        <v>0</v>
      </c>
      <c r="AJ64">
        <f>IF(DAY($B64)=AJ$1,$K64,0)</f>
        <v>0</v>
      </c>
      <c r="AK64">
        <f>IF(DAY($B64)=AK$1,$K64,0)</f>
        <v>0</v>
      </c>
      <c r="AL64">
        <f>IF(DAY($B64)=AL$1,$K64,0)</f>
        <v>0</v>
      </c>
      <c r="AM64">
        <f>IF(DAY($B64)=AM$1,$K64,0)</f>
        <v>0</v>
      </c>
      <c r="AN64">
        <f>IF(DAY($B64)=AN$1,$K64,0)</f>
        <v>0</v>
      </c>
      <c r="AO64">
        <f>IF(DAY($B64)=AO$1,$K64,0)</f>
        <v>0</v>
      </c>
      <c r="AP64">
        <f>IF(DAY($B64)=AP$1,$K64,0)</f>
        <v>0</v>
      </c>
    </row>
    <row r="65" spans="1:42" x14ac:dyDescent="0.3">
      <c r="A65">
        <v>64</v>
      </c>
      <c r="B65" s="1">
        <v>44452</v>
      </c>
      <c r="C65" s="2">
        <v>0.46302083333333338</v>
      </c>
      <c r="D65" s="1">
        <v>44452</v>
      </c>
      <c r="E65" s="3">
        <v>0.53340277777777778</v>
      </c>
      <c r="F65">
        <v>11</v>
      </c>
      <c r="G65">
        <v>13</v>
      </c>
      <c r="H65" s="3">
        <f t="shared" si="1"/>
        <v>7.03819444444444E-2</v>
      </c>
      <c r="I65" s="3">
        <f t="shared" si="2"/>
        <v>7.03819444444444E-2</v>
      </c>
      <c r="J65" s="3">
        <f t="shared" si="3"/>
        <v>0</v>
      </c>
      <c r="K65">
        <f t="shared" si="0"/>
        <v>101.35</v>
      </c>
      <c r="M65">
        <f>IF(DAY(B65)=$M$1,K65,0)</f>
        <v>0</v>
      </c>
      <c r="N65">
        <f>IF(DAY($B65)=N$1,$K65,0)</f>
        <v>0</v>
      </c>
      <c r="O65">
        <f>IF(DAY($B65)=O$1,$K65,0)</f>
        <v>0</v>
      </c>
      <c r="P65">
        <f>IF(DAY($B65)=P$1,$K65,0)</f>
        <v>0</v>
      </c>
      <c r="Q65">
        <f>IF(DAY($B65)=Q$1,$K65,0)</f>
        <v>0</v>
      </c>
      <c r="R65">
        <f>IF(DAY($B65)=R$1,$K65,0)</f>
        <v>0</v>
      </c>
      <c r="S65">
        <f>IF(DAY($B65)=S$1,$K65,0)</f>
        <v>0</v>
      </c>
      <c r="T65">
        <f>IF(DAY($B65)=T$1,$K65,0)</f>
        <v>0</v>
      </c>
      <c r="U65">
        <f>IF(DAY($B65)=U$1,$K65,0)</f>
        <v>0</v>
      </c>
      <c r="V65">
        <f>IF(DAY($B65)=V$1,$K65,0)</f>
        <v>0</v>
      </c>
      <c r="W65">
        <f>IF(DAY($B65)=W$1,$K65,0)</f>
        <v>0</v>
      </c>
      <c r="X65">
        <f>IF(DAY($B65)=X$1,$K65,0)</f>
        <v>0</v>
      </c>
      <c r="Y65">
        <f>IF(DAY($B65)=Y$1,$K65,0)</f>
        <v>101.35</v>
      </c>
      <c r="Z65">
        <f>IF(DAY($B65)=Z$1,$K65,0)</f>
        <v>0</v>
      </c>
      <c r="AA65">
        <f>IF(DAY($B65)=AA$1,$K65,0)</f>
        <v>0</v>
      </c>
      <c r="AB65">
        <f>IF(DAY($B65)=AB$1,$K65,0)</f>
        <v>0</v>
      </c>
      <c r="AC65">
        <f>IF(DAY($B65)=AC$1,$K65,0)</f>
        <v>0</v>
      </c>
      <c r="AD65">
        <f>IF(DAY($B65)=AD$1,$K65,0)</f>
        <v>0</v>
      </c>
      <c r="AE65">
        <f>IF(DAY($B65)=AE$1,$K65,0)</f>
        <v>0</v>
      </c>
      <c r="AF65">
        <f>IF(DAY($B65)=AF$1,$K65,0)</f>
        <v>0</v>
      </c>
      <c r="AG65">
        <f>IF(DAY($B65)=AG$1,$K65,0)</f>
        <v>0</v>
      </c>
      <c r="AH65">
        <f>IF(DAY($B65)=AH$1,$K65,0)</f>
        <v>0</v>
      </c>
      <c r="AI65">
        <f>IF(DAY($B65)=AI$1,$K65,0)</f>
        <v>0</v>
      </c>
      <c r="AJ65">
        <f>IF(DAY($B65)=AJ$1,$K65,0)</f>
        <v>0</v>
      </c>
      <c r="AK65">
        <f>IF(DAY($B65)=AK$1,$K65,0)</f>
        <v>0</v>
      </c>
      <c r="AL65">
        <f>IF(DAY($B65)=AL$1,$K65,0)</f>
        <v>0</v>
      </c>
      <c r="AM65">
        <f>IF(DAY($B65)=AM$1,$K65,0)</f>
        <v>0</v>
      </c>
      <c r="AN65">
        <f>IF(DAY($B65)=AN$1,$K65,0)</f>
        <v>0</v>
      </c>
      <c r="AO65">
        <f>IF(DAY($B65)=AO$1,$K65,0)</f>
        <v>0</v>
      </c>
      <c r="AP65">
        <f>IF(DAY($B65)=AP$1,$K65,0)</f>
        <v>0</v>
      </c>
    </row>
    <row r="66" spans="1:42" x14ac:dyDescent="0.3">
      <c r="A66">
        <v>65</v>
      </c>
      <c r="B66" s="1">
        <v>44452</v>
      </c>
      <c r="C66" s="2">
        <v>0.55218749999999994</v>
      </c>
      <c r="D66" s="1">
        <v>44452</v>
      </c>
      <c r="E66" s="3">
        <v>0.62197916666666664</v>
      </c>
      <c r="F66">
        <v>16</v>
      </c>
      <c r="G66">
        <v>21</v>
      </c>
      <c r="H66" s="3">
        <f t="shared" si="1"/>
        <v>6.9791666666666696E-2</v>
      </c>
      <c r="I66" s="3">
        <f t="shared" si="2"/>
        <v>6.9791666666666696E-2</v>
      </c>
      <c r="J66" s="3">
        <f t="shared" si="3"/>
        <v>0</v>
      </c>
      <c r="K66">
        <f t="shared" ref="K66:K129" si="4">SUM(HOUR(J66)*60,MINUTE(J66),SECOND(J66)/60,HOUR(I66)*60,MINUTE(I66),SECOND(I66)/60)</f>
        <v>100.5</v>
      </c>
      <c r="M66">
        <f>IF(DAY(B66)=$M$1,K66,0)</f>
        <v>0</v>
      </c>
      <c r="N66">
        <f>IF(DAY($B66)=N$1,$K66,0)</f>
        <v>0</v>
      </c>
      <c r="O66">
        <f>IF(DAY($B66)=O$1,$K66,0)</f>
        <v>0</v>
      </c>
      <c r="P66">
        <f>IF(DAY($B66)=P$1,$K66,0)</f>
        <v>0</v>
      </c>
      <c r="Q66">
        <f>IF(DAY($B66)=Q$1,$K66,0)</f>
        <v>0</v>
      </c>
      <c r="R66">
        <f>IF(DAY($B66)=R$1,$K66,0)</f>
        <v>0</v>
      </c>
      <c r="S66">
        <f>IF(DAY($B66)=S$1,$K66,0)</f>
        <v>0</v>
      </c>
      <c r="T66">
        <f>IF(DAY($B66)=T$1,$K66,0)</f>
        <v>0</v>
      </c>
      <c r="U66">
        <f>IF(DAY($B66)=U$1,$K66,0)</f>
        <v>0</v>
      </c>
      <c r="V66">
        <f>IF(DAY($B66)=V$1,$K66,0)</f>
        <v>0</v>
      </c>
      <c r="W66">
        <f>IF(DAY($B66)=W$1,$K66,0)</f>
        <v>0</v>
      </c>
      <c r="X66">
        <f>IF(DAY($B66)=X$1,$K66,0)</f>
        <v>0</v>
      </c>
      <c r="Y66">
        <f>IF(DAY($B66)=Y$1,$K66,0)</f>
        <v>100.5</v>
      </c>
      <c r="Z66">
        <f>IF(DAY($B66)=Z$1,$K66,0)</f>
        <v>0</v>
      </c>
      <c r="AA66">
        <f>IF(DAY($B66)=AA$1,$K66,0)</f>
        <v>0</v>
      </c>
      <c r="AB66">
        <f>IF(DAY($B66)=AB$1,$K66,0)</f>
        <v>0</v>
      </c>
      <c r="AC66">
        <f>IF(DAY($B66)=AC$1,$K66,0)</f>
        <v>0</v>
      </c>
      <c r="AD66">
        <f>IF(DAY($B66)=AD$1,$K66,0)</f>
        <v>0</v>
      </c>
      <c r="AE66">
        <f>IF(DAY($B66)=AE$1,$K66,0)</f>
        <v>0</v>
      </c>
      <c r="AF66">
        <f>IF(DAY($B66)=AF$1,$K66,0)</f>
        <v>0</v>
      </c>
      <c r="AG66">
        <f>IF(DAY($B66)=AG$1,$K66,0)</f>
        <v>0</v>
      </c>
      <c r="AH66">
        <f>IF(DAY($B66)=AH$1,$K66,0)</f>
        <v>0</v>
      </c>
      <c r="AI66">
        <f>IF(DAY($B66)=AI$1,$K66,0)</f>
        <v>0</v>
      </c>
      <c r="AJ66">
        <f>IF(DAY($B66)=AJ$1,$K66,0)</f>
        <v>0</v>
      </c>
      <c r="AK66">
        <f>IF(DAY($B66)=AK$1,$K66,0)</f>
        <v>0</v>
      </c>
      <c r="AL66">
        <f>IF(DAY($B66)=AL$1,$K66,0)</f>
        <v>0</v>
      </c>
      <c r="AM66">
        <f>IF(DAY($B66)=AM$1,$K66,0)</f>
        <v>0</v>
      </c>
      <c r="AN66">
        <f>IF(DAY($B66)=AN$1,$K66,0)</f>
        <v>0</v>
      </c>
      <c r="AO66">
        <f>IF(DAY($B66)=AO$1,$K66,0)</f>
        <v>0</v>
      </c>
      <c r="AP66">
        <f>IF(DAY($B66)=AP$1,$K66,0)</f>
        <v>0</v>
      </c>
    </row>
    <row r="67" spans="1:42" x14ac:dyDescent="0.3">
      <c r="A67">
        <v>66</v>
      </c>
      <c r="B67" s="1">
        <v>44452</v>
      </c>
      <c r="C67" s="2">
        <v>0.6699652777777777</v>
      </c>
      <c r="D67" s="1">
        <v>44452</v>
      </c>
      <c r="E67" s="3">
        <v>0.75</v>
      </c>
      <c r="F67">
        <v>19</v>
      </c>
      <c r="G67">
        <v>10</v>
      </c>
      <c r="H67" s="3">
        <f t="shared" ref="H67:H130" si="5">IF(E67&lt;C67,(24-C67)+E67,E67-C67)</f>
        <v>8.0034722222222299E-2</v>
      </c>
      <c r="I67" s="3">
        <f t="shared" ref="I67:I130" si="6">IF(B67=D67,H67,0)</f>
        <v>8.0034722222222299E-2</v>
      </c>
      <c r="J67" s="3">
        <f t="shared" ref="J67:J130" si="7">IF(B67=D67,0,E67)</f>
        <v>0</v>
      </c>
      <c r="K67">
        <f t="shared" si="4"/>
        <v>115.25</v>
      </c>
      <c r="M67">
        <f>IF(DAY(B67)=$M$1,K67,0)</f>
        <v>0</v>
      </c>
      <c r="N67">
        <f>IF(DAY($B67)=N$1,$K67,0)</f>
        <v>0</v>
      </c>
      <c r="O67">
        <f>IF(DAY($B67)=O$1,$K67,0)</f>
        <v>0</v>
      </c>
      <c r="P67">
        <f>IF(DAY($B67)=P$1,$K67,0)</f>
        <v>0</v>
      </c>
      <c r="Q67">
        <f>IF(DAY($B67)=Q$1,$K67,0)</f>
        <v>0</v>
      </c>
      <c r="R67">
        <f>IF(DAY($B67)=R$1,$K67,0)</f>
        <v>0</v>
      </c>
      <c r="S67">
        <f>IF(DAY($B67)=S$1,$K67,0)</f>
        <v>0</v>
      </c>
      <c r="T67">
        <f>IF(DAY($B67)=T$1,$K67,0)</f>
        <v>0</v>
      </c>
      <c r="U67">
        <f>IF(DAY($B67)=U$1,$K67,0)</f>
        <v>0</v>
      </c>
      <c r="V67">
        <f>IF(DAY($B67)=V$1,$K67,0)</f>
        <v>0</v>
      </c>
      <c r="W67">
        <f>IF(DAY($B67)=W$1,$K67,0)</f>
        <v>0</v>
      </c>
      <c r="X67">
        <f>IF(DAY($B67)=X$1,$K67,0)</f>
        <v>0</v>
      </c>
      <c r="Y67">
        <f>IF(DAY($B67)=Y$1,$K67,0)</f>
        <v>115.25</v>
      </c>
      <c r="Z67">
        <f>IF(DAY($B67)=Z$1,$K67,0)</f>
        <v>0</v>
      </c>
      <c r="AA67">
        <f>IF(DAY($B67)=AA$1,$K67,0)</f>
        <v>0</v>
      </c>
      <c r="AB67">
        <f>IF(DAY($B67)=AB$1,$K67,0)</f>
        <v>0</v>
      </c>
      <c r="AC67">
        <f>IF(DAY($B67)=AC$1,$K67,0)</f>
        <v>0</v>
      </c>
      <c r="AD67">
        <f>IF(DAY($B67)=AD$1,$K67,0)</f>
        <v>0</v>
      </c>
      <c r="AE67">
        <f>IF(DAY($B67)=AE$1,$K67,0)</f>
        <v>0</v>
      </c>
      <c r="AF67">
        <f>IF(DAY($B67)=AF$1,$K67,0)</f>
        <v>0</v>
      </c>
      <c r="AG67">
        <f>IF(DAY($B67)=AG$1,$K67,0)</f>
        <v>0</v>
      </c>
      <c r="AH67">
        <f>IF(DAY($B67)=AH$1,$K67,0)</f>
        <v>0</v>
      </c>
      <c r="AI67">
        <f>IF(DAY($B67)=AI$1,$K67,0)</f>
        <v>0</v>
      </c>
      <c r="AJ67">
        <f>IF(DAY($B67)=AJ$1,$K67,0)</f>
        <v>0</v>
      </c>
      <c r="AK67">
        <f>IF(DAY($B67)=AK$1,$K67,0)</f>
        <v>0</v>
      </c>
      <c r="AL67">
        <f>IF(DAY($B67)=AL$1,$K67,0)</f>
        <v>0</v>
      </c>
      <c r="AM67">
        <f>IF(DAY($B67)=AM$1,$K67,0)</f>
        <v>0</v>
      </c>
      <c r="AN67">
        <f>IF(DAY($B67)=AN$1,$K67,0)</f>
        <v>0</v>
      </c>
      <c r="AO67">
        <f>IF(DAY($B67)=AO$1,$K67,0)</f>
        <v>0</v>
      </c>
      <c r="AP67">
        <f>IF(DAY($B67)=AP$1,$K67,0)</f>
        <v>0</v>
      </c>
    </row>
    <row r="68" spans="1:42" x14ac:dyDescent="0.3">
      <c r="A68">
        <v>67</v>
      </c>
      <c r="B68" s="1">
        <v>44452</v>
      </c>
      <c r="C68" s="2">
        <v>0.83971064814814822</v>
      </c>
      <c r="D68" s="1">
        <v>44452</v>
      </c>
      <c r="E68" s="3">
        <v>0.9196643518518518</v>
      </c>
      <c r="F68">
        <v>3</v>
      </c>
      <c r="G68">
        <v>0</v>
      </c>
      <c r="H68" s="3">
        <f t="shared" si="5"/>
        <v>7.9953703703703582E-2</v>
      </c>
      <c r="I68" s="3">
        <f t="shared" si="6"/>
        <v>7.9953703703703582E-2</v>
      </c>
      <c r="J68" s="3">
        <f t="shared" si="7"/>
        <v>0</v>
      </c>
      <c r="K68">
        <f t="shared" si="4"/>
        <v>115.13333333333334</v>
      </c>
      <c r="M68">
        <f>IF(DAY(B68)=$M$1,K68,0)</f>
        <v>0</v>
      </c>
      <c r="N68">
        <f>IF(DAY($B68)=N$1,$K68,0)</f>
        <v>0</v>
      </c>
      <c r="O68">
        <f>IF(DAY($B68)=O$1,$K68,0)</f>
        <v>0</v>
      </c>
      <c r="P68">
        <f>IF(DAY($B68)=P$1,$K68,0)</f>
        <v>0</v>
      </c>
      <c r="Q68">
        <f>IF(DAY($B68)=Q$1,$K68,0)</f>
        <v>0</v>
      </c>
      <c r="R68">
        <f>IF(DAY($B68)=R$1,$K68,0)</f>
        <v>0</v>
      </c>
      <c r="S68">
        <f>IF(DAY($B68)=S$1,$K68,0)</f>
        <v>0</v>
      </c>
      <c r="T68">
        <f>IF(DAY($B68)=T$1,$K68,0)</f>
        <v>0</v>
      </c>
      <c r="U68">
        <f>IF(DAY($B68)=U$1,$K68,0)</f>
        <v>0</v>
      </c>
      <c r="V68">
        <f>IF(DAY($B68)=V$1,$K68,0)</f>
        <v>0</v>
      </c>
      <c r="W68">
        <f>IF(DAY($B68)=W$1,$K68,0)</f>
        <v>0</v>
      </c>
      <c r="X68">
        <f>IF(DAY($B68)=X$1,$K68,0)</f>
        <v>0</v>
      </c>
      <c r="Y68">
        <f>IF(DAY($B68)=Y$1,$K68,0)</f>
        <v>115.13333333333334</v>
      </c>
      <c r="Z68">
        <f>IF(DAY($B68)=Z$1,$K68,0)</f>
        <v>0</v>
      </c>
      <c r="AA68">
        <f>IF(DAY($B68)=AA$1,$K68,0)</f>
        <v>0</v>
      </c>
      <c r="AB68">
        <f>IF(DAY($B68)=AB$1,$K68,0)</f>
        <v>0</v>
      </c>
      <c r="AC68">
        <f>IF(DAY($B68)=AC$1,$K68,0)</f>
        <v>0</v>
      </c>
      <c r="AD68">
        <f>IF(DAY($B68)=AD$1,$K68,0)</f>
        <v>0</v>
      </c>
      <c r="AE68">
        <f>IF(DAY($B68)=AE$1,$K68,0)</f>
        <v>0</v>
      </c>
      <c r="AF68">
        <f>IF(DAY($B68)=AF$1,$K68,0)</f>
        <v>0</v>
      </c>
      <c r="AG68">
        <f>IF(DAY($B68)=AG$1,$K68,0)</f>
        <v>0</v>
      </c>
      <c r="AH68">
        <f>IF(DAY($B68)=AH$1,$K68,0)</f>
        <v>0</v>
      </c>
      <c r="AI68">
        <f>IF(DAY($B68)=AI$1,$K68,0)</f>
        <v>0</v>
      </c>
      <c r="AJ68">
        <f>IF(DAY($B68)=AJ$1,$K68,0)</f>
        <v>0</v>
      </c>
      <c r="AK68">
        <f>IF(DAY($B68)=AK$1,$K68,0)</f>
        <v>0</v>
      </c>
      <c r="AL68">
        <f>IF(DAY($B68)=AL$1,$K68,0)</f>
        <v>0</v>
      </c>
      <c r="AM68">
        <f>IF(DAY($B68)=AM$1,$K68,0)</f>
        <v>0</v>
      </c>
      <c r="AN68">
        <f>IF(DAY($B68)=AN$1,$K68,0)</f>
        <v>0</v>
      </c>
      <c r="AO68">
        <f>IF(DAY($B68)=AO$1,$K68,0)</f>
        <v>0</v>
      </c>
      <c r="AP68">
        <f>IF(DAY($B68)=AP$1,$K68,0)</f>
        <v>0</v>
      </c>
    </row>
    <row r="69" spans="1:42" x14ac:dyDescent="0.3">
      <c r="A69">
        <v>68</v>
      </c>
      <c r="B69" s="1">
        <v>44453</v>
      </c>
      <c r="C69" s="2">
        <v>0.17733796296296298</v>
      </c>
      <c r="D69" s="1">
        <v>44453</v>
      </c>
      <c r="E69" s="3">
        <v>0.26</v>
      </c>
      <c r="F69">
        <v>12</v>
      </c>
      <c r="G69">
        <v>21</v>
      </c>
      <c r="H69" s="3">
        <f t="shared" si="5"/>
        <v>8.2662037037037034E-2</v>
      </c>
      <c r="I69" s="3">
        <f t="shared" si="6"/>
        <v>8.2662037037037034E-2</v>
      </c>
      <c r="J69" s="3">
        <f t="shared" si="7"/>
        <v>0</v>
      </c>
      <c r="K69">
        <f t="shared" si="4"/>
        <v>119.03333333333333</v>
      </c>
      <c r="M69">
        <f>IF(DAY(B69)=$M$1,K69,0)</f>
        <v>0</v>
      </c>
      <c r="N69">
        <f>IF(DAY($B69)=N$1,$K69,0)</f>
        <v>0</v>
      </c>
      <c r="O69">
        <f>IF(DAY($B69)=O$1,$K69,0)</f>
        <v>0</v>
      </c>
      <c r="P69">
        <f>IF(DAY($B69)=P$1,$K69,0)</f>
        <v>0</v>
      </c>
      <c r="Q69">
        <f>IF(DAY($B69)=Q$1,$K69,0)</f>
        <v>0</v>
      </c>
      <c r="R69">
        <f>IF(DAY($B69)=R$1,$K69,0)</f>
        <v>0</v>
      </c>
      <c r="S69">
        <f>IF(DAY($B69)=S$1,$K69,0)</f>
        <v>0</v>
      </c>
      <c r="T69">
        <f>IF(DAY($B69)=T$1,$K69,0)</f>
        <v>0</v>
      </c>
      <c r="U69">
        <f>IF(DAY($B69)=U$1,$K69,0)</f>
        <v>0</v>
      </c>
      <c r="V69">
        <f>IF(DAY($B69)=V$1,$K69,0)</f>
        <v>0</v>
      </c>
      <c r="W69">
        <f>IF(DAY($B69)=W$1,$K69,0)</f>
        <v>0</v>
      </c>
      <c r="X69">
        <f>IF(DAY($B69)=X$1,$K69,0)</f>
        <v>0</v>
      </c>
      <c r="Y69">
        <f>IF(DAY($B69)=Y$1,$K69,0)</f>
        <v>0</v>
      </c>
      <c r="Z69">
        <f>IF(DAY($B69)=Z$1,$K69,0)</f>
        <v>119.03333333333333</v>
      </c>
      <c r="AA69">
        <f>IF(DAY($B69)=AA$1,$K69,0)</f>
        <v>0</v>
      </c>
      <c r="AB69">
        <f>IF(DAY($B69)=AB$1,$K69,0)</f>
        <v>0</v>
      </c>
      <c r="AC69">
        <f>IF(DAY($B69)=AC$1,$K69,0)</f>
        <v>0</v>
      </c>
      <c r="AD69">
        <f>IF(DAY($B69)=AD$1,$K69,0)</f>
        <v>0</v>
      </c>
      <c r="AE69">
        <f>IF(DAY($B69)=AE$1,$K69,0)</f>
        <v>0</v>
      </c>
      <c r="AF69">
        <f>IF(DAY($B69)=AF$1,$K69,0)</f>
        <v>0</v>
      </c>
      <c r="AG69">
        <f>IF(DAY($B69)=AG$1,$K69,0)</f>
        <v>0</v>
      </c>
      <c r="AH69">
        <f>IF(DAY($B69)=AH$1,$K69,0)</f>
        <v>0</v>
      </c>
      <c r="AI69">
        <f>IF(DAY($B69)=AI$1,$K69,0)</f>
        <v>0</v>
      </c>
      <c r="AJ69">
        <f>IF(DAY($B69)=AJ$1,$K69,0)</f>
        <v>0</v>
      </c>
      <c r="AK69">
        <f>IF(DAY($B69)=AK$1,$K69,0)</f>
        <v>0</v>
      </c>
      <c r="AL69">
        <f>IF(DAY($B69)=AL$1,$K69,0)</f>
        <v>0</v>
      </c>
      <c r="AM69">
        <f>IF(DAY($B69)=AM$1,$K69,0)</f>
        <v>0</v>
      </c>
      <c r="AN69">
        <f>IF(DAY($B69)=AN$1,$K69,0)</f>
        <v>0</v>
      </c>
      <c r="AO69">
        <f>IF(DAY($B69)=AO$1,$K69,0)</f>
        <v>0</v>
      </c>
      <c r="AP69">
        <f>IF(DAY($B69)=AP$1,$K69,0)</f>
        <v>0</v>
      </c>
    </row>
    <row r="70" spans="1:42" x14ac:dyDescent="0.3">
      <c r="A70">
        <v>69</v>
      </c>
      <c r="B70" s="1">
        <v>44453</v>
      </c>
      <c r="C70" s="2">
        <v>0.34437500000000004</v>
      </c>
      <c r="D70" s="1">
        <v>44453</v>
      </c>
      <c r="E70" s="3">
        <v>0.42008101851851848</v>
      </c>
      <c r="F70">
        <v>17</v>
      </c>
      <c r="G70">
        <v>20</v>
      </c>
      <c r="H70" s="3">
        <f t="shared" si="5"/>
        <v>7.5706018518518436E-2</v>
      </c>
      <c r="I70" s="3">
        <f t="shared" si="6"/>
        <v>7.5706018518518436E-2</v>
      </c>
      <c r="J70" s="3">
        <f t="shared" si="7"/>
        <v>0</v>
      </c>
      <c r="K70">
        <f t="shared" si="4"/>
        <v>109.01666666666667</v>
      </c>
      <c r="M70">
        <f>IF(DAY(B70)=$M$1,K70,0)</f>
        <v>0</v>
      </c>
      <c r="N70">
        <f>IF(DAY($B70)=N$1,$K70,0)</f>
        <v>0</v>
      </c>
      <c r="O70">
        <f>IF(DAY($B70)=O$1,$K70,0)</f>
        <v>0</v>
      </c>
      <c r="P70">
        <f>IF(DAY($B70)=P$1,$K70,0)</f>
        <v>0</v>
      </c>
      <c r="Q70">
        <f>IF(DAY($B70)=Q$1,$K70,0)</f>
        <v>0</v>
      </c>
      <c r="R70">
        <f>IF(DAY($B70)=R$1,$K70,0)</f>
        <v>0</v>
      </c>
      <c r="S70">
        <f>IF(DAY($B70)=S$1,$K70,0)</f>
        <v>0</v>
      </c>
      <c r="T70">
        <f>IF(DAY($B70)=T$1,$K70,0)</f>
        <v>0</v>
      </c>
      <c r="U70">
        <f>IF(DAY($B70)=U$1,$K70,0)</f>
        <v>0</v>
      </c>
      <c r="V70">
        <f>IF(DAY($B70)=V$1,$K70,0)</f>
        <v>0</v>
      </c>
      <c r="W70">
        <f>IF(DAY($B70)=W$1,$K70,0)</f>
        <v>0</v>
      </c>
      <c r="X70">
        <f>IF(DAY($B70)=X$1,$K70,0)</f>
        <v>0</v>
      </c>
      <c r="Y70">
        <f>IF(DAY($B70)=Y$1,$K70,0)</f>
        <v>0</v>
      </c>
      <c r="Z70">
        <f>IF(DAY($B70)=Z$1,$K70,0)</f>
        <v>109.01666666666667</v>
      </c>
      <c r="AA70">
        <f>IF(DAY($B70)=AA$1,$K70,0)</f>
        <v>0</v>
      </c>
      <c r="AB70">
        <f>IF(DAY($B70)=AB$1,$K70,0)</f>
        <v>0</v>
      </c>
      <c r="AC70">
        <f>IF(DAY($B70)=AC$1,$K70,0)</f>
        <v>0</v>
      </c>
      <c r="AD70">
        <f>IF(DAY($B70)=AD$1,$K70,0)</f>
        <v>0</v>
      </c>
      <c r="AE70">
        <f>IF(DAY($B70)=AE$1,$K70,0)</f>
        <v>0</v>
      </c>
      <c r="AF70">
        <f>IF(DAY($B70)=AF$1,$K70,0)</f>
        <v>0</v>
      </c>
      <c r="AG70">
        <f>IF(DAY($B70)=AG$1,$K70,0)</f>
        <v>0</v>
      </c>
      <c r="AH70">
        <f>IF(DAY($B70)=AH$1,$K70,0)</f>
        <v>0</v>
      </c>
      <c r="AI70">
        <f>IF(DAY($B70)=AI$1,$K70,0)</f>
        <v>0</v>
      </c>
      <c r="AJ70">
        <f>IF(DAY($B70)=AJ$1,$K70,0)</f>
        <v>0</v>
      </c>
      <c r="AK70">
        <f>IF(DAY($B70)=AK$1,$K70,0)</f>
        <v>0</v>
      </c>
      <c r="AL70">
        <f>IF(DAY($B70)=AL$1,$K70,0)</f>
        <v>0</v>
      </c>
      <c r="AM70">
        <f>IF(DAY($B70)=AM$1,$K70,0)</f>
        <v>0</v>
      </c>
      <c r="AN70">
        <f>IF(DAY($B70)=AN$1,$K70,0)</f>
        <v>0</v>
      </c>
      <c r="AO70">
        <f>IF(DAY($B70)=AO$1,$K70,0)</f>
        <v>0</v>
      </c>
      <c r="AP70">
        <f>IF(DAY($B70)=AP$1,$K70,0)</f>
        <v>0</v>
      </c>
    </row>
    <row r="71" spans="1:42" x14ac:dyDescent="0.3">
      <c r="A71">
        <v>70</v>
      </c>
      <c r="B71" s="1">
        <v>44453</v>
      </c>
      <c r="C71" s="2">
        <v>0.5</v>
      </c>
      <c r="D71" s="1">
        <v>44453</v>
      </c>
      <c r="E71" s="3">
        <v>0.58119212962962963</v>
      </c>
      <c r="F71">
        <v>11</v>
      </c>
      <c r="G71">
        <v>22</v>
      </c>
      <c r="H71" s="3">
        <f t="shared" si="5"/>
        <v>8.1192129629629628E-2</v>
      </c>
      <c r="I71" s="3">
        <f t="shared" si="6"/>
        <v>8.1192129629629628E-2</v>
      </c>
      <c r="J71" s="3">
        <f t="shared" si="7"/>
        <v>0</v>
      </c>
      <c r="K71">
        <f t="shared" si="4"/>
        <v>116.91666666666667</v>
      </c>
      <c r="M71">
        <f>IF(DAY(B71)=$M$1,K71,0)</f>
        <v>0</v>
      </c>
      <c r="N71">
        <f>IF(DAY($B71)=N$1,$K71,0)</f>
        <v>0</v>
      </c>
      <c r="O71">
        <f>IF(DAY($B71)=O$1,$K71,0)</f>
        <v>0</v>
      </c>
      <c r="P71">
        <f>IF(DAY($B71)=P$1,$K71,0)</f>
        <v>0</v>
      </c>
      <c r="Q71">
        <f>IF(DAY($B71)=Q$1,$K71,0)</f>
        <v>0</v>
      </c>
      <c r="R71">
        <f>IF(DAY($B71)=R$1,$K71,0)</f>
        <v>0</v>
      </c>
      <c r="S71">
        <f>IF(DAY($B71)=S$1,$K71,0)</f>
        <v>0</v>
      </c>
      <c r="T71">
        <f>IF(DAY($B71)=T$1,$K71,0)</f>
        <v>0</v>
      </c>
      <c r="U71">
        <f>IF(DAY($B71)=U$1,$K71,0)</f>
        <v>0</v>
      </c>
      <c r="V71">
        <f>IF(DAY($B71)=V$1,$K71,0)</f>
        <v>0</v>
      </c>
      <c r="W71">
        <f>IF(DAY($B71)=W$1,$K71,0)</f>
        <v>0</v>
      </c>
      <c r="X71">
        <f>IF(DAY($B71)=X$1,$K71,0)</f>
        <v>0</v>
      </c>
      <c r="Y71">
        <f>IF(DAY($B71)=Y$1,$K71,0)</f>
        <v>0</v>
      </c>
      <c r="Z71">
        <f>IF(DAY($B71)=Z$1,$K71,0)</f>
        <v>116.91666666666667</v>
      </c>
      <c r="AA71">
        <f>IF(DAY($B71)=AA$1,$K71,0)</f>
        <v>0</v>
      </c>
      <c r="AB71">
        <f>IF(DAY($B71)=AB$1,$K71,0)</f>
        <v>0</v>
      </c>
      <c r="AC71">
        <f>IF(DAY($B71)=AC$1,$K71,0)</f>
        <v>0</v>
      </c>
      <c r="AD71">
        <f>IF(DAY($B71)=AD$1,$K71,0)</f>
        <v>0</v>
      </c>
      <c r="AE71">
        <f>IF(DAY($B71)=AE$1,$K71,0)</f>
        <v>0</v>
      </c>
      <c r="AF71">
        <f>IF(DAY($B71)=AF$1,$K71,0)</f>
        <v>0</v>
      </c>
      <c r="AG71">
        <f>IF(DAY($B71)=AG$1,$K71,0)</f>
        <v>0</v>
      </c>
      <c r="AH71">
        <f>IF(DAY($B71)=AH$1,$K71,0)</f>
        <v>0</v>
      </c>
      <c r="AI71">
        <f>IF(DAY($B71)=AI$1,$K71,0)</f>
        <v>0</v>
      </c>
      <c r="AJ71">
        <f>IF(DAY($B71)=AJ$1,$K71,0)</f>
        <v>0</v>
      </c>
      <c r="AK71">
        <f>IF(DAY($B71)=AK$1,$K71,0)</f>
        <v>0</v>
      </c>
      <c r="AL71">
        <f>IF(DAY($B71)=AL$1,$K71,0)</f>
        <v>0</v>
      </c>
      <c r="AM71">
        <f>IF(DAY($B71)=AM$1,$K71,0)</f>
        <v>0</v>
      </c>
      <c r="AN71">
        <f>IF(DAY($B71)=AN$1,$K71,0)</f>
        <v>0</v>
      </c>
      <c r="AO71">
        <f>IF(DAY($B71)=AO$1,$K71,0)</f>
        <v>0</v>
      </c>
      <c r="AP71">
        <f>IF(DAY($B71)=AP$1,$K71,0)</f>
        <v>0</v>
      </c>
    </row>
    <row r="72" spans="1:42" x14ac:dyDescent="0.3">
      <c r="A72">
        <v>71</v>
      </c>
      <c r="B72" s="1">
        <v>44453</v>
      </c>
      <c r="C72" s="2">
        <v>0.64340277777777777</v>
      </c>
      <c r="D72" s="1">
        <v>44453</v>
      </c>
      <c r="E72" s="3">
        <v>0.7085069444444444</v>
      </c>
      <c r="F72">
        <v>7</v>
      </c>
      <c r="G72">
        <v>2</v>
      </c>
      <c r="H72" s="3">
        <f t="shared" si="5"/>
        <v>6.510416666666663E-2</v>
      </c>
      <c r="I72" s="3">
        <f t="shared" si="6"/>
        <v>6.510416666666663E-2</v>
      </c>
      <c r="J72" s="3">
        <f t="shared" si="7"/>
        <v>0</v>
      </c>
      <c r="K72">
        <f t="shared" si="4"/>
        <v>93.75</v>
      </c>
      <c r="M72">
        <f>IF(DAY(B72)=$M$1,K72,0)</f>
        <v>0</v>
      </c>
      <c r="N72">
        <f>IF(DAY($B72)=N$1,$K72,0)</f>
        <v>0</v>
      </c>
      <c r="O72">
        <f>IF(DAY($B72)=O$1,$K72,0)</f>
        <v>0</v>
      </c>
      <c r="P72">
        <f>IF(DAY($B72)=P$1,$K72,0)</f>
        <v>0</v>
      </c>
      <c r="Q72">
        <f>IF(DAY($B72)=Q$1,$K72,0)</f>
        <v>0</v>
      </c>
      <c r="R72">
        <f>IF(DAY($B72)=R$1,$K72,0)</f>
        <v>0</v>
      </c>
      <c r="S72">
        <f>IF(DAY($B72)=S$1,$K72,0)</f>
        <v>0</v>
      </c>
      <c r="T72">
        <f>IF(DAY($B72)=T$1,$K72,0)</f>
        <v>0</v>
      </c>
      <c r="U72">
        <f>IF(DAY($B72)=U$1,$K72,0)</f>
        <v>0</v>
      </c>
      <c r="V72">
        <f>IF(DAY($B72)=V$1,$K72,0)</f>
        <v>0</v>
      </c>
      <c r="W72">
        <f>IF(DAY($B72)=W$1,$K72,0)</f>
        <v>0</v>
      </c>
      <c r="X72">
        <f>IF(DAY($B72)=X$1,$K72,0)</f>
        <v>0</v>
      </c>
      <c r="Y72">
        <f>IF(DAY($B72)=Y$1,$K72,0)</f>
        <v>0</v>
      </c>
      <c r="Z72">
        <f>IF(DAY($B72)=Z$1,$K72,0)</f>
        <v>93.75</v>
      </c>
      <c r="AA72">
        <f>IF(DAY($B72)=AA$1,$K72,0)</f>
        <v>0</v>
      </c>
      <c r="AB72">
        <f>IF(DAY($B72)=AB$1,$K72,0)</f>
        <v>0</v>
      </c>
      <c r="AC72">
        <f>IF(DAY($B72)=AC$1,$K72,0)</f>
        <v>0</v>
      </c>
      <c r="AD72">
        <f>IF(DAY($B72)=AD$1,$K72,0)</f>
        <v>0</v>
      </c>
      <c r="AE72">
        <f>IF(DAY($B72)=AE$1,$K72,0)</f>
        <v>0</v>
      </c>
      <c r="AF72">
        <f>IF(DAY($B72)=AF$1,$K72,0)</f>
        <v>0</v>
      </c>
      <c r="AG72">
        <f>IF(DAY($B72)=AG$1,$K72,0)</f>
        <v>0</v>
      </c>
      <c r="AH72">
        <f>IF(DAY($B72)=AH$1,$K72,0)</f>
        <v>0</v>
      </c>
      <c r="AI72">
        <f>IF(DAY($B72)=AI$1,$K72,0)</f>
        <v>0</v>
      </c>
      <c r="AJ72">
        <f>IF(DAY($B72)=AJ$1,$K72,0)</f>
        <v>0</v>
      </c>
      <c r="AK72">
        <f>IF(DAY($B72)=AK$1,$K72,0)</f>
        <v>0</v>
      </c>
      <c r="AL72">
        <f>IF(DAY($B72)=AL$1,$K72,0)</f>
        <v>0</v>
      </c>
      <c r="AM72">
        <f>IF(DAY($B72)=AM$1,$K72,0)</f>
        <v>0</v>
      </c>
      <c r="AN72">
        <f>IF(DAY($B72)=AN$1,$K72,0)</f>
        <v>0</v>
      </c>
      <c r="AO72">
        <f>IF(DAY($B72)=AO$1,$K72,0)</f>
        <v>0</v>
      </c>
      <c r="AP72">
        <f>IF(DAY($B72)=AP$1,$K72,0)</f>
        <v>0</v>
      </c>
    </row>
    <row r="73" spans="1:42" x14ac:dyDescent="0.3">
      <c r="A73">
        <v>72</v>
      </c>
      <c r="B73" s="1">
        <v>44453</v>
      </c>
      <c r="C73" s="2">
        <v>0.77552083333333333</v>
      </c>
      <c r="D73" s="1">
        <v>44453</v>
      </c>
      <c r="E73" s="3">
        <v>0.80270833333333336</v>
      </c>
      <c r="F73">
        <v>8</v>
      </c>
      <c r="G73">
        <v>7</v>
      </c>
      <c r="H73" s="3">
        <f t="shared" si="5"/>
        <v>2.7187500000000031E-2</v>
      </c>
      <c r="I73" s="3">
        <f t="shared" si="6"/>
        <v>2.7187500000000031E-2</v>
      </c>
      <c r="J73" s="3">
        <f t="shared" si="7"/>
        <v>0</v>
      </c>
      <c r="K73">
        <f t="shared" si="4"/>
        <v>39.15</v>
      </c>
      <c r="M73">
        <f>IF(DAY(B73)=$M$1,K73,0)</f>
        <v>0</v>
      </c>
      <c r="N73">
        <f>IF(DAY($B73)=N$1,$K73,0)</f>
        <v>0</v>
      </c>
      <c r="O73">
        <f>IF(DAY($B73)=O$1,$K73,0)</f>
        <v>0</v>
      </c>
      <c r="P73">
        <f>IF(DAY($B73)=P$1,$K73,0)</f>
        <v>0</v>
      </c>
      <c r="Q73">
        <f>IF(DAY($B73)=Q$1,$K73,0)</f>
        <v>0</v>
      </c>
      <c r="R73">
        <f>IF(DAY($B73)=R$1,$K73,0)</f>
        <v>0</v>
      </c>
      <c r="S73">
        <f>IF(DAY($B73)=S$1,$K73,0)</f>
        <v>0</v>
      </c>
      <c r="T73">
        <f>IF(DAY($B73)=T$1,$K73,0)</f>
        <v>0</v>
      </c>
      <c r="U73">
        <f>IF(DAY($B73)=U$1,$K73,0)</f>
        <v>0</v>
      </c>
      <c r="V73">
        <f>IF(DAY($B73)=V$1,$K73,0)</f>
        <v>0</v>
      </c>
      <c r="W73">
        <f>IF(DAY($B73)=W$1,$K73,0)</f>
        <v>0</v>
      </c>
      <c r="X73">
        <f>IF(DAY($B73)=X$1,$K73,0)</f>
        <v>0</v>
      </c>
      <c r="Y73">
        <f>IF(DAY($B73)=Y$1,$K73,0)</f>
        <v>0</v>
      </c>
      <c r="Z73">
        <f>IF(DAY($B73)=Z$1,$K73,0)</f>
        <v>39.15</v>
      </c>
      <c r="AA73">
        <f>IF(DAY($B73)=AA$1,$K73,0)</f>
        <v>0</v>
      </c>
      <c r="AB73">
        <f>IF(DAY($B73)=AB$1,$K73,0)</f>
        <v>0</v>
      </c>
      <c r="AC73">
        <f>IF(DAY($B73)=AC$1,$K73,0)</f>
        <v>0</v>
      </c>
      <c r="AD73">
        <f>IF(DAY($B73)=AD$1,$K73,0)</f>
        <v>0</v>
      </c>
      <c r="AE73">
        <f>IF(DAY($B73)=AE$1,$K73,0)</f>
        <v>0</v>
      </c>
      <c r="AF73">
        <f>IF(DAY($B73)=AF$1,$K73,0)</f>
        <v>0</v>
      </c>
      <c r="AG73">
        <f>IF(DAY($B73)=AG$1,$K73,0)</f>
        <v>0</v>
      </c>
      <c r="AH73">
        <f>IF(DAY($B73)=AH$1,$K73,0)</f>
        <v>0</v>
      </c>
      <c r="AI73">
        <f>IF(DAY($B73)=AI$1,$K73,0)</f>
        <v>0</v>
      </c>
      <c r="AJ73">
        <f>IF(DAY($B73)=AJ$1,$K73,0)</f>
        <v>0</v>
      </c>
      <c r="AK73">
        <f>IF(DAY($B73)=AK$1,$K73,0)</f>
        <v>0</v>
      </c>
      <c r="AL73">
        <f>IF(DAY($B73)=AL$1,$K73,0)</f>
        <v>0</v>
      </c>
      <c r="AM73">
        <f>IF(DAY($B73)=AM$1,$K73,0)</f>
        <v>0</v>
      </c>
      <c r="AN73">
        <f>IF(DAY($B73)=AN$1,$K73,0)</f>
        <v>0</v>
      </c>
      <c r="AO73">
        <f>IF(DAY($B73)=AO$1,$K73,0)</f>
        <v>0</v>
      </c>
      <c r="AP73">
        <f>IF(DAY($B73)=AP$1,$K73,0)</f>
        <v>0</v>
      </c>
    </row>
    <row r="74" spans="1:42" x14ac:dyDescent="0.3">
      <c r="A74">
        <v>73</v>
      </c>
      <c r="B74" s="1">
        <v>44453</v>
      </c>
      <c r="C74" s="2">
        <v>0.87285879629629637</v>
      </c>
      <c r="D74" s="1">
        <v>44453</v>
      </c>
      <c r="E74" s="3">
        <v>0.91951388888888885</v>
      </c>
      <c r="F74">
        <v>6</v>
      </c>
      <c r="G74">
        <v>1</v>
      </c>
      <c r="H74" s="3">
        <f t="shared" si="5"/>
        <v>4.6655092592592484E-2</v>
      </c>
      <c r="I74" s="3">
        <f t="shared" si="6"/>
        <v>4.6655092592592484E-2</v>
      </c>
      <c r="J74" s="3">
        <f t="shared" si="7"/>
        <v>0</v>
      </c>
      <c r="K74">
        <f t="shared" si="4"/>
        <v>67.183333333333337</v>
      </c>
      <c r="M74">
        <f>IF(DAY(B74)=$M$1,K74,0)</f>
        <v>0</v>
      </c>
      <c r="N74">
        <f>IF(DAY($B74)=N$1,$K74,0)</f>
        <v>0</v>
      </c>
      <c r="O74">
        <f>IF(DAY($B74)=O$1,$K74,0)</f>
        <v>0</v>
      </c>
      <c r="P74">
        <f>IF(DAY($B74)=P$1,$K74,0)</f>
        <v>0</v>
      </c>
      <c r="Q74">
        <f>IF(DAY($B74)=Q$1,$K74,0)</f>
        <v>0</v>
      </c>
      <c r="R74">
        <f>IF(DAY($B74)=R$1,$K74,0)</f>
        <v>0</v>
      </c>
      <c r="S74">
        <f>IF(DAY($B74)=S$1,$K74,0)</f>
        <v>0</v>
      </c>
      <c r="T74">
        <f>IF(DAY($B74)=T$1,$K74,0)</f>
        <v>0</v>
      </c>
      <c r="U74">
        <f>IF(DAY($B74)=U$1,$K74,0)</f>
        <v>0</v>
      </c>
      <c r="V74">
        <f>IF(DAY($B74)=V$1,$K74,0)</f>
        <v>0</v>
      </c>
      <c r="W74">
        <f>IF(DAY($B74)=W$1,$K74,0)</f>
        <v>0</v>
      </c>
      <c r="X74">
        <f>IF(DAY($B74)=X$1,$K74,0)</f>
        <v>0</v>
      </c>
      <c r="Y74">
        <f>IF(DAY($B74)=Y$1,$K74,0)</f>
        <v>0</v>
      </c>
      <c r="Z74">
        <f>IF(DAY($B74)=Z$1,$K74,0)</f>
        <v>67.183333333333337</v>
      </c>
      <c r="AA74">
        <f>IF(DAY($B74)=AA$1,$K74,0)</f>
        <v>0</v>
      </c>
      <c r="AB74">
        <f>IF(DAY($B74)=AB$1,$K74,0)</f>
        <v>0</v>
      </c>
      <c r="AC74">
        <f>IF(DAY($B74)=AC$1,$K74,0)</f>
        <v>0</v>
      </c>
      <c r="AD74">
        <f>IF(DAY($B74)=AD$1,$K74,0)</f>
        <v>0</v>
      </c>
      <c r="AE74">
        <f>IF(DAY($B74)=AE$1,$K74,0)</f>
        <v>0</v>
      </c>
      <c r="AF74">
        <f>IF(DAY($B74)=AF$1,$K74,0)</f>
        <v>0</v>
      </c>
      <c r="AG74">
        <f>IF(DAY($B74)=AG$1,$K74,0)</f>
        <v>0</v>
      </c>
      <c r="AH74">
        <f>IF(DAY($B74)=AH$1,$K74,0)</f>
        <v>0</v>
      </c>
      <c r="AI74">
        <f>IF(DAY($B74)=AI$1,$K74,0)</f>
        <v>0</v>
      </c>
      <c r="AJ74">
        <f>IF(DAY($B74)=AJ$1,$K74,0)</f>
        <v>0</v>
      </c>
      <c r="AK74">
        <f>IF(DAY($B74)=AK$1,$K74,0)</f>
        <v>0</v>
      </c>
      <c r="AL74">
        <f>IF(DAY($B74)=AL$1,$K74,0)</f>
        <v>0</v>
      </c>
      <c r="AM74">
        <f>IF(DAY($B74)=AM$1,$K74,0)</f>
        <v>0</v>
      </c>
      <c r="AN74">
        <f>IF(DAY($B74)=AN$1,$K74,0)</f>
        <v>0</v>
      </c>
      <c r="AO74">
        <f>IF(DAY($B74)=AO$1,$K74,0)</f>
        <v>0</v>
      </c>
      <c r="AP74">
        <f>IF(DAY($B74)=AP$1,$K74,0)</f>
        <v>0</v>
      </c>
    </row>
    <row r="75" spans="1:42" x14ac:dyDescent="0.3">
      <c r="A75">
        <v>74</v>
      </c>
      <c r="B75" s="1">
        <v>44454</v>
      </c>
      <c r="C75" s="2">
        <v>4.2361111111111106E-2</v>
      </c>
      <c r="D75" s="1">
        <v>44454</v>
      </c>
      <c r="E75" s="3">
        <v>0.17298611111111109</v>
      </c>
      <c r="F75">
        <v>0</v>
      </c>
      <c r="G75">
        <v>6</v>
      </c>
      <c r="H75" s="3">
        <f t="shared" si="5"/>
        <v>0.13062499999999999</v>
      </c>
      <c r="I75" s="3">
        <f t="shared" si="6"/>
        <v>0.13062499999999999</v>
      </c>
      <c r="J75" s="3">
        <f t="shared" si="7"/>
        <v>0</v>
      </c>
      <c r="K75">
        <f t="shared" si="4"/>
        <v>188.1</v>
      </c>
      <c r="M75">
        <f>IF(DAY(B75)=$M$1,K75,0)</f>
        <v>0</v>
      </c>
      <c r="N75">
        <f>IF(DAY($B75)=N$1,$K75,0)</f>
        <v>0</v>
      </c>
      <c r="O75">
        <f>IF(DAY($B75)=O$1,$K75,0)</f>
        <v>0</v>
      </c>
      <c r="P75">
        <f>IF(DAY($B75)=P$1,$K75,0)</f>
        <v>0</v>
      </c>
      <c r="Q75">
        <f>IF(DAY($B75)=Q$1,$K75,0)</f>
        <v>0</v>
      </c>
      <c r="R75">
        <f>IF(DAY($B75)=R$1,$K75,0)</f>
        <v>0</v>
      </c>
      <c r="S75">
        <f>IF(DAY($B75)=S$1,$K75,0)</f>
        <v>0</v>
      </c>
      <c r="T75">
        <f>IF(DAY($B75)=T$1,$K75,0)</f>
        <v>0</v>
      </c>
      <c r="U75">
        <f>IF(DAY($B75)=U$1,$K75,0)</f>
        <v>0</v>
      </c>
      <c r="V75">
        <f>IF(DAY($B75)=V$1,$K75,0)</f>
        <v>0</v>
      </c>
      <c r="W75">
        <f>IF(DAY($B75)=W$1,$K75,0)</f>
        <v>0</v>
      </c>
      <c r="X75">
        <f>IF(DAY($B75)=X$1,$K75,0)</f>
        <v>0</v>
      </c>
      <c r="Y75">
        <f>IF(DAY($B75)=Y$1,$K75,0)</f>
        <v>0</v>
      </c>
      <c r="Z75">
        <f>IF(DAY($B75)=Z$1,$K75,0)</f>
        <v>0</v>
      </c>
      <c r="AA75">
        <f>IF(DAY($B75)=AA$1,$K75,0)</f>
        <v>188.1</v>
      </c>
      <c r="AB75">
        <f>IF(DAY($B75)=AB$1,$K75,0)</f>
        <v>0</v>
      </c>
      <c r="AC75">
        <f>IF(DAY($B75)=AC$1,$K75,0)</f>
        <v>0</v>
      </c>
      <c r="AD75">
        <f>IF(DAY($B75)=AD$1,$K75,0)</f>
        <v>0</v>
      </c>
      <c r="AE75">
        <f>IF(DAY($B75)=AE$1,$K75,0)</f>
        <v>0</v>
      </c>
      <c r="AF75">
        <f>IF(DAY($B75)=AF$1,$K75,0)</f>
        <v>0</v>
      </c>
      <c r="AG75">
        <f>IF(DAY($B75)=AG$1,$K75,0)</f>
        <v>0</v>
      </c>
      <c r="AH75">
        <f>IF(DAY($B75)=AH$1,$K75,0)</f>
        <v>0</v>
      </c>
      <c r="AI75">
        <f>IF(DAY($B75)=AI$1,$K75,0)</f>
        <v>0</v>
      </c>
      <c r="AJ75">
        <f>IF(DAY($B75)=AJ$1,$K75,0)</f>
        <v>0</v>
      </c>
      <c r="AK75">
        <f>IF(DAY($B75)=AK$1,$K75,0)</f>
        <v>0</v>
      </c>
      <c r="AL75">
        <f>IF(DAY($B75)=AL$1,$K75,0)</f>
        <v>0</v>
      </c>
      <c r="AM75">
        <f>IF(DAY($B75)=AM$1,$K75,0)</f>
        <v>0</v>
      </c>
      <c r="AN75">
        <f>IF(DAY($B75)=AN$1,$K75,0)</f>
        <v>0</v>
      </c>
      <c r="AO75">
        <f>IF(DAY($B75)=AO$1,$K75,0)</f>
        <v>0</v>
      </c>
      <c r="AP75">
        <f>IF(DAY($B75)=AP$1,$K75,0)</f>
        <v>0</v>
      </c>
    </row>
    <row r="76" spans="1:42" x14ac:dyDescent="0.3">
      <c r="A76">
        <v>75</v>
      </c>
      <c r="B76" s="1">
        <v>44454</v>
      </c>
      <c r="C76" s="2">
        <v>0.28885416666666669</v>
      </c>
      <c r="D76" s="1">
        <v>44454</v>
      </c>
      <c r="E76" s="3">
        <v>0.34437500000000004</v>
      </c>
      <c r="F76">
        <v>0</v>
      </c>
      <c r="G76">
        <v>5</v>
      </c>
      <c r="H76" s="3">
        <f t="shared" si="5"/>
        <v>5.5520833333333353E-2</v>
      </c>
      <c r="I76" s="3">
        <f t="shared" si="6"/>
        <v>5.5520833333333353E-2</v>
      </c>
      <c r="J76" s="3">
        <f t="shared" si="7"/>
        <v>0</v>
      </c>
      <c r="K76">
        <f t="shared" si="4"/>
        <v>79.95</v>
      </c>
      <c r="M76">
        <f>IF(DAY(B76)=$M$1,K76,0)</f>
        <v>0</v>
      </c>
      <c r="N76">
        <f>IF(DAY($B76)=N$1,$K76,0)</f>
        <v>0</v>
      </c>
      <c r="O76">
        <f>IF(DAY($B76)=O$1,$K76,0)</f>
        <v>0</v>
      </c>
      <c r="P76">
        <f>IF(DAY($B76)=P$1,$K76,0)</f>
        <v>0</v>
      </c>
      <c r="Q76">
        <f>IF(DAY($B76)=Q$1,$K76,0)</f>
        <v>0</v>
      </c>
      <c r="R76">
        <f>IF(DAY($B76)=R$1,$K76,0)</f>
        <v>0</v>
      </c>
      <c r="S76">
        <f>IF(DAY($B76)=S$1,$K76,0)</f>
        <v>0</v>
      </c>
      <c r="T76">
        <f>IF(DAY($B76)=T$1,$K76,0)</f>
        <v>0</v>
      </c>
      <c r="U76">
        <f>IF(DAY($B76)=U$1,$K76,0)</f>
        <v>0</v>
      </c>
      <c r="V76">
        <f>IF(DAY($B76)=V$1,$K76,0)</f>
        <v>0</v>
      </c>
      <c r="W76">
        <f>IF(DAY($B76)=W$1,$K76,0)</f>
        <v>0</v>
      </c>
      <c r="X76">
        <f>IF(DAY($B76)=X$1,$K76,0)</f>
        <v>0</v>
      </c>
      <c r="Y76">
        <f>IF(DAY($B76)=Y$1,$K76,0)</f>
        <v>0</v>
      </c>
      <c r="Z76">
        <f>IF(DAY($B76)=Z$1,$K76,0)</f>
        <v>0</v>
      </c>
      <c r="AA76">
        <f>IF(DAY($B76)=AA$1,$K76,0)</f>
        <v>79.95</v>
      </c>
      <c r="AB76">
        <f>IF(DAY($B76)=AB$1,$K76,0)</f>
        <v>0</v>
      </c>
      <c r="AC76">
        <f>IF(DAY($B76)=AC$1,$K76,0)</f>
        <v>0</v>
      </c>
      <c r="AD76">
        <f>IF(DAY($B76)=AD$1,$K76,0)</f>
        <v>0</v>
      </c>
      <c r="AE76">
        <f>IF(DAY($B76)=AE$1,$K76,0)</f>
        <v>0</v>
      </c>
      <c r="AF76">
        <f>IF(DAY($B76)=AF$1,$K76,0)</f>
        <v>0</v>
      </c>
      <c r="AG76">
        <f>IF(DAY($B76)=AG$1,$K76,0)</f>
        <v>0</v>
      </c>
      <c r="AH76">
        <f>IF(DAY($B76)=AH$1,$K76,0)</f>
        <v>0</v>
      </c>
      <c r="AI76">
        <f>IF(DAY($B76)=AI$1,$K76,0)</f>
        <v>0</v>
      </c>
      <c r="AJ76">
        <f>IF(DAY($B76)=AJ$1,$K76,0)</f>
        <v>0</v>
      </c>
      <c r="AK76">
        <f>IF(DAY($B76)=AK$1,$K76,0)</f>
        <v>0</v>
      </c>
      <c r="AL76">
        <f>IF(DAY($B76)=AL$1,$K76,0)</f>
        <v>0</v>
      </c>
      <c r="AM76">
        <f>IF(DAY($B76)=AM$1,$K76,0)</f>
        <v>0</v>
      </c>
      <c r="AN76">
        <f>IF(DAY($B76)=AN$1,$K76,0)</f>
        <v>0</v>
      </c>
      <c r="AO76">
        <f>IF(DAY($B76)=AO$1,$K76,0)</f>
        <v>0</v>
      </c>
      <c r="AP76">
        <f>IF(DAY($B76)=AP$1,$K76,0)</f>
        <v>0</v>
      </c>
    </row>
    <row r="77" spans="1:42" x14ac:dyDescent="0.3">
      <c r="A77">
        <v>76</v>
      </c>
      <c r="B77" s="1">
        <v>44454</v>
      </c>
      <c r="C77" s="2">
        <v>0.42424768518518513</v>
      </c>
      <c r="D77" s="1">
        <v>44454</v>
      </c>
      <c r="E77" s="3">
        <v>0.53179398148148149</v>
      </c>
      <c r="F77">
        <v>10</v>
      </c>
      <c r="G77">
        <v>1</v>
      </c>
      <c r="H77" s="3">
        <f t="shared" si="5"/>
        <v>0.10754629629629636</v>
      </c>
      <c r="I77" s="3">
        <f t="shared" si="6"/>
        <v>0.10754629629629636</v>
      </c>
      <c r="J77" s="3">
        <f t="shared" si="7"/>
        <v>0</v>
      </c>
      <c r="K77">
        <f t="shared" si="4"/>
        <v>154.86666666666667</v>
      </c>
      <c r="M77">
        <f>IF(DAY(B77)=$M$1,K77,0)</f>
        <v>0</v>
      </c>
      <c r="N77">
        <f>IF(DAY($B77)=N$1,$K77,0)</f>
        <v>0</v>
      </c>
      <c r="O77">
        <f>IF(DAY($B77)=O$1,$K77,0)</f>
        <v>0</v>
      </c>
      <c r="P77">
        <f>IF(DAY($B77)=P$1,$K77,0)</f>
        <v>0</v>
      </c>
      <c r="Q77">
        <f>IF(DAY($B77)=Q$1,$K77,0)</f>
        <v>0</v>
      </c>
      <c r="R77">
        <f>IF(DAY($B77)=R$1,$K77,0)</f>
        <v>0</v>
      </c>
      <c r="S77">
        <f>IF(DAY($B77)=S$1,$K77,0)</f>
        <v>0</v>
      </c>
      <c r="T77">
        <f>IF(DAY($B77)=T$1,$K77,0)</f>
        <v>0</v>
      </c>
      <c r="U77">
        <f>IF(DAY($B77)=U$1,$K77,0)</f>
        <v>0</v>
      </c>
      <c r="V77">
        <f>IF(DAY($B77)=V$1,$K77,0)</f>
        <v>0</v>
      </c>
      <c r="W77">
        <f>IF(DAY($B77)=W$1,$K77,0)</f>
        <v>0</v>
      </c>
      <c r="X77">
        <f>IF(DAY($B77)=X$1,$K77,0)</f>
        <v>0</v>
      </c>
      <c r="Y77">
        <f>IF(DAY($B77)=Y$1,$K77,0)</f>
        <v>0</v>
      </c>
      <c r="Z77">
        <f>IF(DAY($B77)=Z$1,$K77,0)</f>
        <v>0</v>
      </c>
      <c r="AA77">
        <f>IF(DAY($B77)=AA$1,$K77,0)</f>
        <v>154.86666666666667</v>
      </c>
      <c r="AB77">
        <f>IF(DAY($B77)=AB$1,$K77,0)</f>
        <v>0</v>
      </c>
      <c r="AC77">
        <f>IF(DAY($B77)=AC$1,$K77,0)</f>
        <v>0</v>
      </c>
      <c r="AD77">
        <f>IF(DAY($B77)=AD$1,$K77,0)</f>
        <v>0</v>
      </c>
      <c r="AE77">
        <f>IF(DAY($B77)=AE$1,$K77,0)</f>
        <v>0</v>
      </c>
      <c r="AF77">
        <f>IF(DAY($B77)=AF$1,$K77,0)</f>
        <v>0</v>
      </c>
      <c r="AG77">
        <f>IF(DAY($B77)=AG$1,$K77,0)</f>
        <v>0</v>
      </c>
      <c r="AH77">
        <f>IF(DAY($B77)=AH$1,$K77,0)</f>
        <v>0</v>
      </c>
      <c r="AI77">
        <f>IF(DAY($B77)=AI$1,$K77,0)</f>
        <v>0</v>
      </c>
      <c r="AJ77">
        <f>IF(DAY($B77)=AJ$1,$K77,0)</f>
        <v>0</v>
      </c>
      <c r="AK77">
        <f>IF(DAY($B77)=AK$1,$K77,0)</f>
        <v>0</v>
      </c>
      <c r="AL77">
        <f>IF(DAY($B77)=AL$1,$K77,0)</f>
        <v>0</v>
      </c>
      <c r="AM77">
        <f>IF(DAY($B77)=AM$1,$K77,0)</f>
        <v>0</v>
      </c>
      <c r="AN77">
        <f>IF(DAY($B77)=AN$1,$K77,0)</f>
        <v>0</v>
      </c>
      <c r="AO77">
        <f>IF(DAY($B77)=AO$1,$K77,0)</f>
        <v>0</v>
      </c>
      <c r="AP77">
        <f>IF(DAY($B77)=AP$1,$K77,0)</f>
        <v>0</v>
      </c>
    </row>
    <row r="78" spans="1:42" x14ac:dyDescent="0.3">
      <c r="A78">
        <v>77</v>
      </c>
      <c r="B78" s="1">
        <v>44454</v>
      </c>
      <c r="C78" s="2">
        <v>0.5991319444444444</v>
      </c>
      <c r="D78" s="1">
        <v>44454</v>
      </c>
      <c r="E78" s="3">
        <v>0.63361111111111112</v>
      </c>
      <c r="F78">
        <v>14</v>
      </c>
      <c r="G78">
        <v>21</v>
      </c>
      <c r="H78" s="3">
        <f t="shared" si="5"/>
        <v>3.4479166666666727E-2</v>
      </c>
      <c r="I78" s="3">
        <f t="shared" si="6"/>
        <v>3.4479166666666727E-2</v>
      </c>
      <c r="J78" s="3">
        <f t="shared" si="7"/>
        <v>0</v>
      </c>
      <c r="K78">
        <f t="shared" si="4"/>
        <v>49.65</v>
      </c>
      <c r="M78">
        <f>IF(DAY(B78)=$M$1,K78,0)</f>
        <v>0</v>
      </c>
      <c r="N78">
        <f>IF(DAY($B78)=N$1,$K78,0)</f>
        <v>0</v>
      </c>
      <c r="O78">
        <f>IF(DAY($B78)=O$1,$K78,0)</f>
        <v>0</v>
      </c>
      <c r="P78">
        <f>IF(DAY($B78)=P$1,$K78,0)</f>
        <v>0</v>
      </c>
      <c r="Q78">
        <f>IF(DAY($B78)=Q$1,$K78,0)</f>
        <v>0</v>
      </c>
      <c r="R78">
        <f>IF(DAY($B78)=R$1,$K78,0)</f>
        <v>0</v>
      </c>
      <c r="S78">
        <f>IF(DAY($B78)=S$1,$K78,0)</f>
        <v>0</v>
      </c>
      <c r="T78">
        <f>IF(DAY($B78)=T$1,$K78,0)</f>
        <v>0</v>
      </c>
      <c r="U78">
        <f>IF(DAY($B78)=U$1,$K78,0)</f>
        <v>0</v>
      </c>
      <c r="V78">
        <f>IF(DAY($B78)=V$1,$K78,0)</f>
        <v>0</v>
      </c>
      <c r="W78">
        <f>IF(DAY($B78)=W$1,$K78,0)</f>
        <v>0</v>
      </c>
      <c r="X78">
        <f>IF(DAY($B78)=X$1,$K78,0)</f>
        <v>0</v>
      </c>
      <c r="Y78">
        <f>IF(DAY($B78)=Y$1,$K78,0)</f>
        <v>0</v>
      </c>
      <c r="Z78">
        <f>IF(DAY($B78)=Z$1,$K78,0)</f>
        <v>0</v>
      </c>
      <c r="AA78">
        <f>IF(DAY($B78)=AA$1,$K78,0)</f>
        <v>49.65</v>
      </c>
      <c r="AB78">
        <f>IF(DAY($B78)=AB$1,$K78,0)</f>
        <v>0</v>
      </c>
      <c r="AC78">
        <f>IF(DAY($B78)=AC$1,$K78,0)</f>
        <v>0</v>
      </c>
      <c r="AD78">
        <f>IF(DAY($B78)=AD$1,$K78,0)</f>
        <v>0</v>
      </c>
      <c r="AE78">
        <f>IF(DAY($B78)=AE$1,$K78,0)</f>
        <v>0</v>
      </c>
      <c r="AF78">
        <f>IF(DAY($B78)=AF$1,$K78,0)</f>
        <v>0</v>
      </c>
      <c r="AG78">
        <f>IF(DAY($B78)=AG$1,$K78,0)</f>
        <v>0</v>
      </c>
      <c r="AH78">
        <f>IF(DAY($B78)=AH$1,$K78,0)</f>
        <v>0</v>
      </c>
      <c r="AI78">
        <f>IF(DAY($B78)=AI$1,$K78,0)</f>
        <v>0</v>
      </c>
      <c r="AJ78">
        <f>IF(DAY($B78)=AJ$1,$K78,0)</f>
        <v>0</v>
      </c>
      <c r="AK78">
        <f>IF(DAY($B78)=AK$1,$K78,0)</f>
        <v>0</v>
      </c>
      <c r="AL78">
        <f>IF(DAY($B78)=AL$1,$K78,0)</f>
        <v>0</v>
      </c>
      <c r="AM78">
        <f>IF(DAY($B78)=AM$1,$K78,0)</f>
        <v>0</v>
      </c>
      <c r="AN78">
        <f>IF(DAY($B78)=AN$1,$K78,0)</f>
        <v>0</v>
      </c>
      <c r="AO78">
        <f>IF(DAY($B78)=AO$1,$K78,0)</f>
        <v>0</v>
      </c>
      <c r="AP78">
        <f>IF(DAY($B78)=AP$1,$K78,0)</f>
        <v>0</v>
      </c>
    </row>
    <row r="79" spans="1:42" x14ac:dyDescent="0.3">
      <c r="A79">
        <v>78</v>
      </c>
      <c r="B79" s="1">
        <v>44454</v>
      </c>
      <c r="C79" s="2">
        <v>0.7228472222222222</v>
      </c>
      <c r="D79" s="1">
        <v>44454</v>
      </c>
      <c r="E79" s="3">
        <v>0.77552083333333333</v>
      </c>
      <c r="F79">
        <v>4</v>
      </c>
      <c r="G79">
        <v>1</v>
      </c>
      <c r="H79" s="3">
        <f t="shared" si="5"/>
        <v>5.2673611111111129E-2</v>
      </c>
      <c r="I79" s="3">
        <f t="shared" si="6"/>
        <v>5.2673611111111129E-2</v>
      </c>
      <c r="J79" s="3">
        <f t="shared" si="7"/>
        <v>0</v>
      </c>
      <c r="K79">
        <f t="shared" si="4"/>
        <v>75.849999999999994</v>
      </c>
      <c r="M79">
        <f>IF(DAY(B79)=$M$1,K79,0)</f>
        <v>0</v>
      </c>
      <c r="N79">
        <f>IF(DAY($B79)=N$1,$K79,0)</f>
        <v>0</v>
      </c>
      <c r="O79">
        <f>IF(DAY($B79)=O$1,$K79,0)</f>
        <v>0</v>
      </c>
      <c r="P79">
        <f>IF(DAY($B79)=P$1,$K79,0)</f>
        <v>0</v>
      </c>
      <c r="Q79">
        <f>IF(DAY($B79)=Q$1,$K79,0)</f>
        <v>0</v>
      </c>
      <c r="R79">
        <f>IF(DAY($B79)=R$1,$K79,0)</f>
        <v>0</v>
      </c>
      <c r="S79">
        <f>IF(DAY($B79)=S$1,$K79,0)</f>
        <v>0</v>
      </c>
      <c r="T79">
        <f>IF(DAY($B79)=T$1,$K79,0)</f>
        <v>0</v>
      </c>
      <c r="U79">
        <f>IF(DAY($B79)=U$1,$K79,0)</f>
        <v>0</v>
      </c>
      <c r="V79">
        <f>IF(DAY($B79)=V$1,$K79,0)</f>
        <v>0</v>
      </c>
      <c r="W79">
        <f>IF(DAY($B79)=W$1,$K79,0)</f>
        <v>0</v>
      </c>
      <c r="X79">
        <f>IF(DAY($B79)=X$1,$K79,0)</f>
        <v>0</v>
      </c>
      <c r="Y79">
        <f>IF(DAY($B79)=Y$1,$K79,0)</f>
        <v>0</v>
      </c>
      <c r="Z79">
        <f>IF(DAY($B79)=Z$1,$K79,0)</f>
        <v>0</v>
      </c>
      <c r="AA79">
        <f>IF(DAY($B79)=AA$1,$K79,0)</f>
        <v>75.849999999999994</v>
      </c>
      <c r="AB79">
        <f>IF(DAY($B79)=AB$1,$K79,0)</f>
        <v>0</v>
      </c>
      <c r="AC79">
        <f>IF(DAY($B79)=AC$1,$K79,0)</f>
        <v>0</v>
      </c>
      <c r="AD79">
        <f>IF(DAY($B79)=AD$1,$K79,0)</f>
        <v>0</v>
      </c>
      <c r="AE79">
        <f>IF(DAY($B79)=AE$1,$K79,0)</f>
        <v>0</v>
      </c>
      <c r="AF79">
        <f>IF(DAY($B79)=AF$1,$K79,0)</f>
        <v>0</v>
      </c>
      <c r="AG79">
        <f>IF(DAY($B79)=AG$1,$K79,0)</f>
        <v>0</v>
      </c>
      <c r="AH79">
        <f>IF(DAY($B79)=AH$1,$K79,0)</f>
        <v>0</v>
      </c>
      <c r="AI79">
        <f>IF(DAY($B79)=AI$1,$K79,0)</f>
        <v>0</v>
      </c>
      <c r="AJ79">
        <f>IF(DAY($B79)=AJ$1,$K79,0)</f>
        <v>0</v>
      </c>
      <c r="AK79">
        <f>IF(DAY($B79)=AK$1,$K79,0)</f>
        <v>0</v>
      </c>
      <c r="AL79">
        <f>IF(DAY($B79)=AL$1,$K79,0)</f>
        <v>0</v>
      </c>
      <c r="AM79">
        <f>IF(DAY($B79)=AM$1,$K79,0)</f>
        <v>0</v>
      </c>
      <c r="AN79">
        <f>IF(DAY($B79)=AN$1,$K79,0)</f>
        <v>0</v>
      </c>
      <c r="AO79">
        <f>IF(DAY($B79)=AO$1,$K79,0)</f>
        <v>0</v>
      </c>
      <c r="AP79">
        <f>IF(DAY($B79)=AP$1,$K79,0)</f>
        <v>0</v>
      </c>
    </row>
    <row r="80" spans="1:42" x14ac:dyDescent="0.3">
      <c r="A80">
        <v>79</v>
      </c>
      <c r="B80" s="1">
        <v>44454</v>
      </c>
      <c r="C80" s="2">
        <v>0.86644675925925929</v>
      </c>
      <c r="D80" s="1">
        <v>44454</v>
      </c>
      <c r="E80" s="3">
        <v>0.90680555555555553</v>
      </c>
      <c r="F80">
        <v>7</v>
      </c>
      <c r="G80">
        <v>2</v>
      </c>
      <c r="H80" s="3">
        <f t="shared" si="5"/>
        <v>4.035879629629624E-2</v>
      </c>
      <c r="I80" s="3">
        <f t="shared" si="6"/>
        <v>4.035879629629624E-2</v>
      </c>
      <c r="J80" s="3">
        <f t="shared" si="7"/>
        <v>0</v>
      </c>
      <c r="K80">
        <f t="shared" si="4"/>
        <v>58.116666666666667</v>
      </c>
      <c r="M80">
        <f>IF(DAY(B80)=$M$1,K80,0)</f>
        <v>0</v>
      </c>
      <c r="N80">
        <f>IF(DAY($B80)=N$1,$K80,0)</f>
        <v>0</v>
      </c>
      <c r="O80">
        <f>IF(DAY($B80)=O$1,$K80,0)</f>
        <v>0</v>
      </c>
      <c r="P80">
        <f>IF(DAY($B80)=P$1,$K80,0)</f>
        <v>0</v>
      </c>
      <c r="Q80">
        <f>IF(DAY($B80)=Q$1,$K80,0)</f>
        <v>0</v>
      </c>
      <c r="R80">
        <f>IF(DAY($B80)=R$1,$K80,0)</f>
        <v>0</v>
      </c>
      <c r="S80">
        <f>IF(DAY($B80)=S$1,$K80,0)</f>
        <v>0</v>
      </c>
      <c r="T80">
        <f>IF(DAY($B80)=T$1,$K80,0)</f>
        <v>0</v>
      </c>
      <c r="U80">
        <f>IF(DAY($B80)=U$1,$K80,0)</f>
        <v>0</v>
      </c>
      <c r="V80">
        <f>IF(DAY($B80)=V$1,$K80,0)</f>
        <v>0</v>
      </c>
      <c r="W80">
        <f>IF(DAY($B80)=W$1,$K80,0)</f>
        <v>0</v>
      </c>
      <c r="X80">
        <f>IF(DAY($B80)=X$1,$K80,0)</f>
        <v>0</v>
      </c>
      <c r="Y80">
        <f>IF(DAY($B80)=Y$1,$K80,0)</f>
        <v>0</v>
      </c>
      <c r="Z80">
        <f>IF(DAY($B80)=Z$1,$K80,0)</f>
        <v>0</v>
      </c>
      <c r="AA80">
        <f>IF(DAY($B80)=AA$1,$K80,0)</f>
        <v>58.116666666666667</v>
      </c>
      <c r="AB80">
        <f>IF(DAY($B80)=AB$1,$K80,0)</f>
        <v>0</v>
      </c>
      <c r="AC80">
        <f>IF(DAY($B80)=AC$1,$K80,0)</f>
        <v>0</v>
      </c>
      <c r="AD80">
        <f>IF(DAY($B80)=AD$1,$K80,0)</f>
        <v>0</v>
      </c>
      <c r="AE80">
        <f>IF(DAY($B80)=AE$1,$K80,0)</f>
        <v>0</v>
      </c>
      <c r="AF80">
        <f>IF(DAY($B80)=AF$1,$K80,0)</f>
        <v>0</v>
      </c>
      <c r="AG80">
        <f>IF(DAY($B80)=AG$1,$K80,0)</f>
        <v>0</v>
      </c>
      <c r="AH80">
        <f>IF(DAY($B80)=AH$1,$K80,0)</f>
        <v>0</v>
      </c>
      <c r="AI80">
        <f>IF(DAY($B80)=AI$1,$K80,0)</f>
        <v>0</v>
      </c>
      <c r="AJ80">
        <f>IF(DAY($B80)=AJ$1,$K80,0)</f>
        <v>0</v>
      </c>
      <c r="AK80">
        <f>IF(DAY($B80)=AK$1,$K80,0)</f>
        <v>0</v>
      </c>
      <c r="AL80">
        <f>IF(DAY($B80)=AL$1,$K80,0)</f>
        <v>0</v>
      </c>
      <c r="AM80">
        <f>IF(DAY($B80)=AM$1,$K80,0)</f>
        <v>0</v>
      </c>
      <c r="AN80">
        <f>IF(DAY($B80)=AN$1,$K80,0)</f>
        <v>0</v>
      </c>
      <c r="AO80">
        <f>IF(DAY($B80)=AO$1,$K80,0)</f>
        <v>0</v>
      </c>
      <c r="AP80">
        <f>IF(DAY($B80)=AP$1,$K80,0)</f>
        <v>0</v>
      </c>
    </row>
    <row r="81" spans="1:42" x14ac:dyDescent="0.3">
      <c r="A81">
        <v>80</v>
      </c>
      <c r="B81" s="1">
        <v>44455</v>
      </c>
      <c r="C81" s="2">
        <v>0.13571759259259261</v>
      </c>
      <c r="D81" s="1">
        <v>44455</v>
      </c>
      <c r="E81" s="3">
        <v>0.25288194444444445</v>
      </c>
      <c r="F81">
        <v>13</v>
      </c>
      <c r="G81">
        <v>5</v>
      </c>
      <c r="H81" s="3">
        <f t="shared" si="5"/>
        <v>0.11716435185185184</v>
      </c>
      <c r="I81" s="3">
        <f t="shared" si="6"/>
        <v>0.11716435185185184</v>
      </c>
      <c r="J81" s="3">
        <f t="shared" si="7"/>
        <v>0</v>
      </c>
      <c r="K81">
        <f t="shared" si="4"/>
        <v>168.71666666666667</v>
      </c>
      <c r="M81">
        <f>IF(DAY(B81)=$M$1,K81,0)</f>
        <v>0</v>
      </c>
      <c r="N81">
        <f>IF(DAY($B81)=N$1,$K81,0)</f>
        <v>0</v>
      </c>
      <c r="O81">
        <f>IF(DAY($B81)=O$1,$K81,0)</f>
        <v>0</v>
      </c>
      <c r="P81">
        <f>IF(DAY($B81)=P$1,$K81,0)</f>
        <v>0</v>
      </c>
      <c r="Q81">
        <f>IF(DAY($B81)=Q$1,$K81,0)</f>
        <v>0</v>
      </c>
      <c r="R81">
        <f>IF(DAY($B81)=R$1,$K81,0)</f>
        <v>0</v>
      </c>
      <c r="S81">
        <f>IF(DAY($B81)=S$1,$K81,0)</f>
        <v>0</v>
      </c>
      <c r="T81">
        <f>IF(DAY($B81)=T$1,$K81,0)</f>
        <v>0</v>
      </c>
      <c r="U81">
        <f>IF(DAY($B81)=U$1,$K81,0)</f>
        <v>0</v>
      </c>
      <c r="V81">
        <f>IF(DAY($B81)=V$1,$K81,0)</f>
        <v>0</v>
      </c>
      <c r="W81">
        <f>IF(DAY($B81)=W$1,$K81,0)</f>
        <v>0</v>
      </c>
      <c r="X81">
        <f>IF(DAY($B81)=X$1,$K81,0)</f>
        <v>0</v>
      </c>
      <c r="Y81">
        <f>IF(DAY($B81)=Y$1,$K81,0)</f>
        <v>0</v>
      </c>
      <c r="Z81">
        <f>IF(DAY($B81)=Z$1,$K81,0)</f>
        <v>0</v>
      </c>
      <c r="AA81">
        <f>IF(DAY($B81)=AA$1,$K81,0)</f>
        <v>0</v>
      </c>
      <c r="AB81">
        <f>IF(DAY($B81)=AB$1,$K81,0)</f>
        <v>168.71666666666667</v>
      </c>
      <c r="AC81">
        <f>IF(DAY($B81)=AC$1,$K81,0)</f>
        <v>0</v>
      </c>
      <c r="AD81">
        <f>IF(DAY($B81)=AD$1,$K81,0)</f>
        <v>0</v>
      </c>
      <c r="AE81">
        <f>IF(DAY($B81)=AE$1,$K81,0)</f>
        <v>0</v>
      </c>
      <c r="AF81">
        <f>IF(DAY($B81)=AF$1,$K81,0)</f>
        <v>0</v>
      </c>
      <c r="AG81">
        <f>IF(DAY($B81)=AG$1,$K81,0)</f>
        <v>0</v>
      </c>
      <c r="AH81">
        <f>IF(DAY($B81)=AH$1,$K81,0)</f>
        <v>0</v>
      </c>
      <c r="AI81">
        <f>IF(DAY($B81)=AI$1,$K81,0)</f>
        <v>0</v>
      </c>
      <c r="AJ81">
        <f>IF(DAY($B81)=AJ$1,$K81,0)</f>
        <v>0</v>
      </c>
      <c r="AK81">
        <f>IF(DAY($B81)=AK$1,$K81,0)</f>
        <v>0</v>
      </c>
      <c r="AL81">
        <f>IF(DAY($B81)=AL$1,$K81,0)</f>
        <v>0</v>
      </c>
      <c r="AM81">
        <f>IF(DAY($B81)=AM$1,$K81,0)</f>
        <v>0</v>
      </c>
      <c r="AN81">
        <f>IF(DAY($B81)=AN$1,$K81,0)</f>
        <v>0</v>
      </c>
      <c r="AO81">
        <f>IF(DAY($B81)=AO$1,$K81,0)</f>
        <v>0</v>
      </c>
      <c r="AP81">
        <f>IF(DAY($B81)=AP$1,$K81,0)</f>
        <v>0</v>
      </c>
    </row>
    <row r="82" spans="1:42" x14ac:dyDescent="0.3">
      <c r="A82">
        <v>81</v>
      </c>
      <c r="B82" s="1">
        <v>44455</v>
      </c>
      <c r="C82" s="2">
        <v>0.29960648148148145</v>
      </c>
      <c r="D82" s="1">
        <v>44455</v>
      </c>
      <c r="E82" s="3">
        <v>0.37712962962962965</v>
      </c>
      <c r="F82">
        <v>13</v>
      </c>
      <c r="G82">
        <v>11</v>
      </c>
      <c r="H82" s="3">
        <f t="shared" si="5"/>
        <v>7.7523148148148202E-2</v>
      </c>
      <c r="I82" s="3">
        <f t="shared" si="6"/>
        <v>7.7523148148148202E-2</v>
      </c>
      <c r="J82" s="3">
        <f t="shared" si="7"/>
        <v>0</v>
      </c>
      <c r="K82">
        <f t="shared" si="4"/>
        <v>111.63333333333334</v>
      </c>
      <c r="M82">
        <f>IF(DAY(B82)=$M$1,K82,0)</f>
        <v>0</v>
      </c>
      <c r="N82">
        <f>IF(DAY($B82)=N$1,$K82,0)</f>
        <v>0</v>
      </c>
      <c r="O82">
        <f>IF(DAY($B82)=O$1,$K82,0)</f>
        <v>0</v>
      </c>
      <c r="P82">
        <f>IF(DAY($B82)=P$1,$K82,0)</f>
        <v>0</v>
      </c>
      <c r="Q82">
        <f>IF(DAY($B82)=Q$1,$K82,0)</f>
        <v>0</v>
      </c>
      <c r="R82">
        <f>IF(DAY($B82)=R$1,$K82,0)</f>
        <v>0</v>
      </c>
      <c r="S82">
        <f>IF(DAY($B82)=S$1,$K82,0)</f>
        <v>0</v>
      </c>
      <c r="T82">
        <f>IF(DAY($B82)=T$1,$K82,0)</f>
        <v>0</v>
      </c>
      <c r="U82">
        <f>IF(DAY($B82)=U$1,$K82,0)</f>
        <v>0</v>
      </c>
      <c r="V82">
        <f>IF(DAY($B82)=V$1,$K82,0)</f>
        <v>0</v>
      </c>
      <c r="W82">
        <f>IF(DAY($B82)=W$1,$K82,0)</f>
        <v>0</v>
      </c>
      <c r="X82">
        <f>IF(DAY($B82)=X$1,$K82,0)</f>
        <v>0</v>
      </c>
      <c r="Y82">
        <f>IF(DAY($B82)=Y$1,$K82,0)</f>
        <v>0</v>
      </c>
      <c r="Z82">
        <f>IF(DAY($B82)=Z$1,$K82,0)</f>
        <v>0</v>
      </c>
      <c r="AA82">
        <f>IF(DAY($B82)=AA$1,$K82,0)</f>
        <v>0</v>
      </c>
      <c r="AB82">
        <f>IF(DAY($B82)=AB$1,$K82,0)</f>
        <v>111.63333333333334</v>
      </c>
      <c r="AC82">
        <f>IF(DAY($B82)=AC$1,$K82,0)</f>
        <v>0</v>
      </c>
      <c r="AD82">
        <f>IF(DAY($B82)=AD$1,$K82,0)</f>
        <v>0</v>
      </c>
      <c r="AE82">
        <f>IF(DAY($B82)=AE$1,$K82,0)</f>
        <v>0</v>
      </c>
      <c r="AF82">
        <f>IF(DAY($B82)=AF$1,$K82,0)</f>
        <v>0</v>
      </c>
      <c r="AG82">
        <f>IF(DAY($B82)=AG$1,$K82,0)</f>
        <v>0</v>
      </c>
      <c r="AH82">
        <f>IF(DAY($B82)=AH$1,$K82,0)</f>
        <v>0</v>
      </c>
      <c r="AI82">
        <f>IF(DAY($B82)=AI$1,$K82,0)</f>
        <v>0</v>
      </c>
      <c r="AJ82">
        <f>IF(DAY($B82)=AJ$1,$K82,0)</f>
        <v>0</v>
      </c>
      <c r="AK82">
        <f>IF(DAY($B82)=AK$1,$K82,0)</f>
        <v>0</v>
      </c>
      <c r="AL82">
        <f>IF(DAY($B82)=AL$1,$K82,0)</f>
        <v>0</v>
      </c>
      <c r="AM82">
        <f>IF(DAY($B82)=AM$1,$K82,0)</f>
        <v>0</v>
      </c>
      <c r="AN82">
        <f>IF(DAY($B82)=AN$1,$K82,0)</f>
        <v>0</v>
      </c>
      <c r="AO82">
        <f>IF(DAY($B82)=AO$1,$K82,0)</f>
        <v>0</v>
      </c>
      <c r="AP82">
        <f>IF(DAY($B82)=AP$1,$K82,0)</f>
        <v>0</v>
      </c>
    </row>
    <row r="83" spans="1:42" x14ac:dyDescent="0.3">
      <c r="A83">
        <v>82</v>
      </c>
      <c r="B83" s="1">
        <v>44455</v>
      </c>
      <c r="C83" s="2">
        <v>0.46118055555555554</v>
      </c>
      <c r="D83" s="1">
        <v>44455</v>
      </c>
      <c r="E83" s="3">
        <v>0.5005208333333333</v>
      </c>
      <c r="F83">
        <v>14</v>
      </c>
      <c r="G83">
        <v>9</v>
      </c>
      <c r="H83" s="3">
        <f t="shared" si="5"/>
        <v>3.9340277777777766E-2</v>
      </c>
      <c r="I83" s="3">
        <f t="shared" si="6"/>
        <v>3.9340277777777766E-2</v>
      </c>
      <c r="J83" s="3">
        <f t="shared" si="7"/>
        <v>0</v>
      </c>
      <c r="K83">
        <f t="shared" si="4"/>
        <v>56.65</v>
      </c>
      <c r="M83">
        <f>IF(DAY(B83)=$M$1,K83,0)</f>
        <v>0</v>
      </c>
      <c r="N83">
        <f>IF(DAY($B83)=N$1,$K83,0)</f>
        <v>0</v>
      </c>
      <c r="O83">
        <f>IF(DAY($B83)=O$1,$K83,0)</f>
        <v>0</v>
      </c>
      <c r="P83">
        <f>IF(DAY($B83)=P$1,$K83,0)</f>
        <v>0</v>
      </c>
      <c r="Q83">
        <f>IF(DAY($B83)=Q$1,$K83,0)</f>
        <v>0</v>
      </c>
      <c r="R83">
        <f>IF(DAY($B83)=R$1,$K83,0)</f>
        <v>0</v>
      </c>
      <c r="S83">
        <f>IF(DAY($B83)=S$1,$K83,0)</f>
        <v>0</v>
      </c>
      <c r="T83">
        <f>IF(DAY($B83)=T$1,$K83,0)</f>
        <v>0</v>
      </c>
      <c r="U83">
        <f>IF(DAY($B83)=U$1,$K83,0)</f>
        <v>0</v>
      </c>
      <c r="V83">
        <f>IF(DAY($B83)=V$1,$K83,0)</f>
        <v>0</v>
      </c>
      <c r="W83">
        <f>IF(DAY($B83)=W$1,$K83,0)</f>
        <v>0</v>
      </c>
      <c r="X83">
        <f>IF(DAY($B83)=X$1,$K83,0)</f>
        <v>0</v>
      </c>
      <c r="Y83">
        <f>IF(DAY($B83)=Y$1,$K83,0)</f>
        <v>0</v>
      </c>
      <c r="Z83">
        <f>IF(DAY($B83)=Z$1,$K83,0)</f>
        <v>0</v>
      </c>
      <c r="AA83">
        <f>IF(DAY($B83)=AA$1,$K83,0)</f>
        <v>0</v>
      </c>
      <c r="AB83">
        <f>IF(DAY($B83)=AB$1,$K83,0)</f>
        <v>56.65</v>
      </c>
      <c r="AC83">
        <f>IF(DAY($B83)=AC$1,$K83,0)</f>
        <v>0</v>
      </c>
      <c r="AD83">
        <f>IF(DAY($B83)=AD$1,$K83,0)</f>
        <v>0</v>
      </c>
      <c r="AE83">
        <f>IF(DAY($B83)=AE$1,$K83,0)</f>
        <v>0</v>
      </c>
      <c r="AF83">
        <f>IF(DAY($B83)=AF$1,$K83,0)</f>
        <v>0</v>
      </c>
      <c r="AG83">
        <f>IF(DAY($B83)=AG$1,$K83,0)</f>
        <v>0</v>
      </c>
      <c r="AH83">
        <f>IF(DAY($B83)=AH$1,$K83,0)</f>
        <v>0</v>
      </c>
      <c r="AI83">
        <f>IF(DAY($B83)=AI$1,$K83,0)</f>
        <v>0</v>
      </c>
      <c r="AJ83">
        <f>IF(DAY($B83)=AJ$1,$K83,0)</f>
        <v>0</v>
      </c>
      <c r="AK83">
        <f>IF(DAY($B83)=AK$1,$K83,0)</f>
        <v>0</v>
      </c>
      <c r="AL83">
        <f>IF(DAY($B83)=AL$1,$K83,0)</f>
        <v>0</v>
      </c>
      <c r="AM83">
        <f>IF(DAY($B83)=AM$1,$K83,0)</f>
        <v>0</v>
      </c>
      <c r="AN83">
        <f>IF(DAY($B83)=AN$1,$K83,0)</f>
        <v>0</v>
      </c>
      <c r="AO83">
        <f>IF(DAY($B83)=AO$1,$K83,0)</f>
        <v>0</v>
      </c>
      <c r="AP83">
        <f>IF(DAY($B83)=AP$1,$K83,0)</f>
        <v>0</v>
      </c>
    </row>
    <row r="84" spans="1:42" x14ac:dyDescent="0.3">
      <c r="A84">
        <v>83</v>
      </c>
      <c r="B84" s="1">
        <v>44455</v>
      </c>
      <c r="C84" s="2">
        <v>0.57986111111111105</v>
      </c>
      <c r="D84" s="1">
        <v>44455</v>
      </c>
      <c r="E84" s="3">
        <v>0.61469907407407409</v>
      </c>
      <c r="F84">
        <v>14</v>
      </c>
      <c r="G84">
        <v>9</v>
      </c>
      <c r="H84" s="3">
        <f t="shared" si="5"/>
        <v>3.4837962962963043E-2</v>
      </c>
      <c r="I84" s="3">
        <f t="shared" si="6"/>
        <v>3.4837962962963043E-2</v>
      </c>
      <c r="J84" s="3">
        <f t="shared" si="7"/>
        <v>0</v>
      </c>
      <c r="K84">
        <f t="shared" si="4"/>
        <v>50.166666666666664</v>
      </c>
      <c r="M84">
        <f>IF(DAY(B84)=$M$1,K84,0)</f>
        <v>0</v>
      </c>
      <c r="N84">
        <f>IF(DAY($B84)=N$1,$K84,0)</f>
        <v>0</v>
      </c>
      <c r="O84">
        <f>IF(DAY($B84)=O$1,$K84,0)</f>
        <v>0</v>
      </c>
      <c r="P84">
        <f>IF(DAY($B84)=P$1,$K84,0)</f>
        <v>0</v>
      </c>
      <c r="Q84">
        <f>IF(DAY($B84)=Q$1,$K84,0)</f>
        <v>0</v>
      </c>
      <c r="R84">
        <f>IF(DAY($B84)=R$1,$K84,0)</f>
        <v>0</v>
      </c>
      <c r="S84">
        <f>IF(DAY($B84)=S$1,$K84,0)</f>
        <v>0</v>
      </c>
      <c r="T84">
        <f>IF(DAY($B84)=T$1,$K84,0)</f>
        <v>0</v>
      </c>
      <c r="U84">
        <f>IF(DAY($B84)=U$1,$K84,0)</f>
        <v>0</v>
      </c>
      <c r="V84">
        <f>IF(DAY($B84)=V$1,$K84,0)</f>
        <v>0</v>
      </c>
      <c r="W84">
        <f>IF(DAY($B84)=W$1,$K84,0)</f>
        <v>0</v>
      </c>
      <c r="X84">
        <f>IF(DAY($B84)=X$1,$K84,0)</f>
        <v>0</v>
      </c>
      <c r="Y84">
        <f>IF(DAY($B84)=Y$1,$K84,0)</f>
        <v>0</v>
      </c>
      <c r="Z84">
        <f>IF(DAY($B84)=Z$1,$K84,0)</f>
        <v>0</v>
      </c>
      <c r="AA84">
        <f>IF(DAY($B84)=AA$1,$K84,0)</f>
        <v>0</v>
      </c>
      <c r="AB84">
        <f>IF(DAY($B84)=AB$1,$K84,0)</f>
        <v>50.166666666666664</v>
      </c>
      <c r="AC84">
        <f>IF(DAY($B84)=AC$1,$K84,0)</f>
        <v>0</v>
      </c>
      <c r="AD84">
        <f>IF(DAY($B84)=AD$1,$K84,0)</f>
        <v>0</v>
      </c>
      <c r="AE84">
        <f>IF(DAY($B84)=AE$1,$K84,0)</f>
        <v>0</v>
      </c>
      <c r="AF84">
        <f>IF(DAY($B84)=AF$1,$K84,0)</f>
        <v>0</v>
      </c>
      <c r="AG84">
        <f>IF(DAY($B84)=AG$1,$K84,0)</f>
        <v>0</v>
      </c>
      <c r="AH84">
        <f>IF(DAY($B84)=AH$1,$K84,0)</f>
        <v>0</v>
      </c>
      <c r="AI84">
        <f>IF(DAY($B84)=AI$1,$K84,0)</f>
        <v>0</v>
      </c>
      <c r="AJ84">
        <f>IF(DAY($B84)=AJ$1,$K84,0)</f>
        <v>0</v>
      </c>
      <c r="AK84">
        <f>IF(DAY($B84)=AK$1,$K84,0)</f>
        <v>0</v>
      </c>
      <c r="AL84">
        <f>IF(DAY($B84)=AL$1,$K84,0)</f>
        <v>0</v>
      </c>
      <c r="AM84">
        <f>IF(DAY($B84)=AM$1,$K84,0)</f>
        <v>0</v>
      </c>
      <c r="AN84">
        <f>IF(DAY($B84)=AN$1,$K84,0)</f>
        <v>0</v>
      </c>
      <c r="AO84">
        <f>IF(DAY($B84)=AO$1,$K84,0)</f>
        <v>0</v>
      </c>
      <c r="AP84">
        <f>IF(DAY($B84)=AP$1,$K84,0)</f>
        <v>0</v>
      </c>
    </row>
    <row r="85" spans="1:42" x14ac:dyDescent="0.3">
      <c r="A85">
        <v>84</v>
      </c>
      <c r="B85" s="1">
        <v>44455</v>
      </c>
      <c r="C85" s="2">
        <v>0.67444444444444451</v>
      </c>
      <c r="D85" s="1">
        <v>44455</v>
      </c>
      <c r="E85" s="3">
        <v>0.72362268518518524</v>
      </c>
      <c r="F85">
        <v>12</v>
      </c>
      <c r="G85">
        <v>7</v>
      </c>
      <c r="H85" s="3">
        <f t="shared" si="5"/>
        <v>4.9178240740740731E-2</v>
      </c>
      <c r="I85" s="3">
        <f t="shared" si="6"/>
        <v>4.9178240740740731E-2</v>
      </c>
      <c r="J85" s="3">
        <f t="shared" si="7"/>
        <v>0</v>
      </c>
      <c r="K85">
        <f t="shared" si="4"/>
        <v>70.816666666666663</v>
      </c>
      <c r="M85">
        <f>IF(DAY(B85)=$M$1,K85,0)</f>
        <v>0</v>
      </c>
      <c r="N85">
        <f>IF(DAY($B85)=N$1,$K85,0)</f>
        <v>0</v>
      </c>
      <c r="O85">
        <f>IF(DAY($B85)=O$1,$K85,0)</f>
        <v>0</v>
      </c>
      <c r="P85">
        <f>IF(DAY($B85)=P$1,$K85,0)</f>
        <v>0</v>
      </c>
      <c r="Q85">
        <f>IF(DAY($B85)=Q$1,$K85,0)</f>
        <v>0</v>
      </c>
      <c r="R85">
        <f>IF(DAY($B85)=R$1,$K85,0)</f>
        <v>0</v>
      </c>
      <c r="S85">
        <f>IF(DAY($B85)=S$1,$K85,0)</f>
        <v>0</v>
      </c>
      <c r="T85">
        <f>IF(DAY($B85)=T$1,$K85,0)</f>
        <v>0</v>
      </c>
      <c r="U85">
        <f>IF(DAY($B85)=U$1,$K85,0)</f>
        <v>0</v>
      </c>
      <c r="V85">
        <f>IF(DAY($B85)=V$1,$K85,0)</f>
        <v>0</v>
      </c>
      <c r="W85">
        <f>IF(DAY($B85)=W$1,$K85,0)</f>
        <v>0</v>
      </c>
      <c r="X85">
        <f>IF(DAY($B85)=X$1,$K85,0)</f>
        <v>0</v>
      </c>
      <c r="Y85">
        <f>IF(DAY($B85)=Y$1,$K85,0)</f>
        <v>0</v>
      </c>
      <c r="Z85">
        <f>IF(DAY($B85)=Z$1,$K85,0)</f>
        <v>0</v>
      </c>
      <c r="AA85">
        <f>IF(DAY($B85)=AA$1,$K85,0)</f>
        <v>0</v>
      </c>
      <c r="AB85">
        <f>IF(DAY($B85)=AB$1,$K85,0)</f>
        <v>70.816666666666663</v>
      </c>
      <c r="AC85">
        <f>IF(DAY($B85)=AC$1,$K85,0)</f>
        <v>0</v>
      </c>
      <c r="AD85">
        <f>IF(DAY($B85)=AD$1,$K85,0)</f>
        <v>0</v>
      </c>
      <c r="AE85">
        <f>IF(DAY($B85)=AE$1,$K85,0)</f>
        <v>0</v>
      </c>
      <c r="AF85">
        <f>IF(DAY($B85)=AF$1,$K85,0)</f>
        <v>0</v>
      </c>
      <c r="AG85">
        <f>IF(DAY($B85)=AG$1,$K85,0)</f>
        <v>0</v>
      </c>
      <c r="AH85">
        <f>IF(DAY($B85)=AH$1,$K85,0)</f>
        <v>0</v>
      </c>
      <c r="AI85">
        <f>IF(DAY($B85)=AI$1,$K85,0)</f>
        <v>0</v>
      </c>
      <c r="AJ85">
        <f>IF(DAY($B85)=AJ$1,$K85,0)</f>
        <v>0</v>
      </c>
      <c r="AK85">
        <f>IF(DAY($B85)=AK$1,$K85,0)</f>
        <v>0</v>
      </c>
      <c r="AL85">
        <f>IF(DAY($B85)=AL$1,$K85,0)</f>
        <v>0</v>
      </c>
      <c r="AM85">
        <f>IF(DAY($B85)=AM$1,$K85,0)</f>
        <v>0</v>
      </c>
      <c r="AN85">
        <f>IF(DAY($B85)=AN$1,$K85,0)</f>
        <v>0</v>
      </c>
      <c r="AO85">
        <f>IF(DAY($B85)=AO$1,$K85,0)</f>
        <v>0</v>
      </c>
      <c r="AP85">
        <f>IF(DAY($B85)=AP$1,$K85,0)</f>
        <v>0</v>
      </c>
    </row>
    <row r="86" spans="1:42" x14ac:dyDescent="0.3">
      <c r="A86">
        <v>85</v>
      </c>
      <c r="B86" s="1">
        <v>44455</v>
      </c>
      <c r="C86" s="2">
        <v>0.7926157407407407</v>
      </c>
      <c r="D86" s="1">
        <v>44455</v>
      </c>
      <c r="E86" s="3">
        <v>0.86523148148148143</v>
      </c>
      <c r="F86">
        <v>2</v>
      </c>
      <c r="G86">
        <v>19</v>
      </c>
      <c r="H86" s="3">
        <f t="shared" si="5"/>
        <v>7.2615740740740731E-2</v>
      </c>
      <c r="I86" s="3">
        <f t="shared" si="6"/>
        <v>7.2615740740740731E-2</v>
      </c>
      <c r="J86" s="3">
        <f t="shared" si="7"/>
        <v>0</v>
      </c>
      <c r="K86">
        <f t="shared" si="4"/>
        <v>104.56666666666666</v>
      </c>
      <c r="M86">
        <f>IF(DAY(B86)=$M$1,K86,0)</f>
        <v>0</v>
      </c>
      <c r="N86">
        <f>IF(DAY($B86)=N$1,$K86,0)</f>
        <v>0</v>
      </c>
      <c r="O86">
        <f>IF(DAY($B86)=O$1,$K86,0)</f>
        <v>0</v>
      </c>
      <c r="P86">
        <f>IF(DAY($B86)=P$1,$K86,0)</f>
        <v>0</v>
      </c>
      <c r="Q86">
        <f>IF(DAY($B86)=Q$1,$K86,0)</f>
        <v>0</v>
      </c>
      <c r="R86">
        <f>IF(DAY($B86)=R$1,$K86,0)</f>
        <v>0</v>
      </c>
      <c r="S86">
        <f>IF(DAY($B86)=S$1,$K86,0)</f>
        <v>0</v>
      </c>
      <c r="T86">
        <f>IF(DAY($B86)=T$1,$K86,0)</f>
        <v>0</v>
      </c>
      <c r="U86">
        <f>IF(DAY($B86)=U$1,$K86,0)</f>
        <v>0</v>
      </c>
      <c r="V86">
        <f>IF(DAY($B86)=V$1,$K86,0)</f>
        <v>0</v>
      </c>
      <c r="W86">
        <f>IF(DAY($B86)=W$1,$K86,0)</f>
        <v>0</v>
      </c>
      <c r="X86">
        <f>IF(DAY($B86)=X$1,$K86,0)</f>
        <v>0</v>
      </c>
      <c r="Y86">
        <f>IF(DAY($B86)=Y$1,$K86,0)</f>
        <v>0</v>
      </c>
      <c r="Z86">
        <f>IF(DAY($B86)=Z$1,$K86,0)</f>
        <v>0</v>
      </c>
      <c r="AA86">
        <f>IF(DAY($B86)=AA$1,$K86,0)</f>
        <v>0</v>
      </c>
      <c r="AB86">
        <f>IF(DAY($B86)=AB$1,$K86,0)</f>
        <v>104.56666666666666</v>
      </c>
      <c r="AC86">
        <f>IF(DAY($B86)=AC$1,$K86,0)</f>
        <v>0</v>
      </c>
      <c r="AD86">
        <f>IF(DAY($B86)=AD$1,$K86,0)</f>
        <v>0</v>
      </c>
      <c r="AE86">
        <f>IF(DAY($B86)=AE$1,$K86,0)</f>
        <v>0</v>
      </c>
      <c r="AF86">
        <f>IF(DAY($B86)=AF$1,$K86,0)</f>
        <v>0</v>
      </c>
      <c r="AG86">
        <f>IF(DAY($B86)=AG$1,$K86,0)</f>
        <v>0</v>
      </c>
      <c r="AH86">
        <f>IF(DAY($B86)=AH$1,$K86,0)</f>
        <v>0</v>
      </c>
      <c r="AI86">
        <f>IF(DAY($B86)=AI$1,$K86,0)</f>
        <v>0</v>
      </c>
      <c r="AJ86">
        <f>IF(DAY($B86)=AJ$1,$K86,0)</f>
        <v>0</v>
      </c>
      <c r="AK86">
        <f>IF(DAY($B86)=AK$1,$K86,0)</f>
        <v>0</v>
      </c>
      <c r="AL86">
        <f>IF(DAY($B86)=AL$1,$K86,0)</f>
        <v>0</v>
      </c>
      <c r="AM86">
        <f>IF(DAY($B86)=AM$1,$K86,0)</f>
        <v>0</v>
      </c>
      <c r="AN86">
        <f>IF(DAY($B86)=AN$1,$K86,0)</f>
        <v>0</v>
      </c>
      <c r="AO86">
        <f>IF(DAY($B86)=AO$1,$K86,0)</f>
        <v>0</v>
      </c>
      <c r="AP86">
        <f>IF(DAY($B86)=AP$1,$K86,0)</f>
        <v>0</v>
      </c>
    </row>
    <row r="87" spans="1:42" x14ac:dyDescent="0.3">
      <c r="A87">
        <v>86</v>
      </c>
      <c r="B87" s="1">
        <v>44456</v>
      </c>
      <c r="C87" s="2">
        <v>0.28914351851851855</v>
      </c>
      <c r="D87" s="1">
        <v>44456</v>
      </c>
      <c r="E87" s="3">
        <v>0.33407407407407402</v>
      </c>
      <c r="F87">
        <v>4</v>
      </c>
      <c r="G87">
        <v>11</v>
      </c>
      <c r="H87" s="3">
        <f t="shared" si="5"/>
        <v>4.4930555555555474E-2</v>
      </c>
      <c r="I87" s="3">
        <f t="shared" si="6"/>
        <v>4.4930555555555474E-2</v>
      </c>
      <c r="J87" s="3">
        <f t="shared" si="7"/>
        <v>0</v>
      </c>
      <c r="K87">
        <f t="shared" si="4"/>
        <v>64.7</v>
      </c>
      <c r="M87">
        <f>IF(DAY(B87)=$M$1,K87,0)</f>
        <v>0</v>
      </c>
      <c r="N87">
        <f>IF(DAY($B87)=N$1,$K87,0)</f>
        <v>0</v>
      </c>
      <c r="O87">
        <f>IF(DAY($B87)=O$1,$K87,0)</f>
        <v>0</v>
      </c>
      <c r="P87">
        <f>IF(DAY($B87)=P$1,$K87,0)</f>
        <v>0</v>
      </c>
      <c r="Q87">
        <f>IF(DAY($B87)=Q$1,$K87,0)</f>
        <v>0</v>
      </c>
      <c r="R87">
        <f>IF(DAY($B87)=R$1,$K87,0)</f>
        <v>0</v>
      </c>
      <c r="S87">
        <f>IF(DAY($B87)=S$1,$K87,0)</f>
        <v>0</v>
      </c>
      <c r="T87">
        <f>IF(DAY($B87)=T$1,$K87,0)</f>
        <v>0</v>
      </c>
      <c r="U87">
        <f>IF(DAY($B87)=U$1,$K87,0)</f>
        <v>0</v>
      </c>
      <c r="V87">
        <f>IF(DAY($B87)=V$1,$K87,0)</f>
        <v>0</v>
      </c>
      <c r="W87">
        <f>IF(DAY($B87)=W$1,$K87,0)</f>
        <v>0</v>
      </c>
      <c r="X87">
        <f>IF(DAY($B87)=X$1,$K87,0)</f>
        <v>0</v>
      </c>
      <c r="Y87">
        <f>IF(DAY($B87)=Y$1,$K87,0)</f>
        <v>0</v>
      </c>
      <c r="Z87">
        <f>IF(DAY($B87)=Z$1,$K87,0)</f>
        <v>0</v>
      </c>
      <c r="AA87">
        <f>IF(DAY($B87)=AA$1,$K87,0)</f>
        <v>0</v>
      </c>
      <c r="AB87">
        <f>IF(DAY($B87)=AB$1,$K87,0)</f>
        <v>0</v>
      </c>
      <c r="AC87">
        <f>IF(DAY($B87)=AC$1,$K87,0)</f>
        <v>64.7</v>
      </c>
      <c r="AD87">
        <f>IF(DAY($B87)=AD$1,$K87,0)</f>
        <v>0</v>
      </c>
      <c r="AE87">
        <f>IF(DAY($B87)=AE$1,$K87,0)</f>
        <v>0</v>
      </c>
      <c r="AF87">
        <f>IF(DAY($B87)=AF$1,$K87,0)</f>
        <v>0</v>
      </c>
      <c r="AG87">
        <f>IF(DAY($B87)=AG$1,$K87,0)</f>
        <v>0</v>
      </c>
      <c r="AH87">
        <f>IF(DAY($B87)=AH$1,$K87,0)</f>
        <v>0</v>
      </c>
      <c r="AI87">
        <f>IF(DAY($B87)=AI$1,$K87,0)</f>
        <v>0</v>
      </c>
      <c r="AJ87">
        <f>IF(DAY($B87)=AJ$1,$K87,0)</f>
        <v>0</v>
      </c>
      <c r="AK87">
        <f>IF(DAY($B87)=AK$1,$K87,0)</f>
        <v>0</v>
      </c>
      <c r="AL87">
        <f>IF(DAY($B87)=AL$1,$K87,0)</f>
        <v>0</v>
      </c>
      <c r="AM87">
        <f>IF(DAY($B87)=AM$1,$K87,0)</f>
        <v>0</v>
      </c>
      <c r="AN87">
        <f>IF(DAY($B87)=AN$1,$K87,0)</f>
        <v>0</v>
      </c>
      <c r="AO87">
        <f>IF(DAY($B87)=AO$1,$K87,0)</f>
        <v>0</v>
      </c>
      <c r="AP87">
        <f>IF(DAY($B87)=AP$1,$K87,0)</f>
        <v>0</v>
      </c>
    </row>
    <row r="88" spans="1:42" x14ac:dyDescent="0.3">
      <c r="A88">
        <v>87</v>
      </c>
      <c r="B88" s="1">
        <v>44456</v>
      </c>
      <c r="C88" s="2">
        <v>0.45840277777777777</v>
      </c>
      <c r="D88" s="1">
        <v>44456</v>
      </c>
      <c r="E88" s="3">
        <v>0.47927083333333331</v>
      </c>
      <c r="F88">
        <v>21</v>
      </c>
      <c r="G88">
        <v>15</v>
      </c>
      <c r="H88" s="3">
        <f t="shared" si="5"/>
        <v>2.0868055555555542E-2</v>
      </c>
      <c r="I88" s="3">
        <f t="shared" si="6"/>
        <v>2.0868055555555542E-2</v>
      </c>
      <c r="J88" s="3">
        <f t="shared" si="7"/>
        <v>0</v>
      </c>
      <c r="K88">
        <f t="shared" si="4"/>
        <v>30.05</v>
      </c>
      <c r="M88">
        <f>IF(DAY(B88)=$M$1,K88,0)</f>
        <v>0</v>
      </c>
      <c r="N88">
        <f>IF(DAY($B88)=N$1,$K88,0)</f>
        <v>0</v>
      </c>
      <c r="O88">
        <f>IF(DAY($B88)=O$1,$K88,0)</f>
        <v>0</v>
      </c>
      <c r="P88">
        <f>IF(DAY($B88)=P$1,$K88,0)</f>
        <v>0</v>
      </c>
      <c r="Q88">
        <f>IF(DAY($B88)=Q$1,$K88,0)</f>
        <v>0</v>
      </c>
      <c r="R88">
        <f>IF(DAY($B88)=R$1,$K88,0)</f>
        <v>0</v>
      </c>
      <c r="S88">
        <f>IF(DAY($B88)=S$1,$K88,0)</f>
        <v>0</v>
      </c>
      <c r="T88">
        <f>IF(DAY($B88)=T$1,$K88,0)</f>
        <v>0</v>
      </c>
      <c r="U88">
        <f>IF(DAY($B88)=U$1,$K88,0)</f>
        <v>0</v>
      </c>
      <c r="V88">
        <f>IF(DAY($B88)=V$1,$K88,0)</f>
        <v>0</v>
      </c>
      <c r="W88">
        <f>IF(DAY($B88)=W$1,$K88,0)</f>
        <v>0</v>
      </c>
      <c r="X88">
        <f>IF(DAY($B88)=X$1,$K88,0)</f>
        <v>0</v>
      </c>
      <c r="Y88">
        <f>IF(DAY($B88)=Y$1,$K88,0)</f>
        <v>0</v>
      </c>
      <c r="Z88">
        <f>IF(DAY($B88)=Z$1,$K88,0)</f>
        <v>0</v>
      </c>
      <c r="AA88">
        <f>IF(DAY($B88)=AA$1,$K88,0)</f>
        <v>0</v>
      </c>
      <c r="AB88">
        <f>IF(DAY($B88)=AB$1,$K88,0)</f>
        <v>0</v>
      </c>
      <c r="AC88">
        <f>IF(DAY($B88)=AC$1,$K88,0)</f>
        <v>30.05</v>
      </c>
      <c r="AD88">
        <f>IF(DAY($B88)=AD$1,$K88,0)</f>
        <v>0</v>
      </c>
      <c r="AE88">
        <f>IF(DAY($B88)=AE$1,$K88,0)</f>
        <v>0</v>
      </c>
      <c r="AF88">
        <f>IF(DAY($B88)=AF$1,$K88,0)</f>
        <v>0</v>
      </c>
      <c r="AG88">
        <f>IF(DAY($B88)=AG$1,$K88,0)</f>
        <v>0</v>
      </c>
      <c r="AH88">
        <f>IF(DAY($B88)=AH$1,$K88,0)</f>
        <v>0</v>
      </c>
      <c r="AI88">
        <f>IF(DAY($B88)=AI$1,$K88,0)</f>
        <v>0</v>
      </c>
      <c r="AJ88">
        <f>IF(DAY($B88)=AJ$1,$K88,0)</f>
        <v>0</v>
      </c>
      <c r="AK88">
        <f>IF(DAY($B88)=AK$1,$K88,0)</f>
        <v>0</v>
      </c>
      <c r="AL88">
        <f>IF(DAY($B88)=AL$1,$K88,0)</f>
        <v>0</v>
      </c>
      <c r="AM88">
        <f>IF(DAY($B88)=AM$1,$K88,0)</f>
        <v>0</v>
      </c>
      <c r="AN88">
        <f>IF(DAY($B88)=AN$1,$K88,0)</f>
        <v>0</v>
      </c>
      <c r="AO88">
        <f>IF(DAY($B88)=AO$1,$K88,0)</f>
        <v>0</v>
      </c>
      <c r="AP88">
        <f>IF(DAY($B88)=AP$1,$K88,0)</f>
        <v>0</v>
      </c>
    </row>
    <row r="89" spans="1:42" x14ac:dyDescent="0.3">
      <c r="A89">
        <v>88</v>
      </c>
      <c r="B89" s="1">
        <v>44456</v>
      </c>
      <c r="C89" s="2">
        <v>0.55218749999999994</v>
      </c>
      <c r="D89" s="1">
        <v>44456</v>
      </c>
      <c r="E89" s="3">
        <v>0.62156250000000002</v>
      </c>
      <c r="F89">
        <v>7</v>
      </c>
      <c r="G89">
        <v>13</v>
      </c>
      <c r="H89" s="3">
        <f t="shared" si="5"/>
        <v>6.9375000000000075E-2</v>
      </c>
      <c r="I89" s="3">
        <f t="shared" si="6"/>
        <v>6.9375000000000075E-2</v>
      </c>
      <c r="J89" s="3">
        <f t="shared" si="7"/>
        <v>0</v>
      </c>
      <c r="K89">
        <f t="shared" si="4"/>
        <v>99.9</v>
      </c>
      <c r="M89">
        <f>IF(DAY(B89)=$M$1,K89,0)</f>
        <v>0</v>
      </c>
      <c r="N89">
        <f>IF(DAY($B89)=N$1,$K89,0)</f>
        <v>0</v>
      </c>
      <c r="O89">
        <f>IF(DAY($B89)=O$1,$K89,0)</f>
        <v>0</v>
      </c>
      <c r="P89">
        <f>IF(DAY($B89)=P$1,$K89,0)</f>
        <v>0</v>
      </c>
      <c r="Q89">
        <f>IF(DAY($B89)=Q$1,$K89,0)</f>
        <v>0</v>
      </c>
      <c r="R89">
        <f>IF(DAY($B89)=R$1,$K89,0)</f>
        <v>0</v>
      </c>
      <c r="S89">
        <f>IF(DAY($B89)=S$1,$K89,0)</f>
        <v>0</v>
      </c>
      <c r="T89">
        <f>IF(DAY($B89)=T$1,$K89,0)</f>
        <v>0</v>
      </c>
      <c r="U89">
        <f>IF(DAY($B89)=U$1,$K89,0)</f>
        <v>0</v>
      </c>
      <c r="V89">
        <f>IF(DAY($B89)=V$1,$K89,0)</f>
        <v>0</v>
      </c>
      <c r="W89">
        <f>IF(DAY($B89)=W$1,$K89,0)</f>
        <v>0</v>
      </c>
      <c r="X89">
        <f>IF(DAY($B89)=X$1,$K89,0)</f>
        <v>0</v>
      </c>
      <c r="Y89">
        <f>IF(DAY($B89)=Y$1,$K89,0)</f>
        <v>0</v>
      </c>
      <c r="Z89">
        <f>IF(DAY($B89)=Z$1,$K89,0)</f>
        <v>0</v>
      </c>
      <c r="AA89">
        <f>IF(DAY($B89)=AA$1,$K89,0)</f>
        <v>0</v>
      </c>
      <c r="AB89">
        <f>IF(DAY($B89)=AB$1,$K89,0)</f>
        <v>0</v>
      </c>
      <c r="AC89">
        <f>IF(DAY($B89)=AC$1,$K89,0)</f>
        <v>99.9</v>
      </c>
      <c r="AD89">
        <f>IF(DAY($B89)=AD$1,$K89,0)</f>
        <v>0</v>
      </c>
      <c r="AE89">
        <f>IF(DAY($B89)=AE$1,$K89,0)</f>
        <v>0</v>
      </c>
      <c r="AF89">
        <f>IF(DAY($B89)=AF$1,$K89,0)</f>
        <v>0</v>
      </c>
      <c r="AG89">
        <f>IF(DAY($B89)=AG$1,$K89,0)</f>
        <v>0</v>
      </c>
      <c r="AH89">
        <f>IF(DAY($B89)=AH$1,$K89,0)</f>
        <v>0</v>
      </c>
      <c r="AI89">
        <f>IF(DAY($B89)=AI$1,$K89,0)</f>
        <v>0</v>
      </c>
      <c r="AJ89">
        <f>IF(DAY($B89)=AJ$1,$K89,0)</f>
        <v>0</v>
      </c>
      <c r="AK89">
        <f>IF(DAY($B89)=AK$1,$K89,0)</f>
        <v>0</v>
      </c>
      <c r="AL89">
        <f>IF(DAY($B89)=AL$1,$K89,0)</f>
        <v>0</v>
      </c>
      <c r="AM89">
        <f>IF(DAY($B89)=AM$1,$K89,0)</f>
        <v>0</v>
      </c>
      <c r="AN89">
        <f>IF(DAY($B89)=AN$1,$K89,0)</f>
        <v>0</v>
      </c>
      <c r="AO89">
        <f>IF(DAY($B89)=AO$1,$K89,0)</f>
        <v>0</v>
      </c>
      <c r="AP89">
        <f>IF(DAY($B89)=AP$1,$K89,0)</f>
        <v>0</v>
      </c>
    </row>
    <row r="90" spans="1:42" x14ac:dyDescent="0.3">
      <c r="A90">
        <v>89</v>
      </c>
      <c r="B90" s="1">
        <v>44456</v>
      </c>
      <c r="C90" s="2">
        <v>0.64994212962962961</v>
      </c>
      <c r="D90" s="1">
        <v>44456</v>
      </c>
      <c r="E90" s="3">
        <v>0.71797453703703706</v>
      </c>
      <c r="F90">
        <v>14</v>
      </c>
      <c r="G90">
        <v>16</v>
      </c>
      <c r="H90" s="3">
        <f t="shared" si="5"/>
        <v>6.8032407407407458E-2</v>
      </c>
      <c r="I90" s="3">
        <f t="shared" si="6"/>
        <v>6.8032407407407458E-2</v>
      </c>
      <c r="J90" s="3">
        <f t="shared" si="7"/>
        <v>0</v>
      </c>
      <c r="K90">
        <f t="shared" si="4"/>
        <v>97.966666666666669</v>
      </c>
      <c r="M90">
        <f>IF(DAY(B90)=$M$1,K90,0)</f>
        <v>0</v>
      </c>
      <c r="N90">
        <f>IF(DAY($B90)=N$1,$K90,0)</f>
        <v>0</v>
      </c>
      <c r="O90">
        <f>IF(DAY($B90)=O$1,$K90,0)</f>
        <v>0</v>
      </c>
      <c r="P90">
        <f>IF(DAY($B90)=P$1,$K90,0)</f>
        <v>0</v>
      </c>
      <c r="Q90">
        <f>IF(DAY($B90)=Q$1,$K90,0)</f>
        <v>0</v>
      </c>
      <c r="R90">
        <f>IF(DAY($B90)=R$1,$K90,0)</f>
        <v>0</v>
      </c>
      <c r="S90">
        <f>IF(DAY($B90)=S$1,$K90,0)</f>
        <v>0</v>
      </c>
      <c r="T90">
        <f>IF(DAY($B90)=T$1,$K90,0)</f>
        <v>0</v>
      </c>
      <c r="U90">
        <f>IF(DAY($B90)=U$1,$K90,0)</f>
        <v>0</v>
      </c>
      <c r="V90">
        <f>IF(DAY($B90)=V$1,$K90,0)</f>
        <v>0</v>
      </c>
      <c r="W90">
        <f>IF(DAY($B90)=W$1,$K90,0)</f>
        <v>0</v>
      </c>
      <c r="X90">
        <f>IF(DAY($B90)=X$1,$K90,0)</f>
        <v>0</v>
      </c>
      <c r="Y90">
        <f>IF(DAY($B90)=Y$1,$K90,0)</f>
        <v>0</v>
      </c>
      <c r="Z90">
        <f>IF(DAY($B90)=Z$1,$K90,0)</f>
        <v>0</v>
      </c>
      <c r="AA90">
        <f>IF(DAY($B90)=AA$1,$K90,0)</f>
        <v>0</v>
      </c>
      <c r="AB90">
        <f>IF(DAY($B90)=AB$1,$K90,0)</f>
        <v>0</v>
      </c>
      <c r="AC90">
        <f>IF(DAY($B90)=AC$1,$K90,0)</f>
        <v>97.966666666666669</v>
      </c>
      <c r="AD90">
        <f>IF(DAY($B90)=AD$1,$K90,0)</f>
        <v>0</v>
      </c>
      <c r="AE90">
        <f>IF(DAY($B90)=AE$1,$K90,0)</f>
        <v>0</v>
      </c>
      <c r="AF90">
        <f>IF(DAY($B90)=AF$1,$K90,0)</f>
        <v>0</v>
      </c>
      <c r="AG90">
        <f>IF(DAY($B90)=AG$1,$K90,0)</f>
        <v>0</v>
      </c>
      <c r="AH90">
        <f>IF(DAY($B90)=AH$1,$K90,0)</f>
        <v>0</v>
      </c>
      <c r="AI90">
        <f>IF(DAY($B90)=AI$1,$K90,0)</f>
        <v>0</v>
      </c>
      <c r="AJ90">
        <f>IF(DAY($B90)=AJ$1,$K90,0)</f>
        <v>0</v>
      </c>
      <c r="AK90">
        <f>IF(DAY($B90)=AK$1,$K90,0)</f>
        <v>0</v>
      </c>
      <c r="AL90">
        <f>IF(DAY($B90)=AL$1,$K90,0)</f>
        <v>0</v>
      </c>
      <c r="AM90">
        <f>IF(DAY($B90)=AM$1,$K90,0)</f>
        <v>0</v>
      </c>
      <c r="AN90">
        <f>IF(DAY($B90)=AN$1,$K90,0)</f>
        <v>0</v>
      </c>
      <c r="AO90">
        <f>IF(DAY($B90)=AO$1,$K90,0)</f>
        <v>0</v>
      </c>
      <c r="AP90">
        <f>IF(DAY($B90)=AP$1,$K90,0)</f>
        <v>0</v>
      </c>
    </row>
    <row r="91" spans="1:42" x14ac:dyDescent="0.3">
      <c r="A91">
        <v>90</v>
      </c>
      <c r="B91" s="1">
        <v>44456</v>
      </c>
      <c r="C91" s="2">
        <v>0.80049768518518516</v>
      </c>
      <c r="D91" s="1">
        <v>44456</v>
      </c>
      <c r="E91" s="3">
        <v>0.86509259259259252</v>
      </c>
      <c r="F91">
        <v>7</v>
      </c>
      <c r="G91">
        <v>0</v>
      </c>
      <c r="H91" s="3">
        <f t="shared" si="5"/>
        <v>6.4594907407407365E-2</v>
      </c>
      <c r="I91" s="3">
        <f t="shared" si="6"/>
        <v>6.4594907407407365E-2</v>
      </c>
      <c r="J91" s="3">
        <f t="shared" si="7"/>
        <v>0</v>
      </c>
      <c r="K91">
        <f t="shared" si="4"/>
        <v>93.016666666666666</v>
      </c>
      <c r="M91">
        <f>IF(DAY(B91)=$M$1,K91,0)</f>
        <v>0</v>
      </c>
      <c r="N91">
        <f>IF(DAY($B91)=N$1,$K91,0)</f>
        <v>0</v>
      </c>
      <c r="O91">
        <f>IF(DAY($B91)=O$1,$K91,0)</f>
        <v>0</v>
      </c>
      <c r="P91">
        <f>IF(DAY($B91)=P$1,$K91,0)</f>
        <v>0</v>
      </c>
      <c r="Q91">
        <f>IF(DAY($B91)=Q$1,$K91,0)</f>
        <v>0</v>
      </c>
      <c r="R91">
        <f>IF(DAY($B91)=R$1,$K91,0)</f>
        <v>0</v>
      </c>
      <c r="S91">
        <f>IF(DAY($B91)=S$1,$K91,0)</f>
        <v>0</v>
      </c>
      <c r="T91">
        <f>IF(DAY($B91)=T$1,$K91,0)</f>
        <v>0</v>
      </c>
      <c r="U91">
        <f>IF(DAY($B91)=U$1,$K91,0)</f>
        <v>0</v>
      </c>
      <c r="V91">
        <f>IF(DAY($B91)=V$1,$K91,0)</f>
        <v>0</v>
      </c>
      <c r="W91">
        <f>IF(DAY($B91)=W$1,$K91,0)</f>
        <v>0</v>
      </c>
      <c r="X91">
        <f>IF(DAY($B91)=X$1,$K91,0)</f>
        <v>0</v>
      </c>
      <c r="Y91">
        <f>IF(DAY($B91)=Y$1,$K91,0)</f>
        <v>0</v>
      </c>
      <c r="Z91">
        <f>IF(DAY($B91)=Z$1,$K91,0)</f>
        <v>0</v>
      </c>
      <c r="AA91">
        <f>IF(DAY($B91)=AA$1,$K91,0)</f>
        <v>0</v>
      </c>
      <c r="AB91">
        <f>IF(DAY($B91)=AB$1,$K91,0)</f>
        <v>0</v>
      </c>
      <c r="AC91">
        <f>IF(DAY($B91)=AC$1,$K91,0)</f>
        <v>93.016666666666666</v>
      </c>
      <c r="AD91">
        <f>IF(DAY($B91)=AD$1,$K91,0)</f>
        <v>0</v>
      </c>
      <c r="AE91">
        <f>IF(DAY($B91)=AE$1,$K91,0)</f>
        <v>0</v>
      </c>
      <c r="AF91">
        <f>IF(DAY($B91)=AF$1,$K91,0)</f>
        <v>0</v>
      </c>
      <c r="AG91">
        <f>IF(DAY($B91)=AG$1,$K91,0)</f>
        <v>0</v>
      </c>
      <c r="AH91">
        <f>IF(DAY($B91)=AH$1,$K91,0)</f>
        <v>0</v>
      </c>
      <c r="AI91">
        <f>IF(DAY($B91)=AI$1,$K91,0)</f>
        <v>0</v>
      </c>
      <c r="AJ91">
        <f>IF(DAY($B91)=AJ$1,$K91,0)</f>
        <v>0</v>
      </c>
      <c r="AK91">
        <f>IF(DAY($B91)=AK$1,$K91,0)</f>
        <v>0</v>
      </c>
      <c r="AL91">
        <f>IF(DAY($B91)=AL$1,$K91,0)</f>
        <v>0</v>
      </c>
      <c r="AM91">
        <f>IF(DAY($B91)=AM$1,$K91,0)</f>
        <v>0</v>
      </c>
      <c r="AN91">
        <f>IF(DAY($B91)=AN$1,$K91,0)</f>
        <v>0</v>
      </c>
      <c r="AO91">
        <f>IF(DAY($B91)=AO$1,$K91,0)</f>
        <v>0</v>
      </c>
      <c r="AP91">
        <f>IF(DAY($B91)=AP$1,$K91,0)</f>
        <v>0</v>
      </c>
    </row>
    <row r="92" spans="1:42" x14ac:dyDescent="0.3">
      <c r="A92">
        <v>91</v>
      </c>
      <c r="B92" s="1">
        <v>44457</v>
      </c>
      <c r="C92" s="2">
        <v>0.21187500000000001</v>
      </c>
      <c r="D92" s="1">
        <v>44457</v>
      </c>
      <c r="E92" s="3">
        <v>0.26673611111111112</v>
      </c>
      <c r="F92">
        <v>17</v>
      </c>
      <c r="G92">
        <v>15</v>
      </c>
      <c r="H92" s="3">
        <f t="shared" si="5"/>
        <v>5.486111111111111E-2</v>
      </c>
      <c r="I92" s="3">
        <f t="shared" si="6"/>
        <v>5.486111111111111E-2</v>
      </c>
      <c r="J92" s="3">
        <f t="shared" si="7"/>
        <v>0</v>
      </c>
      <c r="K92">
        <f t="shared" si="4"/>
        <v>79</v>
      </c>
      <c r="M92">
        <f>IF(DAY(B92)=$M$1,K92,0)</f>
        <v>0</v>
      </c>
      <c r="N92">
        <f>IF(DAY($B92)=N$1,$K92,0)</f>
        <v>0</v>
      </c>
      <c r="O92">
        <f>IF(DAY($B92)=O$1,$K92,0)</f>
        <v>0</v>
      </c>
      <c r="P92">
        <f>IF(DAY($B92)=P$1,$K92,0)</f>
        <v>0</v>
      </c>
      <c r="Q92">
        <f>IF(DAY($B92)=Q$1,$K92,0)</f>
        <v>0</v>
      </c>
      <c r="R92">
        <f>IF(DAY($B92)=R$1,$K92,0)</f>
        <v>0</v>
      </c>
      <c r="S92">
        <f>IF(DAY($B92)=S$1,$K92,0)</f>
        <v>0</v>
      </c>
      <c r="T92">
        <f>IF(DAY($B92)=T$1,$K92,0)</f>
        <v>0</v>
      </c>
      <c r="U92">
        <f>IF(DAY($B92)=U$1,$K92,0)</f>
        <v>0</v>
      </c>
      <c r="V92">
        <f>IF(DAY($B92)=V$1,$K92,0)</f>
        <v>0</v>
      </c>
      <c r="W92">
        <f>IF(DAY($B92)=W$1,$K92,0)</f>
        <v>0</v>
      </c>
      <c r="X92">
        <f>IF(DAY($B92)=X$1,$K92,0)</f>
        <v>0</v>
      </c>
      <c r="Y92">
        <f>IF(DAY($B92)=Y$1,$K92,0)</f>
        <v>0</v>
      </c>
      <c r="Z92">
        <f>IF(DAY($B92)=Z$1,$K92,0)</f>
        <v>0</v>
      </c>
      <c r="AA92">
        <f>IF(DAY($B92)=AA$1,$K92,0)</f>
        <v>0</v>
      </c>
      <c r="AB92">
        <f>IF(DAY($B92)=AB$1,$K92,0)</f>
        <v>0</v>
      </c>
      <c r="AC92">
        <f>IF(DAY($B92)=AC$1,$K92,0)</f>
        <v>0</v>
      </c>
      <c r="AD92">
        <f>IF(DAY($B92)=AD$1,$K92,0)</f>
        <v>79</v>
      </c>
      <c r="AE92">
        <f>IF(DAY($B92)=AE$1,$K92,0)</f>
        <v>0</v>
      </c>
      <c r="AF92">
        <f>IF(DAY($B92)=AF$1,$K92,0)</f>
        <v>0</v>
      </c>
      <c r="AG92">
        <f>IF(DAY($B92)=AG$1,$K92,0)</f>
        <v>0</v>
      </c>
      <c r="AH92">
        <f>IF(DAY($B92)=AH$1,$K92,0)</f>
        <v>0</v>
      </c>
      <c r="AI92">
        <f>IF(DAY($B92)=AI$1,$K92,0)</f>
        <v>0</v>
      </c>
      <c r="AJ92">
        <f>IF(DAY($B92)=AJ$1,$K92,0)</f>
        <v>0</v>
      </c>
      <c r="AK92">
        <f>IF(DAY($B92)=AK$1,$K92,0)</f>
        <v>0</v>
      </c>
      <c r="AL92">
        <f>IF(DAY($B92)=AL$1,$K92,0)</f>
        <v>0</v>
      </c>
      <c r="AM92">
        <f>IF(DAY($B92)=AM$1,$K92,0)</f>
        <v>0</v>
      </c>
      <c r="AN92">
        <f>IF(DAY($B92)=AN$1,$K92,0)</f>
        <v>0</v>
      </c>
      <c r="AO92">
        <f>IF(DAY($B92)=AO$1,$K92,0)</f>
        <v>0</v>
      </c>
      <c r="AP92">
        <f>IF(DAY($B92)=AP$1,$K92,0)</f>
        <v>0</v>
      </c>
    </row>
    <row r="93" spans="1:42" x14ac:dyDescent="0.3">
      <c r="A93">
        <v>92</v>
      </c>
      <c r="B93" s="1">
        <v>44457</v>
      </c>
      <c r="C93" s="2">
        <v>0.38490740740740742</v>
      </c>
      <c r="D93" s="1">
        <v>44457</v>
      </c>
      <c r="E93" s="3">
        <v>0.41679398148148145</v>
      </c>
      <c r="F93">
        <v>5</v>
      </c>
      <c r="G93">
        <v>8</v>
      </c>
      <c r="H93" s="3">
        <f t="shared" si="5"/>
        <v>3.1886574074074026E-2</v>
      </c>
      <c r="I93" s="3">
        <f t="shared" si="6"/>
        <v>3.1886574074074026E-2</v>
      </c>
      <c r="J93" s="3">
        <f t="shared" si="7"/>
        <v>0</v>
      </c>
      <c r="K93">
        <f t="shared" si="4"/>
        <v>45.916666666666664</v>
      </c>
      <c r="M93">
        <f>IF(DAY(B93)=$M$1,K93,0)</f>
        <v>0</v>
      </c>
      <c r="N93">
        <f>IF(DAY($B93)=N$1,$K93,0)</f>
        <v>0</v>
      </c>
      <c r="O93">
        <f>IF(DAY($B93)=O$1,$K93,0)</f>
        <v>0</v>
      </c>
      <c r="P93">
        <f>IF(DAY($B93)=P$1,$K93,0)</f>
        <v>0</v>
      </c>
      <c r="Q93">
        <f>IF(DAY($B93)=Q$1,$K93,0)</f>
        <v>0</v>
      </c>
      <c r="R93">
        <f>IF(DAY($B93)=R$1,$K93,0)</f>
        <v>0</v>
      </c>
      <c r="S93">
        <f>IF(DAY($B93)=S$1,$K93,0)</f>
        <v>0</v>
      </c>
      <c r="T93">
        <f>IF(DAY($B93)=T$1,$K93,0)</f>
        <v>0</v>
      </c>
      <c r="U93">
        <f>IF(DAY($B93)=U$1,$K93,0)</f>
        <v>0</v>
      </c>
      <c r="V93">
        <f>IF(DAY($B93)=V$1,$K93,0)</f>
        <v>0</v>
      </c>
      <c r="W93">
        <f>IF(DAY($B93)=W$1,$K93,0)</f>
        <v>0</v>
      </c>
      <c r="X93">
        <f>IF(DAY($B93)=X$1,$K93,0)</f>
        <v>0</v>
      </c>
      <c r="Y93">
        <f>IF(DAY($B93)=Y$1,$K93,0)</f>
        <v>0</v>
      </c>
      <c r="Z93">
        <f>IF(DAY($B93)=Z$1,$K93,0)</f>
        <v>0</v>
      </c>
      <c r="AA93">
        <f>IF(DAY($B93)=AA$1,$K93,0)</f>
        <v>0</v>
      </c>
      <c r="AB93">
        <f>IF(DAY($B93)=AB$1,$K93,0)</f>
        <v>0</v>
      </c>
      <c r="AC93">
        <f>IF(DAY($B93)=AC$1,$K93,0)</f>
        <v>0</v>
      </c>
      <c r="AD93">
        <f>IF(DAY($B93)=AD$1,$K93,0)</f>
        <v>45.916666666666664</v>
      </c>
      <c r="AE93">
        <f>IF(DAY($B93)=AE$1,$K93,0)</f>
        <v>0</v>
      </c>
      <c r="AF93">
        <f>IF(DAY($B93)=AF$1,$K93,0)</f>
        <v>0</v>
      </c>
      <c r="AG93">
        <f>IF(DAY($B93)=AG$1,$K93,0)</f>
        <v>0</v>
      </c>
      <c r="AH93">
        <f>IF(DAY($B93)=AH$1,$K93,0)</f>
        <v>0</v>
      </c>
      <c r="AI93">
        <f>IF(DAY($B93)=AI$1,$K93,0)</f>
        <v>0</v>
      </c>
      <c r="AJ93">
        <f>IF(DAY($B93)=AJ$1,$K93,0)</f>
        <v>0</v>
      </c>
      <c r="AK93">
        <f>IF(DAY($B93)=AK$1,$K93,0)</f>
        <v>0</v>
      </c>
      <c r="AL93">
        <f>IF(DAY($B93)=AL$1,$K93,0)</f>
        <v>0</v>
      </c>
      <c r="AM93">
        <f>IF(DAY($B93)=AM$1,$K93,0)</f>
        <v>0</v>
      </c>
      <c r="AN93">
        <f>IF(DAY($B93)=AN$1,$K93,0)</f>
        <v>0</v>
      </c>
      <c r="AO93">
        <f>IF(DAY($B93)=AO$1,$K93,0)</f>
        <v>0</v>
      </c>
      <c r="AP93">
        <f>IF(DAY($B93)=AP$1,$K93,0)</f>
        <v>0</v>
      </c>
    </row>
    <row r="94" spans="1:42" x14ac:dyDescent="0.3">
      <c r="A94">
        <v>93</v>
      </c>
      <c r="B94" s="1">
        <v>44457</v>
      </c>
      <c r="C94" s="2">
        <v>0.47458333333333336</v>
      </c>
      <c r="D94" s="1">
        <v>44457</v>
      </c>
      <c r="E94" s="3">
        <v>0.5599884259259259</v>
      </c>
      <c r="F94">
        <v>14</v>
      </c>
      <c r="G94">
        <v>9</v>
      </c>
      <c r="H94" s="3">
        <f t="shared" si="5"/>
        <v>8.5405092592592546E-2</v>
      </c>
      <c r="I94" s="3">
        <f t="shared" si="6"/>
        <v>8.5405092592592546E-2</v>
      </c>
      <c r="J94" s="3">
        <f t="shared" si="7"/>
        <v>0</v>
      </c>
      <c r="K94">
        <f t="shared" si="4"/>
        <v>122.98333333333333</v>
      </c>
      <c r="M94">
        <f>IF(DAY(B94)=$M$1,K94,0)</f>
        <v>0</v>
      </c>
      <c r="N94">
        <f>IF(DAY($B94)=N$1,$K94,0)</f>
        <v>0</v>
      </c>
      <c r="O94">
        <f>IF(DAY($B94)=O$1,$K94,0)</f>
        <v>0</v>
      </c>
      <c r="P94">
        <f>IF(DAY($B94)=P$1,$K94,0)</f>
        <v>0</v>
      </c>
      <c r="Q94">
        <f>IF(DAY($B94)=Q$1,$K94,0)</f>
        <v>0</v>
      </c>
      <c r="R94">
        <f>IF(DAY($B94)=R$1,$K94,0)</f>
        <v>0</v>
      </c>
      <c r="S94">
        <f>IF(DAY($B94)=S$1,$K94,0)</f>
        <v>0</v>
      </c>
      <c r="T94">
        <f>IF(DAY($B94)=T$1,$K94,0)</f>
        <v>0</v>
      </c>
      <c r="U94">
        <f>IF(DAY($B94)=U$1,$K94,0)</f>
        <v>0</v>
      </c>
      <c r="V94">
        <f>IF(DAY($B94)=V$1,$K94,0)</f>
        <v>0</v>
      </c>
      <c r="W94">
        <f>IF(DAY($B94)=W$1,$K94,0)</f>
        <v>0</v>
      </c>
      <c r="X94">
        <f>IF(DAY($B94)=X$1,$K94,0)</f>
        <v>0</v>
      </c>
      <c r="Y94">
        <f>IF(DAY($B94)=Y$1,$K94,0)</f>
        <v>0</v>
      </c>
      <c r="Z94">
        <f>IF(DAY($B94)=Z$1,$K94,0)</f>
        <v>0</v>
      </c>
      <c r="AA94">
        <f>IF(DAY($B94)=AA$1,$K94,0)</f>
        <v>0</v>
      </c>
      <c r="AB94">
        <f>IF(DAY($B94)=AB$1,$K94,0)</f>
        <v>0</v>
      </c>
      <c r="AC94">
        <f>IF(DAY($B94)=AC$1,$K94,0)</f>
        <v>0</v>
      </c>
      <c r="AD94">
        <f>IF(DAY($B94)=AD$1,$K94,0)</f>
        <v>122.98333333333333</v>
      </c>
      <c r="AE94">
        <f>IF(DAY($B94)=AE$1,$K94,0)</f>
        <v>0</v>
      </c>
      <c r="AF94">
        <f>IF(DAY($B94)=AF$1,$K94,0)</f>
        <v>0</v>
      </c>
      <c r="AG94">
        <f>IF(DAY($B94)=AG$1,$K94,0)</f>
        <v>0</v>
      </c>
      <c r="AH94">
        <f>IF(DAY($B94)=AH$1,$K94,0)</f>
        <v>0</v>
      </c>
      <c r="AI94">
        <f>IF(DAY($B94)=AI$1,$K94,0)</f>
        <v>0</v>
      </c>
      <c r="AJ94">
        <f>IF(DAY($B94)=AJ$1,$K94,0)</f>
        <v>0</v>
      </c>
      <c r="AK94">
        <f>IF(DAY($B94)=AK$1,$K94,0)</f>
        <v>0</v>
      </c>
      <c r="AL94">
        <f>IF(DAY($B94)=AL$1,$K94,0)</f>
        <v>0</v>
      </c>
      <c r="AM94">
        <f>IF(DAY($B94)=AM$1,$K94,0)</f>
        <v>0</v>
      </c>
      <c r="AN94">
        <f>IF(DAY($B94)=AN$1,$K94,0)</f>
        <v>0</v>
      </c>
      <c r="AO94">
        <f>IF(DAY($B94)=AO$1,$K94,0)</f>
        <v>0</v>
      </c>
      <c r="AP94">
        <f>IF(DAY($B94)=AP$1,$K94,0)</f>
        <v>0</v>
      </c>
    </row>
    <row r="95" spans="1:42" x14ac:dyDescent="0.3">
      <c r="A95">
        <v>94</v>
      </c>
      <c r="B95" s="1">
        <v>44457</v>
      </c>
      <c r="C95" s="2">
        <v>0.62175925925925923</v>
      </c>
      <c r="D95" s="1">
        <v>44457</v>
      </c>
      <c r="E95" s="3">
        <v>0.64258101851851845</v>
      </c>
      <c r="F95">
        <v>11</v>
      </c>
      <c r="G95">
        <v>17</v>
      </c>
      <c r="H95" s="3">
        <f t="shared" si="5"/>
        <v>2.082175925925922E-2</v>
      </c>
      <c r="I95" s="3">
        <f t="shared" si="6"/>
        <v>2.082175925925922E-2</v>
      </c>
      <c r="J95" s="3">
        <f t="shared" si="7"/>
        <v>0</v>
      </c>
      <c r="K95">
        <f t="shared" si="4"/>
        <v>29.983333333333334</v>
      </c>
      <c r="M95">
        <f>IF(DAY(B95)=$M$1,K95,0)</f>
        <v>0</v>
      </c>
      <c r="N95">
        <f>IF(DAY($B95)=N$1,$K95,0)</f>
        <v>0</v>
      </c>
      <c r="O95">
        <f>IF(DAY($B95)=O$1,$K95,0)</f>
        <v>0</v>
      </c>
      <c r="P95">
        <f>IF(DAY($B95)=P$1,$K95,0)</f>
        <v>0</v>
      </c>
      <c r="Q95">
        <f>IF(DAY($B95)=Q$1,$K95,0)</f>
        <v>0</v>
      </c>
      <c r="R95">
        <f>IF(DAY($B95)=R$1,$K95,0)</f>
        <v>0</v>
      </c>
      <c r="S95">
        <f>IF(DAY($B95)=S$1,$K95,0)</f>
        <v>0</v>
      </c>
      <c r="T95">
        <f>IF(DAY($B95)=T$1,$K95,0)</f>
        <v>0</v>
      </c>
      <c r="U95">
        <f>IF(DAY($B95)=U$1,$K95,0)</f>
        <v>0</v>
      </c>
      <c r="V95">
        <f>IF(DAY($B95)=V$1,$K95,0)</f>
        <v>0</v>
      </c>
      <c r="W95">
        <f>IF(DAY($B95)=W$1,$K95,0)</f>
        <v>0</v>
      </c>
      <c r="X95">
        <f>IF(DAY($B95)=X$1,$K95,0)</f>
        <v>0</v>
      </c>
      <c r="Y95">
        <f>IF(DAY($B95)=Y$1,$K95,0)</f>
        <v>0</v>
      </c>
      <c r="Z95">
        <f>IF(DAY($B95)=Z$1,$K95,0)</f>
        <v>0</v>
      </c>
      <c r="AA95">
        <f>IF(DAY($B95)=AA$1,$K95,0)</f>
        <v>0</v>
      </c>
      <c r="AB95">
        <f>IF(DAY($B95)=AB$1,$K95,0)</f>
        <v>0</v>
      </c>
      <c r="AC95">
        <f>IF(DAY($B95)=AC$1,$K95,0)</f>
        <v>0</v>
      </c>
      <c r="AD95">
        <f>IF(DAY($B95)=AD$1,$K95,0)</f>
        <v>29.983333333333334</v>
      </c>
      <c r="AE95">
        <f>IF(DAY($B95)=AE$1,$K95,0)</f>
        <v>0</v>
      </c>
      <c r="AF95">
        <f>IF(DAY($B95)=AF$1,$K95,0)</f>
        <v>0</v>
      </c>
      <c r="AG95">
        <f>IF(DAY($B95)=AG$1,$K95,0)</f>
        <v>0</v>
      </c>
      <c r="AH95">
        <f>IF(DAY($B95)=AH$1,$K95,0)</f>
        <v>0</v>
      </c>
      <c r="AI95">
        <f>IF(DAY($B95)=AI$1,$K95,0)</f>
        <v>0</v>
      </c>
      <c r="AJ95">
        <f>IF(DAY($B95)=AJ$1,$K95,0)</f>
        <v>0</v>
      </c>
      <c r="AK95">
        <f>IF(DAY($B95)=AK$1,$K95,0)</f>
        <v>0</v>
      </c>
      <c r="AL95">
        <f>IF(DAY($B95)=AL$1,$K95,0)</f>
        <v>0</v>
      </c>
      <c r="AM95">
        <f>IF(DAY($B95)=AM$1,$K95,0)</f>
        <v>0</v>
      </c>
      <c r="AN95">
        <f>IF(DAY($B95)=AN$1,$K95,0)</f>
        <v>0</v>
      </c>
      <c r="AO95">
        <f>IF(DAY($B95)=AO$1,$K95,0)</f>
        <v>0</v>
      </c>
      <c r="AP95">
        <f>IF(DAY($B95)=AP$1,$K95,0)</f>
        <v>0</v>
      </c>
    </row>
    <row r="96" spans="1:42" x14ac:dyDescent="0.3">
      <c r="A96">
        <v>95</v>
      </c>
      <c r="B96" s="1">
        <v>44457</v>
      </c>
      <c r="C96" s="2">
        <v>0.72517361111111101</v>
      </c>
      <c r="D96" s="1">
        <v>44457</v>
      </c>
      <c r="E96" s="3">
        <v>0.78138888888888891</v>
      </c>
      <c r="F96">
        <v>7</v>
      </c>
      <c r="G96">
        <v>16</v>
      </c>
      <c r="H96" s="3">
        <f t="shared" si="5"/>
        <v>5.6215277777777906E-2</v>
      </c>
      <c r="I96" s="3">
        <f t="shared" si="6"/>
        <v>5.6215277777777906E-2</v>
      </c>
      <c r="J96" s="3">
        <f t="shared" si="7"/>
        <v>0</v>
      </c>
      <c r="K96">
        <f t="shared" si="4"/>
        <v>80.95</v>
      </c>
      <c r="M96">
        <f>IF(DAY(B96)=$M$1,K96,0)</f>
        <v>0</v>
      </c>
      <c r="N96">
        <f>IF(DAY($B96)=N$1,$K96,0)</f>
        <v>0</v>
      </c>
      <c r="O96">
        <f>IF(DAY($B96)=O$1,$K96,0)</f>
        <v>0</v>
      </c>
      <c r="P96">
        <f>IF(DAY($B96)=P$1,$K96,0)</f>
        <v>0</v>
      </c>
      <c r="Q96">
        <f>IF(DAY($B96)=Q$1,$K96,0)</f>
        <v>0</v>
      </c>
      <c r="R96">
        <f>IF(DAY($B96)=R$1,$K96,0)</f>
        <v>0</v>
      </c>
      <c r="S96">
        <f>IF(DAY($B96)=S$1,$K96,0)</f>
        <v>0</v>
      </c>
      <c r="T96">
        <f>IF(DAY($B96)=T$1,$K96,0)</f>
        <v>0</v>
      </c>
      <c r="U96">
        <f>IF(DAY($B96)=U$1,$K96,0)</f>
        <v>0</v>
      </c>
      <c r="V96">
        <f>IF(DAY($B96)=V$1,$K96,0)</f>
        <v>0</v>
      </c>
      <c r="W96">
        <f>IF(DAY($B96)=W$1,$K96,0)</f>
        <v>0</v>
      </c>
      <c r="X96">
        <f>IF(DAY($B96)=X$1,$K96,0)</f>
        <v>0</v>
      </c>
      <c r="Y96">
        <f>IF(DAY($B96)=Y$1,$K96,0)</f>
        <v>0</v>
      </c>
      <c r="Z96">
        <f>IF(DAY($B96)=Z$1,$K96,0)</f>
        <v>0</v>
      </c>
      <c r="AA96">
        <f>IF(DAY($B96)=AA$1,$K96,0)</f>
        <v>0</v>
      </c>
      <c r="AB96">
        <f>IF(DAY($B96)=AB$1,$K96,0)</f>
        <v>0</v>
      </c>
      <c r="AC96">
        <f>IF(DAY($B96)=AC$1,$K96,0)</f>
        <v>0</v>
      </c>
      <c r="AD96">
        <f>IF(DAY($B96)=AD$1,$K96,0)</f>
        <v>80.95</v>
      </c>
      <c r="AE96">
        <f>IF(DAY($B96)=AE$1,$K96,0)</f>
        <v>0</v>
      </c>
      <c r="AF96">
        <f>IF(DAY($B96)=AF$1,$K96,0)</f>
        <v>0</v>
      </c>
      <c r="AG96">
        <f>IF(DAY($B96)=AG$1,$K96,0)</f>
        <v>0</v>
      </c>
      <c r="AH96">
        <f>IF(DAY($B96)=AH$1,$K96,0)</f>
        <v>0</v>
      </c>
      <c r="AI96">
        <f>IF(DAY($B96)=AI$1,$K96,0)</f>
        <v>0</v>
      </c>
      <c r="AJ96">
        <f>IF(DAY($B96)=AJ$1,$K96,0)</f>
        <v>0</v>
      </c>
      <c r="AK96">
        <f>IF(DAY($B96)=AK$1,$K96,0)</f>
        <v>0</v>
      </c>
      <c r="AL96">
        <f>IF(DAY($B96)=AL$1,$K96,0)</f>
        <v>0</v>
      </c>
      <c r="AM96">
        <f>IF(DAY($B96)=AM$1,$K96,0)</f>
        <v>0</v>
      </c>
      <c r="AN96">
        <f>IF(DAY($B96)=AN$1,$K96,0)</f>
        <v>0</v>
      </c>
      <c r="AO96">
        <f>IF(DAY($B96)=AO$1,$K96,0)</f>
        <v>0</v>
      </c>
      <c r="AP96">
        <f>IF(DAY($B96)=AP$1,$K96,0)</f>
        <v>0</v>
      </c>
    </row>
    <row r="97" spans="1:42" x14ac:dyDescent="0.3">
      <c r="A97">
        <v>96</v>
      </c>
      <c r="B97" s="1">
        <v>44458</v>
      </c>
      <c r="C97" s="2">
        <v>0.37921296296296297</v>
      </c>
      <c r="D97" s="1">
        <v>44458</v>
      </c>
      <c r="E97" s="3">
        <v>0.44873842592592594</v>
      </c>
      <c r="F97">
        <v>5</v>
      </c>
      <c r="G97">
        <v>1</v>
      </c>
      <c r="H97" s="3">
        <f t="shared" si="5"/>
        <v>6.9525462962962969E-2</v>
      </c>
      <c r="I97" s="3">
        <f t="shared" si="6"/>
        <v>6.9525462962962969E-2</v>
      </c>
      <c r="J97" s="3">
        <f t="shared" si="7"/>
        <v>0</v>
      </c>
      <c r="K97">
        <f t="shared" si="4"/>
        <v>100.11666666666666</v>
      </c>
      <c r="M97">
        <f>IF(DAY(B97)=$M$1,K97,0)</f>
        <v>0</v>
      </c>
      <c r="N97">
        <f>IF(DAY($B97)=N$1,$K97,0)</f>
        <v>0</v>
      </c>
      <c r="O97">
        <f>IF(DAY($B97)=O$1,$K97,0)</f>
        <v>0</v>
      </c>
      <c r="P97">
        <f>IF(DAY($B97)=P$1,$K97,0)</f>
        <v>0</v>
      </c>
      <c r="Q97">
        <f>IF(DAY($B97)=Q$1,$K97,0)</f>
        <v>0</v>
      </c>
      <c r="R97">
        <f>IF(DAY($B97)=R$1,$K97,0)</f>
        <v>0</v>
      </c>
      <c r="S97">
        <f>IF(DAY($B97)=S$1,$K97,0)</f>
        <v>0</v>
      </c>
      <c r="T97">
        <f>IF(DAY($B97)=T$1,$K97,0)</f>
        <v>0</v>
      </c>
      <c r="U97">
        <f>IF(DAY($B97)=U$1,$K97,0)</f>
        <v>0</v>
      </c>
      <c r="V97">
        <f>IF(DAY($B97)=V$1,$K97,0)</f>
        <v>0</v>
      </c>
      <c r="W97">
        <f>IF(DAY($B97)=W$1,$K97,0)</f>
        <v>0</v>
      </c>
      <c r="X97">
        <f>IF(DAY($B97)=X$1,$K97,0)</f>
        <v>0</v>
      </c>
      <c r="Y97">
        <f>IF(DAY($B97)=Y$1,$K97,0)</f>
        <v>0</v>
      </c>
      <c r="Z97">
        <f>IF(DAY($B97)=Z$1,$K97,0)</f>
        <v>0</v>
      </c>
      <c r="AA97">
        <f>IF(DAY($B97)=AA$1,$K97,0)</f>
        <v>0</v>
      </c>
      <c r="AB97">
        <f>IF(DAY($B97)=AB$1,$K97,0)</f>
        <v>0</v>
      </c>
      <c r="AC97">
        <f>IF(DAY($B97)=AC$1,$K97,0)</f>
        <v>0</v>
      </c>
      <c r="AD97">
        <f>IF(DAY($B97)=AD$1,$K97,0)</f>
        <v>0</v>
      </c>
      <c r="AE97">
        <f>IF(DAY($B97)=AE$1,$K97,0)</f>
        <v>100.11666666666666</v>
      </c>
      <c r="AF97">
        <f>IF(DAY($B97)=AF$1,$K97,0)</f>
        <v>0</v>
      </c>
      <c r="AG97">
        <f>IF(DAY($B97)=AG$1,$K97,0)</f>
        <v>0</v>
      </c>
      <c r="AH97">
        <f>IF(DAY($B97)=AH$1,$K97,0)</f>
        <v>0</v>
      </c>
      <c r="AI97">
        <f>IF(DAY($B97)=AI$1,$K97,0)</f>
        <v>0</v>
      </c>
      <c r="AJ97">
        <f>IF(DAY($B97)=AJ$1,$K97,0)</f>
        <v>0</v>
      </c>
      <c r="AK97">
        <f>IF(DAY($B97)=AK$1,$K97,0)</f>
        <v>0</v>
      </c>
      <c r="AL97">
        <f>IF(DAY($B97)=AL$1,$K97,0)</f>
        <v>0</v>
      </c>
      <c r="AM97">
        <f>IF(DAY($B97)=AM$1,$K97,0)</f>
        <v>0</v>
      </c>
      <c r="AN97">
        <f>IF(DAY($B97)=AN$1,$K97,0)</f>
        <v>0</v>
      </c>
      <c r="AO97">
        <f>IF(DAY($B97)=AO$1,$K97,0)</f>
        <v>0</v>
      </c>
      <c r="AP97">
        <f>IF(DAY($B97)=AP$1,$K97,0)</f>
        <v>0</v>
      </c>
    </row>
    <row r="98" spans="1:42" x14ac:dyDescent="0.3">
      <c r="A98">
        <v>97</v>
      </c>
      <c r="B98" s="1">
        <v>44458</v>
      </c>
      <c r="C98" s="2">
        <v>0.58005787037037038</v>
      </c>
      <c r="D98" s="1">
        <v>44458</v>
      </c>
      <c r="E98" s="3">
        <v>0.62572916666666667</v>
      </c>
      <c r="F98">
        <v>14</v>
      </c>
      <c r="G98">
        <v>7</v>
      </c>
      <c r="H98" s="3">
        <f t="shared" si="5"/>
        <v>4.5671296296296293E-2</v>
      </c>
      <c r="I98" s="3">
        <f t="shared" si="6"/>
        <v>4.5671296296296293E-2</v>
      </c>
      <c r="J98" s="3">
        <f t="shared" si="7"/>
        <v>0</v>
      </c>
      <c r="K98">
        <f t="shared" si="4"/>
        <v>65.766666666666666</v>
      </c>
      <c r="M98">
        <f>IF(DAY(B98)=$M$1,K98,0)</f>
        <v>0</v>
      </c>
      <c r="N98">
        <f>IF(DAY($B98)=N$1,$K98,0)</f>
        <v>0</v>
      </c>
      <c r="O98">
        <f>IF(DAY($B98)=O$1,$K98,0)</f>
        <v>0</v>
      </c>
      <c r="P98">
        <f>IF(DAY($B98)=P$1,$K98,0)</f>
        <v>0</v>
      </c>
      <c r="Q98">
        <f>IF(DAY($B98)=Q$1,$K98,0)</f>
        <v>0</v>
      </c>
      <c r="R98">
        <f>IF(DAY($B98)=R$1,$K98,0)</f>
        <v>0</v>
      </c>
      <c r="S98">
        <f>IF(DAY($B98)=S$1,$K98,0)</f>
        <v>0</v>
      </c>
      <c r="T98">
        <f>IF(DAY($B98)=T$1,$K98,0)</f>
        <v>0</v>
      </c>
      <c r="U98">
        <f>IF(DAY($B98)=U$1,$K98,0)</f>
        <v>0</v>
      </c>
      <c r="V98">
        <f>IF(DAY($B98)=V$1,$K98,0)</f>
        <v>0</v>
      </c>
      <c r="W98">
        <f>IF(DAY($B98)=W$1,$K98,0)</f>
        <v>0</v>
      </c>
      <c r="X98">
        <f>IF(DAY($B98)=X$1,$K98,0)</f>
        <v>0</v>
      </c>
      <c r="Y98">
        <f>IF(DAY($B98)=Y$1,$K98,0)</f>
        <v>0</v>
      </c>
      <c r="Z98">
        <f>IF(DAY($B98)=Z$1,$K98,0)</f>
        <v>0</v>
      </c>
      <c r="AA98">
        <f>IF(DAY($B98)=AA$1,$K98,0)</f>
        <v>0</v>
      </c>
      <c r="AB98">
        <f>IF(DAY($B98)=AB$1,$K98,0)</f>
        <v>0</v>
      </c>
      <c r="AC98">
        <f>IF(DAY($B98)=AC$1,$K98,0)</f>
        <v>0</v>
      </c>
      <c r="AD98">
        <f>IF(DAY($B98)=AD$1,$K98,0)</f>
        <v>0</v>
      </c>
      <c r="AE98">
        <f>IF(DAY($B98)=AE$1,$K98,0)</f>
        <v>65.766666666666666</v>
      </c>
      <c r="AF98">
        <f>IF(DAY($B98)=AF$1,$K98,0)</f>
        <v>0</v>
      </c>
      <c r="AG98">
        <f>IF(DAY($B98)=AG$1,$K98,0)</f>
        <v>0</v>
      </c>
      <c r="AH98">
        <f>IF(DAY($B98)=AH$1,$K98,0)</f>
        <v>0</v>
      </c>
      <c r="AI98">
        <f>IF(DAY($B98)=AI$1,$K98,0)</f>
        <v>0</v>
      </c>
      <c r="AJ98">
        <f>IF(DAY($B98)=AJ$1,$K98,0)</f>
        <v>0</v>
      </c>
      <c r="AK98">
        <f>IF(DAY($B98)=AK$1,$K98,0)</f>
        <v>0</v>
      </c>
      <c r="AL98">
        <f>IF(DAY($B98)=AL$1,$K98,0)</f>
        <v>0</v>
      </c>
      <c r="AM98">
        <f>IF(DAY($B98)=AM$1,$K98,0)</f>
        <v>0</v>
      </c>
      <c r="AN98">
        <f>IF(DAY($B98)=AN$1,$K98,0)</f>
        <v>0</v>
      </c>
      <c r="AO98">
        <f>IF(DAY($B98)=AO$1,$K98,0)</f>
        <v>0</v>
      </c>
      <c r="AP98">
        <f>IF(DAY($B98)=AP$1,$K98,0)</f>
        <v>0</v>
      </c>
    </row>
    <row r="99" spans="1:42" x14ac:dyDescent="0.3">
      <c r="A99">
        <v>98</v>
      </c>
      <c r="B99" s="1">
        <v>44458</v>
      </c>
      <c r="C99" s="2">
        <v>0.67716435185185186</v>
      </c>
      <c r="D99" s="1">
        <v>44458</v>
      </c>
      <c r="E99" s="3">
        <v>0.73178240740740741</v>
      </c>
      <c r="F99">
        <v>12</v>
      </c>
      <c r="G99">
        <v>9</v>
      </c>
      <c r="H99" s="3">
        <f t="shared" si="5"/>
        <v>5.4618055555555545E-2</v>
      </c>
      <c r="I99" s="3">
        <f t="shared" si="6"/>
        <v>5.4618055555555545E-2</v>
      </c>
      <c r="J99" s="3">
        <f t="shared" si="7"/>
        <v>0</v>
      </c>
      <c r="K99">
        <f t="shared" si="4"/>
        <v>78.650000000000006</v>
      </c>
      <c r="M99">
        <f>IF(DAY(B99)=$M$1,K99,0)</f>
        <v>0</v>
      </c>
      <c r="N99">
        <f>IF(DAY($B99)=N$1,$K99,0)</f>
        <v>0</v>
      </c>
      <c r="O99">
        <f>IF(DAY($B99)=O$1,$K99,0)</f>
        <v>0</v>
      </c>
      <c r="P99">
        <f>IF(DAY($B99)=P$1,$K99,0)</f>
        <v>0</v>
      </c>
      <c r="Q99">
        <f>IF(DAY($B99)=Q$1,$K99,0)</f>
        <v>0</v>
      </c>
      <c r="R99">
        <f>IF(DAY($B99)=R$1,$K99,0)</f>
        <v>0</v>
      </c>
      <c r="S99">
        <f>IF(DAY($B99)=S$1,$K99,0)</f>
        <v>0</v>
      </c>
      <c r="T99">
        <f>IF(DAY($B99)=T$1,$K99,0)</f>
        <v>0</v>
      </c>
      <c r="U99">
        <f>IF(DAY($B99)=U$1,$K99,0)</f>
        <v>0</v>
      </c>
      <c r="V99">
        <f>IF(DAY($B99)=V$1,$K99,0)</f>
        <v>0</v>
      </c>
      <c r="W99">
        <f>IF(DAY($B99)=W$1,$K99,0)</f>
        <v>0</v>
      </c>
      <c r="X99">
        <f>IF(DAY($B99)=X$1,$K99,0)</f>
        <v>0</v>
      </c>
      <c r="Y99">
        <f>IF(DAY($B99)=Y$1,$K99,0)</f>
        <v>0</v>
      </c>
      <c r="Z99">
        <f>IF(DAY($B99)=Z$1,$K99,0)</f>
        <v>0</v>
      </c>
      <c r="AA99">
        <f>IF(DAY($B99)=AA$1,$K99,0)</f>
        <v>0</v>
      </c>
      <c r="AB99">
        <f>IF(DAY($B99)=AB$1,$K99,0)</f>
        <v>0</v>
      </c>
      <c r="AC99">
        <f>IF(DAY($B99)=AC$1,$K99,0)</f>
        <v>0</v>
      </c>
      <c r="AD99">
        <f>IF(DAY($B99)=AD$1,$K99,0)</f>
        <v>0</v>
      </c>
      <c r="AE99">
        <f>IF(DAY($B99)=AE$1,$K99,0)</f>
        <v>78.650000000000006</v>
      </c>
      <c r="AF99">
        <f>IF(DAY($B99)=AF$1,$K99,0)</f>
        <v>0</v>
      </c>
      <c r="AG99">
        <f>IF(DAY($B99)=AG$1,$K99,0)</f>
        <v>0</v>
      </c>
      <c r="AH99">
        <f>IF(DAY($B99)=AH$1,$K99,0)</f>
        <v>0</v>
      </c>
      <c r="AI99">
        <f>IF(DAY($B99)=AI$1,$K99,0)</f>
        <v>0</v>
      </c>
      <c r="AJ99">
        <f>IF(DAY($B99)=AJ$1,$K99,0)</f>
        <v>0</v>
      </c>
      <c r="AK99">
        <f>IF(DAY($B99)=AK$1,$K99,0)</f>
        <v>0</v>
      </c>
      <c r="AL99">
        <f>IF(DAY($B99)=AL$1,$K99,0)</f>
        <v>0</v>
      </c>
      <c r="AM99">
        <f>IF(DAY($B99)=AM$1,$K99,0)</f>
        <v>0</v>
      </c>
      <c r="AN99">
        <f>IF(DAY($B99)=AN$1,$K99,0)</f>
        <v>0</v>
      </c>
      <c r="AO99">
        <f>IF(DAY($B99)=AO$1,$K99,0)</f>
        <v>0</v>
      </c>
      <c r="AP99">
        <f>IF(DAY($B99)=AP$1,$K99,0)</f>
        <v>0</v>
      </c>
    </row>
    <row r="100" spans="1:42" x14ac:dyDescent="0.3">
      <c r="A100">
        <v>99</v>
      </c>
      <c r="B100" s="1">
        <v>44458</v>
      </c>
      <c r="C100" s="2">
        <v>0.81361111111111117</v>
      </c>
      <c r="D100" s="1">
        <v>44458</v>
      </c>
      <c r="E100" s="3">
        <v>0.84862268518518524</v>
      </c>
      <c r="F100">
        <v>11</v>
      </c>
      <c r="G100">
        <v>9</v>
      </c>
      <c r="H100" s="3">
        <f t="shared" si="5"/>
        <v>3.501157407407407E-2</v>
      </c>
      <c r="I100" s="3">
        <f t="shared" si="6"/>
        <v>3.501157407407407E-2</v>
      </c>
      <c r="J100" s="3">
        <f t="shared" si="7"/>
        <v>0</v>
      </c>
      <c r="K100">
        <f t="shared" si="4"/>
        <v>50.416666666666664</v>
      </c>
      <c r="M100">
        <f>IF(DAY(B100)=$M$1,K100,0)</f>
        <v>0</v>
      </c>
      <c r="N100">
        <f>IF(DAY($B100)=N$1,$K100,0)</f>
        <v>0</v>
      </c>
      <c r="O100">
        <f>IF(DAY($B100)=O$1,$K100,0)</f>
        <v>0</v>
      </c>
      <c r="P100">
        <f>IF(DAY($B100)=P$1,$K100,0)</f>
        <v>0</v>
      </c>
      <c r="Q100">
        <f>IF(DAY($B100)=Q$1,$K100,0)</f>
        <v>0</v>
      </c>
      <c r="R100">
        <f>IF(DAY($B100)=R$1,$K100,0)</f>
        <v>0</v>
      </c>
      <c r="S100">
        <f>IF(DAY($B100)=S$1,$K100,0)</f>
        <v>0</v>
      </c>
      <c r="T100">
        <f>IF(DAY($B100)=T$1,$K100,0)</f>
        <v>0</v>
      </c>
      <c r="U100">
        <f>IF(DAY($B100)=U$1,$K100,0)</f>
        <v>0</v>
      </c>
      <c r="V100">
        <f>IF(DAY($B100)=V$1,$K100,0)</f>
        <v>0</v>
      </c>
      <c r="W100">
        <f>IF(DAY($B100)=W$1,$K100,0)</f>
        <v>0</v>
      </c>
      <c r="X100">
        <f>IF(DAY($B100)=X$1,$K100,0)</f>
        <v>0</v>
      </c>
      <c r="Y100">
        <f>IF(DAY($B100)=Y$1,$K100,0)</f>
        <v>0</v>
      </c>
      <c r="Z100">
        <f>IF(DAY($B100)=Z$1,$K100,0)</f>
        <v>0</v>
      </c>
      <c r="AA100">
        <f>IF(DAY($B100)=AA$1,$K100,0)</f>
        <v>0</v>
      </c>
      <c r="AB100">
        <f>IF(DAY($B100)=AB$1,$K100,0)</f>
        <v>0</v>
      </c>
      <c r="AC100">
        <f>IF(DAY($B100)=AC$1,$K100,0)</f>
        <v>0</v>
      </c>
      <c r="AD100">
        <f>IF(DAY($B100)=AD$1,$K100,0)</f>
        <v>0</v>
      </c>
      <c r="AE100">
        <f>IF(DAY($B100)=AE$1,$K100,0)</f>
        <v>50.416666666666664</v>
      </c>
      <c r="AF100">
        <f>IF(DAY($B100)=AF$1,$K100,0)</f>
        <v>0</v>
      </c>
      <c r="AG100">
        <f>IF(DAY($B100)=AG$1,$K100,0)</f>
        <v>0</v>
      </c>
      <c r="AH100">
        <f>IF(DAY($B100)=AH$1,$K100,0)</f>
        <v>0</v>
      </c>
      <c r="AI100">
        <f>IF(DAY($B100)=AI$1,$K100,0)</f>
        <v>0</v>
      </c>
      <c r="AJ100">
        <f>IF(DAY($B100)=AJ$1,$K100,0)</f>
        <v>0</v>
      </c>
      <c r="AK100">
        <f>IF(DAY($B100)=AK$1,$K100,0)</f>
        <v>0</v>
      </c>
      <c r="AL100">
        <f>IF(DAY($B100)=AL$1,$K100,0)</f>
        <v>0</v>
      </c>
      <c r="AM100">
        <f>IF(DAY($B100)=AM$1,$K100,0)</f>
        <v>0</v>
      </c>
      <c r="AN100">
        <f>IF(DAY($B100)=AN$1,$K100,0)</f>
        <v>0</v>
      </c>
      <c r="AO100">
        <f>IF(DAY($B100)=AO$1,$K100,0)</f>
        <v>0</v>
      </c>
      <c r="AP100">
        <f>IF(DAY($B100)=AP$1,$K100,0)</f>
        <v>0</v>
      </c>
    </row>
    <row r="101" spans="1:42" x14ac:dyDescent="0.3">
      <c r="A101">
        <v>100</v>
      </c>
      <c r="B101" s="1">
        <v>44458</v>
      </c>
      <c r="C101" s="2">
        <v>0.95554398148148145</v>
      </c>
      <c r="D101" s="1">
        <v>44459</v>
      </c>
      <c r="E101" s="3">
        <v>5.0520833333333327E-2</v>
      </c>
      <c r="F101">
        <v>11</v>
      </c>
      <c r="G101">
        <v>8</v>
      </c>
      <c r="H101" s="3">
        <f t="shared" si="5"/>
        <v>23.09497685185185</v>
      </c>
      <c r="I101" s="3">
        <f t="shared" si="6"/>
        <v>0</v>
      </c>
      <c r="J101" s="3">
        <f t="shared" si="7"/>
        <v>5.0520833333333327E-2</v>
      </c>
      <c r="K101">
        <f t="shared" si="4"/>
        <v>72.75</v>
      </c>
      <c r="M101">
        <f>IF(DAY(B101)=$M$1,K101,0)</f>
        <v>0</v>
      </c>
      <c r="N101">
        <f>IF(DAY($B101)=N$1,$K101,0)</f>
        <v>0</v>
      </c>
      <c r="O101">
        <f>IF(DAY($B101)=O$1,$K101,0)</f>
        <v>0</v>
      </c>
      <c r="P101">
        <f>IF(DAY($B101)=P$1,$K101,0)</f>
        <v>0</v>
      </c>
      <c r="Q101">
        <f>IF(DAY($B101)=Q$1,$K101,0)</f>
        <v>0</v>
      </c>
      <c r="R101">
        <f>IF(DAY($B101)=R$1,$K101,0)</f>
        <v>0</v>
      </c>
      <c r="S101">
        <f>IF(DAY($B101)=S$1,$K101,0)</f>
        <v>0</v>
      </c>
      <c r="T101">
        <f>IF(DAY($B101)=T$1,$K101,0)</f>
        <v>0</v>
      </c>
      <c r="U101">
        <f>IF(DAY($B101)=U$1,$K101,0)</f>
        <v>0</v>
      </c>
      <c r="V101">
        <f>IF(DAY($B101)=V$1,$K101,0)</f>
        <v>0</v>
      </c>
      <c r="W101">
        <f>IF(DAY($B101)=W$1,$K101,0)</f>
        <v>0</v>
      </c>
      <c r="X101">
        <f>IF(DAY($B101)=X$1,$K101,0)</f>
        <v>0</v>
      </c>
      <c r="Y101">
        <f>IF(DAY($B101)=Y$1,$K101,0)</f>
        <v>0</v>
      </c>
      <c r="Z101">
        <f>IF(DAY($B101)=Z$1,$K101,0)</f>
        <v>0</v>
      </c>
      <c r="AA101">
        <f>IF(DAY($B101)=AA$1,$K101,0)</f>
        <v>0</v>
      </c>
      <c r="AB101">
        <f>IF(DAY($B101)=AB$1,$K101,0)</f>
        <v>0</v>
      </c>
      <c r="AC101">
        <f>IF(DAY($B101)=AC$1,$K101,0)</f>
        <v>0</v>
      </c>
      <c r="AD101">
        <f>IF(DAY($B101)=AD$1,$K101,0)</f>
        <v>0</v>
      </c>
      <c r="AE101">
        <f>IF(DAY($B101)=AE$1,$K101,0)</f>
        <v>72.75</v>
      </c>
      <c r="AF101">
        <f>IF(DAY($B101)=AF$1,$K101,0)</f>
        <v>0</v>
      </c>
      <c r="AG101">
        <f>IF(DAY($B101)=AG$1,$K101,0)</f>
        <v>0</v>
      </c>
      <c r="AH101">
        <f>IF(DAY($B101)=AH$1,$K101,0)</f>
        <v>0</v>
      </c>
      <c r="AI101">
        <f>IF(DAY($B101)=AI$1,$K101,0)</f>
        <v>0</v>
      </c>
      <c r="AJ101">
        <f>IF(DAY($B101)=AJ$1,$K101,0)</f>
        <v>0</v>
      </c>
      <c r="AK101">
        <f>IF(DAY($B101)=AK$1,$K101,0)</f>
        <v>0</v>
      </c>
      <c r="AL101">
        <f>IF(DAY($B101)=AL$1,$K101,0)</f>
        <v>0</v>
      </c>
      <c r="AM101">
        <f>IF(DAY($B101)=AM$1,$K101,0)</f>
        <v>0</v>
      </c>
      <c r="AN101">
        <f>IF(DAY($B101)=AN$1,$K101,0)</f>
        <v>0</v>
      </c>
      <c r="AO101">
        <f>IF(DAY($B101)=AO$1,$K101,0)</f>
        <v>0</v>
      </c>
      <c r="AP101">
        <f>IF(DAY($B101)=AP$1,$K101,0)</f>
        <v>0</v>
      </c>
    </row>
    <row r="102" spans="1:42" x14ac:dyDescent="0.3">
      <c r="A102">
        <v>101</v>
      </c>
      <c r="B102" s="1">
        <v>44459</v>
      </c>
      <c r="C102" s="2">
        <v>0.3830324074074074</v>
      </c>
      <c r="D102" s="1">
        <v>44459</v>
      </c>
      <c r="E102" s="3">
        <v>0.44746527777777773</v>
      </c>
      <c r="F102">
        <v>12</v>
      </c>
      <c r="G102">
        <v>3</v>
      </c>
      <c r="H102" s="3">
        <f t="shared" si="5"/>
        <v>6.4432870370370321E-2</v>
      </c>
      <c r="I102" s="3">
        <f t="shared" si="6"/>
        <v>6.4432870370370321E-2</v>
      </c>
      <c r="J102" s="3">
        <f t="shared" si="7"/>
        <v>0</v>
      </c>
      <c r="K102">
        <f t="shared" si="4"/>
        <v>92.783333333333331</v>
      </c>
      <c r="M102">
        <f>IF(DAY(B102)=$M$1,K102,0)</f>
        <v>0</v>
      </c>
      <c r="N102">
        <f>IF(DAY($B102)=N$1,$K102,0)</f>
        <v>0</v>
      </c>
      <c r="O102">
        <f>IF(DAY($B102)=O$1,$K102,0)</f>
        <v>0</v>
      </c>
      <c r="P102">
        <f>IF(DAY($B102)=P$1,$K102,0)</f>
        <v>0</v>
      </c>
      <c r="Q102">
        <f>IF(DAY($B102)=Q$1,$K102,0)</f>
        <v>0</v>
      </c>
      <c r="R102">
        <f>IF(DAY($B102)=R$1,$K102,0)</f>
        <v>0</v>
      </c>
      <c r="S102">
        <f>IF(DAY($B102)=S$1,$K102,0)</f>
        <v>0</v>
      </c>
      <c r="T102">
        <f>IF(DAY($B102)=T$1,$K102,0)</f>
        <v>0</v>
      </c>
      <c r="U102">
        <f>IF(DAY($B102)=U$1,$K102,0)</f>
        <v>0</v>
      </c>
      <c r="V102">
        <f>IF(DAY($B102)=V$1,$K102,0)</f>
        <v>0</v>
      </c>
      <c r="W102">
        <f>IF(DAY($B102)=W$1,$K102,0)</f>
        <v>0</v>
      </c>
      <c r="X102">
        <f>IF(DAY($B102)=X$1,$K102,0)</f>
        <v>0</v>
      </c>
      <c r="Y102">
        <f>IF(DAY($B102)=Y$1,$K102,0)</f>
        <v>0</v>
      </c>
      <c r="Z102">
        <f>IF(DAY($B102)=Z$1,$K102,0)</f>
        <v>0</v>
      </c>
      <c r="AA102">
        <f>IF(DAY($B102)=AA$1,$K102,0)</f>
        <v>0</v>
      </c>
      <c r="AB102">
        <f>IF(DAY($B102)=AB$1,$K102,0)</f>
        <v>0</v>
      </c>
      <c r="AC102">
        <f>IF(DAY($B102)=AC$1,$K102,0)</f>
        <v>0</v>
      </c>
      <c r="AD102">
        <f>IF(DAY($B102)=AD$1,$K102,0)</f>
        <v>0</v>
      </c>
      <c r="AE102">
        <f>IF(DAY($B102)=AE$1,$K102,0)</f>
        <v>0</v>
      </c>
      <c r="AF102">
        <f>IF(DAY($B102)=AF$1,$K102,0)</f>
        <v>92.783333333333331</v>
      </c>
      <c r="AG102">
        <f>IF(DAY($B102)=AG$1,$K102,0)</f>
        <v>0</v>
      </c>
      <c r="AH102">
        <f>IF(DAY($B102)=AH$1,$K102,0)</f>
        <v>0</v>
      </c>
      <c r="AI102">
        <f>IF(DAY($B102)=AI$1,$K102,0)</f>
        <v>0</v>
      </c>
      <c r="AJ102">
        <f>IF(DAY($B102)=AJ$1,$K102,0)</f>
        <v>0</v>
      </c>
      <c r="AK102">
        <f>IF(DAY($B102)=AK$1,$K102,0)</f>
        <v>0</v>
      </c>
      <c r="AL102">
        <f>IF(DAY($B102)=AL$1,$K102,0)</f>
        <v>0</v>
      </c>
      <c r="AM102">
        <f>IF(DAY($B102)=AM$1,$K102,0)</f>
        <v>0</v>
      </c>
      <c r="AN102">
        <f>IF(DAY($B102)=AN$1,$K102,0)</f>
        <v>0</v>
      </c>
      <c r="AO102">
        <f>IF(DAY($B102)=AO$1,$K102,0)</f>
        <v>0</v>
      </c>
      <c r="AP102">
        <f>IF(DAY($B102)=AP$1,$K102,0)</f>
        <v>0</v>
      </c>
    </row>
    <row r="103" spans="1:42" x14ac:dyDescent="0.3">
      <c r="A103">
        <v>102</v>
      </c>
      <c r="B103" s="1">
        <v>44459</v>
      </c>
      <c r="C103" s="2">
        <v>0.47513888888888883</v>
      </c>
      <c r="D103" s="1">
        <v>44459</v>
      </c>
      <c r="E103" s="3">
        <v>0.52998842592592588</v>
      </c>
      <c r="F103">
        <v>7</v>
      </c>
      <c r="G103">
        <v>12</v>
      </c>
      <c r="H103" s="3">
        <f t="shared" si="5"/>
        <v>5.4849537037037044E-2</v>
      </c>
      <c r="I103" s="3">
        <f t="shared" si="6"/>
        <v>5.4849537037037044E-2</v>
      </c>
      <c r="J103" s="3">
        <f t="shared" si="7"/>
        <v>0</v>
      </c>
      <c r="K103">
        <f t="shared" si="4"/>
        <v>78.983333333333334</v>
      </c>
      <c r="M103">
        <f>IF(DAY(B103)=$M$1,K103,0)</f>
        <v>0</v>
      </c>
      <c r="N103">
        <f>IF(DAY($B103)=N$1,$K103,0)</f>
        <v>0</v>
      </c>
      <c r="O103">
        <f>IF(DAY($B103)=O$1,$K103,0)</f>
        <v>0</v>
      </c>
      <c r="P103">
        <f>IF(DAY($B103)=P$1,$K103,0)</f>
        <v>0</v>
      </c>
      <c r="Q103">
        <f>IF(DAY($B103)=Q$1,$K103,0)</f>
        <v>0</v>
      </c>
      <c r="R103">
        <f>IF(DAY($B103)=R$1,$K103,0)</f>
        <v>0</v>
      </c>
      <c r="S103">
        <f>IF(DAY($B103)=S$1,$K103,0)</f>
        <v>0</v>
      </c>
      <c r="T103">
        <f>IF(DAY($B103)=T$1,$K103,0)</f>
        <v>0</v>
      </c>
      <c r="U103">
        <f>IF(DAY($B103)=U$1,$K103,0)</f>
        <v>0</v>
      </c>
      <c r="V103">
        <f>IF(DAY($B103)=V$1,$K103,0)</f>
        <v>0</v>
      </c>
      <c r="W103">
        <f>IF(DAY($B103)=W$1,$K103,0)</f>
        <v>0</v>
      </c>
      <c r="X103">
        <f>IF(DAY($B103)=X$1,$K103,0)</f>
        <v>0</v>
      </c>
      <c r="Y103">
        <f>IF(DAY($B103)=Y$1,$K103,0)</f>
        <v>0</v>
      </c>
      <c r="Z103">
        <f>IF(DAY($B103)=Z$1,$K103,0)</f>
        <v>0</v>
      </c>
      <c r="AA103">
        <f>IF(DAY($B103)=AA$1,$K103,0)</f>
        <v>0</v>
      </c>
      <c r="AB103">
        <f>IF(DAY($B103)=AB$1,$K103,0)</f>
        <v>0</v>
      </c>
      <c r="AC103">
        <f>IF(DAY($B103)=AC$1,$K103,0)</f>
        <v>0</v>
      </c>
      <c r="AD103">
        <f>IF(DAY($B103)=AD$1,$K103,0)</f>
        <v>0</v>
      </c>
      <c r="AE103">
        <f>IF(DAY($B103)=AE$1,$K103,0)</f>
        <v>0</v>
      </c>
      <c r="AF103">
        <f>IF(DAY($B103)=AF$1,$K103,0)</f>
        <v>78.983333333333334</v>
      </c>
      <c r="AG103">
        <f>IF(DAY($B103)=AG$1,$K103,0)</f>
        <v>0</v>
      </c>
      <c r="AH103">
        <f>IF(DAY($B103)=AH$1,$K103,0)</f>
        <v>0</v>
      </c>
      <c r="AI103">
        <f>IF(DAY($B103)=AI$1,$K103,0)</f>
        <v>0</v>
      </c>
      <c r="AJ103">
        <f>IF(DAY($B103)=AJ$1,$K103,0)</f>
        <v>0</v>
      </c>
      <c r="AK103">
        <f>IF(DAY($B103)=AK$1,$K103,0)</f>
        <v>0</v>
      </c>
      <c r="AL103">
        <f>IF(DAY($B103)=AL$1,$K103,0)</f>
        <v>0</v>
      </c>
      <c r="AM103">
        <f>IF(DAY($B103)=AM$1,$K103,0)</f>
        <v>0</v>
      </c>
      <c r="AN103">
        <f>IF(DAY($B103)=AN$1,$K103,0)</f>
        <v>0</v>
      </c>
      <c r="AO103">
        <f>IF(DAY($B103)=AO$1,$K103,0)</f>
        <v>0</v>
      </c>
      <c r="AP103">
        <f>IF(DAY($B103)=AP$1,$K103,0)</f>
        <v>0</v>
      </c>
    </row>
    <row r="104" spans="1:42" x14ac:dyDescent="0.3">
      <c r="A104">
        <v>103</v>
      </c>
      <c r="B104" s="1">
        <v>44459</v>
      </c>
      <c r="C104" s="2">
        <v>0.54886574074074079</v>
      </c>
      <c r="D104" s="1">
        <v>44459</v>
      </c>
      <c r="E104" s="3">
        <v>0.59329861111111104</v>
      </c>
      <c r="F104">
        <v>9</v>
      </c>
      <c r="G104">
        <v>14</v>
      </c>
      <c r="H104" s="3">
        <f t="shared" si="5"/>
        <v>4.4432870370370248E-2</v>
      </c>
      <c r="I104" s="3">
        <f t="shared" si="6"/>
        <v>4.4432870370370248E-2</v>
      </c>
      <c r="J104" s="3">
        <f t="shared" si="7"/>
        <v>0</v>
      </c>
      <c r="K104">
        <f t="shared" si="4"/>
        <v>63.983333333333334</v>
      </c>
      <c r="M104">
        <f>IF(DAY(B104)=$M$1,K104,0)</f>
        <v>0</v>
      </c>
      <c r="N104">
        <f>IF(DAY($B104)=N$1,$K104,0)</f>
        <v>0</v>
      </c>
      <c r="O104">
        <f>IF(DAY($B104)=O$1,$K104,0)</f>
        <v>0</v>
      </c>
      <c r="P104">
        <f>IF(DAY($B104)=P$1,$K104,0)</f>
        <v>0</v>
      </c>
      <c r="Q104">
        <f>IF(DAY($B104)=Q$1,$K104,0)</f>
        <v>0</v>
      </c>
      <c r="R104">
        <f>IF(DAY($B104)=R$1,$K104,0)</f>
        <v>0</v>
      </c>
      <c r="S104">
        <f>IF(DAY($B104)=S$1,$K104,0)</f>
        <v>0</v>
      </c>
      <c r="T104">
        <f>IF(DAY($B104)=T$1,$K104,0)</f>
        <v>0</v>
      </c>
      <c r="U104">
        <f>IF(DAY($B104)=U$1,$K104,0)</f>
        <v>0</v>
      </c>
      <c r="V104">
        <f>IF(DAY($B104)=V$1,$K104,0)</f>
        <v>0</v>
      </c>
      <c r="W104">
        <f>IF(DAY($B104)=W$1,$K104,0)</f>
        <v>0</v>
      </c>
      <c r="X104">
        <f>IF(DAY($B104)=X$1,$K104,0)</f>
        <v>0</v>
      </c>
      <c r="Y104">
        <f>IF(DAY($B104)=Y$1,$K104,0)</f>
        <v>0</v>
      </c>
      <c r="Z104">
        <f>IF(DAY($B104)=Z$1,$K104,0)</f>
        <v>0</v>
      </c>
      <c r="AA104">
        <f>IF(DAY($B104)=AA$1,$K104,0)</f>
        <v>0</v>
      </c>
      <c r="AB104">
        <f>IF(DAY($B104)=AB$1,$K104,0)</f>
        <v>0</v>
      </c>
      <c r="AC104">
        <f>IF(DAY($B104)=AC$1,$K104,0)</f>
        <v>0</v>
      </c>
      <c r="AD104">
        <f>IF(DAY($B104)=AD$1,$K104,0)</f>
        <v>0</v>
      </c>
      <c r="AE104">
        <f>IF(DAY($B104)=AE$1,$K104,0)</f>
        <v>0</v>
      </c>
      <c r="AF104">
        <f>IF(DAY($B104)=AF$1,$K104,0)</f>
        <v>63.983333333333334</v>
      </c>
      <c r="AG104">
        <f>IF(DAY($B104)=AG$1,$K104,0)</f>
        <v>0</v>
      </c>
      <c r="AH104">
        <f>IF(DAY($B104)=AH$1,$K104,0)</f>
        <v>0</v>
      </c>
      <c r="AI104">
        <f>IF(DAY($B104)=AI$1,$K104,0)</f>
        <v>0</v>
      </c>
      <c r="AJ104">
        <f>IF(DAY($B104)=AJ$1,$K104,0)</f>
        <v>0</v>
      </c>
      <c r="AK104">
        <f>IF(DAY($B104)=AK$1,$K104,0)</f>
        <v>0</v>
      </c>
      <c r="AL104">
        <f>IF(DAY($B104)=AL$1,$K104,0)</f>
        <v>0</v>
      </c>
      <c r="AM104">
        <f>IF(DAY($B104)=AM$1,$K104,0)</f>
        <v>0</v>
      </c>
      <c r="AN104">
        <f>IF(DAY($B104)=AN$1,$K104,0)</f>
        <v>0</v>
      </c>
      <c r="AO104">
        <f>IF(DAY($B104)=AO$1,$K104,0)</f>
        <v>0</v>
      </c>
      <c r="AP104">
        <f>IF(DAY($B104)=AP$1,$K104,0)</f>
        <v>0</v>
      </c>
    </row>
    <row r="105" spans="1:42" x14ac:dyDescent="0.3">
      <c r="A105">
        <v>104</v>
      </c>
      <c r="B105" s="1">
        <v>44459</v>
      </c>
      <c r="C105" s="2">
        <v>0.63266203703703705</v>
      </c>
      <c r="D105" s="1">
        <v>44459</v>
      </c>
      <c r="E105" s="3">
        <v>0.67504629629629631</v>
      </c>
      <c r="F105">
        <v>8</v>
      </c>
      <c r="G105">
        <v>19</v>
      </c>
      <c r="H105" s="3">
        <f t="shared" si="5"/>
        <v>4.238425925925926E-2</v>
      </c>
      <c r="I105" s="3">
        <f t="shared" si="6"/>
        <v>4.238425925925926E-2</v>
      </c>
      <c r="J105" s="3">
        <f t="shared" si="7"/>
        <v>0</v>
      </c>
      <c r="K105">
        <f t="shared" si="4"/>
        <v>61.033333333333331</v>
      </c>
      <c r="M105">
        <f>IF(DAY(B105)=$M$1,K105,0)</f>
        <v>0</v>
      </c>
      <c r="N105">
        <f>IF(DAY($B105)=N$1,$K105,0)</f>
        <v>0</v>
      </c>
      <c r="O105">
        <f>IF(DAY($B105)=O$1,$K105,0)</f>
        <v>0</v>
      </c>
      <c r="P105">
        <f>IF(DAY($B105)=P$1,$K105,0)</f>
        <v>0</v>
      </c>
      <c r="Q105">
        <f>IF(DAY($B105)=Q$1,$K105,0)</f>
        <v>0</v>
      </c>
      <c r="R105">
        <f>IF(DAY($B105)=R$1,$K105,0)</f>
        <v>0</v>
      </c>
      <c r="S105">
        <f>IF(DAY($B105)=S$1,$K105,0)</f>
        <v>0</v>
      </c>
      <c r="T105">
        <f>IF(DAY($B105)=T$1,$K105,0)</f>
        <v>0</v>
      </c>
      <c r="U105">
        <f>IF(DAY($B105)=U$1,$K105,0)</f>
        <v>0</v>
      </c>
      <c r="V105">
        <f>IF(DAY($B105)=V$1,$K105,0)</f>
        <v>0</v>
      </c>
      <c r="W105">
        <f>IF(DAY($B105)=W$1,$K105,0)</f>
        <v>0</v>
      </c>
      <c r="X105">
        <f>IF(DAY($B105)=X$1,$K105,0)</f>
        <v>0</v>
      </c>
      <c r="Y105">
        <f>IF(DAY($B105)=Y$1,$K105,0)</f>
        <v>0</v>
      </c>
      <c r="Z105">
        <f>IF(DAY($B105)=Z$1,$K105,0)</f>
        <v>0</v>
      </c>
      <c r="AA105">
        <f>IF(DAY($B105)=AA$1,$K105,0)</f>
        <v>0</v>
      </c>
      <c r="AB105">
        <f>IF(DAY($B105)=AB$1,$K105,0)</f>
        <v>0</v>
      </c>
      <c r="AC105">
        <f>IF(DAY($B105)=AC$1,$K105,0)</f>
        <v>0</v>
      </c>
      <c r="AD105">
        <f>IF(DAY($B105)=AD$1,$K105,0)</f>
        <v>0</v>
      </c>
      <c r="AE105">
        <f>IF(DAY($B105)=AE$1,$K105,0)</f>
        <v>0</v>
      </c>
      <c r="AF105">
        <f>IF(DAY($B105)=AF$1,$K105,0)</f>
        <v>61.033333333333331</v>
      </c>
      <c r="AG105">
        <f>IF(DAY($B105)=AG$1,$K105,0)</f>
        <v>0</v>
      </c>
      <c r="AH105">
        <f>IF(DAY($B105)=AH$1,$K105,0)</f>
        <v>0</v>
      </c>
      <c r="AI105">
        <f>IF(DAY($B105)=AI$1,$K105,0)</f>
        <v>0</v>
      </c>
      <c r="AJ105">
        <f>IF(DAY($B105)=AJ$1,$K105,0)</f>
        <v>0</v>
      </c>
      <c r="AK105">
        <f>IF(DAY($B105)=AK$1,$K105,0)</f>
        <v>0</v>
      </c>
      <c r="AL105">
        <f>IF(DAY($B105)=AL$1,$K105,0)</f>
        <v>0</v>
      </c>
      <c r="AM105">
        <f>IF(DAY($B105)=AM$1,$K105,0)</f>
        <v>0</v>
      </c>
      <c r="AN105">
        <f>IF(DAY($B105)=AN$1,$K105,0)</f>
        <v>0</v>
      </c>
      <c r="AO105">
        <f>IF(DAY($B105)=AO$1,$K105,0)</f>
        <v>0</v>
      </c>
      <c r="AP105">
        <f>IF(DAY($B105)=AP$1,$K105,0)</f>
        <v>0</v>
      </c>
    </row>
    <row r="106" spans="1:42" x14ac:dyDescent="0.3">
      <c r="A106">
        <v>105</v>
      </c>
      <c r="B106" s="1">
        <v>44459</v>
      </c>
      <c r="C106" s="2">
        <v>0.70928240740740733</v>
      </c>
      <c r="D106" s="1">
        <v>44459</v>
      </c>
      <c r="E106" s="3">
        <v>0.72917824074074078</v>
      </c>
      <c r="F106">
        <v>23</v>
      </c>
      <c r="G106">
        <v>14</v>
      </c>
      <c r="H106" s="3">
        <f t="shared" si="5"/>
        <v>1.9895833333333446E-2</v>
      </c>
      <c r="I106" s="3">
        <f t="shared" si="6"/>
        <v>1.9895833333333446E-2</v>
      </c>
      <c r="J106" s="3">
        <f t="shared" si="7"/>
        <v>0</v>
      </c>
      <c r="K106">
        <f t="shared" si="4"/>
        <v>28.65</v>
      </c>
      <c r="M106">
        <f>IF(DAY(B106)=$M$1,K106,0)</f>
        <v>0</v>
      </c>
      <c r="N106">
        <f>IF(DAY($B106)=N$1,$K106,0)</f>
        <v>0</v>
      </c>
      <c r="O106">
        <f>IF(DAY($B106)=O$1,$K106,0)</f>
        <v>0</v>
      </c>
      <c r="P106">
        <f>IF(DAY($B106)=P$1,$K106,0)</f>
        <v>0</v>
      </c>
      <c r="Q106">
        <f>IF(DAY($B106)=Q$1,$K106,0)</f>
        <v>0</v>
      </c>
      <c r="R106">
        <f>IF(DAY($B106)=R$1,$K106,0)</f>
        <v>0</v>
      </c>
      <c r="S106">
        <f>IF(DAY($B106)=S$1,$K106,0)</f>
        <v>0</v>
      </c>
      <c r="T106">
        <f>IF(DAY($B106)=T$1,$K106,0)</f>
        <v>0</v>
      </c>
      <c r="U106">
        <f>IF(DAY($B106)=U$1,$K106,0)</f>
        <v>0</v>
      </c>
      <c r="V106">
        <f>IF(DAY($B106)=V$1,$K106,0)</f>
        <v>0</v>
      </c>
      <c r="W106">
        <f>IF(DAY($B106)=W$1,$K106,0)</f>
        <v>0</v>
      </c>
      <c r="X106">
        <f>IF(DAY($B106)=X$1,$K106,0)</f>
        <v>0</v>
      </c>
      <c r="Y106">
        <f>IF(DAY($B106)=Y$1,$K106,0)</f>
        <v>0</v>
      </c>
      <c r="Z106">
        <f>IF(DAY($B106)=Z$1,$K106,0)</f>
        <v>0</v>
      </c>
      <c r="AA106">
        <f>IF(DAY($B106)=AA$1,$K106,0)</f>
        <v>0</v>
      </c>
      <c r="AB106">
        <f>IF(DAY($B106)=AB$1,$K106,0)</f>
        <v>0</v>
      </c>
      <c r="AC106">
        <f>IF(DAY($B106)=AC$1,$K106,0)</f>
        <v>0</v>
      </c>
      <c r="AD106">
        <f>IF(DAY($B106)=AD$1,$K106,0)</f>
        <v>0</v>
      </c>
      <c r="AE106">
        <f>IF(DAY($B106)=AE$1,$K106,0)</f>
        <v>0</v>
      </c>
      <c r="AF106">
        <f>IF(DAY($B106)=AF$1,$K106,0)</f>
        <v>28.65</v>
      </c>
      <c r="AG106">
        <f>IF(DAY($B106)=AG$1,$K106,0)</f>
        <v>0</v>
      </c>
      <c r="AH106">
        <f>IF(DAY($B106)=AH$1,$K106,0)</f>
        <v>0</v>
      </c>
      <c r="AI106">
        <f>IF(DAY($B106)=AI$1,$K106,0)</f>
        <v>0</v>
      </c>
      <c r="AJ106">
        <f>IF(DAY($B106)=AJ$1,$K106,0)</f>
        <v>0</v>
      </c>
      <c r="AK106">
        <f>IF(DAY($B106)=AK$1,$K106,0)</f>
        <v>0</v>
      </c>
      <c r="AL106">
        <f>IF(DAY($B106)=AL$1,$K106,0)</f>
        <v>0</v>
      </c>
      <c r="AM106">
        <f>IF(DAY($B106)=AM$1,$K106,0)</f>
        <v>0</v>
      </c>
      <c r="AN106">
        <f>IF(DAY($B106)=AN$1,$K106,0)</f>
        <v>0</v>
      </c>
      <c r="AO106">
        <f>IF(DAY($B106)=AO$1,$K106,0)</f>
        <v>0</v>
      </c>
      <c r="AP106">
        <f>IF(DAY($B106)=AP$1,$K106,0)</f>
        <v>0</v>
      </c>
    </row>
    <row r="107" spans="1:42" x14ac:dyDescent="0.3">
      <c r="A107">
        <v>106</v>
      </c>
      <c r="B107" s="1">
        <v>44459</v>
      </c>
      <c r="C107" s="2">
        <v>0.74663194444444436</v>
      </c>
      <c r="D107" s="1">
        <v>44459</v>
      </c>
      <c r="E107" s="3">
        <v>0.78163194444444439</v>
      </c>
      <c r="F107">
        <v>19</v>
      </c>
      <c r="G107">
        <v>9</v>
      </c>
      <c r="H107" s="3">
        <f t="shared" si="5"/>
        <v>3.5000000000000031E-2</v>
      </c>
      <c r="I107" s="3">
        <f t="shared" si="6"/>
        <v>3.5000000000000031E-2</v>
      </c>
      <c r="J107" s="3">
        <f t="shared" si="7"/>
        <v>0</v>
      </c>
      <c r="K107">
        <f t="shared" si="4"/>
        <v>50.4</v>
      </c>
      <c r="M107">
        <f>IF(DAY(B107)=$M$1,K107,0)</f>
        <v>0</v>
      </c>
      <c r="N107">
        <f>IF(DAY($B107)=N$1,$K107,0)</f>
        <v>0</v>
      </c>
      <c r="O107">
        <f>IF(DAY($B107)=O$1,$K107,0)</f>
        <v>0</v>
      </c>
      <c r="P107">
        <f>IF(DAY($B107)=P$1,$K107,0)</f>
        <v>0</v>
      </c>
      <c r="Q107">
        <f>IF(DAY($B107)=Q$1,$K107,0)</f>
        <v>0</v>
      </c>
      <c r="R107">
        <f>IF(DAY($B107)=R$1,$K107,0)</f>
        <v>0</v>
      </c>
      <c r="S107">
        <f>IF(DAY($B107)=S$1,$K107,0)</f>
        <v>0</v>
      </c>
      <c r="T107">
        <f>IF(DAY($B107)=T$1,$K107,0)</f>
        <v>0</v>
      </c>
      <c r="U107">
        <f>IF(DAY($B107)=U$1,$K107,0)</f>
        <v>0</v>
      </c>
      <c r="V107">
        <f>IF(DAY($B107)=V$1,$K107,0)</f>
        <v>0</v>
      </c>
      <c r="W107">
        <f>IF(DAY($B107)=W$1,$K107,0)</f>
        <v>0</v>
      </c>
      <c r="X107">
        <f>IF(DAY($B107)=X$1,$K107,0)</f>
        <v>0</v>
      </c>
      <c r="Y107">
        <f>IF(DAY($B107)=Y$1,$K107,0)</f>
        <v>0</v>
      </c>
      <c r="Z107">
        <f>IF(DAY($B107)=Z$1,$K107,0)</f>
        <v>0</v>
      </c>
      <c r="AA107">
        <f>IF(DAY($B107)=AA$1,$K107,0)</f>
        <v>0</v>
      </c>
      <c r="AB107">
        <f>IF(DAY($B107)=AB$1,$K107,0)</f>
        <v>0</v>
      </c>
      <c r="AC107">
        <f>IF(DAY($B107)=AC$1,$K107,0)</f>
        <v>0</v>
      </c>
      <c r="AD107">
        <f>IF(DAY($B107)=AD$1,$K107,0)</f>
        <v>0</v>
      </c>
      <c r="AE107">
        <f>IF(DAY($B107)=AE$1,$K107,0)</f>
        <v>0</v>
      </c>
      <c r="AF107">
        <f>IF(DAY($B107)=AF$1,$K107,0)</f>
        <v>50.4</v>
      </c>
      <c r="AG107">
        <f>IF(DAY($B107)=AG$1,$K107,0)</f>
        <v>0</v>
      </c>
      <c r="AH107">
        <f>IF(DAY($B107)=AH$1,$K107,0)</f>
        <v>0</v>
      </c>
      <c r="AI107">
        <f>IF(DAY($B107)=AI$1,$K107,0)</f>
        <v>0</v>
      </c>
      <c r="AJ107">
        <f>IF(DAY($B107)=AJ$1,$K107,0)</f>
        <v>0</v>
      </c>
      <c r="AK107">
        <f>IF(DAY($B107)=AK$1,$K107,0)</f>
        <v>0</v>
      </c>
      <c r="AL107">
        <f>IF(DAY($B107)=AL$1,$K107,0)</f>
        <v>0</v>
      </c>
      <c r="AM107">
        <f>IF(DAY($B107)=AM$1,$K107,0)</f>
        <v>0</v>
      </c>
      <c r="AN107">
        <f>IF(DAY($B107)=AN$1,$K107,0)</f>
        <v>0</v>
      </c>
      <c r="AO107">
        <f>IF(DAY($B107)=AO$1,$K107,0)</f>
        <v>0</v>
      </c>
      <c r="AP107">
        <f>IF(DAY($B107)=AP$1,$K107,0)</f>
        <v>0</v>
      </c>
    </row>
    <row r="108" spans="1:42" x14ac:dyDescent="0.3">
      <c r="A108">
        <v>107</v>
      </c>
      <c r="B108" s="1">
        <v>44459</v>
      </c>
      <c r="C108" s="2">
        <v>0.82415509259259256</v>
      </c>
      <c r="D108" s="1">
        <v>44459</v>
      </c>
      <c r="E108" s="3">
        <v>0.91810185185185178</v>
      </c>
      <c r="F108">
        <v>0</v>
      </c>
      <c r="G108">
        <v>6</v>
      </c>
      <c r="H108" s="3">
        <f t="shared" si="5"/>
        <v>9.3946759259259216E-2</v>
      </c>
      <c r="I108" s="3">
        <f t="shared" si="6"/>
        <v>9.3946759259259216E-2</v>
      </c>
      <c r="J108" s="3">
        <f t="shared" si="7"/>
        <v>0</v>
      </c>
      <c r="K108">
        <f t="shared" si="4"/>
        <v>135.28333333333333</v>
      </c>
      <c r="M108">
        <f>IF(DAY(B108)=$M$1,K108,0)</f>
        <v>0</v>
      </c>
      <c r="N108">
        <f>IF(DAY($B108)=N$1,$K108,0)</f>
        <v>0</v>
      </c>
      <c r="O108">
        <f>IF(DAY($B108)=O$1,$K108,0)</f>
        <v>0</v>
      </c>
      <c r="P108">
        <f>IF(DAY($B108)=P$1,$K108,0)</f>
        <v>0</v>
      </c>
      <c r="Q108">
        <f>IF(DAY($B108)=Q$1,$K108,0)</f>
        <v>0</v>
      </c>
      <c r="R108">
        <f>IF(DAY($B108)=R$1,$K108,0)</f>
        <v>0</v>
      </c>
      <c r="S108">
        <f>IF(DAY($B108)=S$1,$K108,0)</f>
        <v>0</v>
      </c>
      <c r="T108">
        <f>IF(DAY($B108)=T$1,$K108,0)</f>
        <v>0</v>
      </c>
      <c r="U108">
        <f>IF(DAY($B108)=U$1,$K108,0)</f>
        <v>0</v>
      </c>
      <c r="V108">
        <f>IF(DAY($B108)=V$1,$K108,0)</f>
        <v>0</v>
      </c>
      <c r="W108">
        <f>IF(DAY($B108)=W$1,$K108,0)</f>
        <v>0</v>
      </c>
      <c r="X108">
        <f>IF(DAY($B108)=X$1,$K108,0)</f>
        <v>0</v>
      </c>
      <c r="Y108">
        <f>IF(DAY($B108)=Y$1,$K108,0)</f>
        <v>0</v>
      </c>
      <c r="Z108">
        <f>IF(DAY($B108)=Z$1,$K108,0)</f>
        <v>0</v>
      </c>
      <c r="AA108">
        <f>IF(DAY($B108)=AA$1,$K108,0)</f>
        <v>0</v>
      </c>
      <c r="AB108">
        <f>IF(DAY($B108)=AB$1,$K108,0)</f>
        <v>0</v>
      </c>
      <c r="AC108">
        <f>IF(DAY($B108)=AC$1,$K108,0)</f>
        <v>0</v>
      </c>
      <c r="AD108">
        <f>IF(DAY($B108)=AD$1,$K108,0)</f>
        <v>0</v>
      </c>
      <c r="AE108">
        <f>IF(DAY($B108)=AE$1,$K108,0)</f>
        <v>0</v>
      </c>
      <c r="AF108">
        <f>IF(DAY($B108)=AF$1,$K108,0)</f>
        <v>135.28333333333333</v>
      </c>
      <c r="AG108">
        <f>IF(DAY($B108)=AG$1,$K108,0)</f>
        <v>0</v>
      </c>
      <c r="AH108">
        <f>IF(DAY($B108)=AH$1,$K108,0)</f>
        <v>0</v>
      </c>
      <c r="AI108">
        <f>IF(DAY($B108)=AI$1,$K108,0)</f>
        <v>0</v>
      </c>
      <c r="AJ108">
        <f>IF(DAY($B108)=AJ$1,$K108,0)</f>
        <v>0</v>
      </c>
      <c r="AK108">
        <f>IF(DAY($B108)=AK$1,$K108,0)</f>
        <v>0</v>
      </c>
      <c r="AL108">
        <f>IF(DAY($B108)=AL$1,$K108,0)</f>
        <v>0</v>
      </c>
      <c r="AM108">
        <f>IF(DAY($B108)=AM$1,$K108,0)</f>
        <v>0</v>
      </c>
      <c r="AN108">
        <f>IF(DAY($B108)=AN$1,$K108,0)</f>
        <v>0</v>
      </c>
      <c r="AO108">
        <f>IF(DAY($B108)=AO$1,$K108,0)</f>
        <v>0</v>
      </c>
      <c r="AP108">
        <f>IF(DAY($B108)=AP$1,$K108,0)</f>
        <v>0</v>
      </c>
    </row>
    <row r="109" spans="1:42" x14ac:dyDescent="0.3">
      <c r="A109">
        <v>108</v>
      </c>
      <c r="B109" s="1">
        <v>44459</v>
      </c>
      <c r="C109" s="2">
        <v>0.97640046296296301</v>
      </c>
      <c r="D109" s="1">
        <v>44460</v>
      </c>
      <c r="E109" s="3">
        <v>5.7824074074074076E-2</v>
      </c>
      <c r="F109">
        <v>4</v>
      </c>
      <c r="G109">
        <v>15</v>
      </c>
      <c r="H109" s="3">
        <f t="shared" si="5"/>
        <v>23.081423611111109</v>
      </c>
      <c r="I109" s="3">
        <f t="shared" si="6"/>
        <v>0</v>
      </c>
      <c r="J109" s="3">
        <f t="shared" si="7"/>
        <v>5.7824074074074076E-2</v>
      </c>
      <c r="K109">
        <f t="shared" si="4"/>
        <v>83.266666666666666</v>
      </c>
      <c r="M109">
        <f>IF(DAY(B109)=$M$1,K109,0)</f>
        <v>0</v>
      </c>
      <c r="N109">
        <f>IF(DAY($B109)=N$1,$K109,0)</f>
        <v>0</v>
      </c>
      <c r="O109">
        <f>IF(DAY($B109)=O$1,$K109,0)</f>
        <v>0</v>
      </c>
      <c r="P109">
        <f>IF(DAY($B109)=P$1,$K109,0)</f>
        <v>0</v>
      </c>
      <c r="Q109">
        <f>IF(DAY($B109)=Q$1,$K109,0)</f>
        <v>0</v>
      </c>
      <c r="R109">
        <f>IF(DAY($B109)=R$1,$K109,0)</f>
        <v>0</v>
      </c>
      <c r="S109">
        <f>IF(DAY($B109)=S$1,$K109,0)</f>
        <v>0</v>
      </c>
      <c r="T109">
        <f>IF(DAY($B109)=T$1,$K109,0)</f>
        <v>0</v>
      </c>
      <c r="U109">
        <f>IF(DAY($B109)=U$1,$K109,0)</f>
        <v>0</v>
      </c>
      <c r="V109">
        <f>IF(DAY($B109)=V$1,$K109,0)</f>
        <v>0</v>
      </c>
      <c r="W109">
        <f>IF(DAY($B109)=W$1,$K109,0)</f>
        <v>0</v>
      </c>
      <c r="X109">
        <f>IF(DAY($B109)=X$1,$K109,0)</f>
        <v>0</v>
      </c>
      <c r="Y109">
        <f>IF(DAY($B109)=Y$1,$K109,0)</f>
        <v>0</v>
      </c>
      <c r="Z109">
        <f>IF(DAY($B109)=Z$1,$K109,0)</f>
        <v>0</v>
      </c>
      <c r="AA109">
        <f>IF(DAY($B109)=AA$1,$K109,0)</f>
        <v>0</v>
      </c>
      <c r="AB109">
        <f>IF(DAY($B109)=AB$1,$K109,0)</f>
        <v>0</v>
      </c>
      <c r="AC109">
        <f>IF(DAY($B109)=AC$1,$K109,0)</f>
        <v>0</v>
      </c>
      <c r="AD109">
        <f>IF(DAY($B109)=AD$1,$K109,0)</f>
        <v>0</v>
      </c>
      <c r="AE109">
        <f>IF(DAY($B109)=AE$1,$K109,0)</f>
        <v>0</v>
      </c>
      <c r="AF109">
        <f>IF(DAY($B109)=AF$1,$K109,0)</f>
        <v>83.266666666666666</v>
      </c>
      <c r="AG109">
        <f>IF(DAY($B109)=AG$1,$K109,0)</f>
        <v>0</v>
      </c>
      <c r="AH109">
        <f>IF(DAY($B109)=AH$1,$K109,0)</f>
        <v>0</v>
      </c>
      <c r="AI109">
        <f>IF(DAY($B109)=AI$1,$K109,0)</f>
        <v>0</v>
      </c>
      <c r="AJ109">
        <f>IF(DAY($B109)=AJ$1,$K109,0)</f>
        <v>0</v>
      </c>
      <c r="AK109">
        <f>IF(DAY($B109)=AK$1,$K109,0)</f>
        <v>0</v>
      </c>
      <c r="AL109">
        <f>IF(DAY($B109)=AL$1,$K109,0)</f>
        <v>0</v>
      </c>
      <c r="AM109">
        <f>IF(DAY($B109)=AM$1,$K109,0)</f>
        <v>0</v>
      </c>
      <c r="AN109">
        <f>IF(DAY($B109)=AN$1,$K109,0)</f>
        <v>0</v>
      </c>
      <c r="AO109">
        <f>IF(DAY($B109)=AO$1,$K109,0)</f>
        <v>0</v>
      </c>
      <c r="AP109">
        <f>IF(DAY($B109)=AP$1,$K109,0)</f>
        <v>0</v>
      </c>
    </row>
    <row r="110" spans="1:42" x14ac:dyDescent="0.3">
      <c r="A110">
        <v>109</v>
      </c>
      <c r="B110" s="1">
        <v>44460</v>
      </c>
      <c r="C110" s="2">
        <v>0.29172453703703705</v>
      </c>
      <c r="D110" s="1">
        <v>44460</v>
      </c>
      <c r="E110" s="3">
        <v>0.33641203703703698</v>
      </c>
      <c r="F110">
        <v>11</v>
      </c>
      <c r="G110">
        <v>0</v>
      </c>
      <c r="H110" s="3">
        <f t="shared" si="5"/>
        <v>4.4687499999999936E-2</v>
      </c>
      <c r="I110" s="3">
        <f t="shared" si="6"/>
        <v>4.4687499999999936E-2</v>
      </c>
      <c r="J110" s="3">
        <f t="shared" si="7"/>
        <v>0</v>
      </c>
      <c r="K110">
        <f t="shared" si="4"/>
        <v>64.349999999999994</v>
      </c>
      <c r="M110">
        <f>IF(DAY(B110)=$M$1,K110,0)</f>
        <v>0</v>
      </c>
      <c r="N110">
        <f>IF(DAY($B110)=N$1,$K110,0)</f>
        <v>0</v>
      </c>
      <c r="O110">
        <f>IF(DAY($B110)=O$1,$K110,0)</f>
        <v>0</v>
      </c>
      <c r="P110">
        <f>IF(DAY($B110)=P$1,$K110,0)</f>
        <v>0</v>
      </c>
      <c r="Q110">
        <f>IF(DAY($B110)=Q$1,$K110,0)</f>
        <v>0</v>
      </c>
      <c r="R110">
        <f>IF(DAY($B110)=R$1,$K110,0)</f>
        <v>0</v>
      </c>
      <c r="S110">
        <f>IF(DAY($B110)=S$1,$K110,0)</f>
        <v>0</v>
      </c>
      <c r="T110">
        <f>IF(DAY($B110)=T$1,$K110,0)</f>
        <v>0</v>
      </c>
      <c r="U110">
        <f>IF(DAY($B110)=U$1,$K110,0)</f>
        <v>0</v>
      </c>
      <c r="V110">
        <f>IF(DAY($B110)=V$1,$K110,0)</f>
        <v>0</v>
      </c>
      <c r="W110">
        <f>IF(DAY($B110)=W$1,$K110,0)</f>
        <v>0</v>
      </c>
      <c r="X110">
        <f>IF(DAY($B110)=X$1,$K110,0)</f>
        <v>0</v>
      </c>
      <c r="Y110">
        <f>IF(DAY($B110)=Y$1,$K110,0)</f>
        <v>0</v>
      </c>
      <c r="Z110">
        <f>IF(DAY($B110)=Z$1,$K110,0)</f>
        <v>0</v>
      </c>
      <c r="AA110">
        <f>IF(DAY($B110)=AA$1,$K110,0)</f>
        <v>0</v>
      </c>
      <c r="AB110">
        <f>IF(DAY($B110)=AB$1,$K110,0)</f>
        <v>0</v>
      </c>
      <c r="AC110">
        <f>IF(DAY($B110)=AC$1,$K110,0)</f>
        <v>0</v>
      </c>
      <c r="AD110">
        <f>IF(DAY($B110)=AD$1,$K110,0)</f>
        <v>0</v>
      </c>
      <c r="AE110">
        <f>IF(DAY($B110)=AE$1,$K110,0)</f>
        <v>0</v>
      </c>
      <c r="AF110">
        <f>IF(DAY($B110)=AF$1,$K110,0)</f>
        <v>0</v>
      </c>
      <c r="AG110">
        <f>IF(DAY($B110)=AG$1,$K110,0)</f>
        <v>64.349999999999994</v>
      </c>
      <c r="AH110">
        <f>IF(DAY($B110)=AH$1,$K110,0)</f>
        <v>0</v>
      </c>
      <c r="AI110">
        <f>IF(DAY($B110)=AI$1,$K110,0)</f>
        <v>0</v>
      </c>
      <c r="AJ110">
        <f>IF(DAY($B110)=AJ$1,$K110,0)</f>
        <v>0</v>
      </c>
      <c r="AK110">
        <f>IF(DAY($B110)=AK$1,$K110,0)</f>
        <v>0</v>
      </c>
      <c r="AL110">
        <f>IF(DAY($B110)=AL$1,$K110,0)</f>
        <v>0</v>
      </c>
      <c r="AM110">
        <f>IF(DAY($B110)=AM$1,$K110,0)</f>
        <v>0</v>
      </c>
      <c r="AN110">
        <f>IF(DAY($B110)=AN$1,$K110,0)</f>
        <v>0</v>
      </c>
      <c r="AO110">
        <f>IF(DAY($B110)=AO$1,$K110,0)</f>
        <v>0</v>
      </c>
      <c r="AP110">
        <f>IF(DAY($B110)=AP$1,$K110,0)</f>
        <v>0</v>
      </c>
    </row>
    <row r="111" spans="1:42" x14ac:dyDescent="0.3">
      <c r="A111">
        <v>110</v>
      </c>
      <c r="B111" s="1">
        <v>44460</v>
      </c>
      <c r="C111" s="2">
        <v>0.42815972222222221</v>
      </c>
      <c r="D111" s="1">
        <v>44460</v>
      </c>
      <c r="E111" s="3">
        <v>0.58225694444444442</v>
      </c>
      <c r="F111">
        <v>9</v>
      </c>
      <c r="G111">
        <v>4</v>
      </c>
      <c r="H111" s="3">
        <f t="shared" si="5"/>
        <v>0.15409722222222222</v>
      </c>
      <c r="I111" s="3">
        <f t="shared" si="6"/>
        <v>0.15409722222222222</v>
      </c>
      <c r="J111" s="3">
        <f t="shared" si="7"/>
        <v>0</v>
      </c>
      <c r="K111">
        <f t="shared" si="4"/>
        <v>221.9</v>
      </c>
      <c r="M111">
        <f>IF(DAY(B111)=$M$1,K111,0)</f>
        <v>0</v>
      </c>
      <c r="N111">
        <f>IF(DAY($B111)=N$1,$K111,0)</f>
        <v>0</v>
      </c>
      <c r="O111">
        <f>IF(DAY($B111)=O$1,$K111,0)</f>
        <v>0</v>
      </c>
      <c r="P111">
        <f>IF(DAY($B111)=P$1,$K111,0)</f>
        <v>0</v>
      </c>
      <c r="Q111">
        <f>IF(DAY($B111)=Q$1,$K111,0)</f>
        <v>0</v>
      </c>
      <c r="R111">
        <f>IF(DAY($B111)=R$1,$K111,0)</f>
        <v>0</v>
      </c>
      <c r="S111">
        <f>IF(DAY($B111)=S$1,$K111,0)</f>
        <v>0</v>
      </c>
      <c r="T111">
        <f>IF(DAY($B111)=T$1,$K111,0)</f>
        <v>0</v>
      </c>
      <c r="U111">
        <f>IF(DAY($B111)=U$1,$K111,0)</f>
        <v>0</v>
      </c>
      <c r="V111">
        <f>IF(DAY($B111)=V$1,$K111,0)</f>
        <v>0</v>
      </c>
      <c r="W111">
        <f>IF(DAY($B111)=W$1,$K111,0)</f>
        <v>0</v>
      </c>
      <c r="X111">
        <f>IF(DAY($B111)=X$1,$K111,0)</f>
        <v>0</v>
      </c>
      <c r="Y111">
        <f>IF(DAY($B111)=Y$1,$K111,0)</f>
        <v>0</v>
      </c>
      <c r="Z111">
        <f>IF(DAY($B111)=Z$1,$K111,0)</f>
        <v>0</v>
      </c>
      <c r="AA111">
        <f>IF(DAY($B111)=AA$1,$K111,0)</f>
        <v>0</v>
      </c>
      <c r="AB111">
        <f>IF(DAY($B111)=AB$1,$K111,0)</f>
        <v>0</v>
      </c>
      <c r="AC111">
        <f>IF(DAY($B111)=AC$1,$K111,0)</f>
        <v>0</v>
      </c>
      <c r="AD111">
        <f>IF(DAY($B111)=AD$1,$K111,0)</f>
        <v>0</v>
      </c>
      <c r="AE111">
        <f>IF(DAY($B111)=AE$1,$K111,0)</f>
        <v>0</v>
      </c>
      <c r="AF111">
        <f>IF(DAY($B111)=AF$1,$K111,0)</f>
        <v>0</v>
      </c>
      <c r="AG111">
        <f>IF(DAY($B111)=AG$1,$K111,0)</f>
        <v>221.9</v>
      </c>
      <c r="AH111">
        <f>IF(DAY($B111)=AH$1,$K111,0)</f>
        <v>0</v>
      </c>
      <c r="AI111">
        <f>IF(DAY($B111)=AI$1,$K111,0)</f>
        <v>0</v>
      </c>
      <c r="AJ111">
        <f>IF(DAY($B111)=AJ$1,$K111,0)</f>
        <v>0</v>
      </c>
      <c r="AK111">
        <f>IF(DAY($B111)=AK$1,$K111,0)</f>
        <v>0</v>
      </c>
      <c r="AL111">
        <f>IF(DAY($B111)=AL$1,$K111,0)</f>
        <v>0</v>
      </c>
      <c r="AM111">
        <f>IF(DAY($B111)=AM$1,$K111,0)</f>
        <v>0</v>
      </c>
      <c r="AN111">
        <f>IF(DAY($B111)=AN$1,$K111,0)</f>
        <v>0</v>
      </c>
      <c r="AO111">
        <f>IF(DAY($B111)=AO$1,$K111,0)</f>
        <v>0</v>
      </c>
      <c r="AP111">
        <f>IF(DAY($B111)=AP$1,$K111,0)</f>
        <v>0</v>
      </c>
    </row>
    <row r="112" spans="1:42" x14ac:dyDescent="0.3">
      <c r="A112">
        <v>111</v>
      </c>
      <c r="B112" s="1">
        <v>44460</v>
      </c>
      <c r="C112" s="2">
        <v>0.62174768518518519</v>
      </c>
      <c r="D112" s="1">
        <v>44460</v>
      </c>
      <c r="E112" s="3">
        <v>0.66903935185185182</v>
      </c>
      <c r="F112">
        <v>9</v>
      </c>
      <c r="G112">
        <v>28</v>
      </c>
      <c r="H112" s="3">
        <f t="shared" si="5"/>
        <v>4.7291666666666621E-2</v>
      </c>
      <c r="I112" s="3">
        <f t="shared" si="6"/>
        <v>4.7291666666666621E-2</v>
      </c>
      <c r="J112" s="3">
        <f t="shared" si="7"/>
        <v>0</v>
      </c>
      <c r="K112">
        <f t="shared" si="4"/>
        <v>68.099999999999994</v>
      </c>
      <c r="M112">
        <f>IF(DAY(B112)=$M$1,K112,0)</f>
        <v>0</v>
      </c>
      <c r="N112">
        <f>IF(DAY($B112)=N$1,$K112,0)</f>
        <v>0</v>
      </c>
      <c r="O112">
        <f>IF(DAY($B112)=O$1,$K112,0)</f>
        <v>0</v>
      </c>
      <c r="P112">
        <f>IF(DAY($B112)=P$1,$K112,0)</f>
        <v>0</v>
      </c>
      <c r="Q112">
        <f>IF(DAY($B112)=Q$1,$K112,0)</f>
        <v>0</v>
      </c>
      <c r="R112">
        <f>IF(DAY($B112)=R$1,$K112,0)</f>
        <v>0</v>
      </c>
      <c r="S112">
        <f>IF(DAY($B112)=S$1,$K112,0)</f>
        <v>0</v>
      </c>
      <c r="T112">
        <f>IF(DAY($B112)=T$1,$K112,0)</f>
        <v>0</v>
      </c>
      <c r="U112">
        <f>IF(DAY($B112)=U$1,$K112,0)</f>
        <v>0</v>
      </c>
      <c r="V112">
        <f>IF(DAY($B112)=V$1,$K112,0)</f>
        <v>0</v>
      </c>
      <c r="W112">
        <f>IF(DAY($B112)=W$1,$K112,0)</f>
        <v>0</v>
      </c>
      <c r="X112">
        <f>IF(DAY($B112)=X$1,$K112,0)</f>
        <v>0</v>
      </c>
      <c r="Y112">
        <f>IF(DAY($B112)=Y$1,$K112,0)</f>
        <v>0</v>
      </c>
      <c r="Z112">
        <f>IF(DAY($B112)=Z$1,$K112,0)</f>
        <v>0</v>
      </c>
      <c r="AA112">
        <f>IF(DAY($B112)=AA$1,$K112,0)</f>
        <v>0</v>
      </c>
      <c r="AB112">
        <f>IF(DAY($B112)=AB$1,$K112,0)</f>
        <v>0</v>
      </c>
      <c r="AC112">
        <f>IF(DAY($B112)=AC$1,$K112,0)</f>
        <v>0</v>
      </c>
      <c r="AD112">
        <f>IF(DAY($B112)=AD$1,$K112,0)</f>
        <v>0</v>
      </c>
      <c r="AE112">
        <f>IF(DAY($B112)=AE$1,$K112,0)</f>
        <v>0</v>
      </c>
      <c r="AF112">
        <f>IF(DAY($B112)=AF$1,$K112,0)</f>
        <v>0</v>
      </c>
      <c r="AG112">
        <f>IF(DAY($B112)=AG$1,$K112,0)</f>
        <v>68.099999999999994</v>
      </c>
      <c r="AH112">
        <f>IF(DAY($B112)=AH$1,$K112,0)</f>
        <v>0</v>
      </c>
      <c r="AI112">
        <f>IF(DAY($B112)=AI$1,$K112,0)</f>
        <v>0</v>
      </c>
      <c r="AJ112">
        <f>IF(DAY($B112)=AJ$1,$K112,0)</f>
        <v>0</v>
      </c>
      <c r="AK112">
        <f>IF(DAY($B112)=AK$1,$K112,0)</f>
        <v>0</v>
      </c>
      <c r="AL112">
        <f>IF(DAY($B112)=AL$1,$K112,0)</f>
        <v>0</v>
      </c>
      <c r="AM112">
        <f>IF(DAY($B112)=AM$1,$K112,0)</f>
        <v>0</v>
      </c>
      <c r="AN112">
        <f>IF(DAY($B112)=AN$1,$K112,0)</f>
        <v>0</v>
      </c>
      <c r="AO112">
        <f>IF(DAY($B112)=AO$1,$K112,0)</f>
        <v>0</v>
      </c>
      <c r="AP112">
        <f>IF(DAY($B112)=AP$1,$K112,0)</f>
        <v>0</v>
      </c>
    </row>
    <row r="113" spans="1:42" x14ac:dyDescent="0.3">
      <c r="A113">
        <v>112</v>
      </c>
      <c r="B113" s="1">
        <v>44460</v>
      </c>
      <c r="C113" s="2">
        <v>0.71136574074074066</v>
      </c>
      <c r="D113" s="1">
        <v>44460</v>
      </c>
      <c r="E113" s="3">
        <v>0.76173611111111106</v>
      </c>
      <c r="F113">
        <v>0</v>
      </c>
      <c r="G113">
        <v>10</v>
      </c>
      <c r="H113" s="3">
        <f t="shared" si="5"/>
        <v>5.0370370370370399E-2</v>
      </c>
      <c r="I113" s="3">
        <f t="shared" si="6"/>
        <v>5.0370370370370399E-2</v>
      </c>
      <c r="J113" s="3">
        <f t="shared" si="7"/>
        <v>0</v>
      </c>
      <c r="K113">
        <f t="shared" si="4"/>
        <v>72.533333333333331</v>
      </c>
      <c r="M113">
        <f>IF(DAY(B113)=$M$1,K113,0)</f>
        <v>0</v>
      </c>
      <c r="N113">
        <f>IF(DAY($B113)=N$1,$K113,0)</f>
        <v>0</v>
      </c>
      <c r="O113">
        <f>IF(DAY($B113)=O$1,$K113,0)</f>
        <v>0</v>
      </c>
      <c r="P113">
        <f>IF(DAY($B113)=P$1,$K113,0)</f>
        <v>0</v>
      </c>
      <c r="Q113">
        <f>IF(DAY($B113)=Q$1,$K113,0)</f>
        <v>0</v>
      </c>
      <c r="R113">
        <f>IF(DAY($B113)=R$1,$K113,0)</f>
        <v>0</v>
      </c>
      <c r="S113">
        <f>IF(DAY($B113)=S$1,$K113,0)</f>
        <v>0</v>
      </c>
      <c r="T113">
        <f>IF(DAY($B113)=T$1,$K113,0)</f>
        <v>0</v>
      </c>
      <c r="U113">
        <f>IF(DAY($B113)=U$1,$K113,0)</f>
        <v>0</v>
      </c>
      <c r="V113">
        <f>IF(DAY($B113)=V$1,$K113,0)</f>
        <v>0</v>
      </c>
      <c r="W113">
        <f>IF(DAY($B113)=W$1,$K113,0)</f>
        <v>0</v>
      </c>
      <c r="X113">
        <f>IF(DAY($B113)=X$1,$K113,0)</f>
        <v>0</v>
      </c>
      <c r="Y113">
        <f>IF(DAY($B113)=Y$1,$K113,0)</f>
        <v>0</v>
      </c>
      <c r="Z113">
        <f>IF(DAY($B113)=Z$1,$K113,0)</f>
        <v>0</v>
      </c>
      <c r="AA113">
        <f>IF(DAY($B113)=AA$1,$K113,0)</f>
        <v>0</v>
      </c>
      <c r="AB113">
        <f>IF(DAY($B113)=AB$1,$K113,0)</f>
        <v>0</v>
      </c>
      <c r="AC113">
        <f>IF(DAY($B113)=AC$1,$K113,0)</f>
        <v>0</v>
      </c>
      <c r="AD113">
        <f>IF(DAY($B113)=AD$1,$K113,0)</f>
        <v>0</v>
      </c>
      <c r="AE113">
        <f>IF(DAY($B113)=AE$1,$K113,0)</f>
        <v>0</v>
      </c>
      <c r="AF113">
        <f>IF(DAY($B113)=AF$1,$K113,0)</f>
        <v>0</v>
      </c>
      <c r="AG113">
        <f>IF(DAY($B113)=AG$1,$K113,0)</f>
        <v>72.533333333333331</v>
      </c>
      <c r="AH113">
        <f>IF(DAY($B113)=AH$1,$K113,0)</f>
        <v>0</v>
      </c>
      <c r="AI113">
        <f>IF(DAY($B113)=AI$1,$K113,0)</f>
        <v>0</v>
      </c>
      <c r="AJ113">
        <f>IF(DAY($B113)=AJ$1,$K113,0)</f>
        <v>0</v>
      </c>
      <c r="AK113">
        <f>IF(DAY($B113)=AK$1,$K113,0)</f>
        <v>0</v>
      </c>
      <c r="AL113">
        <f>IF(DAY($B113)=AL$1,$K113,0)</f>
        <v>0</v>
      </c>
      <c r="AM113">
        <f>IF(DAY($B113)=AM$1,$K113,0)</f>
        <v>0</v>
      </c>
      <c r="AN113">
        <f>IF(DAY($B113)=AN$1,$K113,0)</f>
        <v>0</v>
      </c>
      <c r="AO113">
        <f>IF(DAY($B113)=AO$1,$K113,0)</f>
        <v>0</v>
      </c>
      <c r="AP113">
        <f>IF(DAY($B113)=AP$1,$K113,0)</f>
        <v>0</v>
      </c>
    </row>
    <row r="114" spans="1:42" x14ac:dyDescent="0.3">
      <c r="A114">
        <v>113</v>
      </c>
      <c r="B114" s="1">
        <v>44460</v>
      </c>
      <c r="C114" s="2">
        <v>0.83270833333333327</v>
      </c>
      <c r="D114" s="1">
        <v>44460</v>
      </c>
      <c r="E114" s="3">
        <v>0.9375</v>
      </c>
      <c r="F114">
        <v>12</v>
      </c>
      <c r="G114">
        <v>6</v>
      </c>
      <c r="H114" s="3">
        <f t="shared" si="5"/>
        <v>0.10479166666666673</v>
      </c>
      <c r="I114" s="3">
        <f t="shared" si="6"/>
        <v>0.10479166666666673</v>
      </c>
      <c r="J114" s="3">
        <f t="shared" si="7"/>
        <v>0</v>
      </c>
      <c r="K114">
        <f t="shared" si="4"/>
        <v>150.9</v>
      </c>
      <c r="M114">
        <f>IF(DAY(B114)=$M$1,K114,0)</f>
        <v>0</v>
      </c>
      <c r="N114">
        <f>IF(DAY($B114)=N$1,$K114,0)</f>
        <v>0</v>
      </c>
      <c r="O114">
        <f>IF(DAY($B114)=O$1,$K114,0)</f>
        <v>0</v>
      </c>
      <c r="P114">
        <f>IF(DAY($B114)=P$1,$K114,0)</f>
        <v>0</v>
      </c>
      <c r="Q114">
        <f>IF(DAY($B114)=Q$1,$K114,0)</f>
        <v>0</v>
      </c>
      <c r="R114">
        <f>IF(DAY($B114)=R$1,$K114,0)</f>
        <v>0</v>
      </c>
      <c r="S114">
        <f>IF(DAY($B114)=S$1,$K114,0)</f>
        <v>0</v>
      </c>
      <c r="T114">
        <f>IF(DAY($B114)=T$1,$K114,0)</f>
        <v>0</v>
      </c>
      <c r="U114">
        <f>IF(DAY($B114)=U$1,$K114,0)</f>
        <v>0</v>
      </c>
      <c r="V114">
        <f>IF(DAY($B114)=V$1,$K114,0)</f>
        <v>0</v>
      </c>
      <c r="W114">
        <f>IF(DAY($B114)=W$1,$K114,0)</f>
        <v>0</v>
      </c>
      <c r="X114">
        <f>IF(DAY($B114)=X$1,$K114,0)</f>
        <v>0</v>
      </c>
      <c r="Y114">
        <f>IF(DAY($B114)=Y$1,$K114,0)</f>
        <v>0</v>
      </c>
      <c r="Z114">
        <f>IF(DAY($B114)=Z$1,$K114,0)</f>
        <v>0</v>
      </c>
      <c r="AA114">
        <f>IF(DAY($B114)=AA$1,$K114,0)</f>
        <v>0</v>
      </c>
      <c r="AB114">
        <f>IF(DAY($B114)=AB$1,$K114,0)</f>
        <v>0</v>
      </c>
      <c r="AC114">
        <f>IF(DAY($B114)=AC$1,$K114,0)</f>
        <v>0</v>
      </c>
      <c r="AD114">
        <f>IF(DAY($B114)=AD$1,$K114,0)</f>
        <v>0</v>
      </c>
      <c r="AE114">
        <f>IF(DAY($B114)=AE$1,$K114,0)</f>
        <v>0</v>
      </c>
      <c r="AF114">
        <f>IF(DAY($B114)=AF$1,$K114,0)</f>
        <v>0</v>
      </c>
      <c r="AG114">
        <f>IF(DAY($B114)=AG$1,$K114,0)</f>
        <v>150.9</v>
      </c>
      <c r="AH114">
        <f>IF(DAY($B114)=AH$1,$K114,0)</f>
        <v>0</v>
      </c>
      <c r="AI114">
        <f>IF(DAY($B114)=AI$1,$K114,0)</f>
        <v>0</v>
      </c>
      <c r="AJ114">
        <f>IF(DAY($B114)=AJ$1,$K114,0)</f>
        <v>0</v>
      </c>
      <c r="AK114">
        <f>IF(DAY($B114)=AK$1,$K114,0)</f>
        <v>0</v>
      </c>
      <c r="AL114">
        <f>IF(DAY($B114)=AL$1,$K114,0)</f>
        <v>0</v>
      </c>
      <c r="AM114">
        <f>IF(DAY($B114)=AM$1,$K114,0)</f>
        <v>0</v>
      </c>
      <c r="AN114">
        <f>IF(DAY($B114)=AN$1,$K114,0)</f>
        <v>0</v>
      </c>
      <c r="AO114">
        <f>IF(DAY($B114)=AO$1,$K114,0)</f>
        <v>0</v>
      </c>
      <c r="AP114">
        <f>IF(DAY($B114)=AP$1,$K114,0)</f>
        <v>0</v>
      </c>
    </row>
    <row r="115" spans="1:42" x14ac:dyDescent="0.3">
      <c r="A115">
        <v>114</v>
      </c>
      <c r="B115" s="1">
        <v>44461</v>
      </c>
      <c r="C115" s="2">
        <v>0.29829861111111111</v>
      </c>
      <c r="D115" s="1">
        <v>44461</v>
      </c>
      <c r="E115" s="3">
        <v>0.3449652777777778</v>
      </c>
      <c r="F115">
        <v>11</v>
      </c>
      <c r="G115">
        <v>5</v>
      </c>
      <c r="H115" s="3">
        <f t="shared" si="5"/>
        <v>4.666666666666669E-2</v>
      </c>
      <c r="I115" s="3">
        <f t="shared" si="6"/>
        <v>4.666666666666669E-2</v>
      </c>
      <c r="J115" s="3">
        <f t="shared" si="7"/>
        <v>0</v>
      </c>
      <c r="K115">
        <f t="shared" si="4"/>
        <v>67.2</v>
      </c>
      <c r="M115">
        <f>IF(DAY(B115)=$M$1,K115,0)</f>
        <v>0</v>
      </c>
      <c r="N115">
        <f>IF(DAY($B115)=N$1,$K115,0)</f>
        <v>0</v>
      </c>
      <c r="O115">
        <f>IF(DAY($B115)=O$1,$K115,0)</f>
        <v>0</v>
      </c>
      <c r="P115">
        <f>IF(DAY($B115)=P$1,$K115,0)</f>
        <v>0</v>
      </c>
      <c r="Q115">
        <f>IF(DAY($B115)=Q$1,$K115,0)</f>
        <v>0</v>
      </c>
      <c r="R115">
        <f>IF(DAY($B115)=R$1,$K115,0)</f>
        <v>0</v>
      </c>
      <c r="S115">
        <f>IF(DAY($B115)=S$1,$K115,0)</f>
        <v>0</v>
      </c>
      <c r="T115">
        <f>IF(DAY($B115)=T$1,$K115,0)</f>
        <v>0</v>
      </c>
      <c r="U115">
        <f>IF(DAY($B115)=U$1,$K115,0)</f>
        <v>0</v>
      </c>
      <c r="V115">
        <f>IF(DAY($B115)=V$1,$K115,0)</f>
        <v>0</v>
      </c>
      <c r="W115">
        <f>IF(DAY($B115)=W$1,$K115,0)</f>
        <v>0</v>
      </c>
      <c r="X115">
        <f>IF(DAY($B115)=X$1,$K115,0)</f>
        <v>0</v>
      </c>
      <c r="Y115">
        <f>IF(DAY($B115)=Y$1,$K115,0)</f>
        <v>0</v>
      </c>
      <c r="Z115">
        <f>IF(DAY($B115)=Z$1,$K115,0)</f>
        <v>0</v>
      </c>
      <c r="AA115">
        <f>IF(DAY($B115)=AA$1,$K115,0)</f>
        <v>0</v>
      </c>
      <c r="AB115">
        <f>IF(DAY($B115)=AB$1,$K115,0)</f>
        <v>0</v>
      </c>
      <c r="AC115">
        <f>IF(DAY($B115)=AC$1,$K115,0)</f>
        <v>0</v>
      </c>
      <c r="AD115">
        <f>IF(DAY($B115)=AD$1,$K115,0)</f>
        <v>0</v>
      </c>
      <c r="AE115">
        <f>IF(DAY($B115)=AE$1,$K115,0)</f>
        <v>0</v>
      </c>
      <c r="AF115">
        <f>IF(DAY($B115)=AF$1,$K115,0)</f>
        <v>0</v>
      </c>
      <c r="AG115">
        <f>IF(DAY($B115)=AG$1,$K115,0)</f>
        <v>0</v>
      </c>
      <c r="AH115">
        <f>IF(DAY($B115)=AH$1,$K115,0)</f>
        <v>67.2</v>
      </c>
      <c r="AI115">
        <f>IF(DAY($B115)=AI$1,$K115,0)</f>
        <v>0</v>
      </c>
      <c r="AJ115">
        <f>IF(DAY($B115)=AJ$1,$K115,0)</f>
        <v>0</v>
      </c>
      <c r="AK115">
        <f>IF(DAY($B115)=AK$1,$K115,0)</f>
        <v>0</v>
      </c>
      <c r="AL115">
        <f>IF(DAY($B115)=AL$1,$K115,0)</f>
        <v>0</v>
      </c>
      <c r="AM115">
        <f>IF(DAY($B115)=AM$1,$K115,0)</f>
        <v>0</v>
      </c>
      <c r="AN115">
        <f>IF(DAY($B115)=AN$1,$K115,0)</f>
        <v>0</v>
      </c>
      <c r="AO115">
        <f>IF(DAY($B115)=AO$1,$K115,0)</f>
        <v>0</v>
      </c>
      <c r="AP115">
        <f>IF(DAY($B115)=AP$1,$K115,0)</f>
        <v>0</v>
      </c>
    </row>
    <row r="116" spans="1:42" x14ac:dyDescent="0.3">
      <c r="A116">
        <v>115</v>
      </c>
      <c r="B116" s="1">
        <v>44461</v>
      </c>
      <c r="C116" s="2">
        <v>0.38718750000000002</v>
      </c>
      <c r="D116" s="1">
        <v>44461</v>
      </c>
      <c r="E116" s="3">
        <v>0.46149305555555559</v>
      </c>
      <c r="F116">
        <v>13</v>
      </c>
      <c r="G116">
        <v>9</v>
      </c>
      <c r="H116" s="3">
        <f t="shared" si="5"/>
        <v>7.4305555555555569E-2</v>
      </c>
      <c r="I116" s="3">
        <f t="shared" si="6"/>
        <v>7.4305555555555569E-2</v>
      </c>
      <c r="J116" s="3">
        <f t="shared" si="7"/>
        <v>0</v>
      </c>
      <c r="K116">
        <f t="shared" si="4"/>
        <v>107</v>
      </c>
      <c r="M116">
        <f>IF(DAY(B116)=$M$1,K116,0)</f>
        <v>0</v>
      </c>
      <c r="N116">
        <f>IF(DAY($B116)=N$1,$K116,0)</f>
        <v>0</v>
      </c>
      <c r="O116">
        <f>IF(DAY($B116)=O$1,$K116,0)</f>
        <v>0</v>
      </c>
      <c r="P116">
        <f>IF(DAY($B116)=P$1,$K116,0)</f>
        <v>0</v>
      </c>
      <c r="Q116">
        <f>IF(DAY($B116)=Q$1,$K116,0)</f>
        <v>0</v>
      </c>
      <c r="R116">
        <f>IF(DAY($B116)=R$1,$K116,0)</f>
        <v>0</v>
      </c>
      <c r="S116">
        <f>IF(DAY($B116)=S$1,$K116,0)</f>
        <v>0</v>
      </c>
      <c r="T116">
        <f>IF(DAY($B116)=T$1,$K116,0)</f>
        <v>0</v>
      </c>
      <c r="U116">
        <f>IF(DAY($B116)=U$1,$K116,0)</f>
        <v>0</v>
      </c>
      <c r="V116">
        <f>IF(DAY($B116)=V$1,$K116,0)</f>
        <v>0</v>
      </c>
      <c r="W116">
        <f>IF(DAY($B116)=W$1,$K116,0)</f>
        <v>0</v>
      </c>
      <c r="X116">
        <f>IF(DAY($B116)=X$1,$K116,0)</f>
        <v>0</v>
      </c>
      <c r="Y116">
        <f>IF(DAY($B116)=Y$1,$K116,0)</f>
        <v>0</v>
      </c>
      <c r="Z116">
        <f>IF(DAY($B116)=Z$1,$K116,0)</f>
        <v>0</v>
      </c>
      <c r="AA116">
        <f>IF(DAY($B116)=AA$1,$K116,0)</f>
        <v>0</v>
      </c>
      <c r="AB116">
        <f>IF(DAY($B116)=AB$1,$K116,0)</f>
        <v>0</v>
      </c>
      <c r="AC116">
        <f>IF(DAY($B116)=AC$1,$K116,0)</f>
        <v>0</v>
      </c>
      <c r="AD116">
        <f>IF(DAY($B116)=AD$1,$K116,0)</f>
        <v>0</v>
      </c>
      <c r="AE116">
        <f>IF(DAY($B116)=AE$1,$K116,0)</f>
        <v>0</v>
      </c>
      <c r="AF116">
        <f>IF(DAY($B116)=AF$1,$K116,0)</f>
        <v>0</v>
      </c>
      <c r="AG116">
        <f>IF(DAY($B116)=AG$1,$K116,0)</f>
        <v>0</v>
      </c>
      <c r="AH116">
        <f>IF(DAY($B116)=AH$1,$K116,0)</f>
        <v>107</v>
      </c>
      <c r="AI116">
        <f>IF(DAY($B116)=AI$1,$K116,0)</f>
        <v>0</v>
      </c>
      <c r="AJ116">
        <f>IF(DAY($B116)=AJ$1,$K116,0)</f>
        <v>0</v>
      </c>
      <c r="AK116">
        <f>IF(DAY($B116)=AK$1,$K116,0)</f>
        <v>0</v>
      </c>
      <c r="AL116">
        <f>IF(DAY($B116)=AL$1,$K116,0)</f>
        <v>0</v>
      </c>
      <c r="AM116">
        <f>IF(DAY($B116)=AM$1,$K116,0)</f>
        <v>0</v>
      </c>
      <c r="AN116">
        <f>IF(DAY($B116)=AN$1,$K116,0)</f>
        <v>0</v>
      </c>
      <c r="AO116">
        <f>IF(DAY($B116)=AO$1,$K116,0)</f>
        <v>0</v>
      </c>
      <c r="AP116">
        <f>IF(DAY($B116)=AP$1,$K116,0)</f>
        <v>0</v>
      </c>
    </row>
    <row r="117" spans="1:42" x14ac:dyDescent="0.3">
      <c r="A117">
        <v>116</v>
      </c>
      <c r="B117" s="1">
        <v>44461</v>
      </c>
      <c r="C117" s="2">
        <v>0.60652777777777778</v>
      </c>
      <c r="D117" s="1">
        <v>44461</v>
      </c>
      <c r="E117" s="3">
        <v>0.63285879629629627</v>
      </c>
      <c r="F117">
        <v>14</v>
      </c>
      <c r="G117">
        <v>11</v>
      </c>
      <c r="H117" s="3">
        <f t="shared" si="5"/>
        <v>2.633101851851849E-2</v>
      </c>
      <c r="I117" s="3">
        <f t="shared" si="6"/>
        <v>2.633101851851849E-2</v>
      </c>
      <c r="J117" s="3">
        <f t="shared" si="7"/>
        <v>0</v>
      </c>
      <c r="K117">
        <f t="shared" si="4"/>
        <v>37.916666666666664</v>
      </c>
      <c r="M117">
        <f>IF(DAY(B117)=$M$1,K117,0)</f>
        <v>0</v>
      </c>
      <c r="N117">
        <f>IF(DAY($B117)=N$1,$K117,0)</f>
        <v>0</v>
      </c>
      <c r="O117">
        <f>IF(DAY($B117)=O$1,$K117,0)</f>
        <v>0</v>
      </c>
      <c r="P117">
        <f>IF(DAY($B117)=P$1,$K117,0)</f>
        <v>0</v>
      </c>
      <c r="Q117">
        <f>IF(DAY($B117)=Q$1,$K117,0)</f>
        <v>0</v>
      </c>
      <c r="R117">
        <f>IF(DAY($B117)=R$1,$K117,0)</f>
        <v>0</v>
      </c>
      <c r="S117">
        <f>IF(DAY($B117)=S$1,$K117,0)</f>
        <v>0</v>
      </c>
      <c r="T117">
        <f>IF(DAY($B117)=T$1,$K117,0)</f>
        <v>0</v>
      </c>
      <c r="U117">
        <f>IF(DAY($B117)=U$1,$K117,0)</f>
        <v>0</v>
      </c>
      <c r="V117">
        <f>IF(DAY($B117)=V$1,$K117,0)</f>
        <v>0</v>
      </c>
      <c r="W117">
        <f>IF(DAY($B117)=W$1,$K117,0)</f>
        <v>0</v>
      </c>
      <c r="X117">
        <f>IF(DAY($B117)=X$1,$K117,0)</f>
        <v>0</v>
      </c>
      <c r="Y117">
        <f>IF(DAY($B117)=Y$1,$K117,0)</f>
        <v>0</v>
      </c>
      <c r="Z117">
        <f>IF(DAY($B117)=Z$1,$K117,0)</f>
        <v>0</v>
      </c>
      <c r="AA117">
        <f>IF(DAY($B117)=AA$1,$K117,0)</f>
        <v>0</v>
      </c>
      <c r="AB117">
        <f>IF(DAY($B117)=AB$1,$K117,0)</f>
        <v>0</v>
      </c>
      <c r="AC117">
        <f>IF(DAY($B117)=AC$1,$K117,0)</f>
        <v>0</v>
      </c>
      <c r="AD117">
        <f>IF(DAY($B117)=AD$1,$K117,0)</f>
        <v>0</v>
      </c>
      <c r="AE117">
        <f>IF(DAY($B117)=AE$1,$K117,0)</f>
        <v>0</v>
      </c>
      <c r="AF117">
        <f>IF(DAY($B117)=AF$1,$K117,0)</f>
        <v>0</v>
      </c>
      <c r="AG117">
        <f>IF(DAY($B117)=AG$1,$K117,0)</f>
        <v>0</v>
      </c>
      <c r="AH117">
        <f>IF(DAY($B117)=AH$1,$K117,0)</f>
        <v>37.916666666666664</v>
      </c>
      <c r="AI117">
        <f>IF(DAY($B117)=AI$1,$K117,0)</f>
        <v>0</v>
      </c>
      <c r="AJ117">
        <f>IF(DAY($B117)=AJ$1,$K117,0)</f>
        <v>0</v>
      </c>
      <c r="AK117">
        <f>IF(DAY($B117)=AK$1,$K117,0)</f>
        <v>0</v>
      </c>
      <c r="AL117">
        <f>IF(DAY($B117)=AL$1,$K117,0)</f>
        <v>0</v>
      </c>
      <c r="AM117">
        <f>IF(DAY($B117)=AM$1,$K117,0)</f>
        <v>0</v>
      </c>
      <c r="AN117">
        <f>IF(DAY($B117)=AN$1,$K117,0)</f>
        <v>0</v>
      </c>
      <c r="AO117">
        <f>IF(DAY($B117)=AO$1,$K117,0)</f>
        <v>0</v>
      </c>
      <c r="AP117">
        <f>IF(DAY($B117)=AP$1,$K117,0)</f>
        <v>0</v>
      </c>
    </row>
    <row r="118" spans="1:42" x14ac:dyDescent="0.3">
      <c r="A118">
        <v>117</v>
      </c>
      <c r="B118" s="1">
        <v>44461</v>
      </c>
      <c r="C118" s="2">
        <v>0.64589120370370368</v>
      </c>
      <c r="D118" s="1">
        <v>44461</v>
      </c>
      <c r="E118" s="3">
        <v>0.70006944444444441</v>
      </c>
      <c r="F118">
        <v>2</v>
      </c>
      <c r="G118">
        <v>0</v>
      </c>
      <c r="H118" s="3">
        <f t="shared" si="5"/>
        <v>5.4178240740740735E-2</v>
      </c>
      <c r="I118" s="3">
        <f t="shared" si="6"/>
        <v>5.4178240740740735E-2</v>
      </c>
      <c r="J118" s="3">
        <f t="shared" si="7"/>
        <v>0</v>
      </c>
      <c r="K118">
        <f t="shared" si="4"/>
        <v>78.016666666666666</v>
      </c>
      <c r="M118">
        <f>IF(DAY(B118)=$M$1,K118,0)</f>
        <v>0</v>
      </c>
      <c r="N118">
        <f>IF(DAY($B118)=N$1,$K118,0)</f>
        <v>0</v>
      </c>
      <c r="O118">
        <f>IF(DAY($B118)=O$1,$K118,0)</f>
        <v>0</v>
      </c>
      <c r="P118">
        <f>IF(DAY($B118)=P$1,$K118,0)</f>
        <v>0</v>
      </c>
      <c r="Q118">
        <f>IF(DAY($B118)=Q$1,$K118,0)</f>
        <v>0</v>
      </c>
      <c r="R118">
        <f>IF(DAY($B118)=R$1,$K118,0)</f>
        <v>0</v>
      </c>
      <c r="S118">
        <f>IF(DAY($B118)=S$1,$K118,0)</f>
        <v>0</v>
      </c>
      <c r="T118">
        <f>IF(DAY($B118)=T$1,$K118,0)</f>
        <v>0</v>
      </c>
      <c r="U118">
        <f>IF(DAY($B118)=U$1,$K118,0)</f>
        <v>0</v>
      </c>
      <c r="V118">
        <f>IF(DAY($B118)=V$1,$K118,0)</f>
        <v>0</v>
      </c>
      <c r="W118">
        <f>IF(DAY($B118)=W$1,$K118,0)</f>
        <v>0</v>
      </c>
      <c r="X118">
        <f>IF(DAY($B118)=X$1,$K118,0)</f>
        <v>0</v>
      </c>
      <c r="Y118">
        <f>IF(DAY($B118)=Y$1,$K118,0)</f>
        <v>0</v>
      </c>
      <c r="Z118">
        <f>IF(DAY($B118)=Z$1,$K118,0)</f>
        <v>0</v>
      </c>
      <c r="AA118">
        <f>IF(DAY($B118)=AA$1,$K118,0)</f>
        <v>0</v>
      </c>
      <c r="AB118">
        <f>IF(DAY($B118)=AB$1,$K118,0)</f>
        <v>0</v>
      </c>
      <c r="AC118">
        <f>IF(DAY($B118)=AC$1,$K118,0)</f>
        <v>0</v>
      </c>
      <c r="AD118">
        <f>IF(DAY($B118)=AD$1,$K118,0)</f>
        <v>0</v>
      </c>
      <c r="AE118">
        <f>IF(DAY($B118)=AE$1,$K118,0)</f>
        <v>0</v>
      </c>
      <c r="AF118">
        <f>IF(DAY($B118)=AF$1,$K118,0)</f>
        <v>0</v>
      </c>
      <c r="AG118">
        <f>IF(DAY($B118)=AG$1,$K118,0)</f>
        <v>0</v>
      </c>
      <c r="AH118">
        <f>IF(DAY($B118)=AH$1,$K118,0)</f>
        <v>78.016666666666666</v>
      </c>
      <c r="AI118">
        <f>IF(DAY($B118)=AI$1,$K118,0)</f>
        <v>0</v>
      </c>
      <c r="AJ118">
        <f>IF(DAY($B118)=AJ$1,$K118,0)</f>
        <v>0</v>
      </c>
      <c r="AK118">
        <f>IF(DAY($B118)=AK$1,$K118,0)</f>
        <v>0</v>
      </c>
      <c r="AL118">
        <f>IF(DAY($B118)=AL$1,$K118,0)</f>
        <v>0</v>
      </c>
      <c r="AM118">
        <f>IF(DAY($B118)=AM$1,$K118,0)</f>
        <v>0</v>
      </c>
      <c r="AN118">
        <f>IF(DAY($B118)=AN$1,$K118,0)</f>
        <v>0</v>
      </c>
      <c r="AO118">
        <f>IF(DAY($B118)=AO$1,$K118,0)</f>
        <v>0</v>
      </c>
      <c r="AP118">
        <f>IF(DAY($B118)=AP$1,$K118,0)</f>
        <v>0</v>
      </c>
    </row>
    <row r="119" spans="1:42" x14ac:dyDescent="0.3">
      <c r="A119">
        <v>118</v>
      </c>
      <c r="B119" s="1">
        <v>44461</v>
      </c>
      <c r="C119" s="2">
        <v>0.76406249999999998</v>
      </c>
      <c r="D119" s="1">
        <v>44461</v>
      </c>
      <c r="E119" s="3">
        <v>0.84799768518518526</v>
      </c>
      <c r="F119">
        <v>6</v>
      </c>
      <c r="G119">
        <v>0</v>
      </c>
      <c r="H119" s="3">
        <f t="shared" si="5"/>
        <v>8.3935185185185279E-2</v>
      </c>
      <c r="I119" s="3">
        <f t="shared" si="6"/>
        <v>8.3935185185185279E-2</v>
      </c>
      <c r="J119" s="3">
        <f t="shared" si="7"/>
        <v>0</v>
      </c>
      <c r="K119">
        <f t="shared" si="4"/>
        <v>120.86666666666666</v>
      </c>
      <c r="M119">
        <f>IF(DAY(B119)=$M$1,K119,0)</f>
        <v>0</v>
      </c>
      <c r="N119">
        <f>IF(DAY($B119)=N$1,$K119,0)</f>
        <v>0</v>
      </c>
      <c r="O119">
        <f>IF(DAY($B119)=O$1,$K119,0)</f>
        <v>0</v>
      </c>
      <c r="P119">
        <f>IF(DAY($B119)=P$1,$K119,0)</f>
        <v>0</v>
      </c>
      <c r="Q119">
        <f>IF(DAY($B119)=Q$1,$K119,0)</f>
        <v>0</v>
      </c>
      <c r="R119">
        <f>IF(DAY($B119)=R$1,$K119,0)</f>
        <v>0</v>
      </c>
      <c r="S119">
        <f>IF(DAY($B119)=S$1,$K119,0)</f>
        <v>0</v>
      </c>
      <c r="T119">
        <f>IF(DAY($B119)=T$1,$K119,0)</f>
        <v>0</v>
      </c>
      <c r="U119">
        <f>IF(DAY($B119)=U$1,$K119,0)</f>
        <v>0</v>
      </c>
      <c r="V119">
        <f>IF(DAY($B119)=V$1,$K119,0)</f>
        <v>0</v>
      </c>
      <c r="W119">
        <f>IF(DAY($B119)=W$1,$K119,0)</f>
        <v>0</v>
      </c>
      <c r="X119">
        <f>IF(DAY($B119)=X$1,$K119,0)</f>
        <v>0</v>
      </c>
      <c r="Y119">
        <f>IF(DAY($B119)=Y$1,$K119,0)</f>
        <v>0</v>
      </c>
      <c r="Z119">
        <f>IF(DAY($B119)=Z$1,$K119,0)</f>
        <v>0</v>
      </c>
      <c r="AA119">
        <f>IF(DAY($B119)=AA$1,$K119,0)</f>
        <v>0</v>
      </c>
      <c r="AB119">
        <f>IF(DAY($B119)=AB$1,$K119,0)</f>
        <v>0</v>
      </c>
      <c r="AC119">
        <f>IF(DAY($B119)=AC$1,$K119,0)</f>
        <v>0</v>
      </c>
      <c r="AD119">
        <f>IF(DAY($B119)=AD$1,$K119,0)</f>
        <v>0</v>
      </c>
      <c r="AE119">
        <f>IF(DAY($B119)=AE$1,$K119,0)</f>
        <v>0</v>
      </c>
      <c r="AF119">
        <f>IF(DAY($B119)=AF$1,$K119,0)</f>
        <v>0</v>
      </c>
      <c r="AG119">
        <f>IF(DAY($B119)=AG$1,$K119,0)</f>
        <v>0</v>
      </c>
      <c r="AH119">
        <f>IF(DAY($B119)=AH$1,$K119,0)</f>
        <v>120.86666666666666</v>
      </c>
      <c r="AI119">
        <f>IF(DAY($B119)=AI$1,$K119,0)</f>
        <v>0</v>
      </c>
      <c r="AJ119">
        <f>IF(DAY($B119)=AJ$1,$K119,0)</f>
        <v>0</v>
      </c>
      <c r="AK119">
        <f>IF(DAY($B119)=AK$1,$K119,0)</f>
        <v>0</v>
      </c>
      <c r="AL119">
        <f>IF(DAY($B119)=AL$1,$K119,0)</f>
        <v>0</v>
      </c>
      <c r="AM119">
        <f>IF(DAY($B119)=AM$1,$K119,0)</f>
        <v>0</v>
      </c>
      <c r="AN119">
        <f>IF(DAY($B119)=AN$1,$K119,0)</f>
        <v>0</v>
      </c>
      <c r="AO119">
        <f>IF(DAY($B119)=AO$1,$K119,0)</f>
        <v>0</v>
      </c>
      <c r="AP119">
        <f>IF(DAY($B119)=AP$1,$K119,0)</f>
        <v>0</v>
      </c>
    </row>
    <row r="120" spans="1:42" x14ac:dyDescent="0.3">
      <c r="A120">
        <v>119</v>
      </c>
      <c r="B120" s="1">
        <v>44461</v>
      </c>
      <c r="C120" s="2">
        <v>0.98342592592592604</v>
      </c>
      <c r="D120" s="1">
        <v>44462</v>
      </c>
      <c r="E120" s="3">
        <v>4.2638888888888893E-2</v>
      </c>
      <c r="F120">
        <v>4</v>
      </c>
      <c r="G120">
        <v>11</v>
      </c>
      <c r="H120" s="3">
        <f t="shared" si="5"/>
        <v>23.059212962962963</v>
      </c>
      <c r="I120" s="3">
        <f t="shared" si="6"/>
        <v>0</v>
      </c>
      <c r="J120" s="3">
        <f t="shared" si="7"/>
        <v>4.2638888888888893E-2</v>
      </c>
      <c r="K120">
        <f t="shared" si="4"/>
        <v>61.4</v>
      </c>
      <c r="M120">
        <f>IF(DAY(B120)=$M$1,K120,0)</f>
        <v>0</v>
      </c>
      <c r="N120">
        <f>IF(DAY($B120)=N$1,$K120,0)</f>
        <v>0</v>
      </c>
      <c r="O120">
        <f>IF(DAY($B120)=O$1,$K120,0)</f>
        <v>0</v>
      </c>
      <c r="P120">
        <f>IF(DAY($B120)=P$1,$K120,0)</f>
        <v>0</v>
      </c>
      <c r="Q120">
        <f>IF(DAY($B120)=Q$1,$K120,0)</f>
        <v>0</v>
      </c>
      <c r="R120">
        <f>IF(DAY($B120)=R$1,$K120,0)</f>
        <v>0</v>
      </c>
      <c r="S120">
        <f>IF(DAY($B120)=S$1,$K120,0)</f>
        <v>0</v>
      </c>
      <c r="T120">
        <f>IF(DAY($B120)=T$1,$K120,0)</f>
        <v>0</v>
      </c>
      <c r="U120">
        <f>IF(DAY($B120)=U$1,$K120,0)</f>
        <v>0</v>
      </c>
      <c r="V120">
        <f>IF(DAY($B120)=V$1,$K120,0)</f>
        <v>0</v>
      </c>
      <c r="W120">
        <f>IF(DAY($B120)=W$1,$K120,0)</f>
        <v>0</v>
      </c>
      <c r="X120">
        <f>IF(DAY($B120)=X$1,$K120,0)</f>
        <v>0</v>
      </c>
      <c r="Y120">
        <f>IF(DAY($B120)=Y$1,$K120,0)</f>
        <v>0</v>
      </c>
      <c r="Z120">
        <f>IF(DAY($B120)=Z$1,$K120,0)</f>
        <v>0</v>
      </c>
      <c r="AA120">
        <f>IF(DAY($B120)=AA$1,$K120,0)</f>
        <v>0</v>
      </c>
      <c r="AB120">
        <f>IF(DAY($B120)=AB$1,$K120,0)</f>
        <v>0</v>
      </c>
      <c r="AC120">
        <f>IF(DAY($B120)=AC$1,$K120,0)</f>
        <v>0</v>
      </c>
      <c r="AD120">
        <f>IF(DAY($B120)=AD$1,$K120,0)</f>
        <v>0</v>
      </c>
      <c r="AE120">
        <f>IF(DAY($B120)=AE$1,$K120,0)</f>
        <v>0</v>
      </c>
      <c r="AF120">
        <f>IF(DAY($B120)=AF$1,$K120,0)</f>
        <v>0</v>
      </c>
      <c r="AG120">
        <f>IF(DAY($B120)=AG$1,$K120,0)</f>
        <v>0</v>
      </c>
      <c r="AH120">
        <f>IF(DAY($B120)=AH$1,$K120,0)</f>
        <v>61.4</v>
      </c>
      <c r="AI120">
        <f>IF(DAY($B120)=AI$1,$K120,0)</f>
        <v>0</v>
      </c>
      <c r="AJ120">
        <f>IF(DAY($B120)=AJ$1,$K120,0)</f>
        <v>0</v>
      </c>
      <c r="AK120">
        <f>IF(DAY($B120)=AK$1,$K120,0)</f>
        <v>0</v>
      </c>
      <c r="AL120">
        <f>IF(DAY($B120)=AL$1,$K120,0)</f>
        <v>0</v>
      </c>
      <c r="AM120">
        <f>IF(DAY($B120)=AM$1,$K120,0)</f>
        <v>0</v>
      </c>
      <c r="AN120">
        <f>IF(DAY($B120)=AN$1,$K120,0)</f>
        <v>0</v>
      </c>
      <c r="AO120">
        <f>IF(DAY($B120)=AO$1,$K120,0)</f>
        <v>0</v>
      </c>
      <c r="AP120">
        <f>IF(DAY($B120)=AP$1,$K120,0)</f>
        <v>0</v>
      </c>
    </row>
    <row r="121" spans="1:42" x14ac:dyDescent="0.3">
      <c r="A121">
        <v>120</v>
      </c>
      <c r="B121" s="1">
        <v>44462</v>
      </c>
      <c r="C121" s="2">
        <v>0.29726851851851849</v>
      </c>
      <c r="D121" s="1">
        <v>44462</v>
      </c>
      <c r="E121" s="3">
        <v>0.39068287037037036</v>
      </c>
      <c r="F121">
        <v>19</v>
      </c>
      <c r="G121">
        <v>3</v>
      </c>
      <c r="H121" s="3">
        <f t="shared" si="5"/>
        <v>9.3414351851851873E-2</v>
      </c>
      <c r="I121" s="3">
        <f t="shared" si="6"/>
        <v>9.3414351851851873E-2</v>
      </c>
      <c r="J121" s="3">
        <f t="shared" si="7"/>
        <v>0</v>
      </c>
      <c r="K121">
        <f t="shared" si="4"/>
        <v>134.51666666666668</v>
      </c>
      <c r="M121">
        <f>IF(DAY(B121)=$M$1,K121,0)</f>
        <v>0</v>
      </c>
      <c r="N121">
        <f>IF(DAY($B121)=N$1,$K121,0)</f>
        <v>0</v>
      </c>
      <c r="O121">
        <f>IF(DAY($B121)=O$1,$K121,0)</f>
        <v>0</v>
      </c>
      <c r="P121">
        <f>IF(DAY($B121)=P$1,$K121,0)</f>
        <v>0</v>
      </c>
      <c r="Q121">
        <f>IF(DAY($B121)=Q$1,$K121,0)</f>
        <v>0</v>
      </c>
      <c r="R121">
        <f>IF(DAY($B121)=R$1,$K121,0)</f>
        <v>0</v>
      </c>
      <c r="S121">
        <f>IF(DAY($B121)=S$1,$K121,0)</f>
        <v>0</v>
      </c>
      <c r="T121">
        <f>IF(DAY($B121)=T$1,$K121,0)</f>
        <v>0</v>
      </c>
      <c r="U121">
        <f>IF(DAY($B121)=U$1,$K121,0)</f>
        <v>0</v>
      </c>
      <c r="V121">
        <f>IF(DAY($B121)=V$1,$K121,0)</f>
        <v>0</v>
      </c>
      <c r="W121">
        <f>IF(DAY($B121)=W$1,$K121,0)</f>
        <v>0</v>
      </c>
      <c r="X121">
        <f>IF(DAY($B121)=X$1,$K121,0)</f>
        <v>0</v>
      </c>
      <c r="Y121">
        <f>IF(DAY($B121)=Y$1,$K121,0)</f>
        <v>0</v>
      </c>
      <c r="Z121">
        <f>IF(DAY($B121)=Z$1,$K121,0)</f>
        <v>0</v>
      </c>
      <c r="AA121">
        <f>IF(DAY($B121)=AA$1,$K121,0)</f>
        <v>0</v>
      </c>
      <c r="AB121">
        <f>IF(DAY($B121)=AB$1,$K121,0)</f>
        <v>0</v>
      </c>
      <c r="AC121">
        <f>IF(DAY($B121)=AC$1,$K121,0)</f>
        <v>0</v>
      </c>
      <c r="AD121">
        <f>IF(DAY($B121)=AD$1,$K121,0)</f>
        <v>0</v>
      </c>
      <c r="AE121">
        <f>IF(DAY($B121)=AE$1,$K121,0)</f>
        <v>0</v>
      </c>
      <c r="AF121">
        <f>IF(DAY($B121)=AF$1,$K121,0)</f>
        <v>0</v>
      </c>
      <c r="AG121">
        <f>IF(DAY($B121)=AG$1,$K121,0)</f>
        <v>0</v>
      </c>
      <c r="AH121">
        <f>IF(DAY($B121)=AH$1,$K121,0)</f>
        <v>0</v>
      </c>
      <c r="AI121">
        <f>IF(DAY($B121)=AI$1,$K121,0)</f>
        <v>134.51666666666668</v>
      </c>
      <c r="AJ121">
        <f>IF(DAY($B121)=AJ$1,$K121,0)</f>
        <v>0</v>
      </c>
      <c r="AK121">
        <f>IF(DAY($B121)=AK$1,$K121,0)</f>
        <v>0</v>
      </c>
      <c r="AL121">
        <f>IF(DAY($B121)=AL$1,$K121,0)</f>
        <v>0</v>
      </c>
      <c r="AM121">
        <f>IF(DAY($B121)=AM$1,$K121,0)</f>
        <v>0</v>
      </c>
      <c r="AN121">
        <f>IF(DAY($B121)=AN$1,$K121,0)</f>
        <v>0</v>
      </c>
      <c r="AO121">
        <f>IF(DAY($B121)=AO$1,$K121,0)</f>
        <v>0</v>
      </c>
      <c r="AP121">
        <f>IF(DAY($B121)=AP$1,$K121,0)</f>
        <v>0</v>
      </c>
    </row>
    <row r="122" spans="1:42" x14ac:dyDescent="0.3">
      <c r="A122">
        <v>121</v>
      </c>
      <c r="B122" s="1">
        <v>44462</v>
      </c>
      <c r="C122" s="2">
        <v>0.43444444444444441</v>
      </c>
      <c r="D122" s="1">
        <v>44462</v>
      </c>
      <c r="E122" s="3">
        <v>0.51065972222222222</v>
      </c>
      <c r="F122">
        <v>3</v>
      </c>
      <c r="G122">
        <v>21</v>
      </c>
      <c r="H122" s="3">
        <f t="shared" si="5"/>
        <v>7.6215277777777812E-2</v>
      </c>
      <c r="I122" s="3">
        <f t="shared" si="6"/>
        <v>7.6215277777777812E-2</v>
      </c>
      <c r="J122" s="3">
        <f t="shared" si="7"/>
        <v>0</v>
      </c>
      <c r="K122">
        <f t="shared" si="4"/>
        <v>109.75</v>
      </c>
      <c r="M122">
        <f>IF(DAY(B122)=$M$1,K122,0)</f>
        <v>0</v>
      </c>
      <c r="N122">
        <f>IF(DAY($B122)=N$1,$K122,0)</f>
        <v>0</v>
      </c>
      <c r="O122">
        <f>IF(DAY($B122)=O$1,$K122,0)</f>
        <v>0</v>
      </c>
      <c r="P122">
        <f>IF(DAY($B122)=P$1,$K122,0)</f>
        <v>0</v>
      </c>
      <c r="Q122">
        <f>IF(DAY($B122)=Q$1,$K122,0)</f>
        <v>0</v>
      </c>
      <c r="R122">
        <f>IF(DAY($B122)=R$1,$K122,0)</f>
        <v>0</v>
      </c>
      <c r="S122">
        <f>IF(DAY($B122)=S$1,$K122,0)</f>
        <v>0</v>
      </c>
      <c r="T122">
        <f>IF(DAY($B122)=T$1,$K122,0)</f>
        <v>0</v>
      </c>
      <c r="U122">
        <f>IF(DAY($B122)=U$1,$K122,0)</f>
        <v>0</v>
      </c>
      <c r="V122">
        <f>IF(DAY($B122)=V$1,$K122,0)</f>
        <v>0</v>
      </c>
      <c r="W122">
        <f>IF(DAY($B122)=W$1,$K122,0)</f>
        <v>0</v>
      </c>
      <c r="X122">
        <f>IF(DAY($B122)=X$1,$K122,0)</f>
        <v>0</v>
      </c>
      <c r="Y122">
        <f>IF(DAY($B122)=Y$1,$K122,0)</f>
        <v>0</v>
      </c>
      <c r="Z122">
        <f>IF(DAY($B122)=Z$1,$K122,0)</f>
        <v>0</v>
      </c>
      <c r="AA122">
        <f>IF(DAY($B122)=AA$1,$K122,0)</f>
        <v>0</v>
      </c>
      <c r="AB122">
        <f>IF(DAY($B122)=AB$1,$K122,0)</f>
        <v>0</v>
      </c>
      <c r="AC122">
        <f>IF(DAY($B122)=AC$1,$K122,0)</f>
        <v>0</v>
      </c>
      <c r="AD122">
        <f>IF(DAY($B122)=AD$1,$K122,0)</f>
        <v>0</v>
      </c>
      <c r="AE122">
        <f>IF(DAY($B122)=AE$1,$K122,0)</f>
        <v>0</v>
      </c>
      <c r="AF122">
        <f>IF(DAY($B122)=AF$1,$K122,0)</f>
        <v>0</v>
      </c>
      <c r="AG122">
        <f>IF(DAY($B122)=AG$1,$K122,0)</f>
        <v>0</v>
      </c>
      <c r="AH122">
        <f>IF(DAY($B122)=AH$1,$K122,0)</f>
        <v>0</v>
      </c>
      <c r="AI122">
        <f>IF(DAY($B122)=AI$1,$K122,0)</f>
        <v>109.75</v>
      </c>
      <c r="AJ122">
        <f>IF(DAY($B122)=AJ$1,$K122,0)</f>
        <v>0</v>
      </c>
      <c r="AK122">
        <f>IF(DAY($B122)=AK$1,$K122,0)</f>
        <v>0</v>
      </c>
      <c r="AL122">
        <f>IF(DAY($B122)=AL$1,$K122,0)</f>
        <v>0</v>
      </c>
      <c r="AM122">
        <f>IF(DAY($B122)=AM$1,$K122,0)</f>
        <v>0</v>
      </c>
      <c r="AN122">
        <f>IF(DAY($B122)=AN$1,$K122,0)</f>
        <v>0</v>
      </c>
      <c r="AO122">
        <f>IF(DAY($B122)=AO$1,$K122,0)</f>
        <v>0</v>
      </c>
      <c r="AP122">
        <f>IF(DAY($B122)=AP$1,$K122,0)</f>
        <v>0</v>
      </c>
    </row>
    <row r="123" spans="1:42" x14ac:dyDescent="0.3">
      <c r="A123">
        <v>122</v>
      </c>
      <c r="B123" s="1">
        <v>44462</v>
      </c>
      <c r="C123" s="2">
        <v>0.54518518518518522</v>
      </c>
      <c r="D123" s="1">
        <v>44462</v>
      </c>
      <c r="E123" s="3">
        <v>0.58775462962962965</v>
      </c>
      <c r="F123">
        <v>19</v>
      </c>
      <c r="G123">
        <v>22</v>
      </c>
      <c r="H123" s="3">
        <f t="shared" si="5"/>
        <v>4.2569444444444438E-2</v>
      </c>
      <c r="I123" s="3">
        <f t="shared" si="6"/>
        <v>4.2569444444444438E-2</v>
      </c>
      <c r="J123" s="3">
        <f t="shared" si="7"/>
        <v>0</v>
      </c>
      <c r="K123">
        <f t="shared" si="4"/>
        <v>61.3</v>
      </c>
      <c r="M123">
        <f>IF(DAY(B123)=$M$1,K123,0)</f>
        <v>0</v>
      </c>
      <c r="N123">
        <f>IF(DAY($B123)=N$1,$K123,0)</f>
        <v>0</v>
      </c>
      <c r="O123">
        <f>IF(DAY($B123)=O$1,$K123,0)</f>
        <v>0</v>
      </c>
      <c r="P123">
        <f>IF(DAY($B123)=P$1,$K123,0)</f>
        <v>0</v>
      </c>
      <c r="Q123">
        <f>IF(DAY($B123)=Q$1,$K123,0)</f>
        <v>0</v>
      </c>
      <c r="R123">
        <f>IF(DAY($B123)=R$1,$K123,0)</f>
        <v>0</v>
      </c>
      <c r="S123">
        <f>IF(DAY($B123)=S$1,$K123,0)</f>
        <v>0</v>
      </c>
      <c r="T123">
        <f>IF(DAY($B123)=T$1,$K123,0)</f>
        <v>0</v>
      </c>
      <c r="U123">
        <f>IF(DAY($B123)=U$1,$K123,0)</f>
        <v>0</v>
      </c>
      <c r="V123">
        <f>IF(DAY($B123)=V$1,$K123,0)</f>
        <v>0</v>
      </c>
      <c r="W123">
        <f>IF(DAY($B123)=W$1,$K123,0)</f>
        <v>0</v>
      </c>
      <c r="X123">
        <f>IF(DAY($B123)=X$1,$K123,0)</f>
        <v>0</v>
      </c>
      <c r="Y123">
        <f>IF(DAY($B123)=Y$1,$K123,0)</f>
        <v>0</v>
      </c>
      <c r="Z123">
        <f>IF(DAY($B123)=Z$1,$K123,0)</f>
        <v>0</v>
      </c>
      <c r="AA123">
        <f>IF(DAY($B123)=AA$1,$K123,0)</f>
        <v>0</v>
      </c>
      <c r="AB123">
        <f>IF(DAY($B123)=AB$1,$K123,0)</f>
        <v>0</v>
      </c>
      <c r="AC123">
        <f>IF(DAY($B123)=AC$1,$K123,0)</f>
        <v>0</v>
      </c>
      <c r="AD123">
        <f>IF(DAY($B123)=AD$1,$K123,0)</f>
        <v>0</v>
      </c>
      <c r="AE123">
        <f>IF(DAY($B123)=AE$1,$K123,0)</f>
        <v>0</v>
      </c>
      <c r="AF123">
        <f>IF(DAY($B123)=AF$1,$K123,0)</f>
        <v>0</v>
      </c>
      <c r="AG123">
        <f>IF(DAY($B123)=AG$1,$K123,0)</f>
        <v>0</v>
      </c>
      <c r="AH123">
        <f>IF(DAY($B123)=AH$1,$K123,0)</f>
        <v>0</v>
      </c>
      <c r="AI123">
        <f>IF(DAY($B123)=AI$1,$K123,0)</f>
        <v>61.3</v>
      </c>
      <c r="AJ123">
        <f>IF(DAY($B123)=AJ$1,$K123,0)</f>
        <v>0</v>
      </c>
      <c r="AK123">
        <f>IF(DAY($B123)=AK$1,$K123,0)</f>
        <v>0</v>
      </c>
      <c r="AL123">
        <f>IF(DAY($B123)=AL$1,$K123,0)</f>
        <v>0</v>
      </c>
      <c r="AM123">
        <f>IF(DAY($B123)=AM$1,$K123,0)</f>
        <v>0</v>
      </c>
      <c r="AN123">
        <f>IF(DAY($B123)=AN$1,$K123,0)</f>
        <v>0</v>
      </c>
      <c r="AO123">
        <f>IF(DAY($B123)=AO$1,$K123,0)</f>
        <v>0</v>
      </c>
      <c r="AP123">
        <f>IF(DAY($B123)=AP$1,$K123,0)</f>
        <v>0</v>
      </c>
    </row>
    <row r="124" spans="1:42" x14ac:dyDescent="0.3">
      <c r="A124">
        <v>123</v>
      </c>
      <c r="B124" s="1">
        <v>44462</v>
      </c>
      <c r="C124" s="2">
        <v>0.63270833333333332</v>
      </c>
      <c r="D124" s="1">
        <v>44462</v>
      </c>
      <c r="E124" s="3">
        <v>0.74785879629629637</v>
      </c>
      <c r="F124">
        <v>13</v>
      </c>
      <c r="G124">
        <v>14</v>
      </c>
      <c r="H124" s="3">
        <f t="shared" si="5"/>
        <v>0.11515046296296305</v>
      </c>
      <c r="I124" s="3">
        <f t="shared" si="6"/>
        <v>0.11515046296296305</v>
      </c>
      <c r="J124" s="3">
        <f t="shared" si="7"/>
        <v>0</v>
      </c>
      <c r="K124">
        <f t="shared" si="4"/>
        <v>165.81666666666666</v>
      </c>
      <c r="M124">
        <f>IF(DAY(B124)=$M$1,K124,0)</f>
        <v>0</v>
      </c>
      <c r="N124">
        <f>IF(DAY($B124)=N$1,$K124,0)</f>
        <v>0</v>
      </c>
      <c r="O124">
        <f>IF(DAY($B124)=O$1,$K124,0)</f>
        <v>0</v>
      </c>
      <c r="P124">
        <f>IF(DAY($B124)=P$1,$K124,0)</f>
        <v>0</v>
      </c>
      <c r="Q124">
        <f>IF(DAY($B124)=Q$1,$K124,0)</f>
        <v>0</v>
      </c>
      <c r="R124">
        <f>IF(DAY($B124)=R$1,$K124,0)</f>
        <v>0</v>
      </c>
      <c r="S124">
        <f>IF(DAY($B124)=S$1,$K124,0)</f>
        <v>0</v>
      </c>
      <c r="T124">
        <f>IF(DAY($B124)=T$1,$K124,0)</f>
        <v>0</v>
      </c>
      <c r="U124">
        <f>IF(DAY($B124)=U$1,$K124,0)</f>
        <v>0</v>
      </c>
      <c r="V124">
        <f>IF(DAY($B124)=V$1,$K124,0)</f>
        <v>0</v>
      </c>
      <c r="W124">
        <f>IF(DAY($B124)=W$1,$K124,0)</f>
        <v>0</v>
      </c>
      <c r="X124">
        <f>IF(DAY($B124)=X$1,$K124,0)</f>
        <v>0</v>
      </c>
      <c r="Y124">
        <f>IF(DAY($B124)=Y$1,$K124,0)</f>
        <v>0</v>
      </c>
      <c r="Z124">
        <f>IF(DAY($B124)=Z$1,$K124,0)</f>
        <v>0</v>
      </c>
      <c r="AA124">
        <f>IF(DAY($B124)=AA$1,$K124,0)</f>
        <v>0</v>
      </c>
      <c r="AB124">
        <f>IF(DAY($B124)=AB$1,$K124,0)</f>
        <v>0</v>
      </c>
      <c r="AC124">
        <f>IF(DAY($B124)=AC$1,$K124,0)</f>
        <v>0</v>
      </c>
      <c r="AD124">
        <f>IF(DAY($B124)=AD$1,$K124,0)</f>
        <v>0</v>
      </c>
      <c r="AE124">
        <f>IF(DAY($B124)=AE$1,$K124,0)</f>
        <v>0</v>
      </c>
      <c r="AF124">
        <f>IF(DAY($B124)=AF$1,$K124,0)</f>
        <v>0</v>
      </c>
      <c r="AG124">
        <f>IF(DAY($B124)=AG$1,$K124,0)</f>
        <v>0</v>
      </c>
      <c r="AH124">
        <f>IF(DAY($B124)=AH$1,$K124,0)</f>
        <v>0</v>
      </c>
      <c r="AI124">
        <f>IF(DAY($B124)=AI$1,$K124,0)</f>
        <v>165.81666666666666</v>
      </c>
      <c r="AJ124">
        <f>IF(DAY($B124)=AJ$1,$K124,0)</f>
        <v>0</v>
      </c>
      <c r="AK124">
        <f>IF(DAY($B124)=AK$1,$K124,0)</f>
        <v>0</v>
      </c>
      <c r="AL124">
        <f>IF(DAY($B124)=AL$1,$K124,0)</f>
        <v>0</v>
      </c>
      <c r="AM124">
        <f>IF(DAY($B124)=AM$1,$K124,0)</f>
        <v>0</v>
      </c>
      <c r="AN124">
        <f>IF(DAY($B124)=AN$1,$K124,0)</f>
        <v>0</v>
      </c>
      <c r="AO124">
        <f>IF(DAY($B124)=AO$1,$K124,0)</f>
        <v>0</v>
      </c>
      <c r="AP124">
        <f>IF(DAY($B124)=AP$1,$K124,0)</f>
        <v>0</v>
      </c>
    </row>
    <row r="125" spans="1:42" x14ac:dyDescent="0.3">
      <c r="A125">
        <v>124</v>
      </c>
      <c r="B125" s="1">
        <v>44462</v>
      </c>
      <c r="C125" s="2">
        <v>0.78940972222222217</v>
      </c>
      <c r="D125" s="1">
        <v>44462</v>
      </c>
      <c r="E125" s="3">
        <v>0.88962962962962966</v>
      </c>
      <c r="F125">
        <v>19</v>
      </c>
      <c r="G125">
        <v>25</v>
      </c>
      <c r="H125" s="3">
        <f t="shared" si="5"/>
        <v>0.10021990740740749</v>
      </c>
      <c r="I125" s="3">
        <f t="shared" si="6"/>
        <v>0.10021990740740749</v>
      </c>
      <c r="J125" s="3">
        <f t="shared" si="7"/>
        <v>0</v>
      </c>
      <c r="K125">
        <f t="shared" si="4"/>
        <v>144.31666666666666</v>
      </c>
      <c r="M125">
        <f>IF(DAY(B125)=$M$1,K125,0)</f>
        <v>0</v>
      </c>
      <c r="N125">
        <f>IF(DAY($B125)=N$1,$K125,0)</f>
        <v>0</v>
      </c>
      <c r="O125">
        <f>IF(DAY($B125)=O$1,$K125,0)</f>
        <v>0</v>
      </c>
      <c r="P125">
        <f>IF(DAY($B125)=P$1,$K125,0)</f>
        <v>0</v>
      </c>
      <c r="Q125">
        <f>IF(DAY($B125)=Q$1,$K125,0)</f>
        <v>0</v>
      </c>
      <c r="R125">
        <f>IF(DAY($B125)=R$1,$K125,0)</f>
        <v>0</v>
      </c>
      <c r="S125">
        <f>IF(DAY($B125)=S$1,$K125,0)</f>
        <v>0</v>
      </c>
      <c r="T125">
        <f>IF(DAY($B125)=T$1,$K125,0)</f>
        <v>0</v>
      </c>
      <c r="U125">
        <f>IF(DAY($B125)=U$1,$K125,0)</f>
        <v>0</v>
      </c>
      <c r="V125">
        <f>IF(DAY($B125)=V$1,$K125,0)</f>
        <v>0</v>
      </c>
      <c r="W125">
        <f>IF(DAY($B125)=W$1,$K125,0)</f>
        <v>0</v>
      </c>
      <c r="X125">
        <f>IF(DAY($B125)=X$1,$K125,0)</f>
        <v>0</v>
      </c>
      <c r="Y125">
        <f>IF(DAY($B125)=Y$1,$K125,0)</f>
        <v>0</v>
      </c>
      <c r="Z125">
        <f>IF(DAY($B125)=Z$1,$K125,0)</f>
        <v>0</v>
      </c>
      <c r="AA125">
        <f>IF(DAY($B125)=AA$1,$K125,0)</f>
        <v>0</v>
      </c>
      <c r="AB125">
        <f>IF(DAY($B125)=AB$1,$K125,0)</f>
        <v>0</v>
      </c>
      <c r="AC125">
        <f>IF(DAY($B125)=AC$1,$K125,0)</f>
        <v>0</v>
      </c>
      <c r="AD125">
        <f>IF(DAY($B125)=AD$1,$K125,0)</f>
        <v>0</v>
      </c>
      <c r="AE125">
        <f>IF(DAY($B125)=AE$1,$K125,0)</f>
        <v>0</v>
      </c>
      <c r="AF125">
        <f>IF(DAY($B125)=AF$1,$K125,0)</f>
        <v>0</v>
      </c>
      <c r="AG125">
        <f>IF(DAY($B125)=AG$1,$K125,0)</f>
        <v>0</v>
      </c>
      <c r="AH125">
        <f>IF(DAY($B125)=AH$1,$K125,0)</f>
        <v>0</v>
      </c>
      <c r="AI125">
        <f>IF(DAY($B125)=AI$1,$K125,0)</f>
        <v>144.31666666666666</v>
      </c>
      <c r="AJ125">
        <f>IF(DAY($B125)=AJ$1,$K125,0)</f>
        <v>0</v>
      </c>
      <c r="AK125">
        <f>IF(DAY($B125)=AK$1,$K125,0)</f>
        <v>0</v>
      </c>
      <c r="AL125">
        <f>IF(DAY($B125)=AL$1,$K125,0)</f>
        <v>0</v>
      </c>
      <c r="AM125">
        <f>IF(DAY($B125)=AM$1,$K125,0)</f>
        <v>0</v>
      </c>
      <c r="AN125">
        <f>IF(DAY($B125)=AN$1,$K125,0)</f>
        <v>0</v>
      </c>
      <c r="AO125">
        <f>IF(DAY($B125)=AO$1,$K125,0)</f>
        <v>0</v>
      </c>
      <c r="AP125">
        <f>IF(DAY($B125)=AP$1,$K125,0)</f>
        <v>0</v>
      </c>
    </row>
    <row r="126" spans="1:42" x14ac:dyDescent="0.3">
      <c r="A126">
        <v>125</v>
      </c>
      <c r="B126" s="1">
        <v>44463</v>
      </c>
      <c r="C126" s="2">
        <v>0.17437499999999997</v>
      </c>
      <c r="D126" s="1">
        <v>44463</v>
      </c>
      <c r="E126" s="3">
        <v>0.30024305555555558</v>
      </c>
      <c r="F126">
        <v>19</v>
      </c>
      <c r="G126">
        <v>11</v>
      </c>
      <c r="H126" s="3">
        <f t="shared" si="5"/>
        <v>0.12586805555555561</v>
      </c>
      <c r="I126" s="3">
        <f t="shared" si="6"/>
        <v>0.12586805555555561</v>
      </c>
      <c r="J126" s="3">
        <f t="shared" si="7"/>
        <v>0</v>
      </c>
      <c r="K126">
        <f t="shared" si="4"/>
        <v>181.25</v>
      </c>
      <c r="M126">
        <f>IF(DAY(B126)=$M$1,K126,0)</f>
        <v>0</v>
      </c>
      <c r="N126">
        <f>IF(DAY($B126)=N$1,$K126,0)</f>
        <v>0</v>
      </c>
      <c r="O126">
        <f>IF(DAY($B126)=O$1,$K126,0)</f>
        <v>0</v>
      </c>
      <c r="P126">
        <f>IF(DAY($B126)=P$1,$K126,0)</f>
        <v>0</v>
      </c>
      <c r="Q126">
        <f>IF(DAY($B126)=Q$1,$K126,0)</f>
        <v>0</v>
      </c>
      <c r="R126">
        <f>IF(DAY($B126)=R$1,$K126,0)</f>
        <v>0</v>
      </c>
      <c r="S126">
        <f>IF(DAY($B126)=S$1,$K126,0)</f>
        <v>0</v>
      </c>
      <c r="T126">
        <f>IF(DAY($B126)=T$1,$K126,0)</f>
        <v>0</v>
      </c>
      <c r="U126">
        <f>IF(DAY($B126)=U$1,$K126,0)</f>
        <v>0</v>
      </c>
      <c r="V126">
        <f>IF(DAY($B126)=V$1,$K126,0)</f>
        <v>0</v>
      </c>
      <c r="W126">
        <f>IF(DAY($B126)=W$1,$K126,0)</f>
        <v>0</v>
      </c>
      <c r="X126">
        <f>IF(DAY($B126)=X$1,$K126,0)</f>
        <v>0</v>
      </c>
      <c r="Y126">
        <f>IF(DAY($B126)=Y$1,$K126,0)</f>
        <v>0</v>
      </c>
      <c r="Z126">
        <f>IF(DAY($B126)=Z$1,$K126,0)</f>
        <v>0</v>
      </c>
      <c r="AA126">
        <f>IF(DAY($B126)=AA$1,$K126,0)</f>
        <v>0</v>
      </c>
      <c r="AB126">
        <f>IF(DAY($B126)=AB$1,$K126,0)</f>
        <v>0</v>
      </c>
      <c r="AC126">
        <f>IF(DAY($B126)=AC$1,$K126,0)</f>
        <v>0</v>
      </c>
      <c r="AD126">
        <f>IF(DAY($B126)=AD$1,$K126,0)</f>
        <v>0</v>
      </c>
      <c r="AE126">
        <f>IF(DAY($B126)=AE$1,$K126,0)</f>
        <v>0</v>
      </c>
      <c r="AF126">
        <f>IF(DAY($B126)=AF$1,$K126,0)</f>
        <v>0</v>
      </c>
      <c r="AG126">
        <f>IF(DAY($B126)=AG$1,$K126,0)</f>
        <v>0</v>
      </c>
      <c r="AH126">
        <f>IF(DAY($B126)=AH$1,$K126,0)</f>
        <v>0</v>
      </c>
      <c r="AI126">
        <f>IF(DAY($B126)=AI$1,$K126,0)</f>
        <v>0</v>
      </c>
      <c r="AJ126">
        <f>IF(DAY($B126)=AJ$1,$K126,0)</f>
        <v>181.25</v>
      </c>
      <c r="AK126">
        <f>IF(DAY($B126)=AK$1,$K126,0)</f>
        <v>0</v>
      </c>
      <c r="AL126">
        <f>IF(DAY($B126)=AL$1,$K126,0)</f>
        <v>0</v>
      </c>
      <c r="AM126">
        <f>IF(DAY($B126)=AM$1,$K126,0)</f>
        <v>0</v>
      </c>
      <c r="AN126">
        <f>IF(DAY($B126)=AN$1,$K126,0)</f>
        <v>0</v>
      </c>
      <c r="AO126">
        <f>IF(DAY($B126)=AO$1,$K126,0)</f>
        <v>0</v>
      </c>
      <c r="AP126">
        <f>IF(DAY($B126)=AP$1,$K126,0)</f>
        <v>0</v>
      </c>
    </row>
    <row r="127" spans="1:42" x14ac:dyDescent="0.3">
      <c r="A127">
        <v>126</v>
      </c>
      <c r="B127" s="1">
        <v>44463</v>
      </c>
      <c r="C127" s="2">
        <v>0.45619212962962963</v>
      </c>
      <c r="D127" s="1">
        <v>44463</v>
      </c>
      <c r="E127" s="3">
        <v>0.59104166666666669</v>
      </c>
      <c r="F127">
        <v>13</v>
      </c>
      <c r="G127">
        <v>4</v>
      </c>
      <c r="H127" s="3">
        <f t="shared" si="5"/>
        <v>0.13484953703703706</v>
      </c>
      <c r="I127" s="3">
        <f t="shared" si="6"/>
        <v>0.13484953703703706</v>
      </c>
      <c r="J127" s="3">
        <f t="shared" si="7"/>
        <v>0</v>
      </c>
      <c r="K127">
        <f t="shared" si="4"/>
        <v>194.18333333333334</v>
      </c>
      <c r="M127">
        <f>IF(DAY(B127)=$M$1,K127,0)</f>
        <v>0</v>
      </c>
      <c r="N127">
        <f>IF(DAY($B127)=N$1,$K127,0)</f>
        <v>0</v>
      </c>
      <c r="O127">
        <f>IF(DAY($B127)=O$1,$K127,0)</f>
        <v>0</v>
      </c>
      <c r="P127">
        <f>IF(DAY($B127)=P$1,$K127,0)</f>
        <v>0</v>
      </c>
      <c r="Q127">
        <f>IF(DAY($B127)=Q$1,$K127,0)</f>
        <v>0</v>
      </c>
      <c r="R127">
        <f>IF(DAY($B127)=R$1,$K127,0)</f>
        <v>0</v>
      </c>
      <c r="S127">
        <f>IF(DAY($B127)=S$1,$K127,0)</f>
        <v>0</v>
      </c>
      <c r="T127">
        <f>IF(DAY($B127)=T$1,$K127,0)</f>
        <v>0</v>
      </c>
      <c r="U127">
        <f>IF(DAY($B127)=U$1,$K127,0)</f>
        <v>0</v>
      </c>
      <c r="V127">
        <f>IF(DAY($B127)=V$1,$K127,0)</f>
        <v>0</v>
      </c>
      <c r="W127">
        <f>IF(DAY($B127)=W$1,$K127,0)</f>
        <v>0</v>
      </c>
      <c r="X127">
        <f>IF(DAY($B127)=X$1,$K127,0)</f>
        <v>0</v>
      </c>
      <c r="Y127">
        <f>IF(DAY($B127)=Y$1,$K127,0)</f>
        <v>0</v>
      </c>
      <c r="Z127">
        <f>IF(DAY($B127)=Z$1,$K127,0)</f>
        <v>0</v>
      </c>
      <c r="AA127">
        <f>IF(DAY($B127)=AA$1,$K127,0)</f>
        <v>0</v>
      </c>
      <c r="AB127">
        <f>IF(DAY($B127)=AB$1,$K127,0)</f>
        <v>0</v>
      </c>
      <c r="AC127">
        <f>IF(DAY($B127)=AC$1,$K127,0)</f>
        <v>0</v>
      </c>
      <c r="AD127">
        <f>IF(DAY($B127)=AD$1,$K127,0)</f>
        <v>0</v>
      </c>
      <c r="AE127">
        <f>IF(DAY($B127)=AE$1,$K127,0)</f>
        <v>0</v>
      </c>
      <c r="AF127">
        <f>IF(DAY($B127)=AF$1,$K127,0)</f>
        <v>0</v>
      </c>
      <c r="AG127">
        <f>IF(DAY($B127)=AG$1,$K127,0)</f>
        <v>0</v>
      </c>
      <c r="AH127">
        <f>IF(DAY($B127)=AH$1,$K127,0)</f>
        <v>0</v>
      </c>
      <c r="AI127">
        <f>IF(DAY($B127)=AI$1,$K127,0)</f>
        <v>0</v>
      </c>
      <c r="AJ127">
        <f>IF(DAY($B127)=AJ$1,$K127,0)</f>
        <v>194.18333333333334</v>
      </c>
      <c r="AK127">
        <f>IF(DAY($B127)=AK$1,$K127,0)</f>
        <v>0</v>
      </c>
      <c r="AL127">
        <f>IF(DAY($B127)=AL$1,$K127,0)</f>
        <v>0</v>
      </c>
      <c r="AM127">
        <f>IF(DAY($B127)=AM$1,$K127,0)</f>
        <v>0</v>
      </c>
      <c r="AN127">
        <f>IF(DAY($B127)=AN$1,$K127,0)</f>
        <v>0</v>
      </c>
      <c r="AO127">
        <f>IF(DAY($B127)=AO$1,$K127,0)</f>
        <v>0</v>
      </c>
      <c r="AP127">
        <f>IF(DAY($B127)=AP$1,$K127,0)</f>
        <v>0</v>
      </c>
    </row>
    <row r="128" spans="1:42" x14ac:dyDescent="0.3">
      <c r="A128">
        <v>127</v>
      </c>
      <c r="B128" s="1">
        <v>44463</v>
      </c>
      <c r="C128" s="2">
        <v>0.72642361111111109</v>
      </c>
      <c r="D128" s="1">
        <v>44463</v>
      </c>
      <c r="E128" s="3">
        <v>0.78383101851851855</v>
      </c>
      <c r="F128">
        <v>13</v>
      </c>
      <c r="G128">
        <v>9</v>
      </c>
      <c r="H128" s="3">
        <f t="shared" si="5"/>
        <v>5.7407407407407463E-2</v>
      </c>
      <c r="I128" s="3">
        <f t="shared" si="6"/>
        <v>5.7407407407407463E-2</v>
      </c>
      <c r="J128" s="3">
        <f t="shared" si="7"/>
        <v>0</v>
      </c>
      <c r="K128">
        <f t="shared" si="4"/>
        <v>82.666666666666671</v>
      </c>
      <c r="M128">
        <f>IF(DAY(B128)=$M$1,K128,0)</f>
        <v>0</v>
      </c>
      <c r="N128">
        <f>IF(DAY($B128)=N$1,$K128,0)</f>
        <v>0</v>
      </c>
      <c r="O128">
        <f>IF(DAY($B128)=O$1,$K128,0)</f>
        <v>0</v>
      </c>
      <c r="P128">
        <f>IF(DAY($B128)=P$1,$K128,0)</f>
        <v>0</v>
      </c>
      <c r="Q128">
        <f>IF(DAY($B128)=Q$1,$K128,0)</f>
        <v>0</v>
      </c>
      <c r="R128">
        <f>IF(DAY($B128)=R$1,$K128,0)</f>
        <v>0</v>
      </c>
      <c r="S128">
        <f>IF(DAY($B128)=S$1,$K128,0)</f>
        <v>0</v>
      </c>
      <c r="T128">
        <f>IF(DAY($B128)=T$1,$K128,0)</f>
        <v>0</v>
      </c>
      <c r="U128">
        <f>IF(DAY($B128)=U$1,$K128,0)</f>
        <v>0</v>
      </c>
      <c r="V128">
        <f>IF(DAY($B128)=V$1,$K128,0)</f>
        <v>0</v>
      </c>
      <c r="W128">
        <f>IF(DAY($B128)=W$1,$K128,0)</f>
        <v>0</v>
      </c>
      <c r="X128">
        <f>IF(DAY($B128)=X$1,$K128,0)</f>
        <v>0</v>
      </c>
      <c r="Y128">
        <f>IF(DAY($B128)=Y$1,$K128,0)</f>
        <v>0</v>
      </c>
      <c r="Z128">
        <f>IF(DAY($B128)=Z$1,$K128,0)</f>
        <v>0</v>
      </c>
      <c r="AA128">
        <f>IF(DAY($B128)=AA$1,$K128,0)</f>
        <v>0</v>
      </c>
      <c r="AB128">
        <f>IF(DAY($B128)=AB$1,$K128,0)</f>
        <v>0</v>
      </c>
      <c r="AC128">
        <f>IF(DAY($B128)=AC$1,$K128,0)</f>
        <v>0</v>
      </c>
      <c r="AD128">
        <f>IF(DAY($B128)=AD$1,$K128,0)</f>
        <v>0</v>
      </c>
      <c r="AE128">
        <f>IF(DAY($B128)=AE$1,$K128,0)</f>
        <v>0</v>
      </c>
      <c r="AF128">
        <f>IF(DAY($B128)=AF$1,$K128,0)</f>
        <v>0</v>
      </c>
      <c r="AG128">
        <f>IF(DAY($B128)=AG$1,$K128,0)</f>
        <v>0</v>
      </c>
      <c r="AH128">
        <f>IF(DAY($B128)=AH$1,$K128,0)</f>
        <v>0</v>
      </c>
      <c r="AI128">
        <f>IF(DAY($B128)=AI$1,$K128,0)</f>
        <v>0</v>
      </c>
      <c r="AJ128">
        <f>IF(DAY($B128)=AJ$1,$K128,0)</f>
        <v>82.666666666666671</v>
      </c>
      <c r="AK128">
        <f>IF(DAY($B128)=AK$1,$K128,0)</f>
        <v>0</v>
      </c>
      <c r="AL128">
        <f>IF(DAY($B128)=AL$1,$K128,0)</f>
        <v>0</v>
      </c>
      <c r="AM128">
        <f>IF(DAY($B128)=AM$1,$K128,0)</f>
        <v>0</v>
      </c>
      <c r="AN128">
        <f>IF(DAY($B128)=AN$1,$K128,0)</f>
        <v>0</v>
      </c>
      <c r="AO128">
        <f>IF(DAY($B128)=AO$1,$K128,0)</f>
        <v>0</v>
      </c>
      <c r="AP128">
        <f>IF(DAY($B128)=AP$1,$K128,0)</f>
        <v>0</v>
      </c>
    </row>
    <row r="129" spans="1:42" x14ac:dyDescent="0.3">
      <c r="A129">
        <v>128</v>
      </c>
      <c r="B129" s="1">
        <v>44463</v>
      </c>
      <c r="C129" s="2">
        <v>0.8197106481481482</v>
      </c>
      <c r="D129" s="1">
        <v>44463</v>
      </c>
      <c r="E129" s="3">
        <v>0.88407407407407401</v>
      </c>
      <c r="F129">
        <v>10</v>
      </c>
      <c r="G129">
        <v>12</v>
      </c>
      <c r="H129" s="3">
        <f t="shared" si="5"/>
        <v>6.436342592592581E-2</v>
      </c>
      <c r="I129" s="3">
        <f t="shared" si="6"/>
        <v>6.436342592592581E-2</v>
      </c>
      <c r="J129" s="3">
        <f t="shared" si="7"/>
        <v>0</v>
      </c>
      <c r="K129">
        <f t="shared" si="4"/>
        <v>92.683333333333337</v>
      </c>
      <c r="M129">
        <f>IF(DAY(B129)=$M$1,K129,0)</f>
        <v>0</v>
      </c>
      <c r="N129">
        <f>IF(DAY($B129)=N$1,$K129,0)</f>
        <v>0</v>
      </c>
      <c r="O129">
        <f>IF(DAY($B129)=O$1,$K129,0)</f>
        <v>0</v>
      </c>
      <c r="P129">
        <f>IF(DAY($B129)=P$1,$K129,0)</f>
        <v>0</v>
      </c>
      <c r="Q129">
        <f>IF(DAY($B129)=Q$1,$K129,0)</f>
        <v>0</v>
      </c>
      <c r="R129">
        <f>IF(DAY($B129)=R$1,$K129,0)</f>
        <v>0</v>
      </c>
      <c r="S129">
        <f>IF(DAY($B129)=S$1,$K129,0)</f>
        <v>0</v>
      </c>
      <c r="T129">
        <f>IF(DAY($B129)=T$1,$K129,0)</f>
        <v>0</v>
      </c>
      <c r="U129">
        <f>IF(DAY($B129)=U$1,$K129,0)</f>
        <v>0</v>
      </c>
      <c r="V129">
        <f>IF(DAY($B129)=V$1,$K129,0)</f>
        <v>0</v>
      </c>
      <c r="W129">
        <f>IF(DAY($B129)=W$1,$K129,0)</f>
        <v>0</v>
      </c>
      <c r="X129">
        <f>IF(DAY($B129)=X$1,$K129,0)</f>
        <v>0</v>
      </c>
      <c r="Y129">
        <f>IF(DAY($B129)=Y$1,$K129,0)</f>
        <v>0</v>
      </c>
      <c r="Z129">
        <f>IF(DAY($B129)=Z$1,$K129,0)</f>
        <v>0</v>
      </c>
      <c r="AA129">
        <f>IF(DAY($B129)=AA$1,$K129,0)</f>
        <v>0</v>
      </c>
      <c r="AB129">
        <f>IF(DAY($B129)=AB$1,$K129,0)</f>
        <v>0</v>
      </c>
      <c r="AC129">
        <f>IF(DAY($B129)=AC$1,$K129,0)</f>
        <v>0</v>
      </c>
      <c r="AD129">
        <f>IF(DAY($B129)=AD$1,$K129,0)</f>
        <v>0</v>
      </c>
      <c r="AE129">
        <f>IF(DAY($B129)=AE$1,$K129,0)</f>
        <v>0</v>
      </c>
      <c r="AF129">
        <f>IF(DAY($B129)=AF$1,$K129,0)</f>
        <v>0</v>
      </c>
      <c r="AG129">
        <f>IF(DAY($B129)=AG$1,$K129,0)</f>
        <v>0</v>
      </c>
      <c r="AH129">
        <f>IF(DAY($B129)=AH$1,$K129,0)</f>
        <v>0</v>
      </c>
      <c r="AI129">
        <f>IF(DAY($B129)=AI$1,$K129,0)</f>
        <v>0</v>
      </c>
      <c r="AJ129">
        <f>IF(DAY($B129)=AJ$1,$K129,0)</f>
        <v>92.683333333333337</v>
      </c>
      <c r="AK129">
        <f>IF(DAY($B129)=AK$1,$K129,0)</f>
        <v>0</v>
      </c>
      <c r="AL129">
        <f>IF(DAY($B129)=AL$1,$K129,0)</f>
        <v>0</v>
      </c>
      <c r="AM129">
        <f>IF(DAY($B129)=AM$1,$K129,0)</f>
        <v>0</v>
      </c>
      <c r="AN129">
        <f>IF(DAY($B129)=AN$1,$K129,0)</f>
        <v>0</v>
      </c>
      <c r="AO129">
        <f>IF(DAY($B129)=AO$1,$K129,0)</f>
        <v>0</v>
      </c>
      <c r="AP129">
        <f>IF(DAY($B129)=AP$1,$K129,0)</f>
        <v>0</v>
      </c>
    </row>
    <row r="130" spans="1:42" x14ac:dyDescent="0.3">
      <c r="A130">
        <v>129</v>
      </c>
      <c r="B130" s="1">
        <v>44464</v>
      </c>
      <c r="C130" s="2">
        <v>0.29473379629629631</v>
      </c>
      <c r="D130" s="1">
        <v>44464</v>
      </c>
      <c r="E130" s="3">
        <v>0.3518634259259259</v>
      </c>
      <c r="F130">
        <v>9</v>
      </c>
      <c r="G130">
        <v>11</v>
      </c>
      <c r="H130" s="3">
        <f t="shared" si="5"/>
        <v>5.7129629629629586E-2</v>
      </c>
      <c r="I130" s="3">
        <f t="shared" si="6"/>
        <v>5.7129629629629586E-2</v>
      </c>
      <c r="J130" s="3">
        <f t="shared" si="7"/>
        <v>0</v>
      </c>
      <c r="K130">
        <f t="shared" ref="K130:K158" si="8">SUM(HOUR(J130)*60,MINUTE(J130),SECOND(J130)/60,HOUR(I130)*60,MINUTE(I130),SECOND(I130)/60)</f>
        <v>82.266666666666666</v>
      </c>
      <c r="M130">
        <f>IF(DAY(B130)=$M$1,K130,0)</f>
        <v>0</v>
      </c>
      <c r="N130">
        <f>IF(DAY($B130)=N$1,$K130,0)</f>
        <v>0</v>
      </c>
      <c r="O130">
        <f>IF(DAY($B130)=O$1,$K130,0)</f>
        <v>0</v>
      </c>
      <c r="P130">
        <f>IF(DAY($B130)=P$1,$K130,0)</f>
        <v>0</v>
      </c>
      <c r="Q130">
        <f>IF(DAY($B130)=Q$1,$K130,0)</f>
        <v>0</v>
      </c>
      <c r="R130">
        <f>IF(DAY($B130)=R$1,$K130,0)</f>
        <v>0</v>
      </c>
      <c r="S130">
        <f>IF(DAY($B130)=S$1,$K130,0)</f>
        <v>0</v>
      </c>
      <c r="T130">
        <f>IF(DAY($B130)=T$1,$K130,0)</f>
        <v>0</v>
      </c>
      <c r="U130">
        <f>IF(DAY($B130)=U$1,$K130,0)</f>
        <v>0</v>
      </c>
      <c r="V130">
        <f>IF(DAY($B130)=V$1,$K130,0)</f>
        <v>0</v>
      </c>
      <c r="W130">
        <f>IF(DAY($B130)=W$1,$K130,0)</f>
        <v>0</v>
      </c>
      <c r="X130">
        <f>IF(DAY($B130)=X$1,$K130,0)</f>
        <v>0</v>
      </c>
      <c r="Y130">
        <f>IF(DAY($B130)=Y$1,$K130,0)</f>
        <v>0</v>
      </c>
      <c r="Z130">
        <f>IF(DAY($B130)=Z$1,$K130,0)</f>
        <v>0</v>
      </c>
      <c r="AA130">
        <f>IF(DAY($B130)=AA$1,$K130,0)</f>
        <v>0</v>
      </c>
      <c r="AB130">
        <f>IF(DAY($B130)=AB$1,$K130,0)</f>
        <v>0</v>
      </c>
      <c r="AC130">
        <f>IF(DAY($B130)=AC$1,$K130,0)</f>
        <v>0</v>
      </c>
      <c r="AD130">
        <f>IF(DAY($B130)=AD$1,$K130,0)</f>
        <v>0</v>
      </c>
      <c r="AE130">
        <f>IF(DAY($B130)=AE$1,$K130,0)</f>
        <v>0</v>
      </c>
      <c r="AF130">
        <f>IF(DAY($B130)=AF$1,$K130,0)</f>
        <v>0</v>
      </c>
      <c r="AG130">
        <f>IF(DAY($B130)=AG$1,$K130,0)</f>
        <v>0</v>
      </c>
      <c r="AH130">
        <f>IF(DAY($B130)=AH$1,$K130,0)</f>
        <v>0</v>
      </c>
      <c r="AI130">
        <f>IF(DAY($B130)=AI$1,$K130,0)</f>
        <v>0</v>
      </c>
      <c r="AJ130">
        <f>IF(DAY($B130)=AJ$1,$K130,0)</f>
        <v>0</v>
      </c>
      <c r="AK130">
        <f>IF(DAY($B130)=AK$1,$K130,0)</f>
        <v>82.266666666666666</v>
      </c>
      <c r="AL130">
        <f>IF(DAY($B130)=AL$1,$K130,0)</f>
        <v>0</v>
      </c>
      <c r="AM130">
        <f>IF(DAY($B130)=AM$1,$K130,0)</f>
        <v>0</v>
      </c>
      <c r="AN130">
        <f>IF(DAY($B130)=AN$1,$K130,0)</f>
        <v>0</v>
      </c>
      <c r="AO130">
        <f>IF(DAY($B130)=AO$1,$K130,0)</f>
        <v>0</v>
      </c>
      <c r="AP130">
        <f>IF(DAY($B130)=AP$1,$K130,0)</f>
        <v>0</v>
      </c>
    </row>
    <row r="131" spans="1:42" x14ac:dyDescent="0.3">
      <c r="A131">
        <v>130</v>
      </c>
      <c r="B131" s="1">
        <v>44464</v>
      </c>
      <c r="C131" s="2">
        <v>0.42454861111111114</v>
      </c>
      <c r="D131" s="1">
        <v>44464</v>
      </c>
      <c r="E131" s="3">
        <v>0.50074074074074071</v>
      </c>
      <c r="F131">
        <v>14</v>
      </c>
      <c r="G131">
        <v>20</v>
      </c>
      <c r="H131" s="3">
        <f t="shared" ref="H131:H158" si="9">IF(E131&lt;C131,(24-C131)+E131,E131-C131)</f>
        <v>7.6192129629629568E-2</v>
      </c>
      <c r="I131" s="3">
        <f t="shared" ref="I131:I158" si="10">IF(B131=D131,H131,0)</f>
        <v>7.6192129629629568E-2</v>
      </c>
      <c r="J131" s="3">
        <f t="shared" ref="J131:J158" si="11">IF(B131=D131,0,E131)</f>
        <v>0</v>
      </c>
      <c r="K131">
        <f t="shared" si="8"/>
        <v>109.71666666666667</v>
      </c>
      <c r="M131">
        <f>IF(DAY(B131)=$M$1,K131,0)</f>
        <v>0</v>
      </c>
      <c r="N131">
        <f>IF(DAY($B131)=N$1,$K131,0)</f>
        <v>0</v>
      </c>
      <c r="O131">
        <f>IF(DAY($B131)=O$1,$K131,0)</f>
        <v>0</v>
      </c>
      <c r="P131">
        <f>IF(DAY($B131)=P$1,$K131,0)</f>
        <v>0</v>
      </c>
      <c r="Q131">
        <f>IF(DAY($B131)=Q$1,$K131,0)</f>
        <v>0</v>
      </c>
      <c r="R131">
        <f>IF(DAY($B131)=R$1,$K131,0)</f>
        <v>0</v>
      </c>
      <c r="S131">
        <f>IF(DAY($B131)=S$1,$K131,0)</f>
        <v>0</v>
      </c>
      <c r="T131">
        <f>IF(DAY($B131)=T$1,$K131,0)</f>
        <v>0</v>
      </c>
      <c r="U131">
        <f>IF(DAY($B131)=U$1,$K131,0)</f>
        <v>0</v>
      </c>
      <c r="V131">
        <f>IF(DAY($B131)=V$1,$K131,0)</f>
        <v>0</v>
      </c>
      <c r="W131">
        <f>IF(DAY($B131)=W$1,$K131,0)</f>
        <v>0</v>
      </c>
      <c r="X131">
        <f>IF(DAY($B131)=X$1,$K131,0)</f>
        <v>0</v>
      </c>
      <c r="Y131">
        <f>IF(DAY($B131)=Y$1,$K131,0)</f>
        <v>0</v>
      </c>
      <c r="Z131">
        <f>IF(DAY($B131)=Z$1,$K131,0)</f>
        <v>0</v>
      </c>
      <c r="AA131">
        <f>IF(DAY($B131)=AA$1,$K131,0)</f>
        <v>0</v>
      </c>
      <c r="AB131">
        <f>IF(DAY($B131)=AB$1,$K131,0)</f>
        <v>0</v>
      </c>
      <c r="AC131">
        <f>IF(DAY($B131)=AC$1,$K131,0)</f>
        <v>0</v>
      </c>
      <c r="AD131">
        <f>IF(DAY($B131)=AD$1,$K131,0)</f>
        <v>0</v>
      </c>
      <c r="AE131">
        <f>IF(DAY($B131)=AE$1,$K131,0)</f>
        <v>0</v>
      </c>
      <c r="AF131">
        <f>IF(DAY($B131)=AF$1,$K131,0)</f>
        <v>0</v>
      </c>
      <c r="AG131">
        <f>IF(DAY($B131)=AG$1,$K131,0)</f>
        <v>0</v>
      </c>
      <c r="AH131">
        <f>IF(DAY($B131)=AH$1,$K131,0)</f>
        <v>0</v>
      </c>
      <c r="AI131">
        <f>IF(DAY($B131)=AI$1,$K131,0)</f>
        <v>0</v>
      </c>
      <c r="AJ131">
        <f>IF(DAY($B131)=AJ$1,$K131,0)</f>
        <v>0</v>
      </c>
      <c r="AK131">
        <f>IF(DAY($B131)=AK$1,$K131,0)</f>
        <v>109.71666666666667</v>
      </c>
      <c r="AL131">
        <f>IF(DAY($B131)=AL$1,$K131,0)</f>
        <v>0</v>
      </c>
      <c r="AM131">
        <f>IF(DAY($B131)=AM$1,$K131,0)</f>
        <v>0</v>
      </c>
      <c r="AN131">
        <f>IF(DAY($B131)=AN$1,$K131,0)</f>
        <v>0</v>
      </c>
      <c r="AO131">
        <f>IF(DAY($B131)=AO$1,$K131,0)</f>
        <v>0</v>
      </c>
      <c r="AP131">
        <f>IF(DAY($B131)=AP$1,$K131,0)</f>
        <v>0</v>
      </c>
    </row>
    <row r="132" spans="1:42" x14ac:dyDescent="0.3">
      <c r="A132">
        <v>131</v>
      </c>
      <c r="B132" s="1">
        <v>44464</v>
      </c>
      <c r="C132" s="2">
        <v>0.5447453703703703</v>
      </c>
      <c r="D132" s="1">
        <v>44464</v>
      </c>
      <c r="E132" s="3">
        <v>0.57574074074074078</v>
      </c>
      <c r="F132">
        <v>1</v>
      </c>
      <c r="G132">
        <v>3</v>
      </c>
      <c r="H132" s="3">
        <f t="shared" si="9"/>
        <v>3.0995370370370479E-2</v>
      </c>
      <c r="I132" s="3">
        <f t="shared" si="10"/>
        <v>3.0995370370370479E-2</v>
      </c>
      <c r="J132" s="3">
        <f t="shared" si="11"/>
        <v>0</v>
      </c>
      <c r="K132">
        <f t="shared" si="8"/>
        <v>44.633333333333333</v>
      </c>
      <c r="M132">
        <f>IF(DAY(B132)=$M$1,K132,0)</f>
        <v>0</v>
      </c>
      <c r="N132">
        <f>IF(DAY($B132)=N$1,$K132,0)</f>
        <v>0</v>
      </c>
      <c r="O132">
        <f>IF(DAY($B132)=O$1,$K132,0)</f>
        <v>0</v>
      </c>
      <c r="P132">
        <f>IF(DAY($B132)=P$1,$K132,0)</f>
        <v>0</v>
      </c>
      <c r="Q132">
        <f>IF(DAY($B132)=Q$1,$K132,0)</f>
        <v>0</v>
      </c>
      <c r="R132">
        <f>IF(DAY($B132)=R$1,$K132,0)</f>
        <v>0</v>
      </c>
      <c r="S132">
        <f>IF(DAY($B132)=S$1,$K132,0)</f>
        <v>0</v>
      </c>
      <c r="T132">
        <f>IF(DAY($B132)=T$1,$K132,0)</f>
        <v>0</v>
      </c>
      <c r="U132">
        <f>IF(DAY($B132)=U$1,$K132,0)</f>
        <v>0</v>
      </c>
      <c r="V132">
        <f>IF(DAY($B132)=V$1,$K132,0)</f>
        <v>0</v>
      </c>
      <c r="W132">
        <f>IF(DAY($B132)=W$1,$K132,0)</f>
        <v>0</v>
      </c>
      <c r="X132">
        <f>IF(DAY($B132)=X$1,$K132,0)</f>
        <v>0</v>
      </c>
      <c r="Y132">
        <f>IF(DAY($B132)=Y$1,$K132,0)</f>
        <v>0</v>
      </c>
      <c r="Z132">
        <f>IF(DAY($B132)=Z$1,$K132,0)</f>
        <v>0</v>
      </c>
      <c r="AA132">
        <f>IF(DAY($B132)=AA$1,$K132,0)</f>
        <v>0</v>
      </c>
      <c r="AB132">
        <f>IF(DAY($B132)=AB$1,$K132,0)</f>
        <v>0</v>
      </c>
      <c r="AC132">
        <f>IF(DAY($B132)=AC$1,$K132,0)</f>
        <v>0</v>
      </c>
      <c r="AD132">
        <f>IF(DAY($B132)=AD$1,$K132,0)</f>
        <v>0</v>
      </c>
      <c r="AE132">
        <f>IF(DAY($B132)=AE$1,$K132,0)</f>
        <v>0</v>
      </c>
      <c r="AF132">
        <f>IF(DAY($B132)=AF$1,$K132,0)</f>
        <v>0</v>
      </c>
      <c r="AG132">
        <f>IF(DAY($B132)=AG$1,$K132,0)</f>
        <v>0</v>
      </c>
      <c r="AH132">
        <f>IF(DAY($B132)=AH$1,$K132,0)</f>
        <v>0</v>
      </c>
      <c r="AI132">
        <f>IF(DAY($B132)=AI$1,$K132,0)</f>
        <v>0</v>
      </c>
      <c r="AJ132">
        <f>IF(DAY($B132)=AJ$1,$K132,0)</f>
        <v>0</v>
      </c>
      <c r="AK132">
        <f>IF(DAY($B132)=AK$1,$K132,0)</f>
        <v>44.633333333333333</v>
      </c>
      <c r="AL132">
        <f>IF(DAY($B132)=AL$1,$K132,0)</f>
        <v>0</v>
      </c>
      <c r="AM132">
        <f>IF(DAY($B132)=AM$1,$K132,0)</f>
        <v>0</v>
      </c>
      <c r="AN132">
        <f>IF(DAY($B132)=AN$1,$K132,0)</f>
        <v>0</v>
      </c>
      <c r="AO132">
        <f>IF(DAY($B132)=AO$1,$K132,0)</f>
        <v>0</v>
      </c>
      <c r="AP132">
        <f>IF(DAY($B132)=AP$1,$K132,0)</f>
        <v>0</v>
      </c>
    </row>
    <row r="133" spans="1:42" x14ac:dyDescent="0.3">
      <c r="A133">
        <v>132</v>
      </c>
      <c r="B133" s="1">
        <v>44464</v>
      </c>
      <c r="C133" s="2">
        <v>0.63065972222222222</v>
      </c>
      <c r="D133" s="1">
        <v>44464</v>
      </c>
      <c r="E133" s="3">
        <v>0.66954861111111119</v>
      </c>
      <c r="F133">
        <v>5</v>
      </c>
      <c r="G133">
        <v>6</v>
      </c>
      <c r="H133" s="3">
        <f t="shared" si="9"/>
        <v>3.8888888888888973E-2</v>
      </c>
      <c r="I133" s="3">
        <f t="shared" si="10"/>
        <v>3.8888888888888973E-2</v>
      </c>
      <c r="J133" s="3">
        <f t="shared" si="11"/>
        <v>0</v>
      </c>
      <c r="K133">
        <f t="shared" si="8"/>
        <v>56</v>
      </c>
      <c r="M133">
        <f>IF(DAY(B133)=$M$1,K133,0)</f>
        <v>0</v>
      </c>
      <c r="N133">
        <f>IF(DAY($B133)=N$1,$K133,0)</f>
        <v>0</v>
      </c>
      <c r="O133">
        <f>IF(DAY($B133)=O$1,$K133,0)</f>
        <v>0</v>
      </c>
      <c r="P133">
        <f>IF(DAY($B133)=P$1,$K133,0)</f>
        <v>0</v>
      </c>
      <c r="Q133">
        <f>IF(DAY($B133)=Q$1,$K133,0)</f>
        <v>0</v>
      </c>
      <c r="R133">
        <f>IF(DAY($B133)=R$1,$K133,0)</f>
        <v>0</v>
      </c>
      <c r="S133">
        <f>IF(DAY($B133)=S$1,$K133,0)</f>
        <v>0</v>
      </c>
      <c r="T133">
        <f>IF(DAY($B133)=T$1,$K133,0)</f>
        <v>0</v>
      </c>
      <c r="U133">
        <f>IF(DAY($B133)=U$1,$K133,0)</f>
        <v>0</v>
      </c>
      <c r="V133">
        <f>IF(DAY($B133)=V$1,$K133,0)</f>
        <v>0</v>
      </c>
      <c r="W133">
        <f>IF(DAY($B133)=W$1,$K133,0)</f>
        <v>0</v>
      </c>
      <c r="X133">
        <f>IF(DAY($B133)=X$1,$K133,0)</f>
        <v>0</v>
      </c>
      <c r="Y133">
        <f>IF(DAY($B133)=Y$1,$K133,0)</f>
        <v>0</v>
      </c>
      <c r="Z133">
        <f>IF(DAY($B133)=Z$1,$K133,0)</f>
        <v>0</v>
      </c>
      <c r="AA133">
        <f>IF(DAY($B133)=AA$1,$K133,0)</f>
        <v>0</v>
      </c>
      <c r="AB133">
        <f>IF(DAY($B133)=AB$1,$K133,0)</f>
        <v>0</v>
      </c>
      <c r="AC133">
        <f>IF(DAY($B133)=AC$1,$K133,0)</f>
        <v>0</v>
      </c>
      <c r="AD133">
        <f>IF(DAY($B133)=AD$1,$K133,0)</f>
        <v>0</v>
      </c>
      <c r="AE133">
        <f>IF(DAY($B133)=AE$1,$K133,0)</f>
        <v>0</v>
      </c>
      <c r="AF133">
        <f>IF(DAY($B133)=AF$1,$K133,0)</f>
        <v>0</v>
      </c>
      <c r="AG133">
        <f>IF(DAY($B133)=AG$1,$K133,0)</f>
        <v>0</v>
      </c>
      <c r="AH133">
        <f>IF(DAY($B133)=AH$1,$K133,0)</f>
        <v>0</v>
      </c>
      <c r="AI133">
        <f>IF(DAY($B133)=AI$1,$K133,0)</f>
        <v>0</v>
      </c>
      <c r="AJ133">
        <f>IF(DAY($B133)=AJ$1,$K133,0)</f>
        <v>0</v>
      </c>
      <c r="AK133">
        <f>IF(DAY($B133)=AK$1,$K133,0)</f>
        <v>56</v>
      </c>
      <c r="AL133">
        <f>IF(DAY($B133)=AL$1,$K133,0)</f>
        <v>0</v>
      </c>
      <c r="AM133">
        <f>IF(DAY($B133)=AM$1,$K133,0)</f>
        <v>0</v>
      </c>
      <c r="AN133">
        <f>IF(DAY($B133)=AN$1,$K133,0)</f>
        <v>0</v>
      </c>
      <c r="AO133">
        <f>IF(DAY($B133)=AO$1,$K133,0)</f>
        <v>0</v>
      </c>
      <c r="AP133">
        <f>IF(DAY($B133)=AP$1,$K133,0)</f>
        <v>0</v>
      </c>
    </row>
    <row r="134" spans="1:42" x14ac:dyDescent="0.3">
      <c r="A134">
        <v>133</v>
      </c>
      <c r="B134" s="1">
        <v>44464</v>
      </c>
      <c r="C134" s="2">
        <v>0.71141203703703704</v>
      </c>
      <c r="D134" s="1">
        <v>44464</v>
      </c>
      <c r="E134" s="3">
        <v>0.75629629629629624</v>
      </c>
      <c r="F134">
        <v>12</v>
      </c>
      <c r="G134">
        <v>6</v>
      </c>
      <c r="H134" s="3">
        <f t="shared" si="9"/>
        <v>4.4884259259259207E-2</v>
      </c>
      <c r="I134" s="3">
        <f t="shared" si="10"/>
        <v>4.4884259259259207E-2</v>
      </c>
      <c r="J134" s="3">
        <f t="shared" si="11"/>
        <v>0</v>
      </c>
      <c r="K134">
        <f t="shared" si="8"/>
        <v>64.63333333333334</v>
      </c>
      <c r="M134">
        <f>IF(DAY(B134)=$M$1,K134,0)</f>
        <v>0</v>
      </c>
      <c r="N134">
        <f>IF(DAY($B134)=N$1,$K134,0)</f>
        <v>0</v>
      </c>
      <c r="O134">
        <f>IF(DAY($B134)=O$1,$K134,0)</f>
        <v>0</v>
      </c>
      <c r="P134">
        <f>IF(DAY($B134)=P$1,$K134,0)</f>
        <v>0</v>
      </c>
      <c r="Q134">
        <f>IF(DAY($B134)=Q$1,$K134,0)</f>
        <v>0</v>
      </c>
      <c r="R134">
        <f>IF(DAY($B134)=R$1,$K134,0)</f>
        <v>0</v>
      </c>
      <c r="S134">
        <f>IF(DAY($B134)=S$1,$K134,0)</f>
        <v>0</v>
      </c>
      <c r="T134">
        <f>IF(DAY($B134)=T$1,$K134,0)</f>
        <v>0</v>
      </c>
      <c r="U134">
        <f>IF(DAY($B134)=U$1,$K134,0)</f>
        <v>0</v>
      </c>
      <c r="V134">
        <f>IF(DAY($B134)=V$1,$K134,0)</f>
        <v>0</v>
      </c>
      <c r="W134">
        <f>IF(DAY($B134)=W$1,$K134,0)</f>
        <v>0</v>
      </c>
      <c r="X134">
        <f>IF(DAY($B134)=X$1,$K134,0)</f>
        <v>0</v>
      </c>
      <c r="Y134">
        <f>IF(DAY($B134)=Y$1,$K134,0)</f>
        <v>0</v>
      </c>
      <c r="Z134">
        <f>IF(DAY($B134)=Z$1,$K134,0)</f>
        <v>0</v>
      </c>
      <c r="AA134">
        <f>IF(DAY($B134)=AA$1,$K134,0)</f>
        <v>0</v>
      </c>
      <c r="AB134">
        <f>IF(DAY($B134)=AB$1,$K134,0)</f>
        <v>0</v>
      </c>
      <c r="AC134">
        <f>IF(DAY($B134)=AC$1,$K134,0)</f>
        <v>0</v>
      </c>
      <c r="AD134">
        <f>IF(DAY($B134)=AD$1,$K134,0)</f>
        <v>0</v>
      </c>
      <c r="AE134">
        <f>IF(DAY($B134)=AE$1,$K134,0)</f>
        <v>0</v>
      </c>
      <c r="AF134">
        <f>IF(DAY($B134)=AF$1,$K134,0)</f>
        <v>0</v>
      </c>
      <c r="AG134">
        <f>IF(DAY($B134)=AG$1,$K134,0)</f>
        <v>0</v>
      </c>
      <c r="AH134">
        <f>IF(DAY($B134)=AH$1,$K134,0)</f>
        <v>0</v>
      </c>
      <c r="AI134">
        <f>IF(DAY($B134)=AI$1,$K134,0)</f>
        <v>0</v>
      </c>
      <c r="AJ134">
        <f>IF(DAY($B134)=AJ$1,$K134,0)</f>
        <v>0</v>
      </c>
      <c r="AK134">
        <f>IF(DAY($B134)=AK$1,$K134,0)</f>
        <v>64.63333333333334</v>
      </c>
      <c r="AL134">
        <f>IF(DAY($B134)=AL$1,$K134,0)</f>
        <v>0</v>
      </c>
      <c r="AM134">
        <f>IF(DAY($B134)=AM$1,$K134,0)</f>
        <v>0</v>
      </c>
      <c r="AN134">
        <f>IF(DAY($B134)=AN$1,$K134,0)</f>
        <v>0</v>
      </c>
      <c r="AO134">
        <f>IF(DAY($B134)=AO$1,$K134,0)</f>
        <v>0</v>
      </c>
      <c r="AP134">
        <f>IF(DAY($B134)=AP$1,$K134,0)</f>
        <v>0</v>
      </c>
    </row>
    <row r="135" spans="1:42" x14ac:dyDescent="0.3">
      <c r="A135">
        <v>134</v>
      </c>
      <c r="B135" s="1">
        <v>44465</v>
      </c>
      <c r="C135" s="2">
        <v>0.26834490740740741</v>
      </c>
      <c r="D135" s="1">
        <v>44465</v>
      </c>
      <c r="E135" s="3">
        <v>0.33027777777777778</v>
      </c>
      <c r="F135">
        <v>13</v>
      </c>
      <c r="G135">
        <v>24</v>
      </c>
      <c r="H135" s="3">
        <f t="shared" si="9"/>
        <v>6.1932870370370374E-2</v>
      </c>
      <c r="I135" s="3">
        <f t="shared" si="10"/>
        <v>6.1932870370370374E-2</v>
      </c>
      <c r="J135" s="3">
        <f t="shared" si="11"/>
        <v>0</v>
      </c>
      <c r="K135">
        <f t="shared" si="8"/>
        <v>89.183333333333337</v>
      </c>
      <c r="M135">
        <f>IF(DAY(B135)=$M$1,K135,0)</f>
        <v>0</v>
      </c>
      <c r="N135">
        <f>IF(DAY($B135)=N$1,$K135,0)</f>
        <v>0</v>
      </c>
      <c r="O135">
        <f>IF(DAY($B135)=O$1,$K135,0)</f>
        <v>0</v>
      </c>
      <c r="P135">
        <f>IF(DAY($B135)=P$1,$K135,0)</f>
        <v>0</v>
      </c>
      <c r="Q135">
        <f>IF(DAY($B135)=Q$1,$K135,0)</f>
        <v>0</v>
      </c>
      <c r="R135">
        <f>IF(DAY($B135)=R$1,$K135,0)</f>
        <v>0</v>
      </c>
      <c r="S135">
        <f>IF(DAY($B135)=S$1,$K135,0)</f>
        <v>0</v>
      </c>
      <c r="T135">
        <f>IF(DAY($B135)=T$1,$K135,0)</f>
        <v>0</v>
      </c>
      <c r="U135">
        <f>IF(DAY($B135)=U$1,$K135,0)</f>
        <v>0</v>
      </c>
      <c r="V135">
        <f>IF(DAY($B135)=V$1,$K135,0)</f>
        <v>0</v>
      </c>
      <c r="W135">
        <f>IF(DAY($B135)=W$1,$K135,0)</f>
        <v>0</v>
      </c>
      <c r="X135">
        <f>IF(DAY($B135)=X$1,$K135,0)</f>
        <v>0</v>
      </c>
      <c r="Y135">
        <f>IF(DAY($B135)=Y$1,$K135,0)</f>
        <v>0</v>
      </c>
      <c r="Z135">
        <f>IF(DAY($B135)=Z$1,$K135,0)</f>
        <v>0</v>
      </c>
      <c r="AA135">
        <f>IF(DAY($B135)=AA$1,$K135,0)</f>
        <v>0</v>
      </c>
      <c r="AB135">
        <f>IF(DAY($B135)=AB$1,$K135,0)</f>
        <v>0</v>
      </c>
      <c r="AC135">
        <f>IF(DAY($B135)=AC$1,$K135,0)</f>
        <v>0</v>
      </c>
      <c r="AD135">
        <f>IF(DAY($B135)=AD$1,$K135,0)</f>
        <v>0</v>
      </c>
      <c r="AE135">
        <f>IF(DAY($B135)=AE$1,$K135,0)</f>
        <v>0</v>
      </c>
      <c r="AF135">
        <f>IF(DAY($B135)=AF$1,$K135,0)</f>
        <v>0</v>
      </c>
      <c r="AG135">
        <f>IF(DAY($B135)=AG$1,$K135,0)</f>
        <v>0</v>
      </c>
      <c r="AH135">
        <f>IF(DAY($B135)=AH$1,$K135,0)</f>
        <v>0</v>
      </c>
      <c r="AI135">
        <f>IF(DAY($B135)=AI$1,$K135,0)</f>
        <v>0</v>
      </c>
      <c r="AJ135">
        <f>IF(DAY($B135)=AJ$1,$K135,0)</f>
        <v>0</v>
      </c>
      <c r="AK135">
        <f>IF(DAY($B135)=AK$1,$K135,0)</f>
        <v>0</v>
      </c>
      <c r="AL135">
        <f>IF(DAY($B135)=AL$1,$K135,0)</f>
        <v>89.183333333333337</v>
      </c>
      <c r="AM135">
        <f>IF(DAY($B135)=AM$1,$K135,0)</f>
        <v>0</v>
      </c>
      <c r="AN135">
        <f>IF(DAY($B135)=AN$1,$K135,0)</f>
        <v>0</v>
      </c>
      <c r="AO135">
        <f>IF(DAY($B135)=AO$1,$K135,0)</f>
        <v>0</v>
      </c>
      <c r="AP135">
        <f>IF(DAY($B135)=AP$1,$K135,0)</f>
        <v>0</v>
      </c>
    </row>
    <row r="136" spans="1:42" x14ac:dyDescent="0.3">
      <c r="A136">
        <v>135</v>
      </c>
      <c r="B136" s="1">
        <v>44465</v>
      </c>
      <c r="C136" s="2">
        <v>0.38269675925925922</v>
      </c>
      <c r="D136" s="1">
        <v>44465</v>
      </c>
      <c r="E136" s="3">
        <v>0.42315972222222226</v>
      </c>
      <c r="F136">
        <v>9</v>
      </c>
      <c r="G136">
        <v>2</v>
      </c>
      <c r="H136" s="3">
        <f t="shared" si="9"/>
        <v>4.0462962962963034E-2</v>
      </c>
      <c r="I136" s="3">
        <f t="shared" si="10"/>
        <v>4.0462962962963034E-2</v>
      </c>
      <c r="J136" s="3">
        <f t="shared" si="11"/>
        <v>0</v>
      </c>
      <c r="K136">
        <f t="shared" si="8"/>
        <v>58.266666666666666</v>
      </c>
      <c r="M136">
        <f>IF(DAY(B136)=$M$1,K136,0)</f>
        <v>0</v>
      </c>
      <c r="N136">
        <f>IF(DAY($B136)=N$1,$K136,0)</f>
        <v>0</v>
      </c>
      <c r="O136">
        <f>IF(DAY($B136)=O$1,$K136,0)</f>
        <v>0</v>
      </c>
      <c r="P136">
        <f>IF(DAY($B136)=P$1,$K136,0)</f>
        <v>0</v>
      </c>
      <c r="Q136">
        <f>IF(DAY($B136)=Q$1,$K136,0)</f>
        <v>0</v>
      </c>
      <c r="R136">
        <f>IF(DAY($B136)=R$1,$K136,0)</f>
        <v>0</v>
      </c>
      <c r="S136">
        <f>IF(DAY($B136)=S$1,$K136,0)</f>
        <v>0</v>
      </c>
      <c r="T136">
        <f>IF(DAY($B136)=T$1,$K136,0)</f>
        <v>0</v>
      </c>
      <c r="U136">
        <f>IF(DAY($B136)=U$1,$K136,0)</f>
        <v>0</v>
      </c>
      <c r="V136">
        <f>IF(DAY($B136)=V$1,$K136,0)</f>
        <v>0</v>
      </c>
      <c r="W136">
        <f>IF(DAY($B136)=W$1,$K136,0)</f>
        <v>0</v>
      </c>
      <c r="X136">
        <f>IF(DAY($B136)=X$1,$K136,0)</f>
        <v>0</v>
      </c>
      <c r="Y136">
        <f>IF(DAY($B136)=Y$1,$K136,0)</f>
        <v>0</v>
      </c>
      <c r="Z136">
        <f>IF(DAY($B136)=Z$1,$K136,0)</f>
        <v>0</v>
      </c>
      <c r="AA136">
        <f>IF(DAY($B136)=AA$1,$K136,0)</f>
        <v>0</v>
      </c>
      <c r="AB136">
        <f>IF(DAY($B136)=AB$1,$K136,0)</f>
        <v>0</v>
      </c>
      <c r="AC136">
        <f>IF(DAY($B136)=AC$1,$K136,0)</f>
        <v>0</v>
      </c>
      <c r="AD136">
        <f>IF(DAY($B136)=AD$1,$K136,0)</f>
        <v>0</v>
      </c>
      <c r="AE136">
        <f>IF(DAY($B136)=AE$1,$K136,0)</f>
        <v>0</v>
      </c>
      <c r="AF136">
        <f>IF(DAY($B136)=AF$1,$K136,0)</f>
        <v>0</v>
      </c>
      <c r="AG136">
        <f>IF(DAY($B136)=AG$1,$K136,0)</f>
        <v>0</v>
      </c>
      <c r="AH136">
        <f>IF(DAY($B136)=AH$1,$K136,0)</f>
        <v>0</v>
      </c>
      <c r="AI136">
        <f>IF(DAY($B136)=AI$1,$K136,0)</f>
        <v>0</v>
      </c>
      <c r="AJ136">
        <f>IF(DAY($B136)=AJ$1,$K136,0)</f>
        <v>0</v>
      </c>
      <c r="AK136">
        <f>IF(DAY($B136)=AK$1,$K136,0)</f>
        <v>0</v>
      </c>
      <c r="AL136">
        <f>IF(DAY($B136)=AL$1,$K136,0)</f>
        <v>58.266666666666666</v>
      </c>
      <c r="AM136">
        <f>IF(DAY($B136)=AM$1,$K136,0)</f>
        <v>0</v>
      </c>
      <c r="AN136">
        <f>IF(DAY($B136)=AN$1,$K136,0)</f>
        <v>0</v>
      </c>
      <c r="AO136">
        <f>IF(DAY($B136)=AO$1,$K136,0)</f>
        <v>0</v>
      </c>
      <c r="AP136">
        <f>IF(DAY($B136)=AP$1,$K136,0)</f>
        <v>0</v>
      </c>
    </row>
    <row r="137" spans="1:42" x14ac:dyDescent="0.3">
      <c r="A137">
        <v>136</v>
      </c>
      <c r="B137" s="1">
        <v>44465</v>
      </c>
      <c r="C137" s="2">
        <v>0.45490740740740737</v>
      </c>
      <c r="D137" s="1">
        <v>44465</v>
      </c>
      <c r="E137" s="3">
        <v>0.49594907407407413</v>
      </c>
      <c r="F137">
        <v>11</v>
      </c>
      <c r="G137">
        <v>6</v>
      </c>
      <c r="H137" s="3">
        <f t="shared" si="9"/>
        <v>4.1041666666666754E-2</v>
      </c>
      <c r="I137" s="3">
        <f t="shared" si="10"/>
        <v>4.1041666666666754E-2</v>
      </c>
      <c r="J137" s="3">
        <f t="shared" si="11"/>
        <v>0</v>
      </c>
      <c r="K137">
        <f t="shared" si="8"/>
        <v>59.1</v>
      </c>
      <c r="M137">
        <f>IF(DAY(B137)=$M$1,K137,0)</f>
        <v>0</v>
      </c>
      <c r="N137">
        <f>IF(DAY($B137)=N$1,$K137,0)</f>
        <v>0</v>
      </c>
      <c r="O137">
        <f>IF(DAY($B137)=O$1,$K137,0)</f>
        <v>0</v>
      </c>
      <c r="P137">
        <f>IF(DAY($B137)=P$1,$K137,0)</f>
        <v>0</v>
      </c>
      <c r="Q137">
        <f>IF(DAY($B137)=Q$1,$K137,0)</f>
        <v>0</v>
      </c>
      <c r="R137">
        <f>IF(DAY($B137)=R$1,$K137,0)</f>
        <v>0</v>
      </c>
      <c r="S137">
        <f>IF(DAY($B137)=S$1,$K137,0)</f>
        <v>0</v>
      </c>
      <c r="T137">
        <f>IF(DAY($B137)=T$1,$K137,0)</f>
        <v>0</v>
      </c>
      <c r="U137">
        <f>IF(DAY($B137)=U$1,$K137,0)</f>
        <v>0</v>
      </c>
      <c r="V137">
        <f>IF(DAY($B137)=V$1,$K137,0)</f>
        <v>0</v>
      </c>
      <c r="W137">
        <f>IF(DAY($B137)=W$1,$K137,0)</f>
        <v>0</v>
      </c>
      <c r="X137">
        <f>IF(DAY($B137)=X$1,$K137,0)</f>
        <v>0</v>
      </c>
      <c r="Y137">
        <f>IF(DAY($B137)=Y$1,$K137,0)</f>
        <v>0</v>
      </c>
      <c r="Z137">
        <f>IF(DAY($B137)=Z$1,$K137,0)</f>
        <v>0</v>
      </c>
      <c r="AA137">
        <f>IF(DAY($B137)=AA$1,$K137,0)</f>
        <v>0</v>
      </c>
      <c r="AB137">
        <f>IF(DAY($B137)=AB$1,$K137,0)</f>
        <v>0</v>
      </c>
      <c r="AC137">
        <f>IF(DAY($B137)=AC$1,$K137,0)</f>
        <v>0</v>
      </c>
      <c r="AD137">
        <f>IF(DAY($B137)=AD$1,$K137,0)</f>
        <v>0</v>
      </c>
      <c r="AE137">
        <f>IF(DAY($B137)=AE$1,$K137,0)</f>
        <v>0</v>
      </c>
      <c r="AF137">
        <f>IF(DAY($B137)=AF$1,$K137,0)</f>
        <v>0</v>
      </c>
      <c r="AG137">
        <f>IF(DAY($B137)=AG$1,$K137,0)</f>
        <v>0</v>
      </c>
      <c r="AH137">
        <f>IF(DAY($B137)=AH$1,$K137,0)</f>
        <v>0</v>
      </c>
      <c r="AI137">
        <f>IF(DAY($B137)=AI$1,$K137,0)</f>
        <v>0</v>
      </c>
      <c r="AJ137">
        <f>IF(DAY($B137)=AJ$1,$K137,0)</f>
        <v>0</v>
      </c>
      <c r="AK137">
        <f>IF(DAY($B137)=AK$1,$K137,0)</f>
        <v>0</v>
      </c>
      <c r="AL137">
        <f>IF(DAY($B137)=AL$1,$K137,0)</f>
        <v>59.1</v>
      </c>
      <c r="AM137">
        <f>IF(DAY($B137)=AM$1,$K137,0)</f>
        <v>0</v>
      </c>
      <c r="AN137">
        <f>IF(DAY($B137)=AN$1,$K137,0)</f>
        <v>0</v>
      </c>
      <c r="AO137">
        <f>IF(DAY($B137)=AO$1,$K137,0)</f>
        <v>0</v>
      </c>
      <c r="AP137">
        <f>IF(DAY($B137)=AP$1,$K137,0)</f>
        <v>0</v>
      </c>
    </row>
    <row r="138" spans="1:42" x14ac:dyDescent="0.3">
      <c r="A138">
        <v>137</v>
      </c>
      <c r="B138" s="1">
        <v>44465</v>
      </c>
      <c r="C138" s="2">
        <v>0.54450231481481481</v>
      </c>
      <c r="D138" s="1">
        <v>44465</v>
      </c>
      <c r="E138" s="3">
        <v>0.58751157407407406</v>
      </c>
      <c r="F138">
        <v>11</v>
      </c>
      <c r="G138">
        <v>9</v>
      </c>
      <c r="H138" s="3">
        <f t="shared" si="9"/>
        <v>4.3009259259259247E-2</v>
      </c>
      <c r="I138" s="3">
        <f t="shared" si="10"/>
        <v>4.3009259259259247E-2</v>
      </c>
      <c r="J138" s="3">
        <f t="shared" si="11"/>
        <v>0</v>
      </c>
      <c r="K138">
        <f t="shared" si="8"/>
        <v>61.93333333333333</v>
      </c>
      <c r="M138">
        <f>IF(DAY(B138)=$M$1,K138,0)</f>
        <v>0</v>
      </c>
      <c r="N138">
        <f>IF(DAY($B138)=N$1,$K138,0)</f>
        <v>0</v>
      </c>
      <c r="O138">
        <f>IF(DAY($B138)=O$1,$K138,0)</f>
        <v>0</v>
      </c>
      <c r="P138">
        <f>IF(DAY($B138)=P$1,$K138,0)</f>
        <v>0</v>
      </c>
      <c r="Q138">
        <f>IF(DAY($B138)=Q$1,$K138,0)</f>
        <v>0</v>
      </c>
      <c r="R138">
        <f>IF(DAY($B138)=R$1,$K138,0)</f>
        <v>0</v>
      </c>
      <c r="S138">
        <f>IF(DAY($B138)=S$1,$K138,0)</f>
        <v>0</v>
      </c>
      <c r="T138">
        <f>IF(DAY($B138)=T$1,$K138,0)</f>
        <v>0</v>
      </c>
      <c r="U138">
        <f>IF(DAY($B138)=U$1,$K138,0)</f>
        <v>0</v>
      </c>
      <c r="V138">
        <f>IF(DAY($B138)=V$1,$K138,0)</f>
        <v>0</v>
      </c>
      <c r="W138">
        <f>IF(DAY($B138)=W$1,$K138,0)</f>
        <v>0</v>
      </c>
      <c r="X138">
        <f>IF(DAY($B138)=X$1,$K138,0)</f>
        <v>0</v>
      </c>
      <c r="Y138">
        <f>IF(DAY($B138)=Y$1,$K138,0)</f>
        <v>0</v>
      </c>
      <c r="Z138">
        <f>IF(DAY($B138)=Z$1,$K138,0)</f>
        <v>0</v>
      </c>
      <c r="AA138">
        <f>IF(DAY($B138)=AA$1,$K138,0)</f>
        <v>0</v>
      </c>
      <c r="AB138">
        <f>IF(DAY($B138)=AB$1,$K138,0)</f>
        <v>0</v>
      </c>
      <c r="AC138">
        <f>IF(DAY($B138)=AC$1,$K138,0)</f>
        <v>0</v>
      </c>
      <c r="AD138">
        <f>IF(DAY($B138)=AD$1,$K138,0)</f>
        <v>0</v>
      </c>
      <c r="AE138">
        <f>IF(DAY($B138)=AE$1,$K138,0)</f>
        <v>0</v>
      </c>
      <c r="AF138">
        <f>IF(DAY($B138)=AF$1,$K138,0)</f>
        <v>0</v>
      </c>
      <c r="AG138">
        <f>IF(DAY($B138)=AG$1,$K138,0)</f>
        <v>0</v>
      </c>
      <c r="AH138">
        <f>IF(DAY($B138)=AH$1,$K138,0)</f>
        <v>0</v>
      </c>
      <c r="AI138">
        <f>IF(DAY($B138)=AI$1,$K138,0)</f>
        <v>0</v>
      </c>
      <c r="AJ138">
        <f>IF(DAY($B138)=AJ$1,$K138,0)</f>
        <v>0</v>
      </c>
      <c r="AK138">
        <f>IF(DAY($B138)=AK$1,$K138,0)</f>
        <v>0</v>
      </c>
      <c r="AL138">
        <f>IF(DAY($B138)=AL$1,$K138,0)</f>
        <v>61.93333333333333</v>
      </c>
      <c r="AM138">
        <f>IF(DAY($B138)=AM$1,$K138,0)</f>
        <v>0</v>
      </c>
      <c r="AN138">
        <f>IF(DAY($B138)=AN$1,$K138,0)</f>
        <v>0</v>
      </c>
      <c r="AO138">
        <f>IF(DAY($B138)=AO$1,$K138,0)</f>
        <v>0</v>
      </c>
      <c r="AP138">
        <f>IF(DAY($B138)=AP$1,$K138,0)</f>
        <v>0</v>
      </c>
    </row>
    <row r="139" spans="1:42" x14ac:dyDescent="0.3">
      <c r="A139">
        <v>138</v>
      </c>
      <c r="B139" s="1">
        <v>44465</v>
      </c>
      <c r="C139" s="2">
        <v>0.67274305555555547</v>
      </c>
      <c r="D139" s="1">
        <v>44465</v>
      </c>
      <c r="E139" s="3">
        <v>0.74657407407407417</v>
      </c>
      <c r="F139">
        <v>13</v>
      </c>
      <c r="G139">
        <v>24</v>
      </c>
      <c r="H139" s="3">
        <f t="shared" si="9"/>
        <v>7.3831018518518698E-2</v>
      </c>
      <c r="I139" s="3">
        <f t="shared" si="10"/>
        <v>7.3831018518518698E-2</v>
      </c>
      <c r="J139" s="3">
        <f t="shared" si="11"/>
        <v>0</v>
      </c>
      <c r="K139">
        <f t="shared" si="8"/>
        <v>106.31666666666666</v>
      </c>
      <c r="M139">
        <f>IF(DAY(B139)=$M$1,K139,0)</f>
        <v>0</v>
      </c>
      <c r="N139">
        <f>IF(DAY($B139)=N$1,$K139,0)</f>
        <v>0</v>
      </c>
      <c r="O139">
        <f>IF(DAY($B139)=O$1,$K139,0)</f>
        <v>0</v>
      </c>
      <c r="P139">
        <f>IF(DAY($B139)=P$1,$K139,0)</f>
        <v>0</v>
      </c>
      <c r="Q139">
        <f>IF(DAY($B139)=Q$1,$K139,0)</f>
        <v>0</v>
      </c>
      <c r="R139">
        <f>IF(DAY($B139)=R$1,$K139,0)</f>
        <v>0</v>
      </c>
      <c r="S139">
        <f>IF(DAY($B139)=S$1,$K139,0)</f>
        <v>0</v>
      </c>
      <c r="T139">
        <f>IF(DAY($B139)=T$1,$K139,0)</f>
        <v>0</v>
      </c>
      <c r="U139">
        <f>IF(DAY($B139)=U$1,$K139,0)</f>
        <v>0</v>
      </c>
      <c r="V139">
        <f>IF(DAY($B139)=V$1,$K139,0)</f>
        <v>0</v>
      </c>
      <c r="W139">
        <f>IF(DAY($B139)=W$1,$K139,0)</f>
        <v>0</v>
      </c>
      <c r="X139">
        <f>IF(DAY($B139)=X$1,$K139,0)</f>
        <v>0</v>
      </c>
      <c r="Y139">
        <f>IF(DAY($B139)=Y$1,$K139,0)</f>
        <v>0</v>
      </c>
      <c r="Z139">
        <f>IF(DAY($B139)=Z$1,$K139,0)</f>
        <v>0</v>
      </c>
      <c r="AA139">
        <f>IF(DAY($B139)=AA$1,$K139,0)</f>
        <v>0</v>
      </c>
      <c r="AB139">
        <f>IF(DAY($B139)=AB$1,$K139,0)</f>
        <v>0</v>
      </c>
      <c r="AC139">
        <f>IF(DAY($B139)=AC$1,$K139,0)</f>
        <v>0</v>
      </c>
      <c r="AD139">
        <f>IF(DAY($B139)=AD$1,$K139,0)</f>
        <v>0</v>
      </c>
      <c r="AE139">
        <f>IF(DAY($B139)=AE$1,$K139,0)</f>
        <v>0</v>
      </c>
      <c r="AF139">
        <f>IF(DAY($B139)=AF$1,$K139,0)</f>
        <v>0</v>
      </c>
      <c r="AG139">
        <f>IF(DAY($B139)=AG$1,$K139,0)</f>
        <v>0</v>
      </c>
      <c r="AH139">
        <f>IF(DAY($B139)=AH$1,$K139,0)</f>
        <v>0</v>
      </c>
      <c r="AI139">
        <f>IF(DAY($B139)=AI$1,$K139,0)</f>
        <v>0</v>
      </c>
      <c r="AJ139">
        <f>IF(DAY($B139)=AJ$1,$K139,0)</f>
        <v>0</v>
      </c>
      <c r="AK139">
        <f>IF(DAY($B139)=AK$1,$K139,0)</f>
        <v>0</v>
      </c>
      <c r="AL139">
        <f>IF(DAY($B139)=AL$1,$K139,0)</f>
        <v>106.31666666666666</v>
      </c>
      <c r="AM139">
        <f>IF(DAY($B139)=AM$1,$K139,0)</f>
        <v>0</v>
      </c>
      <c r="AN139">
        <f>IF(DAY($B139)=AN$1,$K139,0)</f>
        <v>0</v>
      </c>
      <c r="AO139">
        <f>IF(DAY($B139)=AO$1,$K139,0)</f>
        <v>0</v>
      </c>
      <c r="AP139">
        <f>IF(DAY($B139)=AP$1,$K139,0)</f>
        <v>0</v>
      </c>
    </row>
    <row r="140" spans="1:42" x14ac:dyDescent="0.3">
      <c r="A140">
        <v>139</v>
      </c>
      <c r="B140" s="1">
        <v>44465</v>
      </c>
      <c r="C140" s="2">
        <v>0.79449074074074078</v>
      </c>
      <c r="D140" s="1">
        <v>44465</v>
      </c>
      <c r="E140" s="3">
        <v>0.85421296296296301</v>
      </c>
      <c r="F140">
        <v>15</v>
      </c>
      <c r="G140">
        <v>6</v>
      </c>
      <c r="H140" s="3">
        <f t="shared" si="9"/>
        <v>5.9722222222222232E-2</v>
      </c>
      <c r="I140" s="3">
        <f t="shared" si="10"/>
        <v>5.9722222222222232E-2</v>
      </c>
      <c r="J140" s="3">
        <f t="shared" si="11"/>
        <v>0</v>
      </c>
      <c r="K140">
        <f t="shared" si="8"/>
        <v>86</v>
      </c>
      <c r="M140">
        <f>IF(DAY(B140)=$M$1,K140,0)</f>
        <v>0</v>
      </c>
      <c r="N140">
        <f>IF(DAY($B140)=N$1,$K140,0)</f>
        <v>0</v>
      </c>
      <c r="O140">
        <f>IF(DAY($B140)=O$1,$K140,0)</f>
        <v>0</v>
      </c>
      <c r="P140">
        <f>IF(DAY($B140)=P$1,$K140,0)</f>
        <v>0</v>
      </c>
      <c r="Q140">
        <f>IF(DAY($B140)=Q$1,$K140,0)</f>
        <v>0</v>
      </c>
      <c r="R140">
        <f>IF(DAY($B140)=R$1,$K140,0)</f>
        <v>0</v>
      </c>
      <c r="S140">
        <f>IF(DAY($B140)=S$1,$K140,0)</f>
        <v>0</v>
      </c>
      <c r="T140">
        <f>IF(DAY($B140)=T$1,$K140,0)</f>
        <v>0</v>
      </c>
      <c r="U140">
        <f>IF(DAY($B140)=U$1,$K140,0)</f>
        <v>0</v>
      </c>
      <c r="V140">
        <f>IF(DAY($B140)=V$1,$K140,0)</f>
        <v>0</v>
      </c>
      <c r="W140">
        <f>IF(DAY($B140)=W$1,$K140,0)</f>
        <v>0</v>
      </c>
      <c r="X140">
        <f>IF(DAY($B140)=X$1,$K140,0)</f>
        <v>0</v>
      </c>
      <c r="Y140">
        <f>IF(DAY($B140)=Y$1,$K140,0)</f>
        <v>0</v>
      </c>
      <c r="Z140">
        <f>IF(DAY($B140)=Z$1,$K140,0)</f>
        <v>0</v>
      </c>
      <c r="AA140">
        <f>IF(DAY($B140)=AA$1,$K140,0)</f>
        <v>0</v>
      </c>
      <c r="AB140">
        <f>IF(DAY($B140)=AB$1,$K140,0)</f>
        <v>0</v>
      </c>
      <c r="AC140">
        <f>IF(DAY($B140)=AC$1,$K140,0)</f>
        <v>0</v>
      </c>
      <c r="AD140">
        <f>IF(DAY($B140)=AD$1,$K140,0)</f>
        <v>0</v>
      </c>
      <c r="AE140">
        <f>IF(DAY($B140)=AE$1,$K140,0)</f>
        <v>0</v>
      </c>
      <c r="AF140">
        <f>IF(DAY($B140)=AF$1,$K140,0)</f>
        <v>0</v>
      </c>
      <c r="AG140">
        <f>IF(DAY($B140)=AG$1,$K140,0)</f>
        <v>0</v>
      </c>
      <c r="AH140">
        <f>IF(DAY($B140)=AH$1,$K140,0)</f>
        <v>0</v>
      </c>
      <c r="AI140">
        <f>IF(DAY($B140)=AI$1,$K140,0)</f>
        <v>0</v>
      </c>
      <c r="AJ140">
        <f>IF(DAY($B140)=AJ$1,$K140,0)</f>
        <v>0</v>
      </c>
      <c r="AK140">
        <f>IF(DAY($B140)=AK$1,$K140,0)</f>
        <v>0</v>
      </c>
      <c r="AL140">
        <f>IF(DAY($B140)=AL$1,$K140,0)</f>
        <v>86</v>
      </c>
      <c r="AM140">
        <f>IF(DAY($B140)=AM$1,$K140,0)</f>
        <v>0</v>
      </c>
      <c r="AN140">
        <f>IF(DAY($B140)=AN$1,$K140,0)</f>
        <v>0</v>
      </c>
      <c r="AO140">
        <f>IF(DAY($B140)=AO$1,$K140,0)</f>
        <v>0</v>
      </c>
      <c r="AP140">
        <f>IF(DAY($B140)=AP$1,$K140,0)</f>
        <v>0</v>
      </c>
    </row>
    <row r="141" spans="1:42" x14ac:dyDescent="0.3">
      <c r="A141">
        <v>140</v>
      </c>
      <c r="B141" s="1">
        <v>44466</v>
      </c>
      <c r="C141" s="2">
        <v>0.25283564814814813</v>
      </c>
      <c r="D141" s="1">
        <v>44466</v>
      </c>
      <c r="E141" s="3">
        <v>0.33119212962962963</v>
      </c>
      <c r="F141">
        <v>15</v>
      </c>
      <c r="G141">
        <v>9</v>
      </c>
      <c r="H141" s="3">
        <f t="shared" si="9"/>
        <v>7.8356481481481499E-2</v>
      </c>
      <c r="I141" s="3">
        <f t="shared" si="10"/>
        <v>7.8356481481481499E-2</v>
      </c>
      <c r="J141" s="3">
        <f t="shared" si="11"/>
        <v>0</v>
      </c>
      <c r="K141">
        <f t="shared" si="8"/>
        <v>112.83333333333333</v>
      </c>
      <c r="M141">
        <f>IF(DAY(B141)=$M$1,K141,0)</f>
        <v>0</v>
      </c>
      <c r="N141">
        <f>IF(DAY($B141)=N$1,$K141,0)</f>
        <v>0</v>
      </c>
      <c r="O141">
        <f>IF(DAY($B141)=O$1,$K141,0)</f>
        <v>0</v>
      </c>
      <c r="P141">
        <f>IF(DAY($B141)=P$1,$K141,0)</f>
        <v>0</v>
      </c>
      <c r="Q141">
        <f>IF(DAY($B141)=Q$1,$K141,0)</f>
        <v>0</v>
      </c>
      <c r="R141">
        <f>IF(DAY($B141)=R$1,$K141,0)</f>
        <v>0</v>
      </c>
      <c r="S141">
        <f>IF(DAY($B141)=S$1,$K141,0)</f>
        <v>0</v>
      </c>
      <c r="T141">
        <f>IF(DAY($B141)=T$1,$K141,0)</f>
        <v>0</v>
      </c>
      <c r="U141">
        <f>IF(DAY($B141)=U$1,$K141,0)</f>
        <v>0</v>
      </c>
      <c r="V141">
        <f>IF(DAY($B141)=V$1,$K141,0)</f>
        <v>0</v>
      </c>
      <c r="W141">
        <f>IF(DAY($B141)=W$1,$K141,0)</f>
        <v>0</v>
      </c>
      <c r="X141">
        <f>IF(DAY($B141)=X$1,$K141,0)</f>
        <v>0</v>
      </c>
      <c r="Y141">
        <f>IF(DAY($B141)=Y$1,$K141,0)</f>
        <v>0</v>
      </c>
      <c r="Z141">
        <f>IF(DAY($B141)=Z$1,$K141,0)</f>
        <v>0</v>
      </c>
      <c r="AA141">
        <f>IF(DAY($B141)=AA$1,$K141,0)</f>
        <v>0</v>
      </c>
      <c r="AB141">
        <f>IF(DAY($B141)=AB$1,$K141,0)</f>
        <v>0</v>
      </c>
      <c r="AC141">
        <f>IF(DAY($B141)=AC$1,$K141,0)</f>
        <v>0</v>
      </c>
      <c r="AD141">
        <f>IF(DAY($B141)=AD$1,$K141,0)</f>
        <v>0</v>
      </c>
      <c r="AE141">
        <f>IF(DAY($B141)=AE$1,$K141,0)</f>
        <v>0</v>
      </c>
      <c r="AF141">
        <f>IF(DAY($B141)=AF$1,$K141,0)</f>
        <v>0</v>
      </c>
      <c r="AG141">
        <f>IF(DAY($B141)=AG$1,$K141,0)</f>
        <v>0</v>
      </c>
      <c r="AH141">
        <f>IF(DAY($B141)=AH$1,$K141,0)</f>
        <v>0</v>
      </c>
      <c r="AI141">
        <f>IF(DAY($B141)=AI$1,$K141,0)</f>
        <v>0</v>
      </c>
      <c r="AJ141">
        <f>IF(DAY($B141)=AJ$1,$K141,0)</f>
        <v>0</v>
      </c>
      <c r="AK141">
        <f>IF(DAY($B141)=AK$1,$K141,0)</f>
        <v>0</v>
      </c>
      <c r="AL141">
        <f>IF(DAY($B141)=AL$1,$K141,0)</f>
        <v>0</v>
      </c>
      <c r="AM141">
        <f>IF(DAY($B141)=AM$1,$K141,0)</f>
        <v>112.83333333333333</v>
      </c>
      <c r="AN141">
        <f>IF(DAY($B141)=AN$1,$K141,0)</f>
        <v>0</v>
      </c>
      <c r="AO141">
        <f>IF(DAY($B141)=AO$1,$K141,0)</f>
        <v>0</v>
      </c>
      <c r="AP141">
        <f>IF(DAY($B141)=AP$1,$K141,0)</f>
        <v>0</v>
      </c>
    </row>
    <row r="142" spans="1:42" x14ac:dyDescent="0.3">
      <c r="A142">
        <v>141</v>
      </c>
      <c r="B142" s="1">
        <v>44466</v>
      </c>
      <c r="C142" s="2">
        <v>0.38195601851851851</v>
      </c>
      <c r="D142" s="1">
        <v>44466</v>
      </c>
      <c r="E142" s="3">
        <v>0.42439814814814819</v>
      </c>
      <c r="F142">
        <v>10</v>
      </c>
      <c r="G142">
        <v>19</v>
      </c>
      <c r="H142" s="3">
        <f t="shared" si="9"/>
        <v>4.2442129629629677E-2</v>
      </c>
      <c r="I142" s="3">
        <f t="shared" si="10"/>
        <v>4.2442129629629677E-2</v>
      </c>
      <c r="J142" s="3">
        <f t="shared" si="11"/>
        <v>0</v>
      </c>
      <c r="K142">
        <f t="shared" si="8"/>
        <v>61.116666666666667</v>
      </c>
      <c r="M142">
        <f>IF(DAY(B142)=$M$1,K142,0)</f>
        <v>0</v>
      </c>
      <c r="N142">
        <f>IF(DAY($B142)=N$1,$K142,0)</f>
        <v>0</v>
      </c>
      <c r="O142">
        <f>IF(DAY($B142)=O$1,$K142,0)</f>
        <v>0</v>
      </c>
      <c r="P142">
        <f>IF(DAY($B142)=P$1,$K142,0)</f>
        <v>0</v>
      </c>
      <c r="Q142">
        <f>IF(DAY($B142)=Q$1,$K142,0)</f>
        <v>0</v>
      </c>
      <c r="R142">
        <f>IF(DAY($B142)=R$1,$K142,0)</f>
        <v>0</v>
      </c>
      <c r="S142">
        <f>IF(DAY($B142)=S$1,$K142,0)</f>
        <v>0</v>
      </c>
      <c r="T142">
        <f>IF(DAY($B142)=T$1,$K142,0)</f>
        <v>0</v>
      </c>
      <c r="U142">
        <f>IF(DAY($B142)=U$1,$K142,0)</f>
        <v>0</v>
      </c>
      <c r="V142">
        <f>IF(DAY($B142)=V$1,$K142,0)</f>
        <v>0</v>
      </c>
      <c r="W142">
        <f>IF(DAY($B142)=W$1,$K142,0)</f>
        <v>0</v>
      </c>
      <c r="X142">
        <f>IF(DAY($B142)=X$1,$K142,0)</f>
        <v>0</v>
      </c>
      <c r="Y142">
        <f>IF(DAY($B142)=Y$1,$K142,0)</f>
        <v>0</v>
      </c>
      <c r="Z142">
        <f>IF(DAY($B142)=Z$1,$K142,0)</f>
        <v>0</v>
      </c>
      <c r="AA142">
        <f>IF(DAY($B142)=AA$1,$K142,0)</f>
        <v>0</v>
      </c>
      <c r="AB142">
        <f>IF(DAY($B142)=AB$1,$K142,0)</f>
        <v>0</v>
      </c>
      <c r="AC142">
        <f>IF(DAY($B142)=AC$1,$K142,0)</f>
        <v>0</v>
      </c>
      <c r="AD142">
        <f>IF(DAY($B142)=AD$1,$K142,0)</f>
        <v>0</v>
      </c>
      <c r="AE142">
        <f>IF(DAY($B142)=AE$1,$K142,0)</f>
        <v>0</v>
      </c>
      <c r="AF142">
        <f>IF(DAY($B142)=AF$1,$K142,0)</f>
        <v>0</v>
      </c>
      <c r="AG142">
        <f>IF(DAY($B142)=AG$1,$K142,0)</f>
        <v>0</v>
      </c>
      <c r="AH142">
        <f>IF(DAY($B142)=AH$1,$K142,0)</f>
        <v>0</v>
      </c>
      <c r="AI142">
        <f>IF(DAY($B142)=AI$1,$K142,0)</f>
        <v>0</v>
      </c>
      <c r="AJ142">
        <f>IF(DAY($B142)=AJ$1,$K142,0)</f>
        <v>0</v>
      </c>
      <c r="AK142">
        <f>IF(DAY($B142)=AK$1,$K142,0)</f>
        <v>0</v>
      </c>
      <c r="AL142">
        <f>IF(DAY($B142)=AL$1,$K142,0)</f>
        <v>0</v>
      </c>
      <c r="AM142">
        <f>IF(DAY($B142)=AM$1,$K142,0)</f>
        <v>61.116666666666667</v>
      </c>
      <c r="AN142">
        <f>IF(DAY($B142)=AN$1,$K142,0)</f>
        <v>0</v>
      </c>
      <c r="AO142">
        <f>IF(DAY($B142)=AO$1,$K142,0)</f>
        <v>0</v>
      </c>
      <c r="AP142">
        <f>IF(DAY($B142)=AP$1,$K142,0)</f>
        <v>0</v>
      </c>
    </row>
    <row r="143" spans="1:42" x14ac:dyDescent="0.3">
      <c r="A143">
        <v>142</v>
      </c>
      <c r="B143" s="1">
        <v>44466</v>
      </c>
      <c r="C143" s="2">
        <v>0.54520833333333341</v>
      </c>
      <c r="D143" s="1">
        <v>44466</v>
      </c>
      <c r="E143" s="3">
        <v>0.62854166666666667</v>
      </c>
      <c r="F143">
        <v>1</v>
      </c>
      <c r="G143">
        <v>0</v>
      </c>
      <c r="H143" s="3">
        <f t="shared" si="9"/>
        <v>8.3333333333333259E-2</v>
      </c>
      <c r="I143" s="3">
        <f t="shared" si="10"/>
        <v>8.3333333333333259E-2</v>
      </c>
      <c r="J143" s="3">
        <f t="shared" si="11"/>
        <v>0</v>
      </c>
      <c r="K143">
        <f t="shared" si="8"/>
        <v>120</v>
      </c>
      <c r="M143">
        <f>IF(DAY(B143)=$M$1,K143,0)</f>
        <v>0</v>
      </c>
      <c r="N143">
        <f>IF(DAY($B143)=N$1,$K143,0)</f>
        <v>0</v>
      </c>
      <c r="O143">
        <f>IF(DAY($B143)=O$1,$K143,0)</f>
        <v>0</v>
      </c>
      <c r="P143">
        <f>IF(DAY($B143)=P$1,$K143,0)</f>
        <v>0</v>
      </c>
      <c r="Q143">
        <f>IF(DAY($B143)=Q$1,$K143,0)</f>
        <v>0</v>
      </c>
      <c r="R143">
        <f>IF(DAY($B143)=R$1,$K143,0)</f>
        <v>0</v>
      </c>
      <c r="S143">
        <f>IF(DAY($B143)=S$1,$K143,0)</f>
        <v>0</v>
      </c>
      <c r="T143">
        <f>IF(DAY($B143)=T$1,$K143,0)</f>
        <v>0</v>
      </c>
      <c r="U143">
        <f>IF(DAY($B143)=U$1,$K143,0)</f>
        <v>0</v>
      </c>
      <c r="V143">
        <f>IF(DAY($B143)=V$1,$K143,0)</f>
        <v>0</v>
      </c>
      <c r="W143">
        <f>IF(DAY($B143)=W$1,$K143,0)</f>
        <v>0</v>
      </c>
      <c r="X143">
        <f>IF(DAY($B143)=X$1,$K143,0)</f>
        <v>0</v>
      </c>
      <c r="Y143">
        <f>IF(DAY($B143)=Y$1,$K143,0)</f>
        <v>0</v>
      </c>
      <c r="Z143">
        <f>IF(DAY($B143)=Z$1,$K143,0)</f>
        <v>0</v>
      </c>
      <c r="AA143">
        <f>IF(DAY($B143)=AA$1,$K143,0)</f>
        <v>0</v>
      </c>
      <c r="AB143">
        <f>IF(DAY($B143)=AB$1,$K143,0)</f>
        <v>0</v>
      </c>
      <c r="AC143">
        <f>IF(DAY($B143)=AC$1,$K143,0)</f>
        <v>0</v>
      </c>
      <c r="AD143">
        <f>IF(DAY($B143)=AD$1,$K143,0)</f>
        <v>0</v>
      </c>
      <c r="AE143">
        <f>IF(DAY($B143)=AE$1,$K143,0)</f>
        <v>0</v>
      </c>
      <c r="AF143">
        <f>IF(DAY($B143)=AF$1,$K143,0)</f>
        <v>0</v>
      </c>
      <c r="AG143">
        <f>IF(DAY($B143)=AG$1,$K143,0)</f>
        <v>0</v>
      </c>
      <c r="AH143">
        <f>IF(DAY($B143)=AH$1,$K143,0)</f>
        <v>0</v>
      </c>
      <c r="AI143">
        <f>IF(DAY($B143)=AI$1,$K143,0)</f>
        <v>0</v>
      </c>
      <c r="AJ143">
        <f>IF(DAY($B143)=AJ$1,$K143,0)</f>
        <v>0</v>
      </c>
      <c r="AK143">
        <f>IF(DAY($B143)=AK$1,$K143,0)</f>
        <v>0</v>
      </c>
      <c r="AL143">
        <f>IF(DAY($B143)=AL$1,$K143,0)</f>
        <v>0</v>
      </c>
      <c r="AM143">
        <f>IF(DAY($B143)=AM$1,$K143,0)</f>
        <v>120</v>
      </c>
      <c r="AN143">
        <f>IF(DAY($B143)=AN$1,$K143,0)</f>
        <v>0</v>
      </c>
      <c r="AO143">
        <f>IF(DAY($B143)=AO$1,$K143,0)</f>
        <v>0</v>
      </c>
      <c r="AP143">
        <f>IF(DAY($B143)=AP$1,$K143,0)</f>
        <v>0</v>
      </c>
    </row>
    <row r="144" spans="1:42" x14ac:dyDescent="0.3">
      <c r="A144">
        <v>143</v>
      </c>
      <c r="B144" s="1">
        <v>44466</v>
      </c>
      <c r="C144" s="2">
        <v>0.71118055555555548</v>
      </c>
      <c r="D144" s="1">
        <v>44466</v>
      </c>
      <c r="E144" s="3">
        <v>0.79310185185185178</v>
      </c>
      <c r="F144">
        <v>3</v>
      </c>
      <c r="G144">
        <v>0</v>
      </c>
      <c r="H144" s="3">
        <f t="shared" si="9"/>
        <v>8.1921296296296298E-2</v>
      </c>
      <c r="I144" s="3">
        <f t="shared" si="10"/>
        <v>8.1921296296296298E-2</v>
      </c>
      <c r="J144" s="3">
        <f t="shared" si="11"/>
        <v>0</v>
      </c>
      <c r="K144">
        <f t="shared" si="8"/>
        <v>117.96666666666667</v>
      </c>
      <c r="M144">
        <f>IF(DAY(B144)=$M$1,K144,0)</f>
        <v>0</v>
      </c>
      <c r="N144">
        <f>IF(DAY($B144)=N$1,$K144,0)</f>
        <v>0</v>
      </c>
      <c r="O144">
        <f>IF(DAY($B144)=O$1,$K144,0)</f>
        <v>0</v>
      </c>
      <c r="P144">
        <f>IF(DAY($B144)=P$1,$K144,0)</f>
        <v>0</v>
      </c>
      <c r="Q144">
        <f>IF(DAY($B144)=Q$1,$K144,0)</f>
        <v>0</v>
      </c>
      <c r="R144">
        <f>IF(DAY($B144)=R$1,$K144,0)</f>
        <v>0</v>
      </c>
      <c r="S144">
        <f>IF(DAY($B144)=S$1,$K144,0)</f>
        <v>0</v>
      </c>
      <c r="T144">
        <f>IF(DAY($B144)=T$1,$K144,0)</f>
        <v>0</v>
      </c>
      <c r="U144">
        <f>IF(DAY($B144)=U$1,$K144,0)</f>
        <v>0</v>
      </c>
      <c r="V144">
        <f>IF(DAY($B144)=V$1,$K144,0)</f>
        <v>0</v>
      </c>
      <c r="W144">
        <f>IF(DAY($B144)=W$1,$K144,0)</f>
        <v>0</v>
      </c>
      <c r="X144">
        <f>IF(DAY($B144)=X$1,$K144,0)</f>
        <v>0</v>
      </c>
      <c r="Y144">
        <f>IF(DAY($B144)=Y$1,$K144,0)</f>
        <v>0</v>
      </c>
      <c r="Z144">
        <f>IF(DAY($B144)=Z$1,$K144,0)</f>
        <v>0</v>
      </c>
      <c r="AA144">
        <f>IF(DAY($B144)=AA$1,$K144,0)</f>
        <v>0</v>
      </c>
      <c r="AB144">
        <f>IF(DAY($B144)=AB$1,$K144,0)</f>
        <v>0</v>
      </c>
      <c r="AC144">
        <f>IF(DAY($B144)=AC$1,$K144,0)</f>
        <v>0</v>
      </c>
      <c r="AD144">
        <f>IF(DAY($B144)=AD$1,$K144,0)</f>
        <v>0</v>
      </c>
      <c r="AE144">
        <f>IF(DAY($B144)=AE$1,$K144,0)</f>
        <v>0</v>
      </c>
      <c r="AF144">
        <f>IF(DAY($B144)=AF$1,$K144,0)</f>
        <v>0</v>
      </c>
      <c r="AG144">
        <f>IF(DAY($B144)=AG$1,$K144,0)</f>
        <v>0</v>
      </c>
      <c r="AH144">
        <f>IF(DAY($B144)=AH$1,$K144,0)</f>
        <v>0</v>
      </c>
      <c r="AI144">
        <f>IF(DAY($B144)=AI$1,$K144,0)</f>
        <v>0</v>
      </c>
      <c r="AJ144">
        <f>IF(DAY($B144)=AJ$1,$K144,0)</f>
        <v>0</v>
      </c>
      <c r="AK144">
        <f>IF(DAY($B144)=AK$1,$K144,0)</f>
        <v>0</v>
      </c>
      <c r="AL144">
        <f>IF(DAY($B144)=AL$1,$K144,0)</f>
        <v>0</v>
      </c>
      <c r="AM144">
        <f>IF(DAY($B144)=AM$1,$K144,0)</f>
        <v>117.96666666666667</v>
      </c>
      <c r="AN144">
        <f>IF(DAY($B144)=AN$1,$K144,0)</f>
        <v>0</v>
      </c>
      <c r="AO144">
        <f>IF(DAY($B144)=AO$1,$K144,0)</f>
        <v>0</v>
      </c>
      <c r="AP144">
        <f>IF(DAY($B144)=AP$1,$K144,0)</f>
        <v>0</v>
      </c>
    </row>
    <row r="145" spans="1:42" x14ac:dyDescent="0.3">
      <c r="A145">
        <v>144</v>
      </c>
      <c r="B145" s="1">
        <v>44467</v>
      </c>
      <c r="C145" s="2">
        <v>0.41951388888888891</v>
      </c>
      <c r="D145" s="1">
        <v>44467</v>
      </c>
      <c r="E145" s="3">
        <v>0.4959027777777778</v>
      </c>
      <c r="F145">
        <v>9</v>
      </c>
      <c r="G145">
        <v>14</v>
      </c>
      <c r="H145" s="3">
        <f t="shared" si="9"/>
        <v>7.6388888888888895E-2</v>
      </c>
      <c r="I145" s="3">
        <f t="shared" si="10"/>
        <v>7.6388888888888895E-2</v>
      </c>
      <c r="J145" s="3">
        <f t="shared" si="11"/>
        <v>0</v>
      </c>
      <c r="K145">
        <f t="shared" si="8"/>
        <v>110</v>
      </c>
      <c r="M145">
        <f>IF(DAY(B145)=$M$1,K145,0)</f>
        <v>0</v>
      </c>
      <c r="N145">
        <f>IF(DAY($B145)=N$1,$K145,0)</f>
        <v>0</v>
      </c>
      <c r="O145">
        <f>IF(DAY($B145)=O$1,$K145,0)</f>
        <v>0</v>
      </c>
      <c r="P145">
        <f>IF(DAY($B145)=P$1,$K145,0)</f>
        <v>0</v>
      </c>
      <c r="Q145">
        <f>IF(DAY($B145)=Q$1,$K145,0)</f>
        <v>0</v>
      </c>
      <c r="R145">
        <f>IF(DAY($B145)=R$1,$K145,0)</f>
        <v>0</v>
      </c>
      <c r="S145">
        <f>IF(DAY($B145)=S$1,$K145,0)</f>
        <v>0</v>
      </c>
      <c r="T145">
        <f>IF(DAY($B145)=T$1,$K145,0)</f>
        <v>0</v>
      </c>
      <c r="U145">
        <f>IF(DAY($B145)=U$1,$K145,0)</f>
        <v>0</v>
      </c>
      <c r="V145">
        <f>IF(DAY($B145)=V$1,$K145,0)</f>
        <v>0</v>
      </c>
      <c r="W145">
        <f>IF(DAY($B145)=W$1,$K145,0)</f>
        <v>0</v>
      </c>
      <c r="X145">
        <f>IF(DAY($B145)=X$1,$K145,0)</f>
        <v>0</v>
      </c>
      <c r="Y145">
        <f>IF(DAY($B145)=Y$1,$K145,0)</f>
        <v>0</v>
      </c>
      <c r="Z145">
        <f>IF(DAY($B145)=Z$1,$K145,0)</f>
        <v>0</v>
      </c>
      <c r="AA145">
        <f>IF(DAY($B145)=AA$1,$K145,0)</f>
        <v>0</v>
      </c>
      <c r="AB145">
        <f>IF(DAY($B145)=AB$1,$K145,0)</f>
        <v>0</v>
      </c>
      <c r="AC145">
        <f>IF(DAY($B145)=AC$1,$K145,0)</f>
        <v>0</v>
      </c>
      <c r="AD145">
        <f>IF(DAY($B145)=AD$1,$K145,0)</f>
        <v>0</v>
      </c>
      <c r="AE145">
        <f>IF(DAY($B145)=AE$1,$K145,0)</f>
        <v>0</v>
      </c>
      <c r="AF145">
        <f>IF(DAY($B145)=AF$1,$K145,0)</f>
        <v>0</v>
      </c>
      <c r="AG145">
        <f>IF(DAY($B145)=AG$1,$K145,0)</f>
        <v>0</v>
      </c>
      <c r="AH145">
        <f>IF(DAY($B145)=AH$1,$K145,0)</f>
        <v>0</v>
      </c>
      <c r="AI145">
        <f>IF(DAY($B145)=AI$1,$K145,0)</f>
        <v>0</v>
      </c>
      <c r="AJ145">
        <f>IF(DAY($B145)=AJ$1,$K145,0)</f>
        <v>0</v>
      </c>
      <c r="AK145">
        <f>IF(DAY($B145)=AK$1,$K145,0)</f>
        <v>0</v>
      </c>
      <c r="AL145">
        <f>IF(DAY($B145)=AL$1,$K145,0)</f>
        <v>0</v>
      </c>
      <c r="AM145">
        <f>IF(DAY($B145)=AM$1,$K145,0)</f>
        <v>0</v>
      </c>
      <c r="AN145">
        <f>IF(DAY($B145)=AN$1,$K145,0)</f>
        <v>110</v>
      </c>
      <c r="AO145">
        <f>IF(DAY($B145)=AO$1,$K145,0)</f>
        <v>0</v>
      </c>
      <c r="AP145">
        <f>IF(DAY($B145)=AP$1,$K145,0)</f>
        <v>0</v>
      </c>
    </row>
    <row r="146" spans="1:42" x14ac:dyDescent="0.3">
      <c r="A146">
        <v>145</v>
      </c>
      <c r="B146" s="1">
        <v>44467</v>
      </c>
      <c r="C146" s="2">
        <v>0.54101851851851845</v>
      </c>
      <c r="D146" s="1">
        <v>44467</v>
      </c>
      <c r="E146" s="3">
        <v>0.62842592592592594</v>
      </c>
      <c r="F146">
        <v>11</v>
      </c>
      <c r="G146">
        <v>13</v>
      </c>
      <c r="H146" s="3">
        <f t="shared" si="9"/>
        <v>8.7407407407407489E-2</v>
      </c>
      <c r="I146" s="3">
        <f t="shared" si="10"/>
        <v>8.7407407407407489E-2</v>
      </c>
      <c r="J146" s="3">
        <f t="shared" si="11"/>
        <v>0</v>
      </c>
      <c r="K146">
        <f t="shared" si="8"/>
        <v>125.86666666666666</v>
      </c>
      <c r="M146">
        <f>IF(DAY(B146)=$M$1,K146,0)</f>
        <v>0</v>
      </c>
      <c r="N146">
        <f>IF(DAY($B146)=N$1,$K146,0)</f>
        <v>0</v>
      </c>
      <c r="O146">
        <f>IF(DAY($B146)=O$1,$K146,0)</f>
        <v>0</v>
      </c>
      <c r="P146">
        <f>IF(DAY($B146)=P$1,$K146,0)</f>
        <v>0</v>
      </c>
      <c r="Q146">
        <f>IF(DAY($B146)=Q$1,$K146,0)</f>
        <v>0</v>
      </c>
      <c r="R146">
        <f>IF(DAY($B146)=R$1,$K146,0)</f>
        <v>0</v>
      </c>
      <c r="S146">
        <f>IF(DAY($B146)=S$1,$K146,0)</f>
        <v>0</v>
      </c>
      <c r="T146">
        <f>IF(DAY($B146)=T$1,$K146,0)</f>
        <v>0</v>
      </c>
      <c r="U146">
        <f>IF(DAY($B146)=U$1,$K146,0)</f>
        <v>0</v>
      </c>
      <c r="V146">
        <f>IF(DAY($B146)=V$1,$K146,0)</f>
        <v>0</v>
      </c>
      <c r="W146">
        <f>IF(DAY($B146)=W$1,$K146,0)</f>
        <v>0</v>
      </c>
      <c r="X146">
        <f>IF(DAY($B146)=X$1,$K146,0)</f>
        <v>0</v>
      </c>
      <c r="Y146">
        <f>IF(DAY($B146)=Y$1,$K146,0)</f>
        <v>0</v>
      </c>
      <c r="Z146">
        <f>IF(DAY($B146)=Z$1,$K146,0)</f>
        <v>0</v>
      </c>
      <c r="AA146">
        <f>IF(DAY($B146)=AA$1,$K146,0)</f>
        <v>0</v>
      </c>
      <c r="AB146">
        <f>IF(DAY($B146)=AB$1,$K146,0)</f>
        <v>0</v>
      </c>
      <c r="AC146">
        <f>IF(DAY($B146)=AC$1,$K146,0)</f>
        <v>0</v>
      </c>
      <c r="AD146">
        <f>IF(DAY($B146)=AD$1,$K146,0)</f>
        <v>0</v>
      </c>
      <c r="AE146">
        <f>IF(DAY($B146)=AE$1,$K146,0)</f>
        <v>0</v>
      </c>
      <c r="AF146">
        <f>IF(DAY($B146)=AF$1,$K146,0)</f>
        <v>0</v>
      </c>
      <c r="AG146">
        <f>IF(DAY($B146)=AG$1,$K146,0)</f>
        <v>0</v>
      </c>
      <c r="AH146">
        <f>IF(DAY($B146)=AH$1,$K146,0)</f>
        <v>0</v>
      </c>
      <c r="AI146">
        <f>IF(DAY($B146)=AI$1,$K146,0)</f>
        <v>0</v>
      </c>
      <c r="AJ146">
        <f>IF(DAY($B146)=AJ$1,$K146,0)</f>
        <v>0</v>
      </c>
      <c r="AK146">
        <f>IF(DAY($B146)=AK$1,$K146,0)</f>
        <v>0</v>
      </c>
      <c r="AL146">
        <f>IF(DAY($B146)=AL$1,$K146,0)</f>
        <v>0</v>
      </c>
      <c r="AM146">
        <f>IF(DAY($B146)=AM$1,$K146,0)</f>
        <v>0</v>
      </c>
      <c r="AN146">
        <f>IF(DAY($B146)=AN$1,$K146,0)</f>
        <v>125.86666666666666</v>
      </c>
      <c r="AO146">
        <f>IF(DAY($B146)=AO$1,$K146,0)</f>
        <v>0</v>
      </c>
      <c r="AP146">
        <f>IF(DAY($B146)=AP$1,$K146,0)</f>
        <v>0</v>
      </c>
    </row>
    <row r="147" spans="1:42" x14ac:dyDescent="0.3">
      <c r="A147">
        <v>146</v>
      </c>
      <c r="B147" s="1">
        <v>44467</v>
      </c>
      <c r="C147" s="2">
        <v>0.7125462962962964</v>
      </c>
      <c r="D147" s="1">
        <v>44467</v>
      </c>
      <c r="E147" s="3">
        <v>0.75473379629629633</v>
      </c>
      <c r="F147">
        <v>12</v>
      </c>
      <c r="G147">
        <v>9</v>
      </c>
      <c r="H147" s="3">
        <f t="shared" si="9"/>
        <v>4.2187499999999933E-2</v>
      </c>
      <c r="I147" s="3">
        <f t="shared" si="10"/>
        <v>4.2187499999999933E-2</v>
      </c>
      <c r="J147" s="3">
        <f t="shared" si="11"/>
        <v>0</v>
      </c>
      <c r="K147">
        <f t="shared" si="8"/>
        <v>60.75</v>
      </c>
      <c r="M147">
        <f>IF(DAY(B147)=$M$1,K147,0)</f>
        <v>0</v>
      </c>
      <c r="N147">
        <f>IF(DAY($B147)=N$1,$K147,0)</f>
        <v>0</v>
      </c>
      <c r="O147">
        <f>IF(DAY($B147)=O$1,$K147,0)</f>
        <v>0</v>
      </c>
      <c r="P147">
        <f>IF(DAY($B147)=P$1,$K147,0)</f>
        <v>0</v>
      </c>
      <c r="Q147">
        <f>IF(DAY($B147)=Q$1,$K147,0)</f>
        <v>0</v>
      </c>
      <c r="R147">
        <f>IF(DAY($B147)=R$1,$K147,0)</f>
        <v>0</v>
      </c>
      <c r="S147">
        <f>IF(DAY($B147)=S$1,$K147,0)</f>
        <v>0</v>
      </c>
      <c r="T147">
        <f>IF(DAY($B147)=T$1,$K147,0)</f>
        <v>0</v>
      </c>
      <c r="U147">
        <f>IF(DAY($B147)=U$1,$K147,0)</f>
        <v>0</v>
      </c>
      <c r="V147">
        <f>IF(DAY($B147)=V$1,$K147,0)</f>
        <v>0</v>
      </c>
      <c r="W147">
        <f>IF(DAY($B147)=W$1,$K147,0)</f>
        <v>0</v>
      </c>
      <c r="X147">
        <f>IF(DAY($B147)=X$1,$K147,0)</f>
        <v>0</v>
      </c>
      <c r="Y147">
        <f>IF(DAY($B147)=Y$1,$K147,0)</f>
        <v>0</v>
      </c>
      <c r="Z147">
        <f>IF(DAY($B147)=Z$1,$K147,0)</f>
        <v>0</v>
      </c>
      <c r="AA147">
        <f>IF(DAY($B147)=AA$1,$K147,0)</f>
        <v>0</v>
      </c>
      <c r="AB147">
        <f>IF(DAY($B147)=AB$1,$K147,0)</f>
        <v>0</v>
      </c>
      <c r="AC147">
        <f>IF(DAY($B147)=AC$1,$K147,0)</f>
        <v>0</v>
      </c>
      <c r="AD147">
        <f>IF(DAY($B147)=AD$1,$K147,0)</f>
        <v>0</v>
      </c>
      <c r="AE147">
        <f>IF(DAY($B147)=AE$1,$K147,0)</f>
        <v>0</v>
      </c>
      <c r="AF147">
        <f>IF(DAY($B147)=AF$1,$K147,0)</f>
        <v>0</v>
      </c>
      <c r="AG147">
        <f>IF(DAY($B147)=AG$1,$K147,0)</f>
        <v>0</v>
      </c>
      <c r="AH147">
        <f>IF(DAY($B147)=AH$1,$K147,0)</f>
        <v>0</v>
      </c>
      <c r="AI147">
        <f>IF(DAY($B147)=AI$1,$K147,0)</f>
        <v>0</v>
      </c>
      <c r="AJ147">
        <f>IF(DAY($B147)=AJ$1,$K147,0)</f>
        <v>0</v>
      </c>
      <c r="AK147">
        <f>IF(DAY($B147)=AK$1,$K147,0)</f>
        <v>0</v>
      </c>
      <c r="AL147">
        <f>IF(DAY($B147)=AL$1,$K147,0)</f>
        <v>0</v>
      </c>
      <c r="AM147">
        <f>IF(DAY($B147)=AM$1,$K147,0)</f>
        <v>0</v>
      </c>
      <c r="AN147">
        <f>IF(DAY($B147)=AN$1,$K147,0)</f>
        <v>60.75</v>
      </c>
      <c r="AO147">
        <f>IF(DAY($B147)=AO$1,$K147,0)</f>
        <v>0</v>
      </c>
      <c r="AP147">
        <f>IF(DAY($B147)=AP$1,$K147,0)</f>
        <v>0</v>
      </c>
    </row>
    <row r="148" spans="1:42" x14ac:dyDescent="0.3">
      <c r="A148">
        <v>147</v>
      </c>
      <c r="B148" s="1">
        <v>44467</v>
      </c>
      <c r="C148" s="2">
        <v>0.79166666666666663</v>
      </c>
      <c r="D148" s="1">
        <v>44467</v>
      </c>
      <c r="E148" s="3">
        <v>0.87570601851851848</v>
      </c>
      <c r="F148">
        <v>14</v>
      </c>
      <c r="G148">
        <v>9</v>
      </c>
      <c r="H148" s="3">
        <f t="shared" si="9"/>
        <v>8.4039351851851851E-2</v>
      </c>
      <c r="I148" s="3">
        <f t="shared" si="10"/>
        <v>8.4039351851851851E-2</v>
      </c>
      <c r="J148" s="3">
        <f t="shared" si="11"/>
        <v>0</v>
      </c>
      <c r="K148">
        <f t="shared" si="8"/>
        <v>121.01666666666667</v>
      </c>
      <c r="M148">
        <f>IF(DAY(B148)=$M$1,K148,0)</f>
        <v>0</v>
      </c>
      <c r="N148">
        <f>IF(DAY($B148)=N$1,$K148,0)</f>
        <v>0</v>
      </c>
      <c r="O148">
        <f>IF(DAY($B148)=O$1,$K148,0)</f>
        <v>0</v>
      </c>
      <c r="P148">
        <f>IF(DAY($B148)=P$1,$K148,0)</f>
        <v>0</v>
      </c>
      <c r="Q148">
        <f>IF(DAY($B148)=Q$1,$K148,0)</f>
        <v>0</v>
      </c>
      <c r="R148">
        <f>IF(DAY($B148)=R$1,$K148,0)</f>
        <v>0</v>
      </c>
      <c r="S148">
        <f>IF(DAY($B148)=S$1,$K148,0)</f>
        <v>0</v>
      </c>
      <c r="T148">
        <f>IF(DAY($B148)=T$1,$K148,0)</f>
        <v>0</v>
      </c>
      <c r="U148">
        <f>IF(DAY($B148)=U$1,$K148,0)</f>
        <v>0</v>
      </c>
      <c r="V148">
        <f>IF(DAY($B148)=V$1,$K148,0)</f>
        <v>0</v>
      </c>
      <c r="W148">
        <f>IF(DAY($B148)=W$1,$K148,0)</f>
        <v>0</v>
      </c>
      <c r="X148">
        <f>IF(DAY($B148)=X$1,$K148,0)</f>
        <v>0</v>
      </c>
      <c r="Y148">
        <f>IF(DAY($B148)=Y$1,$K148,0)</f>
        <v>0</v>
      </c>
      <c r="Z148">
        <f>IF(DAY($B148)=Z$1,$K148,0)</f>
        <v>0</v>
      </c>
      <c r="AA148">
        <f>IF(DAY($B148)=AA$1,$K148,0)</f>
        <v>0</v>
      </c>
      <c r="AB148">
        <f>IF(DAY($B148)=AB$1,$K148,0)</f>
        <v>0</v>
      </c>
      <c r="AC148">
        <f>IF(DAY($B148)=AC$1,$K148,0)</f>
        <v>0</v>
      </c>
      <c r="AD148">
        <f>IF(DAY($B148)=AD$1,$K148,0)</f>
        <v>0</v>
      </c>
      <c r="AE148">
        <f>IF(DAY($B148)=AE$1,$K148,0)</f>
        <v>0</v>
      </c>
      <c r="AF148">
        <f>IF(DAY($B148)=AF$1,$K148,0)</f>
        <v>0</v>
      </c>
      <c r="AG148">
        <f>IF(DAY($B148)=AG$1,$K148,0)</f>
        <v>0</v>
      </c>
      <c r="AH148">
        <f>IF(DAY($B148)=AH$1,$K148,0)</f>
        <v>0</v>
      </c>
      <c r="AI148">
        <f>IF(DAY($B148)=AI$1,$K148,0)</f>
        <v>0</v>
      </c>
      <c r="AJ148">
        <f>IF(DAY($B148)=AJ$1,$K148,0)</f>
        <v>0</v>
      </c>
      <c r="AK148">
        <f>IF(DAY($B148)=AK$1,$K148,0)</f>
        <v>0</v>
      </c>
      <c r="AL148">
        <f>IF(DAY($B148)=AL$1,$K148,0)</f>
        <v>0</v>
      </c>
      <c r="AM148">
        <f>IF(DAY($B148)=AM$1,$K148,0)</f>
        <v>0</v>
      </c>
      <c r="AN148">
        <f>IF(DAY($B148)=AN$1,$K148,0)</f>
        <v>121.01666666666667</v>
      </c>
      <c r="AO148">
        <f>IF(DAY($B148)=AO$1,$K148,0)</f>
        <v>0</v>
      </c>
      <c r="AP148">
        <f>IF(DAY($B148)=AP$1,$K148,0)</f>
        <v>0</v>
      </c>
    </row>
    <row r="149" spans="1:42" x14ac:dyDescent="0.3">
      <c r="A149">
        <v>148</v>
      </c>
      <c r="B149" s="1">
        <v>44468</v>
      </c>
      <c r="C149" s="2">
        <v>0.29934027777777777</v>
      </c>
      <c r="D149" s="1">
        <v>44468</v>
      </c>
      <c r="E149" s="3">
        <v>0.37398148148148147</v>
      </c>
      <c r="F149">
        <v>12</v>
      </c>
      <c r="G149">
        <v>16</v>
      </c>
      <c r="H149" s="3">
        <f t="shared" si="9"/>
        <v>7.4641203703703696E-2</v>
      </c>
      <c r="I149" s="3">
        <f t="shared" si="10"/>
        <v>7.4641203703703696E-2</v>
      </c>
      <c r="J149" s="3">
        <f t="shared" si="11"/>
        <v>0</v>
      </c>
      <c r="K149">
        <f t="shared" si="8"/>
        <v>107.48333333333333</v>
      </c>
      <c r="M149">
        <f>IF(DAY(B149)=$M$1,K149,0)</f>
        <v>0</v>
      </c>
      <c r="N149">
        <f>IF(DAY($B149)=N$1,$K149,0)</f>
        <v>0</v>
      </c>
      <c r="O149">
        <f>IF(DAY($B149)=O$1,$K149,0)</f>
        <v>0</v>
      </c>
      <c r="P149">
        <f>IF(DAY($B149)=P$1,$K149,0)</f>
        <v>0</v>
      </c>
      <c r="Q149">
        <f>IF(DAY($B149)=Q$1,$K149,0)</f>
        <v>0</v>
      </c>
      <c r="R149">
        <f>IF(DAY($B149)=R$1,$K149,0)</f>
        <v>0</v>
      </c>
      <c r="S149">
        <f>IF(DAY($B149)=S$1,$K149,0)</f>
        <v>0</v>
      </c>
      <c r="T149">
        <f>IF(DAY($B149)=T$1,$K149,0)</f>
        <v>0</v>
      </c>
      <c r="U149">
        <f>IF(DAY($B149)=U$1,$K149,0)</f>
        <v>0</v>
      </c>
      <c r="V149">
        <f>IF(DAY($B149)=V$1,$K149,0)</f>
        <v>0</v>
      </c>
      <c r="W149">
        <f>IF(DAY($B149)=W$1,$K149,0)</f>
        <v>0</v>
      </c>
      <c r="X149">
        <f>IF(DAY($B149)=X$1,$K149,0)</f>
        <v>0</v>
      </c>
      <c r="Y149">
        <f>IF(DAY($B149)=Y$1,$K149,0)</f>
        <v>0</v>
      </c>
      <c r="Z149">
        <f>IF(DAY($B149)=Z$1,$K149,0)</f>
        <v>0</v>
      </c>
      <c r="AA149">
        <f>IF(DAY($B149)=AA$1,$K149,0)</f>
        <v>0</v>
      </c>
      <c r="AB149">
        <f>IF(DAY($B149)=AB$1,$K149,0)</f>
        <v>0</v>
      </c>
      <c r="AC149">
        <f>IF(DAY($B149)=AC$1,$K149,0)</f>
        <v>0</v>
      </c>
      <c r="AD149">
        <f>IF(DAY($B149)=AD$1,$K149,0)</f>
        <v>0</v>
      </c>
      <c r="AE149">
        <f>IF(DAY($B149)=AE$1,$K149,0)</f>
        <v>0</v>
      </c>
      <c r="AF149">
        <f>IF(DAY($B149)=AF$1,$K149,0)</f>
        <v>0</v>
      </c>
      <c r="AG149">
        <f>IF(DAY($B149)=AG$1,$K149,0)</f>
        <v>0</v>
      </c>
      <c r="AH149">
        <f>IF(DAY($B149)=AH$1,$K149,0)</f>
        <v>0</v>
      </c>
      <c r="AI149">
        <f>IF(DAY($B149)=AI$1,$K149,0)</f>
        <v>0</v>
      </c>
      <c r="AJ149">
        <f>IF(DAY($B149)=AJ$1,$K149,0)</f>
        <v>0</v>
      </c>
      <c r="AK149">
        <f>IF(DAY($B149)=AK$1,$K149,0)</f>
        <v>0</v>
      </c>
      <c r="AL149">
        <f>IF(DAY($B149)=AL$1,$K149,0)</f>
        <v>0</v>
      </c>
      <c r="AM149">
        <f>IF(DAY($B149)=AM$1,$K149,0)</f>
        <v>0</v>
      </c>
      <c r="AN149">
        <f>IF(DAY($B149)=AN$1,$K149,0)</f>
        <v>0</v>
      </c>
      <c r="AO149">
        <f>IF(DAY($B149)=AO$1,$K149,0)</f>
        <v>107.48333333333333</v>
      </c>
      <c r="AP149">
        <f>IF(DAY($B149)=AP$1,$K149,0)</f>
        <v>0</v>
      </c>
    </row>
    <row r="150" spans="1:42" x14ac:dyDescent="0.3">
      <c r="A150">
        <v>149</v>
      </c>
      <c r="B150" s="1">
        <v>44468</v>
      </c>
      <c r="C150" s="2">
        <v>0.41740740740740739</v>
      </c>
      <c r="D150" s="1">
        <v>44468</v>
      </c>
      <c r="E150" s="3">
        <v>0.50071759259259252</v>
      </c>
      <c r="F150">
        <v>9</v>
      </c>
      <c r="G150">
        <v>21</v>
      </c>
      <c r="H150" s="3">
        <f t="shared" si="9"/>
        <v>8.3310185185185126E-2</v>
      </c>
      <c r="I150" s="3">
        <f t="shared" si="10"/>
        <v>8.3310185185185126E-2</v>
      </c>
      <c r="J150" s="3">
        <f t="shared" si="11"/>
        <v>0</v>
      </c>
      <c r="K150">
        <f t="shared" si="8"/>
        <v>119.96666666666667</v>
      </c>
      <c r="M150">
        <f>IF(DAY(B150)=$M$1,K150,0)</f>
        <v>0</v>
      </c>
      <c r="N150">
        <f>IF(DAY($B150)=N$1,$K150,0)</f>
        <v>0</v>
      </c>
      <c r="O150">
        <f>IF(DAY($B150)=O$1,$K150,0)</f>
        <v>0</v>
      </c>
      <c r="P150">
        <f>IF(DAY($B150)=P$1,$K150,0)</f>
        <v>0</v>
      </c>
      <c r="Q150">
        <f>IF(DAY($B150)=Q$1,$K150,0)</f>
        <v>0</v>
      </c>
      <c r="R150">
        <f>IF(DAY($B150)=R$1,$K150,0)</f>
        <v>0</v>
      </c>
      <c r="S150">
        <f>IF(DAY($B150)=S$1,$K150,0)</f>
        <v>0</v>
      </c>
      <c r="T150">
        <f>IF(DAY($B150)=T$1,$K150,0)</f>
        <v>0</v>
      </c>
      <c r="U150">
        <f>IF(DAY($B150)=U$1,$K150,0)</f>
        <v>0</v>
      </c>
      <c r="V150">
        <f>IF(DAY($B150)=V$1,$K150,0)</f>
        <v>0</v>
      </c>
      <c r="W150">
        <f>IF(DAY($B150)=W$1,$K150,0)</f>
        <v>0</v>
      </c>
      <c r="X150">
        <f>IF(DAY($B150)=X$1,$K150,0)</f>
        <v>0</v>
      </c>
      <c r="Y150">
        <f>IF(DAY($B150)=Y$1,$K150,0)</f>
        <v>0</v>
      </c>
      <c r="Z150">
        <f>IF(DAY($B150)=Z$1,$K150,0)</f>
        <v>0</v>
      </c>
      <c r="AA150">
        <f>IF(DAY($B150)=AA$1,$K150,0)</f>
        <v>0</v>
      </c>
      <c r="AB150">
        <f>IF(DAY($B150)=AB$1,$K150,0)</f>
        <v>0</v>
      </c>
      <c r="AC150">
        <f>IF(DAY($B150)=AC$1,$K150,0)</f>
        <v>0</v>
      </c>
      <c r="AD150">
        <f>IF(DAY($B150)=AD$1,$K150,0)</f>
        <v>0</v>
      </c>
      <c r="AE150">
        <f>IF(DAY($B150)=AE$1,$K150,0)</f>
        <v>0</v>
      </c>
      <c r="AF150">
        <f>IF(DAY($B150)=AF$1,$K150,0)</f>
        <v>0</v>
      </c>
      <c r="AG150">
        <f>IF(DAY($B150)=AG$1,$K150,0)</f>
        <v>0</v>
      </c>
      <c r="AH150">
        <f>IF(DAY($B150)=AH$1,$K150,0)</f>
        <v>0</v>
      </c>
      <c r="AI150">
        <f>IF(DAY($B150)=AI$1,$K150,0)</f>
        <v>0</v>
      </c>
      <c r="AJ150">
        <f>IF(DAY($B150)=AJ$1,$K150,0)</f>
        <v>0</v>
      </c>
      <c r="AK150">
        <f>IF(DAY($B150)=AK$1,$K150,0)</f>
        <v>0</v>
      </c>
      <c r="AL150">
        <f>IF(DAY($B150)=AL$1,$K150,0)</f>
        <v>0</v>
      </c>
      <c r="AM150">
        <f>IF(DAY($B150)=AM$1,$K150,0)</f>
        <v>0</v>
      </c>
      <c r="AN150">
        <f>IF(DAY($B150)=AN$1,$K150,0)</f>
        <v>0</v>
      </c>
      <c r="AO150">
        <f>IF(DAY($B150)=AO$1,$K150,0)</f>
        <v>119.96666666666667</v>
      </c>
      <c r="AP150">
        <f>IF(DAY($B150)=AP$1,$K150,0)</f>
        <v>0</v>
      </c>
    </row>
    <row r="151" spans="1:42" x14ac:dyDescent="0.3">
      <c r="A151">
        <v>150</v>
      </c>
      <c r="B151" s="1">
        <v>44468</v>
      </c>
      <c r="C151" s="2">
        <v>0.55636574074074074</v>
      </c>
      <c r="D151" s="1">
        <v>44468</v>
      </c>
      <c r="E151" s="3">
        <v>0.61332175925925925</v>
      </c>
      <c r="F151">
        <v>15</v>
      </c>
      <c r="G151">
        <v>9</v>
      </c>
      <c r="H151" s="3">
        <f t="shared" si="9"/>
        <v>5.6956018518518503E-2</v>
      </c>
      <c r="I151" s="3">
        <f t="shared" si="10"/>
        <v>5.6956018518518503E-2</v>
      </c>
      <c r="J151" s="3">
        <f t="shared" si="11"/>
        <v>0</v>
      </c>
      <c r="K151">
        <f t="shared" si="8"/>
        <v>82.016666666666666</v>
      </c>
      <c r="M151">
        <f>IF(DAY(B151)=$M$1,K151,0)</f>
        <v>0</v>
      </c>
      <c r="N151">
        <f>IF(DAY($B151)=N$1,$K151,0)</f>
        <v>0</v>
      </c>
      <c r="O151">
        <f>IF(DAY($B151)=O$1,$K151,0)</f>
        <v>0</v>
      </c>
      <c r="P151">
        <f>IF(DAY($B151)=P$1,$K151,0)</f>
        <v>0</v>
      </c>
      <c r="Q151">
        <f>IF(DAY($B151)=Q$1,$K151,0)</f>
        <v>0</v>
      </c>
      <c r="R151">
        <f>IF(DAY($B151)=R$1,$K151,0)</f>
        <v>0</v>
      </c>
      <c r="S151">
        <f>IF(DAY($B151)=S$1,$K151,0)</f>
        <v>0</v>
      </c>
      <c r="T151">
        <f>IF(DAY($B151)=T$1,$K151,0)</f>
        <v>0</v>
      </c>
      <c r="U151">
        <f>IF(DAY($B151)=U$1,$K151,0)</f>
        <v>0</v>
      </c>
      <c r="V151">
        <f>IF(DAY($B151)=V$1,$K151,0)</f>
        <v>0</v>
      </c>
      <c r="W151">
        <f>IF(DAY($B151)=W$1,$K151,0)</f>
        <v>0</v>
      </c>
      <c r="X151">
        <f>IF(DAY($B151)=X$1,$K151,0)</f>
        <v>0</v>
      </c>
      <c r="Y151">
        <f>IF(DAY($B151)=Y$1,$K151,0)</f>
        <v>0</v>
      </c>
      <c r="Z151">
        <f>IF(DAY($B151)=Z$1,$K151,0)</f>
        <v>0</v>
      </c>
      <c r="AA151">
        <f>IF(DAY($B151)=AA$1,$K151,0)</f>
        <v>0</v>
      </c>
      <c r="AB151">
        <f>IF(DAY($B151)=AB$1,$K151,0)</f>
        <v>0</v>
      </c>
      <c r="AC151">
        <f>IF(DAY($B151)=AC$1,$K151,0)</f>
        <v>0</v>
      </c>
      <c r="AD151">
        <f>IF(DAY($B151)=AD$1,$K151,0)</f>
        <v>0</v>
      </c>
      <c r="AE151">
        <f>IF(DAY($B151)=AE$1,$K151,0)</f>
        <v>0</v>
      </c>
      <c r="AF151">
        <f>IF(DAY($B151)=AF$1,$K151,0)</f>
        <v>0</v>
      </c>
      <c r="AG151">
        <f>IF(DAY($B151)=AG$1,$K151,0)</f>
        <v>0</v>
      </c>
      <c r="AH151">
        <f>IF(DAY($B151)=AH$1,$K151,0)</f>
        <v>0</v>
      </c>
      <c r="AI151">
        <f>IF(DAY($B151)=AI$1,$K151,0)</f>
        <v>0</v>
      </c>
      <c r="AJ151">
        <f>IF(DAY($B151)=AJ$1,$K151,0)</f>
        <v>0</v>
      </c>
      <c r="AK151">
        <f>IF(DAY($B151)=AK$1,$K151,0)</f>
        <v>0</v>
      </c>
      <c r="AL151">
        <f>IF(DAY($B151)=AL$1,$K151,0)</f>
        <v>0</v>
      </c>
      <c r="AM151">
        <f>IF(DAY($B151)=AM$1,$K151,0)</f>
        <v>0</v>
      </c>
      <c r="AN151">
        <f>IF(DAY($B151)=AN$1,$K151,0)</f>
        <v>0</v>
      </c>
      <c r="AO151">
        <f>IF(DAY($B151)=AO$1,$K151,0)</f>
        <v>82.016666666666666</v>
      </c>
      <c r="AP151">
        <f>IF(DAY($B151)=AP$1,$K151,0)</f>
        <v>0</v>
      </c>
    </row>
    <row r="152" spans="1:42" x14ac:dyDescent="0.3">
      <c r="A152">
        <v>151</v>
      </c>
      <c r="B152" s="1">
        <v>44468</v>
      </c>
      <c r="C152" s="2">
        <v>0.67305555555555552</v>
      </c>
      <c r="D152" s="1">
        <v>44468</v>
      </c>
      <c r="E152" s="3">
        <v>0.73208333333333331</v>
      </c>
      <c r="F152">
        <v>14</v>
      </c>
      <c r="G152">
        <v>8</v>
      </c>
      <c r="H152" s="3">
        <f t="shared" si="9"/>
        <v>5.902777777777779E-2</v>
      </c>
      <c r="I152" s="3">
        <f t="shared" si="10"/>
        <v>5.902777777777779E-2</v>
      </c>
      <c r="J152" s="3">
        <f t="shared" si="11"/>
        <v>0</v>
      </c>
      <c r="K152">
        <f t="shared" si="8"/>
        <v>85</v>
      </c>
      <c r="M152">
        <f>IF(DAY(B152)=$M$1,K152,0)</f>
        <v>0</v>
      </c>
      <c r="N152">
        <f>IF(DAY($B152)=N$1,$K152,0)</f>
        <v>0</v>
      </c>
      <c r="O152">
        <f>IF(DAY($B152)=O$1,$K152,0)</f>
        <v>0</v>
      </c>
      <c r="P152">
        <f>IF(DAY($B152)=P$1,$K152,0)</f>
        <v>0</v>
      </c>
      <c r="Q152">
        <f>IF(DAY($B152)=Q$1,$K152,0)</f>
        <v>0</v>
      </c>
      <c r="R152">
        <f>IF(DAY($B152)=R$1,$K152,0)</f>
        <v>0</v>
      </c>
      <c r="S152">
        <f>IF(DAY($B152)=S$1,$K152,0)</f>
        <v>0</v>
      </c>
      <c r="T152">
        <f>IF(DAY($B152)=T$1,$K152,0)</f>
        <v>0</v>
      </c>
      <c r="U152">
        <f>IF(DAY($B152)=U$1,$K152,0)</f>
        <v>0</v>
      </c>
      <c r="V152">
        <f>IF(DAY($B152)=V$1,$K152,0)</f>
        <v>0</v>
      </c>
      <c r="W152">
        <f>IF(DAY($B152)=W$1,$K152,0)</f>
        <v>0</v>
      </c>
      <c r="X152">
        <f>IF(DAY($B152)=X$1,$K152,0)</f>
        <v>0</v>
      </c>
      <c r="Y152">
        <f>IF(DAY($B152)=Y$1,$K152,0)</f>
        <v>0</v>
      </c>
      <c r="Z152">
        <f>IF(DAY($B152)=Z$1,$K152,0)</f>
        <v>0</v>
      </c>
      <c r="AA152">
        <f>IF(DAY($B152)=AA$1,$K152,0)</f>
        <v>0</v>
      </c>
      <c r="AB152">
        <f>IF(DAY($B152)=AB$1,$K152,0)</f>
        <v>0</v>
      </c>
      <c r="AC152">
        <f>IF(DAY($B152)=AC$1,$K152,0)</f>
        <v>0</v>
      </c>
      <c r="AD152">
        <f>IF(DAY($B152)=AD$1,$K152,0)</f>
        <v>0</v>
      </c>
      <c r="AE152">
        <f>IF(DAY($B152)=AE$1,$K152,0)</f>
        <v>0</v>
      </c>
      <c r="AF152">
        <f>IF(DAY($B152)=AF$1,$K152,0)</f>
        <v>0</v>
      </c>
      <c r="AG152">
        <f>IF(DAY($B152)=AG$1,$K152,0)</f>
        <v>0</v>
      </c>
      <c r="AH152">
        <f>IF(DAY($B152)=AH$1,$K152,0)</f>
        <v>0</v>
      </c>
      <c r="AI152">
        <f>IF(DAY($B152)=AI$1,$K152,0)</f>
        <v>0</v>
      </c>
      <c r="AJ152">
        <f>IF(DAY($B152)=AJ$1,$K152,0)</f>
        <v>0</v>
      </c>
      <c r="AK152">
        <f>IF(DAY($B152)=AK$1,$K152,0)</f>
        <v>0</v>
      </c>
      <c r="AL152">
        <f>IF(DAY($B152)=AL$1,$K152,0)</f>
        <v>0</v>
      </c>
      <c r="AM152">
        <f>IF(DAY($B152)=AM$1,$K152,0)</f>
        <v>0</v>
      </c>
      <c r="AN152">
        <f>IF(DAY($B152)=AN$1,$K152,0)</f>
        <v>0</v>
      </c>
      <c r="AO152">
        <f>IF(DAY($B152)=AO$1,$K152,0)</f>
        <v>85</v>
      </c>
      <c r="AP152">
        <f>IF(DAY($B152)=AP$1,$K152,0)</f>
        <v>0</v>
      </c>
    </row>
    <row r="153" spans="1:42" x14ac:dyDescent="0.3">
      <c r="A153">
        <v>152</v>
      </c>
      <c r="B153" s="1">
        <v>44468</v>
      </c>
      <c r="C153" s="2">
        <v>0.79931712962962964</v>
      </c>
      <c r="D153" s="1">
        <v>44468</v>
      </c>
      <c r="E153" s="3">
        <v>0.84817129629629628</v>
      </c>
      <c r="F153">
        <v>16</v>
      </c>
      <c r="G153">
        <v>21</v>
      </c>
      <c r="H153" s="3">
        <f t="shared" si="9"/>
        <v>4.8854166666666643E-2</v>
      </c>
      <c r="I153" s="3">
        <f t="shared" si="10"/>
        <v>4.8854166666666643E-2</v>
      </c>
      <c r="J153" s="3">
        <f t="shared" si="11"/>
        <v>0</v>
      </c>
      <c r="K153">
        <f t="shared" si="8"/>
        <v>70.349999999999994</v>
      </c>
      <c r="M153">
        <f>IF(DAY(B153)=$M$1,K153,0)</f>
        <v>0</v>
      </c>
      <c r="N153">
        <f>IF(DAY($B153)=N$1,$K153,0)</f>
        <v>0</v>
      </c>
      <c r="O153">
        <f>IF(DAY($B153)=O$1,$K153,0)</f>
        <v>0</v>
      </c>
      <c r="P153">
        <f>IF(DAY($B153)=P$1,$K153,0)</f>
        <v>0</v>
      </c>
      <c r="Q153">
        <f>IF(DAY($B153)=Q$1,$K153,0)</f>
        <v>0</v>
      </c>
      <c r="R153">
        <f>IF(DAY($B153)=R$1,$K153,0)</f>
        <v>0</v>
      </c>
      <c r="S153">
        <f>IF(DAY($B153)=S$1,$K153,0)</f>
        <v>0</v>
      </c>
      <c r="T153">
        <f>IF(DAY($B153)=T$1,$K153,0)</f>
        <v>0</v>
      </c>
      <c r="U153">
        <f>IF(DAY($B153)=U$1,$K153,0)</f>
        <v>0</v>
      </c>
      <c r="V153">
        <f>IF(DAY($B153)=V$1,$K153,0)</f>
        <v>0</v>
      </c>
      <c r="W153">
        <f>IF(DAY($B153)=W$1,$K153,0)</f>
        <v>0</v>
      </c>
      <c r="X153">
        <f>IF(DAY($B153)=X$1,$K153,0)</f>
        <v>0</v>
      </c>
      <c r="Y153">
        <f>IF(DAY($B153)=Y$1,$K153,0)</f>
        <v>0</v>
      </c>
      <c r="Z153">
        <f>IF(DAY($B153)=Z$1,$K153,0)</f>
        <v>0</v>
      </c>
      <c r="AA153">
        <f>IF(DAY($B153)=AA$1,$K153,0)</f>
        <v>0</v>
      </c>
      <c r="AB153">
        <f>IF(DAY($B153)=AB$1,$K153,0)</f>
        <v>0</v>
      </c>
      <c r="AC153">
        <f>IF(DAY($B153)=AC$1,$K153,0)</f>
        <v>0</v>
      </c>
      <c r="AD153">
        <f>IF(DAY($B153)=AD$1,$K153,0)</f>
        <v>0</v>
      </c>
      <c r="AE153">
        <f>IF(DAY($B153)=AE$1,$K153,0)</f>
        <v>0</v>
      </c>
      <c r="AF153">
        <f>IF(DAY($B153)=AF$1,$K153,0)</f>
        <v>0</v>
      </c>
      <c r="AG153">
        <f>IF(DAY($B153)=AG$1,$K153,0)</f>
        <v>0</v>
      </c>
      <c r="AH153">
        <f>IF(DAY($B153)=AH$1,$K153,0)</f>
        <v>0</v>
      </c>
      <c r="AI153">
        <f>IF(DAY($B153)=AI$1,$K153,0)</f>
        <v>0</v>
      </c>
      <c r="AJ153">
        <f>IF(DAY($B153)=AJ$1,$K153,0)</f>
        <v>0</v>
      </c>
      <c r="AK153">
        <f>IF(DAY($B153)=AK$1,$K153,0)</f>
        <v>0</v>
      </c>
      <c r="AL153">
        <f>IF(DAY($B153)=AL$1,$K153,0)</f>
        <v>0</v>
      </c>
      <c r="AM153">
        <f>IF(DAY($B153)=AM$1,$K153,0)</f>
        <v>0</v>
      </c>
      <c r="AN153">
        <f>IF(DAY($B153)=AN$1,$K153,0)</f>
        <v>0</v>
      </c>
      <c r="AO153">
        <f>IF(DAY($B153)=AO$1,$K153,0)</f>
        <v>70.349999999999994</v>
      </c>
      <c r="AP153">
        <f>IF(DAY($B153)=AP$1,$K153,0)</f>
        <v>0</v>
      </c>
    </row>
    <row r="154" spans="1:42" x14ac:dyDescent="0.3">
      <c r="A154">
        <v>153</v>
      </c>
      <c r="B154" s="1">
        <v>44468</v>
      </c>
      <c r="C154" s="2">
        <v>0.9611574074074074</v>
      </c>
      <c r="D154" s="1">
        <v>44469</v>
      </c>
      <c r="E154" s="3">
        <v>3.9629629629629633E-2</v>
      </c>
      <c r="F154">
        <v>14</v>
      </c>
      <c r="G154">
        <v>9</v>
      </c>
      <c r="H154" s="3">
        <f t="shared" si="9"/>
        <v>23.078472222222224</v>
      </c>
      <c r="I154" s="3">
        <f t="shared" si="10"/>
        <v>0</v>
      </c>
      <c r="J154" s="3">
        <f t="shared" si="11"/>
        <v>3.9629629629629633E-2</v>
      </c>
      <c r="K154">
        <f t="shared" si="8"/>
        <v>57.06666666666667</v>
      </c>
      <c r="M154">
        <f>IF(DAY(B154)=$M$1,K154,0)</f>
        <v>0</v>
      </c>
      <c r="N154">
        <f>IF(DAY($B154)=N$1,$K154,0)</f>
        <v>0</v>
      </c>
      <c r="O154">
        <f>IF(DAY($B154)=O$1,$K154,0)</f>
        <v>0</v>
      </c>
      <c r="P154">
        <f>IF(DAY($B154)=P$1,$K154,0)</f>
        <v>0</v>
      </c>
      <c r="Q154">
        <f>IF(DAY($B154)=Q$1,$K154,0)</f>
        <v>0</v>
      </c>
      <c r="R154">
        <f>IF(DAY($B154)=R$1,$K154,0)</f>
        <v>0</v>
      </c>
      <c r="S154">
        <f>IF(DAY($B154)=S$1,$K154,0)</f>
        <v>0</v>
      </c>
      <c r="T154">
        <f>IF(DAY($B154)=T$1,$K154,0)</f>
        <v>0</v>
      </c>
      <c r="U154">
        <f>IF(DAY($B154)=U$1,$K154,0)</f>
        <v>0</v>
      </c>
      <c r="V154">
        <f>IF(DAY($B154)=V$1,$K154,0)</f>
        <v>0</v>
      </c>
      <c r="W154">
        <f>IF(DAY($B154)=W$1,$K154,0)</f>
        <v>0</v>
      </c>
      <c r="X154">
        <f>IF(DAY($B154)=X$1,$K154,0)</f>
        <v>0</v>
      </c>
      <c r="Y154">
        <f>IF(DAY($B154)=Y$1,$K154,0)</f>
        <v>0</v>
      </c>
      <c r="Z154">
        <f>IF(DAY($B154)=Z$1,$K154,0)</f>
        <v>0</v>
      </c>
      <c r="AA154">
        <f>IF(DAY($B154)=AA$1,$K154,0)</f>
        <v>0</v>
      </c>
      <c r="AB154">
        <f>IF(DAY($B154)=AB$1,$K154,0)</f>
        <v>0</v>
      </c>
      <c r="AC154">
        <f>IF(DAY($B154)=AC$1,$K154,0)</f>
        <v>0</v>
      </c>
      <c r="AD154">
        <f>IF(DAY($B154)=AD$1,$K154,0)</f>
        <v>0</v>
      </c>
      <c r="AE154">
        <f>IF(DAY($B154)=AE$1,$K154,0)</f>
        <v>0</v>
      </c>
      <c r="AF154">
        <f>IF(DAY($B154)=AF$1,$K154,0)</f>
        <v>0</v>
      </c>
      <c r="AG154">
        <f>IF(DAY($B154)=AG$1,$K154,0)</f>
        <v>0</v>
      </c>
      <c r="AH154">
        <f>IF(DAY($B154)=AH$1,$K154,0)</f>
        <v>0</v>
      </c>
      <c r="AI154">
        <f>IF(DAY($B154)=AI$1,$K154,0)</f>
        <v>0</v>
      </c>
      <c r="AJ154">
        <f>IF(DAY($B154)=AJ$1,$K154,0)</f>
        <v>0</v>
      </c>
      <c r="AK154">
        <f>IF(DAY($B154)=AK$1,$K154,0)</f>
        <v>0</v>
      </c>
      <c r="AL154">
        <f>IF(DAY($B154)=AL$1,$K154,0)</f>
        <v>0</v>
      </c>
      <c r="AM154">
        <f>IF(DAY($B154)=AM$1,$K154,0)</f>
        <v>0</v>
      </c>
      <c r="AN154">
        <f>IF(DAY($B154)=AN$1,$K154,0)</f>
        <v>0</v>
      </c>
      <c r="AO154">
        <f>IF(DAY($B154)=AO$1,$K154,0)</f>
        <v>57.06666666666667</v>
      </c>
      <c r="AP154">
        <f>IF(DAY($B154)=AP$1,$K154,0)</f>
        <v>0</v>
      </c>
    </row>
    <row r="155" spans="1:42" x14ac:dyDescent="0.3">
      <c r="A155">
        <v>154</v>
      </c>
      <c r="B155" s="1">
        <v>44469</v>
      </c>
      <c r="C155" s="2">
        <v>0.3125</v>
      </c>
      <c r="D155" s="1">
        <v>44469</v>
      </c>
      <c r="E155" s="3">
        <v>0.33385416666666662</v>
      </c>
      <c r="F155">
        <v>17</v>
      </c>
      <c r="G155">
        <v>3</v>
      </c>
      <c r="H155" s="3">
        <f t="shared" si="9"/>
        <v>2.1354166666666619E-2</v>
      </c>
      <c r="I155" s="3">
        <f t="shared" si="10"/>
        <v>2.1354166666666619E-2</v>
      </c>
      <c r="J155" s="3">
        <f t="shared" si="11"/>
        <v>0</v>
      </c>
      <c r="K155">
        <f t="shared" si="8"/>
        <v>30.75</v>
      </c>
      <c r="M155">
        <f>IF(DAY(B155)=$M$1,K155,0)</f>
        <v>0</v>
      </c>
      <c r="N155">
        <f>IF(DAY($B155)=N$1,$K155,0)</f>
        <v>0</v>
      </c>
      <c r="O155">
        <f>IF(DAY($B155)=O$1,$K155,0)</f>
        <v>0</v>
      </c>
      <c r="P155">
        <f>IF(DAY($B155)=P$1,$K155,0)</f>
        <v>0</v>
      </c>
      <c r="Q155">
        <f>IF(DAY($B155)=Q$1,$K155,0)</f>
        <v>0</v>
      </c>
      <c r="R155">
        <f>IF(DAY($B155)=R$1,$K155,0)</f>
        <v>0</v>
      </c>
      <c r="S155">
        <f>IF(DAY($B155)=S$1,$K155,0)</f>
        <v>0</v>
      </c>
      <c r="T155">
        <f>IF(DAY($B155)=T$1,$K155,0)</f>
        <v>0</v>
      </c>
      <c r="U155">
        <f>IF(DAY($B155)=U$1,$K155,0)</f>
        <v>0</v>
      </c>
      <c r="V155">
        <f>IF(DAY($B155)=V$1,$K155,0)</f>
        <v>0</v>
      </c>
      <c r="W155">
        <f>IF(DAY($B155)=W$1,$K155,0)</f>
        <v>0</v>
      </c>
      <c r="X155">
        <f>IF(DAY($B155)=X$1,$K155,0)</f>
        <v>0</v>
      </c>
      <c r="Y155">
        <f>IF(DAY($B155)=Y$1,$K155,0)</f>
        <v>0</v>
      </c>
      <c r="Z155">
        <f>IF(DAY($B155)=Z$1,$K155,0)</f>
        <v>0</v>
      </c>
      <c r="AA155">
        <f>IF(DAY($B155)=AA$1,$K155,0)</f>
        <v>0</v>
      </c>
      <c r="AB155">
        <f>IF(DAY($B155)=AB$1,$K155,0)</f>
        <v>0</v>
      </c>
      <c r="AC155">
        <f>IF(DAY($B155)=AC$1,$K155,0)</f>
        <v>0</v>
      </c>
      <c r="AD155">
        <f>IF(DAY($B155)=AD$1,$K155,0)</f>
        <v>0</v>
      </c>
      <c r="AE155">
        <f>IF(DAY($B155)=AE$1,$K155,0)</f>
        <v>0</v>
      </c>
      <c r="AF155">
        <f>IF(DAY($B155)=AF$1,$K155,0)</f>
        <v>0</v>
      </c>
      <c r="AG155">
        <f>IF(DAY($B155)=AG$1,$K155,0)</f>
        <v>0</v>
      </c>
      <c r="AH155">
        <f>IF(DAY($B155)=AH$1,$K155,0)</f>
        <v>0</v>
      </c>
      <c r="AI155">
        <f>IF(DAY($B155)=AI$1,$K155,0)</f>
        <v>0</v>
      </c>
      <c r="AJ155">
        <f>IF(DAY($B155)=AJ$1,$K155,0)</f>
        <v>0</v>
      </c>
      <c r="AK155">
        <f>IF(DAY($B155)=AK$1,$K155,0)</f>
        <v>0</v>
      </c>
      <c r="AL155">
        <f>IF(DAY($B155)=AL$1,$K155,0)</f>
        <v>0</v>
      </c>
      <c r="AM155">
        <f>IF(DAY($B155)=AM$1,$K155,0)</f>
        <v>0</v>
      </c>
      <c r="AN155">
        <f>IF(DAY($B155)=AN$1,$K155,0)</f>
        <v>0</v>
      </c>
      <c r="AO155">
        <f>IF(DAY($B155)=AO$1,$K155,0)</f>
        <v>0</v>
      </c>
      <c r="AP155">
        <f>IF(DAY($B155)=AP$1,$K155,0)</f>
        <v>30.75</v>
      </c>
    </row>
    <row r="156" spans="1:42" x14ac:dyDescent="0.3">
      <c r="A156">
        <v>155</v>
      </c>
      <c r="B156" s="1">
        <v>44469</v>
      </c>
      <c r="C156" s="2">
        <v>0.44229166666666669</v>
      </c>
      <c r="D156" s="1">
        <v>44469</v>
      </c>
      <c r="E156" s="3">
        <v>0.50074074074074071</v>
      </c>
      <c r="F156">
        <v>0</v>
      </c>
      <c r="G156">
        <v>9</v>
      </c>
      <c r="H156" s="3">
        <f t="shared" si="9"/>
        <v>5.8449074074074014E-2</v>
      </c>
      <c r="I156" s="3">
        <f t="shared" si="10"/>
        <v>5.8449074074074014E-2</v>
      </c>
      <c r="J156" s="3">
        <f t="shared" si="11"/>
        <v>0</v>
      </c>
      <c r="K156">
        <f t="shared" si="8"/>
        <v>84.166666666666671</v>
      </c>
      <c r="M156">
        <f>IF(DAY(B156)=$M$1,K156,0)</f>
        <v>0</v>
      </c>
      <c r="N156">
        <f>IF(DAY($B156)=N$1,$K156,0)</f>
        <v>0</v>
      </c>
      <c r="O156">
        <f>IF(DAY($B156)=O$1,$K156,0)</f>
        <v>0</v>
      </c>
      <c r="P156">
        <f>IF(DAY($B156)=P$1,$K156,0)</f>
        <v>0</v>
      </c>
      <c r="Q156">
        <f>IF(DAY($B156)=Q$1,$K156,0)</f>
        <v>0</v>
      </c>
      <c r="R156">
        <f>IF(DAY($B156)=R$1,$K156,0)</f>
        <v>0</v>
      </c>
      <c r="S156">
        <f>IF(DAY($B156)=S$1,$K156,0)</f>
        <v>0</v>
      </c>
      <c r="T156">
        <f>IF(DAY($B156)=T$1,$K156,0)</f>
        <v>0</v>
      </c>
      <c r="U156">
        <f>IF(DAY($B156)=U$1,$K156,0)</f>
        <v>0</v>
      </c>
      <c r="V156">
        <f>IF(DAY($B156)=V$1,$K156,0)</f>
        <v>0</v>
      </c>
      <c r="W156">
        <f>IF(DAY($B156)=W$1,$K156,0)</f>
        <v>0</v>
      </c>
      <c r="X156">
        <f>IF(DAY($B156)=X$1,$K156,0)</f>
        <v>0</v>
      </c>
      <c r="Y156">
        <f>IF(DAY($B156)=Y$1,$K156,0)</f>
        <v>0</v>
      </c>
      <c r="Z156">
        <f>IF(DAY($B156)=Z$1,$K156,0)</f>
        <v>0</v>
      </c>
      <c r="AA156">
        <f>IF(DAY($B156)=AA$1,$K156,0)</f>
        <v>0</v>
      </c>
      <c r="AB156">
        <f>IF(DAY($B156)=AB$1,$K156,0)</f>
        <v>0</v>
      </c>
      <c r="AC156">
        <f>IF(DAY($B156)=AC$1,$K156,0)</f>
        <v>0</v>
      </c>
      <c r="AD156">
        <f>IF(DAY($B156)=AD$1,$K156,0)</f>
        <v>0</v>
      </c>
      <c r="AE156">
        <f>IF(DAY($B156)=AE$1,$K156,0)</f>
        <v>0</v>
      </c>
      <c r="AF156">
        <f>IF(DAY($B156)=AF$1,$K156,0)</f>
        <v>0</v>
      </c>
      <c r="AG156">
        <f>IF(DAY($B156)=AG$1,$K156,0)</f>
        <v>0</v>
      </c>
      <c r="AH156">
        <f>IF(DAY($B156)=AH$1,$K156,0)</f>
        <v>0</v>
      </c>
      <c r="AI156">
        <f>IF(DAY($B156)=AI$1,$K156,0)</f>
        <v>0</v>
      </c>
      <c r="AJ156">
        <f>IF(DAY($B156)=AJ$1,$K156,0)</f>
        <v>0</v>
      </c>
      <c r="AK156">
        <f>IF(DAY($B156)=AK$1,$K156,0)</f>
        <v>0</v>
      </c>
      <c r="AL156">
        <f>IF(DAY($B156)=AL$1,$K156,0)</f>
        <v>0</v>
      </c>
      <c r="AM156">
        <f>IF(DAY($B156)=AM$1,$K156,0)</f>
        <v>0</v>
      </c>
      <c r="AN156">
        <f>IF(DAY($B156)=AN$1,$K156,0)</f>
        <v>0</v>
      </c>
      <c r="AO156">
        <f>IF(DAY($B156)=AO$1,$K156,0)</f>
        <v>0</v>
      </c>
      <c r="AP156">
        <f>IF(DAY($B156)=AP$1,$K156,0)</f>
        <v>84.166666666666671</v>
      </c>
    </row>
    <row r="157" spans="1:42" x14ac:dyDescent="0.3">
      <c r="A157">
        <v>156</v>
      </c>
      <c r="B157" s="1">
        <v>44469</v>
      </c>
      <c r="C157" s="2">
        <v>0.59045138888888882</v>
      </c>
      <c r="D157" s="1">
        <v>44469</v>
      </c>
      <c r="E157" s="3">
        <v>0.63065972222222222</v>
      </c>
      <c r="F157">
        <v>14</v>
      </c>
      <c r="G157">
        <v>8</v>
      </c>
      <c r="H157" s="3">
        <f t="shared" si="9"/>
        <v>4.0208333333333401E-2</v>
      </c>
      <c r="I157" s="3">
        <f t="shared" si="10"/>
        <v>4.0208333333333401E-2</v>
      </c>
      <c r="J157" s="3">
        <f t="shared" si="11"/>
        <v>0</v>
      </c>
      <c r="K157">
        <f t="shared" si="8"/>
        <v>57.9</v>
      </c>
      <c r="M157">
        <f>IF(DAY(B157)=$M$1,K157,0)</f>
        <v>0</v>
      </c>
      <c r="N157">
        <f>IF(DAY($B157)=N$1,$K157,0)</f>
        <v>0</v>
      </c>
      <c r="O157">
        <f>IF(DAY($B157)=O$1,$K157,0)</f>
        <v>0</v>
      </c>
      <c r="P157">
        <f>IF(DAY($B157)=P$1,$K157,0)</f>
        <v>0</v>
      </c>
      <c r="Q157">
        <f>IF(DAY($B157)=Q$1,$K157,0)</f>
        <v>0</v>
      </c>
      <c r="R157">
        <f>IF(DAY($B157)=R$1,$K157,0)</f>
        <v>0</v>
      </c>
      <c r="S157">
        <f>IF(DAY($B157)=S$1,$K157,0)</f>
        <v>0</v>
      </c>
      <c r="T157">
        <f>IF(DAY($B157)=T$1,$K157,0)</f>
        <v>0</v>
      </c>
      <c r="U157">
        <f>IF(DAY($B157)=U$1,$K157,0)</f>
        <v>0</v>
      </c>
      <c r="V157">
        <f>IF(DAY($B157)=V$1,$K157,0)</f>
        <v>0</v>
      </c>
      <c r="W157">
        <f>IF(DAY($B157)=W$1,$K157,0)</f>
        <v>0</v>
      </c>
      <c r="X157">
        <f>IF(DAY($B157)=X$1,$K157,0)</f>
        <v>0</v>
      </c>
      <c r="Y157">
        <f>IF(DAY($B157)=Y$1,$K157,0)</f>
        <v>0</v>
      </c>
      <c r="Z157">
        <f>IF(DAY($B157)=Z$1,$K157,0)</f>
        <v>0</v>
      </c>
      <c r="AA157">
        <f>IF(DAY($B157)=AA$1,$K157,0)</f>
        <v>0</v>
      </c>
      <c r="AB157">
        <f>IF(DAY($B157)=AB$1,$K157,0)</f>
        <v>0</v>
      </c>
      <c r="AC157">
        <f>IF(DAY($B157)=AC$1,$K157,0)</f>
        <v>0</v>
      </c>
      <c r="AD157">
        <f>IF(DAY($B157)=AD$1,$K157,0)</f>
        <v>0</v>
      </c>
      <c r="AE157">
        <f>IF(DAY($B157)=AE$1,$K157,0)</f>
        <v>0</v>
      </c>
      <c r="AF157">
        <f>IF(DAY($B157)=AF$1,$K157,0)</f>
        <v>0</v>
      </c>
      <c r="AG157">
        <f>IF(DAY($B157)=AG$1,$K157,0)</f>
        <v>0</v>
      </c>
      <c r="AH157">
        <f>IF(DAY($B157)=AH$1,$K157,0)</f>
        <v>0</v>
      </c>
      <c r="AI157">
        <f>IF(DAY($B157)=AI$1,$K157,0)</f>
        <v>0</v>
      </c>
      <c r="AJ157">
        <f>IF(DAY($B157)=AJ$1,$K157,0)</f>
        <v>0</v>
      </c>
      <c r="AK157">
        <f>IF(DAY($B157)=AK$1,$K157,0)</f>
        <v>0</v>
      </c>
      <c r="AL157">
        <f>IF(DAY($B157)=AL$1,$K157,0)</f>
        <v>0</v>
      </c>
      <c r="AM157">
        <f>IF(DAY($B157)=AM$1,$K157,0)</f>
        <v>0</v>
      </c>
      <c r="AN157">
        <f>IF(DAY($B157)=AN$1,$K157,0)</f>
        <v>0</v>
      </c>
      <c r="AO157">
        <f>IF(DAY($B157)=AO$1,$K157,0)</f>
        <v>0</v>
      </c>
      <c r="AP157">
        <f>IF(DAY($B157)=AP$1,$K157,0)</f>
        <v>57.9</v>
      </c>
    </row>
    <row r="158" spans="1:42" x14ac:dyDescent="0.3">
      <c r="A158">
        <v>157</v>
      </c>
      <c r="B158" s="1">
        <v>44469</v>
      </c>
      <c r="C158" s="2">
        <v>0.7142708333333333</v>
      </c>
      <c r="D158" s="1">
        <v>44469</v>
      </c>
      <c r="E158" s="3">
        <v>0.789525462962963</v>
      </c>
      <c r="F158">
        <v>6</v>
      </c>
      <c r="G158">
        <v>39</v>
      </c>
      <c r="H158" s="3">
        <f t="shared" si="9"/>
        <v>7.5254629629629699E-2</v>
      </c>
      <c r="I158" s="3">
        <f t="shared" si="10"/>
        <v>7.5254629629629699E-2</v>
      </c>
      <c r="J158" s="3">
        <f t="shared" si="11"/>
        <v>0</v>
      </c>
      <c r="K158">
        <f t="shared" si="8"/>
        <v>108.36666666666666</v>
      </c>
      <c r="M158">
        <f>IF(DAY(B158)=$M$1,K158,0)</f>
        <v>0</v>
      </c>
      <c r="N158">
        <f>IF(DAY($B158)=N$1,$K158,0)</f>
        <v>0</v>
      </c>
      <c r="O158">
        <f>IF(DAY($B158)=O$1,$K158,0)</f>
        <v>0</v>
      </c>
      <c r="P158">
        <f>IF(DAY($B158)=P$1,$K158,0)</f>
        <v>0</v>
      </c>
      <c r="Q158">
        <f>IF(DAY($B158)=Q$1,$K158,0)</f>
        <v>0</v>
      </c>
      <c r="R158">
        <f>IF(DAY($B158)=R$1,$K158,0)</f>
        <v>0</v>
      </c>
      <c r="S158">
        <f>IF(DAY($B158)=S$1,$K158,0)</f>
        <v>0</v>
      </c>
      <c r="T158">
        <f>IF(DAY($B158)=T$1,$K158,0)</f>
        <v>0</v>
      </c>
      <c r="U158">
        <f>IF(DAY($B158)=U$1,$K158,0)</f>
        <v>0</v>
      </c>
      <c r="V158">
        <f>IF(DAY($B158)=V$1,$K158,0)</f>
        <v>0</v>
      </c>
      <c r="W158">
        <f>IF(DAY($B158)=W$1,$K158,0)</f>
        <v>0</v>
      </c>
      <c r="X158">
        <f>IF(DAY($B158)=X$1,$K158,0)</f>
        <v>0</v>
      </c>
      <c r="Y158">
        <f>IF(DAY($B158)=Y$1,$K158,0)</f>
        <v>0</v>
      </c>
      <c r="Z158">
        <f>IF(DAY($B158)=Z$1,$K158,0)</f>
        <v>0</v>
      </c>
      <c r="AA158">
        <f>IF(DAY($B158)=AA$1,$K158,0)</f>
        <v>0</v>
      </c>
      <c r="AB158">
        <f>IF(DAY($B158)=AB$1,$K158,0)</f>
        <v>0</v>
      </c>
      <c r="AC158">
        <f>IF(DAY($B158)=AC$1,$K158,0)</f>
        <v>0</v>
      </c>
      <c r="AD158">
        <f>IF(DAY($B158)=AD$1,$K158,0)</f>
        <v>0</v>
      </c>
      <c r="AE158">
        <f>IF(DAY($B158)=AE$1,$K158,0)</f>
        <v>0</v>
      </c>
      <c r="AF158">
        <f>IF(DAY($B158)=AF$1,$K158,0)</f>
        <v>0</v>
      </c>
      <c r="AG158">
        <f>IF(DAY($B158)=AG$1,$K158,0)</f>
        <v>0</v>
      </c>
      <c r="AH158">
        <f>IF(DAY($B158)=AH$1,$K158,0)</f>
        <v>0</v>
      </c>
      <c r="AI158">
        <f>IF(DAY($B158)=AI$1,$K158,0)</f>
        <v>0</v>
      </c>
      <c r="AJ158">
        <f>IF(DAY($B158)=AJ$1,$K158,0)</f>
        <v>0</v>
      </c>
      <c r="AK158">
        <f>IF(DAY($B158)=AK$1,$K158,0)</f>
        <v>0</v>
      </c>
      <c r="AL158">
        <f>IF(DAY($B158)=AL$1,$K158,0)</f>
        <v>0</v>
      </c>
      <c r="AM158">
        <f>IF(DAY($B158)=AM$1,$K158,0)</f>
        <v>0</v>
      </c>
      <c r="AN158">
        <f>IF(DAY($B158)=AN$1,$K158,0)</f>
        <v>0</v>
      </c>
      <c r="AO158">
        <f>IF(DAY($B158)=AO$1,$K158,0)</f>
        <v>0</v>
      </c>
      <c r="AP158">
        <f>IF(DAY($B158)=AP$1,$K158,0)</f>
        <v>108.36666666666666</v>
      </c>
    </row>
    <row r="161" spans="11:13" x14ac:dyDescent="0.3">
      <c r="K161">
        <f>MIN(M161:M190)</f>
        <v>281.18333333333334</v>
      </c>
      <c r="L161">
        <v>1</v>
      </c>
      <c r="M161">
        <f>SUM(M2:M158)</f>
        <v>586.76666666666665</v>
      </c>
    </row>
    <row r="162" spans="11:13" x14ac:dyDescent="0.3">
      <c r="K162">
        <f>MAX(M161:M190)</f>
        <v>836.68333333333339</v>
      </c>
      <c r="L162">
        <v>2</v>
      </c>
      <c r="M162">
        <f>SUM(N2:N158)</f>
        <v>650.96666666666658</v>
      </c>
    </row>
    <row r="163" spans="11:13" x14ac:dyDescent="0.3">
      <c r="L163">
        <v>3</v>
      </c>
      <c r="M163">
        <f>SUM(O2:O158)</f>
        <v>836.68333333333339</v>
      </c>
    </row>
    <row r="164" spans="11:13" x14ac:dyDescent="0.3">
      <c r="L164">
        <v>4</v>
      </c>
      <c r="M164">
        <f>SUM(P2:P158)</f>
        <v>685.84999999999991</v>
      </c>
    </row>
    <row r="165" spans="11:13" x14ac:dyDescent="0.3">
      <c r="L165">
        <v>5</v>
      </c>
      <c r="M165">
        <f>SUM(Q2:Q158)</f>
        <v>503.59999999999997</v>
      </c>
    </row>
    <row r="166" spans="11:13" x14ac:dyDescent="0.3">
      <c r="L166">
        <v>6</v>
      </c>
      <c r="M166">
        <f>SUM(R2:R158)</f>
        <v>584.5</v>
      </c>
    </row>
    <row r="167" spans="11:13" x14ac:dyDescent="0.3">
      <c r="L167">
        <v>7</v>
      </c>
      <c r="M167">
        <f>SUM(S2:S158)</f>
        <v>566.9666666666667</v>
      </c>
    </row>
    <row r="168" spans="11:13" x14ac:dyDescent="0.3">
      <c r="L168">
        <v>8</v>
      </c>
      <c r="M168">
        <f>SUM(T2:T158)</f>
        <v>720.45</v>
      </c>
    </row>
    <row r="169" spans="11:13" x14ac:dyDescent="0.3">
      <c r="L169">
        <v>9</v>
      </c>
      <c r="M169">
        <f>SUM(U2:U158)</f>
        <v>452.26666666666665</v>
      </c>
    </row>
    <row r="170" spans="11:13" x14ac:dyDescent="0.3">
      <c r="L170">
        <v>10</v>
      </c>
      <c r="M170">
        <f>SUM(V2:V158)</f>
        <v>539.31666666666661</v>
      </c>
    </row>
    <row r="171" spans="11:13" x14ac:dyDescent="0.3">
      <c r="L171">
        <v>11</v>
      </c>
      <c r="M171">
        <f>SUM(W2:W158)</f>
        <v>499.08333333333337</v>
      </c>
    </row>
    <row r="172" spans="11:13" x14ac:dyDescent="0.3">
      <c r="L172">
        <v>12</v>
      </c>
      <c r="M172">
        <f>SUM(X2:X158)</f>
        <v>407.41666666666663</v>
      </c>
    </row>
    <row r="173" spans="11:13" x14ac:dyDescent="0.3">
      <c r="L173">
        <v>13</v>
      </c>
      <c r="M173">
        <f>SUM(Y2:Y158)</f>
        <v>671.71666666666658</v>
      </c>
    </row>
    <row r="174" spans="11:13" x14ac:dyDescent="0.3">
      <c r="L174">
        <v>14</v>
      </c>
      <c r="M174">
        <f>SUM(Z2:Z158)</f>
        <v>545.04999999999995</v>
      </c>
    </row>
    <row r="175" spans="11:13" x14ac:dyDescent="0.3">
      <c r="L175">
        <v>15</v>
      </c>
      <c r="M175">
        <f>SUM(AA2:AA158)</f>
        <v>606.5333333333333</v>
      </c>
    </row>
    <row r="176" spans="11:13" x14ac:dyDescent="0.3">
      <c r="L176">
        <v>16</v>
      </c>
      <c r="M176">
        <f>SUM(AB2:AB158)</f>
        <v>562.54999999999995</v>
      </c>
    </row>
    <row r="177" spans="12:13" x14ac:dyDescent="0.3">
      <c r="L177">
        <v>17</v>
      </c>
      <c r="M177">
        <f>SUM(AC2:AC158)</f>
        <v>385.63333333333333</v>
      </c>
    </row>
    <row r="178" spans="12:13" x14ac:dyDescent="0.3">
      <c r="L178">
        <v>18</v>
      </c>
      <c r="M178">
        <f>SUM(AD2:AD158)</f>
        <v>358.83333333333331</v>
      </c>
    </row>
    <row r="179" spans="12:13" x14ac:dyDescent="0.3">
      <c r="L179">
        <v>19</v>
      </c>
      <c r="M179">
        <f>SUM(AE2:AE158)</f>
        <v>367.7</v>
      </c>
    </row>
    <row r="180" spans="12:13" x14ac:dyDescent="0.3">
      <c r="L180">
        <v>20</v>
      </c>
      <c r="M180">
        <f>SUM(AF2:AF158)</f>
        <v>594.38333333333321</v>
      </c>
    </row>
    <row r="181" spans="12:13" x14ac:dyDescent="0.3">
      <c r="L181">
        <v>21</v>
      </c>
      <c r="M181">
        <f>SUM(AG2:AG158)</f>
        <v>577.7833333333333</v>
      </c>
    </row>
    <row r="182" spans="12:13" x14ac:dyDescent="0.3">
      <c r="L182">
        <v>22</v>
      </c>
      <c r="M182">
        <f>SUM(AH2:AH158)</f>
        <v>472.4</v>
      </c>
    </row>
    <row r="183" spans="12:13" x14ac:dyDescent="0.3">
      <c r="L183">
        <v>23</v>
      </c>
      <c r="M183">
        <f>SUM(AI2:AI158)</f>
        <v>615.70000000000005</v>
      </c>
    </row>
    <row r="184" spans="12:13" x14ac:dyDescent="0.3">
      <c r="L184">
        <v>24</v>
      </c>
      <c r="M184">
        <f>SUM(AJ2:AJ158)</f>
        <v>550.7833333333333</v>
      </c>
    </row>
    <row r="185" spans="12:13" x14ac:dyDescent="0.3">
      <c r="L185">
        <v>25</v>
      </c>
      <c r="M185">
        <f>SUM(AK2:AK158)</f>
        <v>357.25</v>
      </c>
    </row>
    <row r="186" spans="12:13" x14ac:dyDescent="0.3">
      <c r="L186">
        <v>26</v>
      </c>
      <c r="M186">
        <f>SUM(AL2:AL158)</f>
        <v>460.79999999999995</v>
      </c>
    </row>
    <row r="187" spans="12:13" x14ac:dyDescent="0.3">
      <c r="L187">
        <v>27</v>
      </c>
      <c r="M187">
        <f>SUM(AM2:AM158)</f>
        <v>411.91666666666663</v>
      </c>
    </row>
    <row r="188" spans="12:13" x14ac:dyDescent="0.3">
      <c r="L188">
        <v>28</v>
      </c>
      <c r="M188">
        <f>SUM(AN2:AN158)</f>
        <v>417.63333333333333</v>
      </c>
    </row>
    <row r="189" spans="12:13" x14ac:dyDescent="0.3">
      <c r="L189">
        <v>29</v>
      </c>
      <c r="M189">
        <f>SUM(AO2:AO158)</f>
        <v>521.88333333333333</v>
      </c>
    </row>
    <row r="190" spans="12:13" x14ac:dyDescent="0.3">
      <c r="L190">
        <v>30</v>
      </c>
      <c r="M190">
        <f>SUM(AP2:AP158)</f>
        <v>281.18333333333334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"/>
  <sheetViews>
    <sheetView topLeftCell="A91" workbookViewId="0">
      <selection activeCell="L24" sqref="L24"/>
    </sheetView>
  </sheetViews>
  <sheetFormatPr defaultRowHeight="14.4" x14ac:dyDescent="0.3"/>
  <cols>
    <col min="1" max="1" width="4" bestFit="1" customWidth="1"/>
    <col min="2" max="2" width="10.6640625" bestFit="1" customWidth="1"/>
    <col min="3" max="3" width="13.33203125" bestFit="1" customWidth="1"/>
    <col min="4" max="4" width="11.6640625" bestFit="1" customWidth="1"/>
    <col min="5" max="5" width="14.33203125" style="3" bestFit="1" customWidth="1"/>
    <col min="6" max="6" width="15" bestFit="1" customWidth="1"/>
    <col min="7" max="7" width="15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6</v>
      </c>
      <c r="G1" t="s">
        <v>5</v>
      </c>
      <c r="H1" t="s">
        <v>7</v>
      </c>
      <c r="I1" t="s">
        <v>16</v>
      </c>
      <c r="J1" t="s">
        <v>17</v>
      </c>
    </row>
    <row r="2" spans="1:10" x14ac:dyDescent="0.3">
      <c r="A2">
        <v>1</v>
      </c>
      <c r="B2" s="1">
        <v>44440</v>
      </c>
      <c r="C2" s="2">
        <v>0.33333333333333331</v>
      </c>
      <c r="D2" s="1">
        <v>44440</v>
      </c>
      <c r="E2" s="3">
        <v>0.38513888888888892</v>
      </c>
      <c r="F2">
        <v>12</v>
      </c>
      <c r="G2">
        <v>0</v>
      </c>
      <c r="H2" s="3">
        <f>IF(E2&lt;C2,(24-C2)+E2,E2-C2)</f>
        <v>5.1805555555555605E-2</v>
      </c>
      <c r="I2" s="5">
        <f>HOUR(H2) + MINUTE(H2)/60 + SECOND(H2) /3600</f>
        <v>1.2433333333333334</v>
      </c>
      <c r="J2" s="5">
        <f>I2</f>
        <v>1.2433333333333334</v>
      </c>
    </row>
    <row r="3" spans="1:10" x14ac:dyDescent="0.3">
      <c r="A3">
        <v>2</v>
      </c>
      <c r="B3" s="1">
        <v>44440</v>
      </c>
      <c r="C3" s="2">
        <v>0.42430555555555555</v>
      </c>
      <c r="D3" s="1">
        <v>44440</v>
      </c>
      <c r="E3" s="3">
        <v>0.55934027777777773</v>
      </c>
      <c r="F3">
        <v>11</v>
      </c>
      <c r="G3">
        <v>16</v>
      </c>
      <c r="H3" s="3">
        <f t="shared" ref="H3:H66" si="0">IF(E3&lt;C3,(24-C3)+E3,E3-C3)</f>
        <v>0.13503472222222218</v>
      </c>
      <c r="I3" s="5">
        <f t="shared" ref="I3:I66" si="1">HOUR(H3) + MINUTE(H3)/60 + SECOND(H3) /3600</f>
        <v>3.2408333333333332</v>
      </c>
      <c r="J3" s="5">
        <f>I3+J2</f>
        <v>4.4841666666666669</v>
      </c>
    </row>
    <row r="4" spans="1:10" x14ac:dyDescent="0.3">
      <c r="A4">
        <v>3</v>
      </c>
      <c r="B4" s="1">
        <v>44440</v>
      </c>
      <c r="C4" s="2">
        <v>0.64613425925925927</v>
      </c>
      <c r="D4" s="1">
        <v>44440</v>
      </c>
      <c r="E4" s="3">
        <v>0.71621527777777771</v>
      </c>
      <c r="F4">
        <v>9</v>
      </c>
      <c r="G4">
        <v>0</v>
      </c>
      <c r="H4" s="3">
        <f t="shared" si="0"/>
        <v>7.0081018518518445E-2</v>
      </c>
      <c r="I4" s="5">
        <f t="shared" si="1"/>
        <v>1.6819444444444442</v>
      </c>
      <c r="J4" s="5">
        <f t="shared" ref="J4:J67" si="2">I4+J3</f>
        <v>6.1661111111111113</v>
      </c>
    </row>
    <row r="5" spans="1:10" x14ac:dyDescent="0.3">
      <c r="A5">
        <v>4</v>
      </c>
      <c r="B5" s="1">
        <v>44440</v>
      </c>
      <c r="C5" s="2">
        <v>0.76347222222222222</v>
      </c>
      <c r="D5" s="1">
        <v>44440</v>
      </c>
      <c r="E5" s="3">
        <v>0.91402777777777777</v>
      </c>
      <c r="F5">
        <v>14</v>
      </c>
      <c r="G5">
        <v>11</v>
      </c>
      <c r="H5" s="3">
        <f t="shared" si="0"/>
        <v>0.15055555555555555</v>
      </c>
      <c r="I5" s="5">
        <f t="shared" si="1"/>
        <v>3.6133333333333333</v>
      </c>
      <c r="J5" s="5">
        <f t="shared" si="2"/>
        <v>9.7794444444444437</v>
      </c>
    </row>
    <row r="6" spans="1:10" x14ac:dyDescent="0.3">
      <c r="A6">
        <v>5</v>
      </c>
      <c r="B6" s="1">
        <v>44441</v>
      </c>
      <c r="C6" s="2">
        <v>0.17721064814814813</v>
      </c>
      <c r="D6" s="1">
        <v>44441</v>
      </c>
      <c r="E6" s="3">
        <v>0.27315972222222223</v>
      </c>
      <c r="F6">
        <v>21</v>
      </c>
      <c r="G6">
        <v>15</v>
      </c>
      <c r="H6" s="3">
        <f t="shared" si="0"/>
        <v>9.5949074074074103E-2</v>
      </c>
      <c r="I6" s="5">
        <f t="shared" si="1"/>
        <v>2.3027777777777776</v>
      </c>
      <c r="J6" s="5">
        <f t="shared" si="2"/>
        <v>12.082222222222221</v>
      </c>
    </row>
    <row r="7" spans="1:10" x14ac:dyDescent="0.3">
      <c r="A7">
        <v>6</v>
      </c>
      <c r="B7" s="1">
        <v>44441</v>
      </c>
      <c r="C7" s="2">
        <v>0.34736111111111106</v>
      </c>
      <c r="D7" s="1">
        <v>44441</v>
      </c>
      <c r="E7" s="3">
        <v>0.42460648148148145</v>
      </c>
      <c r="F7">
        <v>11</v>
      </c>
      <c r="G7">
        <v>24</v>
      </c>
      <c r="H7" s="3">
        <f t="shared" si="0"/>
        <v>7.7245370370370381E-2</v>
      </c>
      <c r="I7" s="5">
        <f t="shared" si="1"/>
        <v>1.8538888888888889</v>
      </c>
      <c r="J7" s="5">
        <f t="shared" si="2"/>
        <v>13.93611111111111</v>
      </c>
    </row>
    <row r="8" spans="1:10" x14ac:dyDescent="0.3">
      <c r="A8">
        <v>7</v>
      </c>
      <c r="B8" s="1">
        <v>44441</v>
      </c>
      <c r="C8" s="2">
        <v>0.48079861111111111</v>
      </c>
      <c r="D8" s="1">
        <v>44441</v>
      </c>
      <c r="E8" s="3">
        <v>0.57214120370370369</v>
      </c>
      <c r="F8">
        <v>19</v>
      </c>
      <c r="G8">
        <v>10</v>
      </c>
      <c r="H8" s="3">
        <f t="shared" si="0"/>
        <v>9.1342592592592586E-2</v>
      </c>
      <c r="I8" s="5">
        <f t="shared" si="1"/>
        <v>2.1922222222222221</v>
      </c>
      <c r="J8" s="5">
        <f t="shared" si="2"/>
        <v>16.12833333333333</v>
      </c>
    </row>
    <row r="9" spans="1:10" x14ac:dyDescent="0.3">
      <c r="A9">
        <v>8</v>
      </c>
      <c r="B9" s="1">
        <v>44441</v>
      </c>
      <c r="C9" s="2">
        <v>0.63290509259259264</v>
      </c>
      <c r="D9" s="1">
        <v>44441</v>
      </c>
      <c r="E9" s="3">
        <v>0.72944444444444445</v>
      </c>
      <c r="F9">
        <v>9</v>
      </c>
      <c r="G9">
        <v>11</v>
      </c>
      <c r="H9" s="3">
        <f t="shared" si="0"/>
        <v>9.6539351851851807E-2</v>
      </c>
      <c r="I9" s="5">
        <f t="shared" si="1"/>
        <v>2.3169444444444443</v>
      </c>
      <c r="J9" s="5">
        <f t="shared" si="2"/>
        <v>18.445277777777775</v>
      </c>
    </row>
    <row r="10" spans="1:10" x14ac:dyDescent="0.3">
      <c r="A10">
        <v>9</v>
      </c>
      <c r="B10" s="1">
        <v>44441</v>
      </c>
      <c r="C10" s="2">
        <v>0.80592592592592593</v>
      </c>
      <c r="D10" s="1">
        <v>44441</v>
      </c>
      <c r="E10" s="3">
        <v>0.89690972222222232</v>
      </c>
      <c r="F10">
        <v>12</v>
      </c>
      <c r="G10">
        <v>15</v>
      </c>
      <c r="H10" s="3">
        <f t="shared" si="0"/>
        <v>9.0983796296296382E-2</v>
      </c>
      <c r="I10" s="5">
        <f t="shared" si="1"/>
        <v>2.1836111111111109</v>
      </c>
      <c r="J10" s="5">
        <f t="shared" si="2"/>
        <v>20.628888888888888</v>
      </c>
    </row>
    <row r="11" spans="1:10" x14ac:dyDescent="0.3">
      <c r="A11">
        <v>10</v>
      </c>
      <c r="B11" s="1">
        <v>44442</v>
      </c>
      <c r="C11" s="2">
        <v>0.13548611111111111</v>
      </c>
      <c r="D11" s="1">
        <v>44442</v>
      </c>
      <c r="E11" s="3">
        <v>0.31579861111111113</v>
      </c>
      <c r="F11">
        <v>17</v>
      </c>
      <c r="G11">
        <v>22</v>
      </c>
      <c r="H11" s="3">
        <f t="shared" si="0"/>
        <v>0.18031250000000001</v>
      </c>
      <c r="I11" s="5">
        <f t="shared" si="1"/>
        <v>4.3274999999999997</v>
      </c>
      <c r="J11" s="5">
        <f t="shared" si="2"/>
        <v>24.956388888888888</v>
      </c>
    </row>
    <row r="12" spans="1:10" x14ac:dyDescent="0.3">
      <c r="A12">
        <v>11</v>
      </c>
      <c r="B12" s="1">
        <v>44442</v>
      </c>
      <c r="C12" s="2">
        <v>0.37784722222222222</v>
      </c>
      <c r="D12" s="1">
        <v>44442</v>
      </c>
      <c r="E12" s="3">
        <v>0.46140046296296294</v>
      </c>
      <c r="F12">
        <v>14</v>
      </c>
      <c r="G12">
        <v>10</v>
      </c>
      <c r="H12" s="3">
        <f t="shared" si="0"/>
        <v>8.355324074074072E-2</v>
      </c>
      <c r="I12" s="5">
        <f t="shared" si="1"/>
        <v>2.0052777777777777</v>
      </c>
      <c r="J12" s="5">
        <f t="shared" si="2"/>
        <v>26.961666666666666</v>
      </c>
    </row>
    <row r="13" spans="1:10" x14ac:dyDescent="0.3">
      <c r="A13">
        <v>12</v>
      </c>
      <c r="B13" s="1">
        <v>44442</v>
      </c>
      <c r="C13" s="2">
        <v>0.50086805555555558</v>
      </c>
      <c r="D13" s="1">
        <v>44442</v>
      </c>
      <c r="E13" s="3">
        <v>0.63633101851851859</v>
      </c>
      <c r="F13">
        <v>24</v>
      </c>
      <c r="G13">
        <v>19</v>
      </c>
      <c r="H13" s="3">
        <f t="shared" si="0"/>
        <v>0.13546296296296301</v>
      </c>
      <c r="I13" s="5">
        <f t="shared" si="1"/>
        <v>3.2511111111111113</v>
      </c>
      <c r="J13" s="5">
        <f t="shared" si="2"/>
        <v>30.212777777777777</v>
      </c>
    </row>
    <row r="14" spans="1:10" x14ac:dyDescent="0.3">
      <c r="A14">
        <v>13</v>
      </c>
      <c r="B14" s="1">
        <v>44442</v>
      </c>
      <c r="C14" s="2">
        <v>0.7049305555555555</v>
      </c>
      <c r="D14" s="1">
        <v>44442</v>
      </c>
      <c r="E14" s="3">
        <v>0.76827546296296301</v>
      </c>
      <c r="F14">
        <v>16</v>
      </c>
      <c r="G14">
        <v>11</v>
      </c>
      <c r="H14" s="3">
        <f t="shared" si="0"/>
        <v>6.3344907407407502E-2</v>
      </c>
      <c r="I14" s="5">
        <f t="shared" si="1"/>
        <v>1.5202777777777776</v>
      </c>
      <c r="J14" s="5">
        <f t="shared" si="2"/>
        <v>31.733055555555556</v>
      </c>
    </row>
    <row r="15" spans="1:10" x14ac:dyDescent="0.3">
      <c r="A15">
        <v>14</v>
      </c>
      <c r="B15" s="1">
        <v>44442</v>
      </c>
      <c r="C15" s="2">
        <v>0.80994212962962964</v>
      </c>
      <c r="D15" s="1">
        <v>44442</v>
      </c>
      <c r="E15" s="3">
        <v>0.92829861111111101</v>
      </c>
      <c r="F15">
        <v>15</v>
      </c>
      <c r="G15">
        <v>9</v>
      </c>
      <c r="H15" s="3">
        <f t="shared" si="0"/>
        <v>0.11835648148148137</v>
      </c>
      <c r="I15" s="5">
        <f t="shared" si="1"/>
        <v>2.8405555555555555</v>
      </c>
      <c r="J15" s="5">
        <f t="shared" si="2"/>
        <v>34.573611111111113</v>
      </c>
    </row>
    <row r="16" spans="1:10" x14ac:dyDescent="0.3">
      <c r="A16">
        <v>15</v>
      </c>
      <c r="B16" s="1">
        <v>44443</v>
      </c>
      <c r="C16" s="2">
        <v>0.17093749999999999</v>
      </c>
      <c r="D16" s="1">
        <v>44443</v>
      </c>
      <c r="E16" s="3">
        <v>0.25318287037037041</v>
      </c>
      <c r="F16">
        <v>7</v>
      </c>
      <c r="G16">
        <v>16</v>
      </c>
      <c r="H16" s="3">
        <f t="shared" si="0"/>
        <v>8.2245370370370413E-2</v>
      </c>
      <c r="I16" s="5">
        <f t="shared" si="1"/>
        <v>1.973888888888889</v>
      </c>
      <c r="J16" s="5">
        <f t="shared" si="2"/>
        <v>36.547499999999999</v>
      </c>
    </row>
    <row r="17" spans="1:10" x14ac:dyDescent="0.3">
      <c r="A17">
        <v>16</v>
      </c>
      <c r="B17" s="1">
        <v>44443</v>
      </c>
      <c r="C17" s="2">
        <v>0.29620370370370369</v>
      </c>
      <c r="D17" s="1">
        <v>44443</v>
      </c>
      <c r="E17" s="3">
        <v>0.34704861111111113</v>
      </c>
      <c r="F17">
        <v>9</v>
      </c>
      <c r="G17">
        <v>11</v>
      </c>
      <c r="H17" s="3">
        <f t="shared" si="0"/>
        <v>5.0844907407407436E-2</v>
      </c>
      <c r="I17" s="5">
        <f t="shared" si="1"/>
        <v>1.2202777777777778</v>
      </c>
      <c r="J17" s="5">
        <f t="shared" si="2"/>
        <v>37.767777777777781</v>
      </c>
    </row>
    <row r="18" spans="1:10" x14ac:dyDescent="0.3">
      <c r="A18">
        <v>17</v>
      </c>
      <c r="B18" s="1">
        <v>44443</v>
      </c>
      <c r="C18" s="2">
        <v>0.3578587962962963</v>
      </c>
      <c r="D18" s="1">
        <v>44443</v>
      </c>
      <c r="E18" s="3">
        <v>0.42055555555555557</v>
      </c>
      <c r="F18">
        <v>13</v>
      </c>
      <c r="G18">
        <v>18</v>
      </c>
      <c r="H18" s="3">
        <f t="shared" si="0"/>
        <v>6.2696759259259272E-2</v>
      </c>
      <c r="I18" s="5">
        <f t="shared" si="1"/>
        <v>1.5047222222222223</v>
      </c>
      <c r="J18" s="5">
        <f t="shared" si="2"/>
        <v>39.272500000000001</v>
      </c>
    </row>
    <row r="19" spans="1:10" x14ac:dyDescent="0.3">
      <c r="A19">
        <v>18</v>
      </c>
      <c r="B19" s="1">
        <v>44443</v>
      </c>
      <c r="C19" s="2">
        <v>0.48564814814814811</v>
      </c>
      <c r="D19" s="1">
        <v>44443</v>
      </c>
      <c r="E19" s="3">
        <v>0.53831018518518514</v>
      </c>
      <c r="F19">
        <v>22</v>
      </c>
      <c r="G19">
        <v>5</v>
      </c>
      <c r="H19" s="3">
        <f t="shared" si="0"/>
        <v>5.2662037037037035E-2</v>
      </c>
      <c r="I19" s="5">
        <f t="shared" si="1"/>
        <v>1.2638888888888888</v>
      </c>
      <c r="J19" s="5">
        <f t="shared" si="2"/>
        <v>40.536388888888887</v>
      </c>
    </row>
    <row r="20" spans="1:10" x14ac:dyDescent="0.3">
      <c r="A20">
        <v>19</v>
      </c>
      <c r="B20" s="1">
        <v>44443</v>
      </c>
      <c r="C20" s="2">
        <v>0.70219907407407411</v>
      </c>
      <c r="D20" s="1">
        <v>44443</v>
      </c>
      <c r="E20" s="3">
        <v>0.7736574074074074</v>
      </c>
      <c r="F20">
        <v>8</v>
      </c>
      <c r="G20">
        <v>23</v>
      </c>
      <c r="H20" s="3">
        <f t="shared" si="0"/>
        <v>7.145833333333329E-2</v>
      </c>
      <c r="I20" s="5">
        <f t="shared" si="1"/>
        <v>1.7149999999999999</v>
      </c>
      <c r="J20" s="5">
        <f t="shared" si="2"/>
        <v>42.251388888888883</v>
      </c>
    </row>
    <row r="21" spans="1:10" x14ac:dyDescent="0.3">
      <c r="A21">
        <v>20</v>
      </c>
      <c r="B21" s="1">
        <v>44443</v>
      </c>
      <c r="C21" s="2">
        <v>0.80978009259259265</v>
      </c>
      <c r="D21" s="1">
        <v>44443</v>
      </c>
      <c r="E21" s="3">
        <v>0.96615740740740741</v>
      </c>
      <c r="F21">
        <v>11</v>
      </c>
      <c r="G21">
        <v>14</v>
      </c>
      <c r="H21" s="3">
        <f t="shared" si="0"/>
        <v>0.15637731481481476</v>
      </c>
      <c r="I21" s="5">
        <f t="shared" si="1"/>
        <v>3.7530555555555556</v>
      </c>
      <c r="J21" s="5">
        <f t="shared" si="2"/>
        <v>46.004444444444438</v>
      </c>
    </row>
    <row r="22" spans="1:10" x14ac:dyDescent="0.3">
      <c r="A22">
        <v>21</v>
      </c>
      <c r="B22" s="1">
        <v>44444</v>
      </c>
      <c r="C22" s="2">
        <v>0.3027083333333333</v>
      </c>
      <c r="D22" s="1">
        <v>44444</v>
      </c>
      <c r="E22" s="3">
        <v>0.3762152777777778</v>
      </c>
      <c r="F22">
        <v>17</v>
      </c>
      <c r="G22">
        <v>23</v>
      </c>
      <c r="H22" s="3">
        <f t="shared" si="0"/>
        <v>7.35069444444445E-2</v>
      </c>
      <c r="I22" s="5">
        <f t="shared" si="1"/>
        <v>1.7641666666666667</v>
      </c>
      <c r="J22" s="5">
        <f t="shared" si="2"/>
        <v>47.768611111111106</v>
      </c>
    </row>
    <row r="23" spans="1:10" x14ac:dyDescent="0.3">
      <c r="A23">
        <v>22</v>
      </c>
      <c r="B23" s="1">
        <v>44444</v>
      </c>
      <c r="C23" s="2">
        <v>0.43002314814814818</v>
      </c>
      <c r="D23" s="1">
        <v>44444</v>
      </c>
      <c r="E23" s="3">
        <v>0.51140046296296293</v>
      </c>
      <c r="F23">
        <v>15</v>
      </c>
      <c r="G23">
        <v>11</v>
      </c>
      <c r="H23" s="3">
        <f t="shared" si="0"/>
        <v>8.137731481481475E-2</v>
      </c>
      <c r="I23" s="5">
        <f t="shared" si="1"/>
        <v>1.9530555555555555</v>
      </c>
      <c r="J23" s="5">
        <f t="shared" si="2"/>
        <v>49.721666666666664</v>
      </c>
    </row>
    <row r="24" spans="1:10" x14ac:dyDescent="0.3">
      <c r="A24">
        <v>23</v>
      </c>
      <c r="B24" s="1">
        <v>44444</v>
      </c>
      <c r="C24" s="2">
        <v>0.55909722222222225</v>
      </c>
      <c r="D24" s="1">
        <v>44444</v>
      </c>
      <c r="E24" s="3">
        <v>0.64327546296296301</v>
      </c>
      <c r="F24">
        <v>19</v>
      </c>
      <c r="G24">
        <v>21</v>
      </c>
      <c r="H24" s="3">
        <f t="shared" si="0"/>
        <v>8.4178240740740762E-2</v>
      </c>
      <c r="I24" s="5">
        <f t="shared" si="1"/>
        <v>2.0202777777777778</v>
      </c>
      <c r="J24" s="5">
        <f t="shared" si="2"/>
        <v>51.741944444444442</v>
      </c>
    </row>
    <row r="25" spans="1:10" x14ac:dyDescent="0.3">
      <c r="A25">
        <v>24</v>
      </c>
      <c r="B25" s="1">
        <v>44444</v>
      </c>
      <c r="C25" s="2">
        <v>0.69188657407407417</v>
      </c>
      <c r="D25" s="1">
        <v>44444</v>
      </c>
      <c r="E25" s="3">
        <v>0.73365740740740737</v>
      </c>
      <c r="F25">
        <v>11</v>
      </c>
      <c r="G25">
        <v>9</v>
      </c>
      <c r="H25" s="3">
        <f t="shared" si="0"/>
        <v>4.1770833333333202E-2</v>
      </c>
      <c r="I25" s="5">
        <f t="shared" si="1"/>
        <v>1.0024999999999999</v>
      </c>
      <c r="J25" s="5">
        <f t="shared" si="2"/>
        <v>52.74444444444444</v>
      </c>
    </row>
    <row r="26" spans="1:10" x14ac:dyDescent="0.3">
      <c r="A26">
        <v>25</v>
      </c>
      <c r="B26" s="1">
        <v>44444</v>
      </c>
      <c r="C26" s="2">
        <v>0.77118055555555554</v>
      </c>
      <c r="D26" s="1">
        <v>44444</v>
      </c>
      <c r="E26" s="3">
        <v>0.82657407407407402</v>
      </c>
      <c r="F26">
        <v>15</v>
      </c>
      <c r="G26">
        <v>11</v>
      </c>
      <c r="H26" s="3">
        <f t="shared" si="0"/>
        <v>5.5393518518518481E-2</v>
      </c>
      <c r="I26" s="5">
        <f t="shared" si="1"/>
        <v>1.3294444444444444</v>
      </c>
      <c r="J26" s="5">
        <f t="shared" si="2"/>
        <v>54.073888888888888</v>
      </c>
    </row>
    <row r="27" spans="1:10" x14ac:dyDescent="0.3">
      <c r="A27">
        <v>26</v>
      </c>
      <c r="B27" s="1">
        <v>44444</v>
      </c>
      <c r="C27" s="2">
        <v>0.875</v>
      </c>
      <c r="D27" s="1">
        <v>44445</v>
      </c>
      <c r="E27" s="3">
        <v>1.3495370370370371E-2</v>
      </c>
      <c r="F27">
        <v>15</v>
      </c>
      <c r="G27">
        <v>17</v>
      </c>
      <c r="H27" s="3">
        <f t="shared" si="0"/>
        <v>23.138495370370372</v>
      </c>
      <c r="I27" s="5">
        <f t="shared" si="1"/>
        <v>3.3238888888888884</v>
      </c>
      <c r="J27" s="5">
        <f t="shared" si="2"/>
        <v>57.397777777777776</v>
      </c>
    </row>
    <row r="28" spans="1:10" x14ac:dyDescent="0.3">
      <c r="A28">
        <v>27</v>
      </c>
      <c r="B28" s="1">
        <v>44445</v>
      </c>
      <c r="C28" s="2">
        <v>0.2171990740740741</v>
      </c>
      <c r="D28" s="1">
        <v>44445</v>
      </c>
      <c r="E28" s="3">
        <v>0.2976388888888889</v>
      </c>
      <c r="F28">
        <v>9</v>
      </c>
      <c r="G28">
        <v>6</v>
      </c>
      <c r="H28" s="3">
        <f t="shared" si="0"/>
        <v>8.0439814814814797E-2</v>
      </c>
      <c r="I28" s="5">
        <f t="shared" si="1"/>
        <v>1.9305555555555554</v>
      </c>
      <c r="J28" s="5">
        <f t="shared" si="2"/>
        <v>59.328333333333333</v>
      </c>
    </row>
    <row r="29" spans="1:10" x14ac:dyDescent="0.3">
      <c r="A29">
        <v>28</v>
      </c>
      <c r="B29" s="1">
        <v>44445</v>
      </c>
      <c r="C29" s="2">
        <v>0.38305555555555554</v>
      </c>
      <c r="D29" s="1">
        <v>44445</v>
      </c>
      <c r="E29" s="3">
        <v>0.52521990740740743</v>
      </c>
      <c r="F29">
        <v>14</v>
      </c>
      <c r="G29">
        <v>22</v>
      </c>
      <c r="H29" s="3">
        <f t="shared" si="0"/>
        <v>0.14216435185185189</v>
      </c>
      <c r="I29" s="5">
        <f t="shared" si="1"/>
        <v>3.4119444444444444</v>
      </c>
      <c r="J29" s="5">
        <f t="shared" si="2"/>
        <v>62.740277777777777</v>
      </c>
    </row>
    <row r="30" spans="1:10" x14ac:dyDescent="0.3">
      <c r="A30">
        <v>29</v>
      </c>
      <c r="B30" s="1">
        <v>44445</v>
      </c>
      <c r="C30" s="2">
        <v>0.55920138888888882</v>
      </c>
      <c r="D30" s="1">
        <v>44445</v>
      </c>
      <c r="E30" s="3">
        <v>0.62586805555555558</v>
      </c>
      <c r="F30">
        <v>14</v>
      </c>
      <c r="G30">
        <v>3</v>
      </c>
      <c r="H30" s="3">
        <f t="shared" si="0"/>
        <v>6.6666666666666763E-2</v>
      </c>
      <c r="I30" s="5">
        <f t="shared" si="1"/>
        <v>1.6</v>
      </c>
      <c r="J30" s="5">
        <f t="shared" si="2"/>
        <v>64.340277777777771</v>
      </c>
    </row>
    <row r="31" spans="1:10" x14ac:dyDescent="0.3">
      <c r="A31">
        <v>30</v>
      </c>
      <c r="B31" s="1">
        <v>44445</v>
      </c>
      <c r="C31" s="2">
        <v>0.7160185185185185</v>
      </c>
      <c r="D31" s="1">
        <v>44445</v>
      </c>
      <c r="E31" s="3">
        <v>0.7631944444444444</v>
      </c>
      <c r="F31">
        <v>18</v>
      </c>
      <c r="G31">
        <v>14</v>
      </c>
      <c r="H31" s="3">
        <f t="shared" si="0"/>
        <v>4.7175925925925899E-2</v>
      </c>
      <c r="I31" s="5">
        <f t="shared" si="1"/>
        <v>1.1322222222222222</v>
      </c>
      <c r="J31" s="5">
        <f t="shared" si="2"/>
        <v>65.472499999999997</v>
      </c>
    </row>
    <row r="32" spans="1:10" x14ac:dyDescent="0.3">
      <c r="A32">
        <v>31</v>
      </c>
      <c r="B32" s="1">
        <v>44445</v>
      </c>
      <c r="C32" s="2">
        <v>0.82097222222222221</v>
      </c>
      <c r="D32" s="1">
        <v>44445</v>
      </c>
      <c r="E32" s="3">
        <v>0.89042824074074067</v>
      </c>
      <c r="F32">
        <v>16</v>
      </c>
      <c r="G32">
        <v>21</v>
      </c>
      <c r="H32" s="3">
        <f t="shared" si="0"/>
        <v>6.9456018518518459E-2</v>
      </c>
      <c r="I32" s="5">
        <f t="shared" si="1"/>
        <v>1.6669444444444443</v>
      </c>
      <c r="J32" s="5">
        <f t="shared" si="2"/>
        <v>67.139444444444436</v>
      </c>
    </row>
    <row r="33" spans="1:10" x14ac:dyDescent="0.3">
      <c r="A33">
        <v>32</v>
      </c>
      <c r="B33" s="1">
        <v>44446</v>
      </c>
      <c r="C33" s="2">
        <v>0.32383101851851853</v>
      </c>
      <c r="D33" s="1">
        <v>44446</v>
      </c>
      <c r="E33" s="3">
        <v>0.40016203703703707</v>
      </c>
      <c r="F33">
        <v>15</v>
      </c>
      <c r="G33">
        <v>14</v>
      </c>
      <c r="H33" s="3">
        <f t="shared" si="0"/>
        <v>7.6331018518518534E-2</v>
      </c>
      <c r="I33" s="5">
        <f t="shared" si="1"/>
        <v>1.8319444444444444</v>
      </c>
      <c r="J33" s="5">
        <f t="shared" si="2"/>
        <v>68.971388888888882</v>
      </c>
    </row>
    <row r="34" spans="1:10" x14ac:dyDescent="0.3">
      <c r="A34">
        <v>33</v>
      </c>
      <c r="B34" s="1">
        <v>44446</v>
      </c>
      <c r="C34" s="2">
        <v>0.46467592592592594</v>
      </c>
      <c r="D34" s="1">
        <v>44446</v>
      </c>
      <c r="E34" s="3">
        <v>0.52171296296296299</v>
      </c>
      <c r="F34">
        <v>12</v>
      </c>
      <c r="G34">
        <v>23</v>
      </c>
      <c r="H34" s="3">
        <f t="shared" si="0"/>
        <v>5.7037037037037053E-2</v>
      </c>
      <c r="I34" s="5">
        <f t="shared" si="1"/>
        <v>1.3688888888888888</v>
      </c>
      <c r="J34" s="5">
        <f t="shared" si="2"/>
        <v>70.340277777777771</v>
      </c>
    </row>
    <row r="35" spans="1:10" x14ac:dyDescent="0.3">
      <c r="A35">
        <v>34</v>
      </c>
      <c r="B35" s="1">
        <v>44446</v>
      </c>
      <c r="C35" s="2">
        <v>0.57347222222222227</v>
      </c>
      <c r="D35" s="1">
        <v>44446</v>
      </c>
      <c r="E35" s="3">
        <v>0.64879629629629632</v>
      </c>
      <c r="F35">
        <v>17</v>
      </c>
      <c r="G35">
        <v>6</v>
      </c>
      <c r="H35" s="3">
        <f t="shared" si="0"/>
        <v>7.5324074074074043E-2</v>
      </c>
      <c r="I35" s="5">
        <f t="shared" si="1"/>
        <v>1.8077777777777779</v>
      </c>
      <c r="J35" s="5">
        <f t="shared" si="2"/>
        <v>72.148055555555544</v>
      </c>
    </row>
    <row r="36" spans="1:10" x14ac:dyDescent="0.3">
      <c r="A36">
        <v>35</v>
      </c>
      <c r="B36" s="1">
        <v>44446</v>
      </c>
      <c r="C36" s="2">
        <v>0.70577546296296301</v>
      </c>
      <c r="D36" s="1">
        <v>44446</v>
      </c>
      <c r="E36" s="3">
        <v>0.7917939814814815</v>
      </c>
      <c r="F36">
        <v>19</v>
      </c>
      <c r="G36">
        <v>16</v>
      </c>
      <c r="H36" s="3">
        <f t="shared" si="0"/>
        <v>8.6018518518518494E-2</v>
      </c>
      <c r="I36" s="5">
        <f t="shared" si="1"/>
        <v>2.0644444444444443</v>
      </c>
      <c r="J36" s="5">
        <f t="shared" si="2"/>
        <v>74.212499999999991</v>
      </c>
    </row>
    <row r="37" spans="1:10" x14ac:dyDescent="0.3">
      <c r="A37">
        <v>36</v>
      </c>
      <c r="B37" s="1">
        <v>44446</v>
      </c>
      <c r="C37" s="2">
        <v>0.84167824074074071</v>
      </c>
      <c r="D37" s="1">
        <v>44446</v>
      </c>
      <c r="E37" s="3">
        <v>0.9406944444444445</v>
      </c>
      <c r="F37">
        <v>11</v>
      </c>
      <c r="G37">
        <v>14</v>
      </c>
      <c r="H37" s="3">
        <f t="shared" si="0"/>
        <v>9.9016203703703787E-2</v>
      </c>
      <c r="I37" s="5">
        <f t="shared" si="1"/>
        <v>2.3763888888888891</v>
      </c>
      <c r="J37" s="5">
        <f t="shared" si="2"/>
        <v>76.588888888888874</v>
      </c>
    </row>
    <row r="38" spans="1:10" x14ac:dyDescent="0.3">
      <c r="A38">
        <v>37</v>
      </c>
      <c r="B38" s="1">
        <v>44447</v>
      </c>
      <c r="C38" s="2">
        <v>0.13560185185185183</v>
      </c>
      <c r="D38" s="1">
        <v>44447</v>
      </c>
      <c r="E38" s="3">
        <v>0.26116898148148149</v>
      </c>
      <c r="F38">
        <v>13</v>
      </c>
      <c r="G38">
        <v>22</v>
      </c>
      <c r="H38" s="3">
        <f t="shared" si="0"/>
        <v>0.12556712962962965</v>
      </c>
      <c r="I38" s="5">
        <f t="shared" si="1"/>
        <v>3.013611111111111</v>
      </c>
      <c r="J38" s="5">
        <f t="shared" si="2"/>
        <v>79.602499999999992</v>
      </c>
    </row>
    <row r="39" spans="1:10" x14ac:dyDescent="0.3">
      <c r="A39">
        <v>38</v>
      </c>
      <c r="B39" s="1">
        <v>44447</v>
      </c>
      <c r="C39" s="2">
        <v>0.32587962962962963</v>
      </c>
      <c r="D39" s="1">
        <v>44447</v>
      </c>
      <c r="E39" s="3">
        <v>0.39796296296296302</v>
      </c>
      <c r="F39">
        <v>11</v>
      </c>
      <c r="G39">
        <v>4</v>
      </c>
      <c r="H39" s="3">
        <f t="shared" si="0"/>
        <v>7.2083333333333388E-2</v>
      </c>
      <c r="I39" s="5">
        <f t="shared" si="1"/>
        <v>1.7300000000000002</v>
      </c>
      <c r="J39" s="5">
        <f t="shared" si="2"/>
        <v>81.332499999999996</v>
      </c>
    </row>
    <row r="40" spans="1:10" x14ac:dyDescent="0.3">
      <c r="A40">
        <v>39</v>
      </c>
      <c r="B40" s="1">
        <v>44447</v>
      </c>
      <c r="C40" s="2">
        <v>0.41761574074074076</v>
      </c>
      <c r="D40" s="1">
        <v>44447</v>
      </c>
      <c r="E40" s="3">
        <v>0.52447916666666672</v>
      </c>
      <c r="F40">
        <v>14</v>
      </c>
      <c r="G40">
        <v>21</v>
      </c>
      <c r="H40" s="3">
        <f t="shared" si="0"/>
        <v>0.10686342592592596</v>
      </c>
      <c r="I40" s="5">
        <f t="shared" si="1"/>
        <v>2.5647222222222221</v>
      </c>
      <c r="J40" s="5">
        <f t="shared" si="2"/>
        <v>83.897222222222211</v>
      </c>
    </row>
    <row r="41" spans="1:10" x14ac:dyDescent="0.3">
      <c r="A41">
        <v>40</v>
      </c>
      <c r="B41" s="1">
        <v>44447</v>
      </c>
      <c r="C41" s="2">
        <v>0.59138888888888885</v>
      </c>
      <c r="D41" s="1">
        <v>44447</v>
      </c>
      <c r="E41" s="3">
        <v>0.68494212962962964</v>
      </c>
      <c r="F41">
        <v>16</v>
      </c>
      <c r="G41">
        <v>9</v>
      </c>
      <c r="H41" s="3">
        <f t="shared" si="0"/>
        <v>9.3553240740740784E-2</v>
      </c>
      <c r="I41" s="5">
        <f t="shared" si="1"/>
        <v>2.2452777777777779</v>
      </c>
      <c r="J41" s="5">
        <f t="shared" si="2"/>
        <v>86.142499999999984</v>
      </c>
    </row>
    <row r="42" spans="1:10" x14ac:dyDescent="0.3">
      <c r="A42">
        <v>41</v>
      </c>
      <c r="B42" s="1">
        <v>44447</v>
      </c>
      <c r="C42" s="2">
        <v>0.7338541666666667</v>
      </c>
      <c r="D42" s="1">
        <v>44447</v>
      </c>
      <c r="E42" s="3">
        <v>0.77248842592592604</v>
      </c>
      <c r="F42">
        <v>12</v>
      </c>
      <c r="G42">
        <v>24</v>
      </c>
      <c r="H42" s="3">
        <f t="shared" si="0"/>
        <v>3.863425925925934E-2</v>
      </c>
      <c r="I42" s="5">
        <f t="shared" si="1"/>
        <v>0.92722222222222217</v>
      </c>
      <c r="J42" s="5">
        <f t="shared" si="2"/>
        <v>87.069722222222211</v>
      </c>
    </row>
    <row r="43" spans="1:10" x14ac:dyDescent="0.3">
      <c r="A43">
        <v>42</v>
      </c>
      <c r="B43" s="1">
        <v>44447</v>
      </c>
      <c r="C43" s="2">
        <v>0.83333333333333337</v>
      </c>
      <c r="D43" s="1">
        <v>44447</v>
      </c>
      <c r="E43" s="3">
        <v>0.89694444444444443</v>
      </c>
      <c r="F43">
        <v>9</v>
      </c>
      <c r="G43">
        <v>2</v>
      </c>
      <c r="H43" s="3">
        <f t="shared" si="0"/>
        <v>6.3611111111111063E-2</v>
      </c>
      <c r="I43" s="5">
        <f t="shared" si="1"/>
        <v>1.5266666666666666</v>
      </c>
      <c r="J43" s="5">
        <f t="shared" si="2"/>
        <v>88.596388888888882</v>
      </c>
    </row>
    <row r="44" spans="1:10" x14ac:dyDescent="0.3">
      <c r="A44">
        <v>43</v>
      </c>
      <c r="B44" s="1">
        <v>44448</v>
      </c>
      <c r="C44" s="2">
        <v>0.25793981481481482</v>
      </c>
      <c r="D44" s="1">
        <v>44448</v>
      </c>
      <c r="E44" s="3">
        <v>0.32356481481481481</v>
      </c>
      <c r="F44">
        <v>9</v>
      </c>
      <c r="G44">
        <v>4</v>
      </c>
      <c r="H44" s="3">
        <f t="shared" si="0"/>
        <v>6.5624999999999989E-2</v>
      </c>
      <c r="I44" s="5">
        <f t="shared" si="1"/>
        <v>1.575</v>
      </c>
      <c r="J44" s="5">
        <f t="shared" si="2"/>
        <v>90.171388888888885</v>
      </c>
    </row>
    <row r="45" spans="1:10" x14ac:dyDescent="0.3">
      <c r="A45">
        <v>44</v>
      </c>
      <c r="B45" s="1">
        <v>44448</v>
      </c>
      <c r="C45" s="2">
        <v>0.41349537037037037</v>
      </c>
      <c r="D45" s="1">
        <v>44448</v>
      </c>
      <c r="E45" s="3">
        <v>0.45501157407407411</v>
      </c>
      <c r="F45">
        <v>9</v>
      </c>
      <c r="G45">
        <v>14</v>
      </c>
      <c r="H45" s="3">
        <f t="shared" si="0"/>
        <v>4.1516203703703736E-2</v>
      </c>
      <c r="I45" s="5">
        <f t="shared" si="1"/>
        <v>0.99638888888888888</v>
      </c>
      <c r="J45" s="5">
        <f t="shared" si="2"/>
        <v>91.167777777777772</v>
      </c>
    </row>
    <row r="46" spans="1:10" x14ac:dyDescent="0.3">
      <c r="A46">
        <v>45</v>
      </c>
      <c r="B46" s="1">
        <v>44448</v>
      </c>
      <c r="C46" s="2">
        <v>0.50607638888888895</v>
      </c>
      <c r="D46" s="1">
        <v>44448</v>
      </c>
      <c r="E46" s="3">
        <v>0.59107638888888892</v>
      </c>
      <c r="F46">
        <v>12</v>
      </c>
      <c r="G46">
        <v>10</v>
      </c>
      <c r="H46" s="3">
        <f t="shared" si="0"/>
        <v>8.4999999999999964E-2</v>
      </c>
      <c r="I46" s="5">
        <f t="shared" si="1"/>
        <v>2.04</v>
      </c>
      <c r="J46" s="5">
        <f t="shared" si="2"/>
        <v>93.207777777777778</v>
      </c>
    </row>
    <row r="47" spans="1:10" x14ac:dyDescent="0.3">
      <c r="A47">
        <v>46</v>
      </c>
      <c r="B47" s="1">
        <v>44448</v>
      </c>
      <c r="C47" s="2">
        <v>0.68482638888888892</v>
      </c>
      <c r="D47" s="1">
        <v>44448</v>
      </c>
      <c r="E47" s="3">
        <v>0.77111111111111119</v>
      </c>
      <c r="F47">
        <v>16</v>
      </c>
      <c r="G47">
        <v>11</v>
      </c>
      <c r="H47" s="3">
        <f t="shared" si="0"/>
        <v>8.6284722222222276E-2</v>
      </c>
      <c r="I47" s="5">
        <f t="shared" si="1"/>
        <v>2.0708333333333337</v>
      </c>
      <c r="J47" s="5">
        <f t="shared" si="2"/>
        <v>95.278611111111118</v>
      </c>
    </row>
    <row r="48" spans="1:10" x14ac:dyDescent="0.3">
      <c r="A48">
        <v>47</v>
      </c>
      <c r="B48" s="1">
        <v>44448</v>
      </c>
      <c r="C48" s="2">
        <v>0.85435185185185192</v>
      </c>
      <c r="D48" s="1">
        <v>44448</v>
      </c>
      <c r="E48" s="3">
        <v>0.89</v>
      </c>
      <c r="F48">
        <v>13</v>
      </c>
      <c r="G48">
        <v>21</v>
      </c>
      <c r="H48" s="3">
        <f t="shared" si="0"/>
        <v>3.5648148148148096E-2</v>
      </c>
      <c r="I48" s="5">
        <f t="shared" si="1"/>
        <v>0.85555555555555551</v>
      </c>
      <c r="J48" s="5">
        <f t="shared" si="2"/>
        <v>96.134166666666673</v>
      </c>
    </row>
    <row r="49" spans="1:10" x14ac:dyDescent="0.3">
      <c r="A49">
        <v>48</v>
      </c>
      <c r="B49" s="1">
        <v>44449</v>
      </c>
      <c r="C49" s="2">
        <v>0.21634259259259259</v>
      </c>
      <c r="D49" s="1">
        <v>44449</v>
      </c>
      <c r="E49" s="3">
        <v>0.30988425925925928</v>
      </c>
      <c r="F49">
        <v>7</v>
      </c>
      <c r="G49">
        <v>15</v>
      </c>
      <c r="H49" s="3">
        <f t="shared" si="0"/>
        <v>9.354166666666669E-2</v>
      </c>
      <c r="I49" s="5">
        <f t="shared" si="1"/>
        <v>2.2450000000000001</v>
      </c>
      <c r="J49" s="5">
        <f t="shared" si="2"/>
        <v>98.379166666666677</v>
      </c>
    </row>
    <row r="50" spans="1:10" x14ac:dyDescent="0.3">
      <c r="A50">
        <v>49</v>
      </c>
      <c r="B50" s="1">
        <v>44449</v>
      </c>
      <c r="C50" s="2">
        <v>0.38201388888888888</v>
      </c>
      <c r="D50" s="1">
        <v>44449</v>
      </c>
      <c r="E50" s="3">
        <v>0.44449074074074074</v>
      </c>
      <c r="F50">
        <v>7</v>
      </c>
      <c r="G50">
        <v>0</v>
      </c>
      <c r="H50" s="3">
        <f t="shared" si="0"/>
        <v>6.2476851851851867E-2</v>
      </c>
      <c r="I50" s="5">
        <f t="shared" si="1"/>
        <v>1.4994444444444446</v>
      </c>
      <c r="J50" s="5">
        <f t="shared" si="2"/>
        <v>99.878611111111127</v>
      </c>
    </row>
    <row r="51" spans="1:10" x14ac:dyDescent="0.3">
      <c r="A51">
        <v>50</v>
      </c>
      <c r="B51" s="1">
        <v>44449</v>
      </c>
      <c r="C51" s="2">
        <v>0.49995370370370368</v>
      </c>
      <c r="D51" s="1">
        <v>44449</v>
      </c>
      <c r="E51" s="3">
        <v>0.59361111111111109</v>
      </c>
      <c r="F51">
        <v>7</v>
      </c>
      <c r="G51">
        <v>1</v>
      </c>
      <c r="H51" s="3">
        <f t="shared" si="0"/>
        <v>9.3657407407407411E-2</v>
      </c>
      <c r="I51" s="5">
        <f t="shared" si="1"/>
        <v>2.2477777777777779</v>
      </c>
      <c r="J51" s="5">
        <f t="shared" si="2"/>
        <v>102.12638888888891</v>
      </c>
    </row>
    <row r="52" spans="1:10" x14ac:dyDescent="0.3">
      <c r="A52">
        <v>51</v>
      </c>
      <c r="B52" s="1">
        <v>44449</v>
      </c>
      <c r="C52" s="2">
        <v>0.64993055555555557</v>
      </c>
      <c r="D52" s="1">
        <v>44449</v>
      </c>
      <c r="E52" s="3">
        <v>0.70430555555555552</v>
      </c>
      <c r="F52">
        <v>13</v>
      </c>
      <c r="G52">
        <v>20</v>
      </c>
      <c r="H52" s="3">
        <f t="shared" si="0"/>
        <v>5.4374999999999951E-2</v>
      </c>
      <c r="I52" s="5">
        <f t="shared" si="1"/>
        <v>1.3049999999999999</v>
      </c>
      <c r="J52" s="5">
        <f t="shared" si="2"/>
        <v>103.43138888888892</v>
      </c>
    </row>
    <row r="53" spans="1:10" x14ac:dyDescent="0.3">
      <c r="A53">
        <v>52</v>
      </c>
      <c r="B53" s="1">
        <v>44449</v>
      </c>
      <c r="C53" s="2">
        <v>0.79276620370370365</v>
      </c>
      <c r="D53" s="1">
        <v>44449</v>
      </c>
      <c r="E53" s="3">
        <v>0.82553240740740741</v>
      </c>
      <c r="F53">
        <v>12</v>
      </c>
      <c r="G53">
        <v>4</v>
      </c>
      <c r="H53" s="3">
        <f t="shared" si="0"/>
        <v>3.2766203703703756E-2</v>
      </c>
      <c r="I53" s="5">
        <f t="shared" si="1"/>
        <v>0.78638888888888892</v>
      </c>
      <c r="J53" s="5">
        <f t="shared" si="2"/>
        <v>104.21777777777781</v>
      </c>
    </row>
    <row r="54" spans="1:10" x14ac:dyDescent="0.3">
      <c r="A54">
        <v>53</v>
      </c>
      <c r="B54" s="1">
        <v>44449</v>
      </c>
      <c r="C54" s="2">
        <v>0.87574074074074071</v>
      </c>
      <c r="D54" s="1">
        <v>44450</v>
      </c>
      <c r="E54" s="3">
        <v>3.770833333333333E-2</v>
      </c>
      <c r="F54">
        <v>11</v>
      </c>
      <c r="G54">
        <v>9</v>
      </c>
      <c r="H54" s="3">
        <f t="shared" si="0"/>
        <v>23.161967592592593</v>
      </c>
      <c r="I54" s="5">
        <f t="shared" si="1"/>
        <v>3.8872222222222224</v>
      </c>
      <c r="J54" s="5">
        <f t="shared" si="2"/>
        <v>108.10500000000003</v>
      </c>
    </row>
    <row r="55" spans="1:10" x14ac:dyDescent="0.3">
      <c r="A55">
        <v>54</v>
      </c>
      <c r="B55" s="1">
        <v>44450</v>
      </c>
      <c r="C55" s="2">
        <v>0.26106481481481481</v>
      </c>
      <c r="D55" s="1">
        <v>44450</v>
      </c>
      <c r="E55" s="3">
        <v>0.38315972222222222</v>
      </c>
      <c r="F55">
        <v>12</v>
      </c>
      <c r="G55">
        <v>21</v>
      </c>
      <c r="H55" s="3">
        <f t="shared" si="0"/>
        <v>0.12209490740740742</v>
      </c>
      <c r="I55" s="5">
        <f t="shared" si="1"/>
        <v>2.9302777777777775</v>
      </c>
      <c r="J55" s="5">
        <f t="shared" si="2"/>
        <v>111.03527777777781</v>
      </c>
    </row>
    <row r="56" spans="1:10" x14ac:dyDescent="0.3">
      <c r="A56">
        <v>55</v>
      </c>
      <c r="B56" s="1">
        <v>44450</v>
      </c>
      <c r="C56" s="2">
        <v>0.46128472222222222</v>
      </c>
      <c r="D56" s="1">
        <v>44450</v>
      </c>
      <c r="E56" s="3">
        <v>0.50633101851851847</v>
      </c>
      <c r="F56">
        <v>14</v>
      </c>
      <c r="G56">
        <v>2</v>
      </c>
      <c r="H56" s="3">
        <f t="shared" si="0"/>
        <v>4.5046296296296251E-2</v>
      </c>
      <c r="I56" s="5">
        <f t="shared" si="1"/>
        <v>1.0811111111111111</v>
      </c>
      <c r="J56" s="5">
        <f t="shared" si="2"/>
        <v>112.11638888888892</v>
      </c>
    </row>
    <row r="57" spans="1:10" x14ac:dyDescent="0.3">
      <c r="A57">
        <v>56</v>
      </c>
      <c r="B57" s="1">
        <v>44450</v>
      </c>
      <c r="C57" s="2">
        <v>0.56730324074074068</v>
      </c>
      <c r="D57" s="1">
        <v>44450</v>
      </c>
      <c r="E57" s="3">
        <v>0.60193287037037035</v>
      </c>
      <c r="F57">
        <v>17</v>
      </c>
      <c r="G57">
        <v>9</v>
      </c>
      <c r="H57" s="3">
        <f t="shared" si="0"/>
        <v>3.4629629629629677E-2</v>
      </c>
      <c r="I57" s="5">
        <f t="shared" si="1"/>
        <v>0.83111111111111113</v>
      </c>
      <c r="J57" s="5">
        <f t="shared" si="2"/>
        <v>112.94750000000003</v>
      </c>
    </row>
    <row r="58" spans="1:10" x14ac:dyDescent="0.3">
      <c r="A58">
        <v>57</v>
      </c>
      <c r="B58" s="1">
        <v>44450</v>
      </c>
      <c r="C58" s="2">
        <v>0.66475694444444444</v>
      </c>
      <c r="D58" s="1">
        <v>44450</v>
      </c>
      <c r="E58" s="3">
        <v>0.71930555555555553</v>
      </c>
      <c r="F58">
        <v>3</v>
      </c>
      <c r="G58">
        <v>9</v>
      </c>
      <c r="H58" s="3">
        <f t="shared" si="0"/>
        <v>5.4548611111111089E-2</v>
      </c>
      <c r="I58" s="5">
        <f t="shared" si="1"/>
        <v>1.3091666666666668</v>
      </c>
      <c r="J58" s="5">
        <f t="shared" si="2"/>
        <v>114.2566666666667</v>
      </c>
    </row>
    <row r="59" spans="1:10" x14ac:dyDescent="0.3">
      <c r="A59">
        <v>58</v>
      </c>
      <c r="B59" s="1">
        <v>44450</v>
      </c>
      <c r="C59" s="2">
        <v>0.79238425925925926</v>
      </c>
      <c r="D59" s="1">
        <v>44450</v>
      </c>
      <c r="E59" s="3">
        <v>0.88265046296296301</v>
      </c>
      <c r="F59">
        <v>11</v>
      </c>
      <c r="G59">
        <v>3</v>
      </c>
      <c r="H59" s="3">
        <f t="shared" si="0"/>
        <v>9.0266203703703751E-2</v>
      </c>
      <c r="I59" s="5">
        <f t="shared" si="1"/>
        <v>2.1663888888888887</v>
      </c>
      <c r="J59" s="5">
        <f t="shared" si="2"/>
        <v>116.42305555555559</v>
      </c>
    </row>
    <row r="60" spans="1:10" x14ac:dyDescent="0.3">
      <c r="A60">
        <v>59</v>
      </c>
      <c r="B60" s="1">
        <v>44451</v>
      </c>
      <c r="C60" s="2">
        <v>0.16666666666666666</v>
      </c>
      <c r="D60" s="1">
        <v>44451</v>
      </c>
      <c r="E60" s="3">
        <v>0.23270833333333332</v>
      </c>
      <c r="F60">
        <v>8</v>
      </c>
      <c r="G60">
        <v>4</v>
      </c>
      <c r="H60" s="3">
        <f t="shared" si="0"/>
        <v>6.6041666666666665E-2</v>
      </c>
      <c r="I60" s="5">
        <f t="shared" si="1"/>
        <v>1.5850000000000002</v>
      </c>
      <c r="J60" s="5">
        <f t="shared" si="2"/>
        <v>118.00805555555559</v>
      </c>
    </row>
    <row r="61" spans="1:10" x14ac:dyDescent="0.3">
      <c r="A61">
        <v>60</v>
      </c>
      <c r="B61" s="1">
        <v>44451</v>
      </c>
      <c r="C61" s="2">
        <v>0.34324074074074074</v>
      </c>
      <c r="D61" s="1">
        <v>44451</v>
      </c>
      <c r="E61" s="3">
        <v>0.42799768518518522</v>
      </c>
      <c r="F61">
        <v>1</v>
      </c>
      <c r="G61">
        <v>6</v>
      </c>
      <c r="H61" s="3">
        <f t="shared" si="0"/>
        <v>8.4756944444444482E-2</v>
      </c>
      <c r="I61" s="5">
        <f t="shared" si="1"/>
        <v>2.0341666666666667</v>
      </c>
      <c r="J61" s="5">
        <f t="shared" si="2"/>
        <v>120.04222222222225</v>
      </c>
    </row>
    <row r="62" spans="1:10" x14ac:dyDescent="0.3">
      <c r="A62">
        <v>61</v>
      </c>
      <c r="B62" s="1">
        <v>44451</v>
      </c>
      <c r="C62" s="2">
        <v>0.52084490740740741</v>
      </c>
      <c r="D62" s="1">
        <v>44451</v>
      </c>
      <c r="E62" s="3">
        <v>0.59403935185185186</v>
      </c>
      <c r="F62">
        <v>4</v>
      </c>
      <c r="G62">
        <v>21</v>
      </c>
      <c r="H62" s="3">
        <f t="shared" si="0"/>
        <v>7.3194444444444451E-2</v>
      </c>
      <c r="I62" s="5">
        <f t="shared" si="1"/>
        <v>1.7566666666666666</v>
      </c>
      <c r="J62" s="5">
        <f t="shared" si="2"/>
        <v>121.79888888888891</v>
      </c>
    </row>
    <row r="63" spans="1:10" x14ac:dyDescent="0.3">
      <c r="A63">
        <v>62</v>
      </c>
      <c r="B63" s="1">
        <v>44451</v>
      </c>
      <c r="C63" s="2">
        <v>0.73968750000000005</v>
      </c>
      <c r="D63" s="1">
        <v>44451</v>
      </c>
      <c r="E63" s="3">
        <v>0.79862268518518509</v>
      </c>
      <c r="F63">
        <v>9</v>
      </c>
      <c r="G63">
        <v>11</v>
      </c>
      <c r="H63" s="3">
        <f t="shared" si="0"/>
        <v>5.8935185185185035E-2</v>
      </c>
      <c r="I63" s="5">
        <f t="shared" si="1"/>
        <v>1.4144444444444444</v>
      </c>
      <c r="J63" s="5">
        <f t="shared" si="2"/>
        <v>123.21333333333335</v>
      </c>
    </row>
    <row r="64" spans="1:10" x14ac:dyDescent="0.3">
      <c r="A64">
        <v>63</v>
      </c>
      <c r="B64" s="1">
        <v>44452</v>
      </c>
      <c r="C64" s="2">
        <v>0.21440972222222221</v>
      </c>
      <c r="D64" s="1">
        <v>44452</v>
      </c>
      <c r="E64" s="3">
        <v>0.38071759259259258</v>
      </c>
      <c r="F64">
        <v>12</v>
      </c>
      <c r="G64">
        <v>7</v>
      </c>
      <c r="H64" s="3">
        <f t="shared" si="0"/>
        <v>0.16630787037037037</v>
      </c>
      <c r="I64" s="5">
        <f t="shared" si="1"/>
        <v>3.9913888888888889</v>
      </c>
      <c r="J64" s="5">
        <f t="shared" si="2"/>
        <v>127.20472222222224</v>
      </c>
    </row>
    <row r="65" spans="1:10" x14ac:dyDescent="0.3">
      <c r="A65">
        <v>64</v>
      </c>
      <c r="B65" s="1">
        <v>44452</v>
      </c>
      <c r="C65" s="2">
        <v>0.46302083333333338</v>
      </c>
      <c r="D65" s="1">
        <v>44452</v>
      </c>
      <c r="E65" s="3">
        <v>0.53340277777777778</v>
      </c>
      <c r="F65">
        <v>11</v>
      </c>
      <c r="G65">
        <v>13</v>
      </c>
      <c r="H65" s="3">
        <f t="shared" si="0"/>
        <v>7.03819444444444E-2</v>
      </c>
      <c r="I65" s="5">
        <f t="shared" si="1"/>
        <v>1.6891666666666667</v>
      </c>
      <c r="J65" s="5">
        <f t="shared" si="2"/>
        <v>128.89388888888891</v>
      </c>
    </row>
    <row r="66" spans="1:10" x14ac:dyDescent="0.3">
      <c r="A66">
        <v>65</v>
      </c>
      <c r="B66" s="1">
        <v>44452</v>
      </c>
      <c r="C66" s="2">
        <v>0.55218749999999994</v>
      </c>
      <c r="D66" s="1">
        <v>44452</v>
      </c>
      <c r="E66" s="3">
        <v>0.62197916666666664</v>
      </c>
      <c r="F66">
        <v>16</v>
      </c>
      <c r="G66">
        <v>21</v>
      </c>
      <c r="H66" s="3">
        <f t="shared" si="0"/>
        <v>6.9791666666666696E-2</v>
      </c>
      <c r="I66" s="5">
        <f t="shared" si="1"/>
        <v>1.6749999999999998</v>
      </c>
      <c r="J66" s="5">
        <f t="shared" si="2"/>
        <v>130.56888888888892</v>
      </c>
    </row>
    <row r="67" spans="1:10" x14ac:dyDescent="0.3">
      <c r="A67">
        <v>66</v>
      </c>
      <c r="B67" s="1">
        <v>44452</v>
      </c>
      <c r="C67" s="2">
        <v>0.6699652777777777</v>
      </c>
      <c r="D67" s="1">
        <v>44452</v>
      </c>
      <c r="E67" s="3">
        <v>0.75</v>
      </c>
      <c r="F67">
        <v>19</v>
      </c>
      <c r="G67">
        <v>10</v>
      </c>
      <c r="H67" s="3">
        <f t="shared" ref="H67:H130" si="3">IF(E67&lt;C67,(24-C67)+E67,E67-C67)</f>
        <v>8.0034722222222299E-2</v>
      </c>
      <c r="I67" s="5">
        <f t="shared" ref="I67:I130" si="4">HOUR(H67) + MINUTE(H67)/60 + SECOND(H67) /3600</f>
        <v>1.9208333333333332</v>
      </c>
      <c r="J67" s="5">
        <f t="shared" si="2"/>
        <v>132.48972222222224</v>
      </c>
    </row>
    <row r="68" spans="1:10" x14ac:dyDescent="0.3">
      <c r="A68">
        <v>67</v>
      </c>
      <c r="B68" s="1">
        <v>44452</v>
      </c>
      <c r="C68" s="2">
        <v>0.83971064814814822</v>
      </c>
      <c r="D68" s="1">
        <v>44452</v>
      </c>
      <c r="E68" s="3">
        <v>0.9196643518518518</v>
      </c>
      <c r="F68">
        <v>3</v>
      </c>
      <c r="G68">
        <v>0</v>
      </c>
      <c r="H68" s="3">
        <f t="shared" si="3"/>
        <v>7.9953703703703582E-2</v>
      </c>
      <c r="I68" s="5">
        <f t="shared" si="4"/>
        <v>1.9188888888888886</v>
      </c>
      <c r="J68" s="5">
        <f t="shared" ref="J68:J131" si="5">I68+J67</f>
        <v>134.40861111111113</v>
      </c>
    </row>
    <row r="69" spans="1:10" x14ac:dyDescent="0.3">
      <c r="A69">
        <v>68</v>
      </c>
      <c r="B69" s="1">
        <v>44453</v>
      </c>
      <c r="C69" s="2">
        <v>0.17733796296296298</v>
      </c>
      <c r="D69" s="1">
        <v>44453</v>
      </c>
      <c r="E69" s="3">
        <v>0.26</v>
      </c>
      <c r="F69">
        <v>12</v>
      </c>
      <c r="G69">
        <v>21</v>
      </c>
      <c r="H69" s="3">
        <f t="shared" si="3"/>
        <v>8.2662037037037034E-2</v>
      </c>
      <c r="I69" s="5">
        <f t="shared" si="4"/>
        <v>1.983888888888889</v>
      </c>
      <c r="J69" s="5">
        <f t="shared" si="5"/>
        <v>136.39250000000001</v>
      </c>
    </row>
    <row r="70" spans="1:10" x14ac:dyDescent="0.3">
      <c r="A70">
        <v>69</v>
      </c>
      <c r="B70" s="1">
        <v>44453</v>
      </c>
      <c r="C70" s="2">
        <v>0.34437500000000004</v>
      </c>
      <c r="D70" s="1">
        <v>44453</v>
      </c>
      <c r="E70" s="3">
        <v>0.42008101851851848</v>
      </c>
      <c r="F70">
        <v>17</v>
      </c>
      <c r="G70">
        <v>20</v>
      </c>
      <c r="H70" s="3">
        <f t="shared" si="3"/>
        <v>7.5706018518518436E-2</v>
      </c>
      <c r="I70" s="5">
        <f t="shared" si="4"/>
        <v>1.8169444444444445</v>
      </c>
      <c r="J70" s="5">
        <f t="shared" si="5"/>
        <v>138.20944444444444</v>
      </c>
    </row>
    <row r="71" spans="1:10" x14ac:dyDescent="0.3">
      <c r="A71">
        <v>70</v>
      </c>
      <c r="B71" s="1">
        <v>44453</v>
      </c>
      <c r="C71" s="2">
        <v>0.5</v>
      </c>
      <c r="D71" s="1">
        <v>44453</v>
      </c>
      <c r="E71" s="3">
        <v>0.58119212962962963</v>
      </c>
      <c r="F71">
        <v>11</v>
      </c>
      <c r="G71">
        <v>22</v>
      </c>
      <c r="H71" s="3">
        <f t="shared" si="3"/>
        <v>8.1192129629629628E-2</v>
      </c>
      <c r="I71" s="5">
        <f t="shared" si="4"/>
        <v>1.9486111111111111</v>
      </c>
      <c r="J71" s="5">
        <f t="shared" si="5"/>
        <v>140.15805555555556</v>
      </c>
    </row>
    <row r="72" spans="1:10" x14ac:dyDescent="0.3">
      <c r="A72">
        <v>71</v>
      </c>
      <c r="B72" s="1">
        <v>44453</v>
      </c>
      <c r="C72" s="2">
        <v>0.64340277777777777</v>
      </c>
      <c r="D72" s="1">
        <v>44453</v>
      </c>
      <c r="E72" s="3">
        <v>0.7085069444444444</v>
      </c>
      <c r="F72">
        <v>7</v>
      </c>
      <c r="G72">
        <v>2</v>
      </c>
      <c r="H72" s="3">
        <f t="shared" si="3"/>
        <v>6.510416666666663E-2</v>
      </c>
      <c r="I72" s="5">
        <f t="shared" si="4"/>
        <v>1.5625</v>
      </c>
      <c r="J72" s="5">
        <f t="shared" si="5"/>
        <v>141.72055555555556</v>
      </c>
    </row>
    <row r="73" spans="1:10" x14ac:dyDescent="0.3">
      <c r="A73">
        <v>72</v>
      </c>
      <c r="B73" s="1">
        <v>44453</v>
      </c>
      <c r="C73" s="2">
        <v>0.77552083333333333</v>
      </c>
      <c r="D73" s="1">
        <v>44453</v>
      </c>
      <c r="E73" s="3">
        <v>0.80270833333333336</v>
      </c>
      <c r="F73">
        <v>8</v>
      </c>
      <c r="G73">
        <v>7</v>
      </c>
      <c r="H73" s="3">
        <f t="shared" si="3"/>
        <v>2.7187500000000031E-2</v>
      </c>
      <c r="I73" s="5">
        <f t="shared" si="4"/>
        <v>0.65249999999999997</v>
      </c>
      <c r="J73" s="5">
        <f t="shared" si="5"/>
        <v>142.37305555555557</v>
      </c>
    </row>
    <row r="74" spans="1:10" x14ac:dyDescent="0.3">
      <c r="A74">
        <v>73</v>
      </c>
      <c r="B74" s="1">
        <v>44453</v>
      </c>
      <c r="C74" s="2">
        <v>0.87285879629629637</v>
      </c>
      <c r="D74" s="1">
        <v>44453</v>
      </c>
      <c r="E74" s="3">
        <v>0.91951388888888885</v>
      </c>
      <c r="F74">
        <v>6</v>
      </c>
      <c r="G74">
        <v>1</v>
      </c>
      <c r="H74" s="3">
        <f t="shared" si="3"/>
        <v>4.6655092592592484E-2</v>
      </c>
      <c r="I74" s="5">
        <f t="shared" si="4"/>
        <v>1.1197222222222223</v>
      </c>
      <c r="J74" s="5">
        <f t="shared" si="5"/>
        <v>143.4927777777778</v>
      </c>
    </row>
    <row r="75" spans="1:10" x14ac:dyDescent="0.3">
      <c r="A75">
        <v>74</v>
      </c>
      <c r="B75" s="1">
        <v>44454</v>
      </c>
      <c r="C75" s="2">
        <v>4.2361111111111106E-2</v>
      </c>
      <c r="D75" s="1">
        <v>44454</v>
      </c>
      <c r="E75" s="3">
        <v>0.17298611111111109</v>
      </c>
      <c r="F75">
        <v>0</v>
      </c>
      <c r="G75">
        <v>6</v>
      </c>
      <c r="H75" s="3">
        <f t="shared" si="3"/>
        <v>0.13062499999999999</v>
      </c>
      <c r="I75" s="5">
        <f t="shared" si="4"/>
        <v>3.1349999999999998</v>
      </c>
      <c r="J75" s="5">
        <f t="shared" si="5"/>
        <v>146.62777777777779</v>
      </c>
    </row>
    <row r="76" spans="1:10" x14ac:dyDescent="0.3">
      <c r="A76">
        <v>75</v>
      </c>
      <c r="B76" s="1">
        <v>44454</v>
      </c>
      <c r="C76" s="2">
        <v>0.28885416666666669</v>
      </c>
      <c r="D76" s="1">
        <v>44454</v>
      </c>
      <c r="E76" s="3">
        <v>0.34437500000000004</v>
      </c>
      <c r="F76">
        <v>0</v>
      </c>
      <c r="G76">
        <v>5</v>
      </c>
      <c r="H76" s="3">
        <f t="shared" si="3"/>
        <v>5.5520833333333353E-2</v>
      </c>
      <c r="I76" s="5">
        <f t="shared" si="4"/>
        <v>1.3325</v>
      </c>
      <c r="J76" s="5">
        <f t="shared" si="5"/>
        <v>147.9602777777778</v>
      </c>
    </row>
    <row r="77" spans="1:10" x14ac:dyDescent="0.3">
      <c r="A77">
        <v>76</v>
      </c>
      <c r="B77" s="1">
        <v>44454</v>
      </c>
      <c r="C77" s="2">
        <v>0.42424768518518513</v>
      </c>
      <c r="D77" s="1">
        <v>44454</v>
      </c>
      <c r="E77" s="3">
        <v>0.53179398148148149</v>
      </c>
      <c r="F77">
        <v>10</v>
      </c>
      <c r="G77">
        <v>1</v>
      </c>
      <c r="H77" s="3">
        <f t="shared" si="3"/>
        <v>0.10754629629629636</v>
      </c>
      <c r="I77" s="5">
        <f t="shared" si="4"/>
        <v>2.5811111111111109</v>
      </c>
      <c r="J77" s="5">
        <f t="shared" si="5"/>
        <v>150.54138888888892</v>
      </c>
    </row>
    <row r="78" spans="1:10" x14ac:dyDescent="0.3">
      <c r="A78">
        <v>77</v>
      </c>
      <c r="B78" s="1">
        <v>44454</v>
      </c>
      <c r="C78" s="2">
        <v>0.5991319444444444</v>
      </c>
      <c r="D78" s="1">
        <v>44454</v>
      </c>
      <c r="E78" s="3">
        <v>0.63361111111111112</v>
      </c>
      <c r="F78">
        <v>14</v>
      </c>
      <c r="G78">
        <v>21</v>
      </c>
      <c r="H78" s="3">
        <f t="shared" si="3"/>
        <v>3.4479166666666727E-2</v>
      </c>
      <c r="I78" s="5">
        <f t="shared" si="4"/>
        <v>0.82750000000000001</v>
      </c>
      <c r="J78" s="5">
        <f t="shared" si="5"/>
        <v>151.3688888888889</v>
      </c>
    </row>
    <row r="79" spans="1:10" x14ac:dyDescent="0.3">
      <c r="A79">
        <v>78</v>
      </c>
      <c r="B79" s="1">
        <v>44454</v>
      </c>
      <c r="C79" s="2">
        <v>0.7228472222222222</v>
      </c>
      <c r="D79" s="1">
        <v>44454</v>
      </c>
      <c r="E79" s="3">
        <v>0.77552083333333333</v>
      </c>
      <c r="F79">
        <v>4</v>
      </c>
      <c r="G79">
        <v>1</v>
      </c>
      <c r="H79" s="3">
        <f t="shared" si="3"/>
        <v>5.2673611111111129E-2</v>
      </c>
      <c r="I79" s="5">
        <f t="shared" si="4"/>
        <v>1.2641666666666667</v>
      </c>
      <c r="J79" s="5">
        <f t="shared" si="5"/>
        <v>152.63305555555556</v>
      </c>
    </row>
    <row r="80" spans="1:10" x14ac:dyDescent="0.3">
      <c r="A80">
        <v>79</v>
      </c>
      <c r="B80" s="1">
        <v>44454</v>
      </c>
      <c r="C80" s="2">
        <v>0.86644675925925929</v>
      </c>
      <c r="D80" s="1">
        <v>44454</v>
      </c>
      <c r="E80" s="3">
        <v>0.90680555555555553</v>
      </c>
      <c r="F80">
        <v>7</v>
      </c>
      <c r="G80">
        <v>2</v>
      </c>
      <c r="H80" s="3">
        <f t="shared" si="3"/>
        <v>4.035879629629624E-2</v>
      </c>
      <c r="I80" s="5">
        <f t="shared" si="4"/>
        <v>0.96861111111111109</v>
      </c>
      <c r="J80" s="5">
        <f t="shared" si="5"/>
        <v>153.60166666666666</v>
      </c>
    </row>
    <row r="81" spans="1:10" x14ac:dyDescent="0.3">
      <c r="A81">
        <v>80</v>
      </c>
      <c r="B81" s="1">
        <v>44455</v>
      </c>
      <c r="C81" s="2">
        <v>0.13571759259259261</v>
      </c>
      <c r="D81" s="1">
        <v>44455</v>
      </c>
      <c r="E81" s="3">
        <v>0.25288194444444445</v>
      </c>
      <c r="F81">
        <v>13</v>
      </c>
      <c r="G81">
        <v>5</v>
      </c>
      <c r="H81" s="3">
        <f t="shared" si="3"/>
        <v>0.11716435185185184</v>
      </c>
      <c r="I81" s="5">
        <f t="shared" si="4"/>
        <v>2.8119444444444444</v>
      </c>
      <c r="J81" s="5">
        <f t="shared" si="5"/>
        <v>156.41361111111109</v>
      </c>
    </row>
    <row r="82" spans="1:10" x14ac:dyDescent="0.3">
      <c r="A82">
        <v>81</v>
      </c>
      <c r="B82" s="1">
        <v>44455</v>
      </c>
      <c r="C82" s="2">
        <v>0.29960648148148145</v>
      </c>
      <c r="D82" s="1">
        <v>44455</v>
      </c>
      <c r="E82" s="3">
        <v>0.37712962962962965</v>
      </c>
      <c r="F82">
        <v>13</v>
      </c>
      <c r="G82">
        <v>11</v>
      </c>
      <c r="H82" s="3">
        <f t="shared" si="3"/>
        <v>7.7523148148148202E-2</v>
      </c>
      <c r="I82" s="5">
        <f t="shared" si="4"/>
        <v>1.8605555555555557</v>
      </c>
      <c r="J82" s="5">
        <f t="shared" si="5"/>
        <v>158.27416666666664</v>
      </c>
    </row>
    <row r="83" spans="1:10" x14ac:dyDescent="0.3">
      <c r="A83">
        <v>82</v>
      </c>
      <c r="B83" s="1">
        <v>44455</v>
      </c>
      <c r="C83" s="2">
        <v>0.46118055555555554</v>
      </c>
      <c r="D83" s="1">
        <v>44455</v>
      </c>
      <c r="E83" s="3">
        <v>0.5005208333333333</v>
      </c>
      <c r="F83">
        <v>14</v>
      </c>
      <c r="G83">
        <v>9</v>
      </c>
      <c r="H83" s="3">
        <f t="shared" si="3"/>
        <v>3.9340277777777766E-2</v>
      </c>
      <c r="I83" s="5">
        <f t="shared" si="4"/>
        <v>0.94416666666666671</v>
      </c>
      <c r="J83" s="5">
        <f t="shared" si="5"/>
        <v>159.21833333333331</v>
      </c>
    </row>
    <row r="84" spans="1:10" x14ac:dyDescent="0.3">
      <c r="A84">
        <v>83</v>
      </c>
      <c r="B84" s="1">
        <v>44455</v>
      </c>
      <c r="C84" s="2">
        <v>0.57986111111111105</v>
      </c>
      <c r="D84" s="1">
        <v>44455</v>
      </c>
      <c r="E84" s="3">
        <v>0.61469907407407409</v>
      </c>
      <c r="F84">
        <v>14</v>
      </c>
      <c r="G84">
        <v>9</v>
      </c>
      <c r="H84" s="3">
        <f t="shared" si="3"/>
        <v>3.4837962962963043E-2</v>
      </c>
      <c r="I84" s="5">
        <f t="shared" si="4"/>
        <v>0.83611111111111114</v>
      </c>
      <c r="J84" s="5">
        <f t="shared" si="5"/>
        <v>160.05444444444441</v>
      </c>
    </row>
    <row r="85" spans="1:10" x14ac:dyDescent="0.3">
      <c r="A85">
        <v>84</v>
      </c>
      <c r="B85" s="1">
        <v>44455</v>
      </c>
      <c r="C85" s="2">
        <v>0.67444444444444451</v>
      </c>
      <c r="D85" s="1">
        <v>44455</v>
      </c>
      <c r="E85" s="3">
        <v>0.72362268518518524</v>
      </c>
      <c r="F85">
        <v>12</v>
      </c>
      <c r="G85">
        <v>7</v>
      </c>
      <c r="H85" s="3">
        <f t="shared" si="3"/>
        <v>4.9178240740740731E-2</v>
      </c>
      <c r="I85" s="5">
        <f t="shared" si="4"/>
        <v>1.1802777777777778</v>
      </c>
      <c r="J85" s="5">
        <f t="shared" si="5"/>
        <v>161.23472222222219</v>
      </c>
    </row>
    <row r="86" spans="1:10" x14ac:dyDescent="0.3">
      <c r="A86">
        <v>85</v>
      </c>
      <c r="B86" s="1">
        <v>44455</v>
      </c>
      <c r="C86" s="2">
        <v>0.7926157407407407</v>
      </c>
      <c r="D86" s="1">
        <v>44455</v>
      </c>
      <c r="E86" s="3">
        <v>0.86523148148148143</v>
      </c>
      <c r="F86">
        <v>2</v>
      </c>
      <c r="G86">
        <v>19</v>
      </c>
      <c r="H86" s="3">
        <f t="shared" si="3"/>
        <v>7.2615740740740731E-2</v>
      </c>
      <c r="I86" s="5">
        <f t="shared" si="4"/>
        <v>1.7427777777777778</v>
      </c>
      <c r="J86" s="5">
        <f t="shared" si="5"/>
        <v>162.97749999999996</v>
      </c>
    </row>
    <row r="87" spans="1:10" x14ac:dyDescent="0.3">
      <c r="A87">
        <v>86</v>
      </c>
      <c r="B87" s="1">
        <v>44456</v>
      </c>
      <c r="C87" s="2">
        <v>0.28914351851851855</v>
      </c>
      <c r="D87" s="1">
        <v>44456</v>
      </c>
      <c r="E87" s="3">
        <v>0.33407407407407402</v>
      </c>
      <c r="F87">
        <v>4</v>
      </c>
      <c r="G87">
        <v>11</v>
      </c>
      <c r="H87" s="3">
        <f t="shared" si="3"/>
        <v>4.4930555555555474E-2</v>
      </c>
      <c r="I87" s="5">
        <f t="shared" si="4"/>
        <v>1.0783333333333334</v>
      </c>
      <c r="J87" s="5">
        <f t="shared" si="5"/>
        <v>164.05583333333331</v>
      </c>
    </row>
    <row r="88" spans="1:10" x14ac:dyDescent="0.3">
      <c r="A88">
        <v>87</v>
      </c>
      <c r="B88" s="1">
        <v>44456</v>
      </c>
      <c r="C88" s="2">
        <v>0.45840277777777777</v>
      </c>
      <c r="D88" s="1">
        <v>44456</v>
      </c>
      <c r="E88" s="3">
        <v>0.47927083333333331</v>
      </c>
      <c r="F88">
        <v>21</v>
      </c>
      <c r="G88">
        <v>15</v>
      </c>
      <c r="H88" s="3">
        <f t="shared" si="3"/>
        <v>2.0868055555555542E-2</v>
      </c>
      <c r="I88" s="5">
        <f t="shared" si="4"/>
        <v>0.50083333333333335</v>
      </c>
      <c r="J88" s="5">
        <f t="shared" si="5"/>
        <v>164.55666666666664</v>
      </c>
    </row>
    <row r="89" spans="1:10" x14ac:dyDescent="0.3">
      <c r="A89">
        <v>88</v>
      </c>
      <c r="B89" s="1">
        <v>44456</v>
      </c>
      <c r="C89" s="2">
        <v>0.55218749999999994</v>
      </c>
      <c r="D89" s="1">
        <v>44456</v>
      </c>
      <c r="E89" s="3">
        <v>0.62156250000000002</v>
      </c>
      <c r="F89">
        <v>7</v>
      </c>
      <c r="G89">
        <v>13</v>
      </c>
      <c r="H89" s="3">
        <f t="shared" si="3"/>
        <v>6.9375000000000075E-2</v>
      </c>
      <c r="I89" s="5">
        <f t="shared" si="4"/>
        <v>1.6649999999999998</v>
      </c>
      <c r="J89" s="5">
        <f t="shared" si="5"/>
        <v>166.22166666666664</v>
      </c>
    </row>
    <row r="90" spans="1:10" x14ac:dyDescent="0.3">
      <c r="A90">
        <v>89</v>
      </c>
      <c r="B90" s="1">
        <v>44456</v>
      </c>
      <c r="C90" s="2">
        <v>0.64994212962962961</v>
      </c>
      <c r="D90" s="1">
        <v>44456</v>
      </c>
      <c r="E90" s="3">
        <v>0.71797453703703706</v>
      </c>
      <c r="F90">
        <v>14</v>
      </c>
      <c r="G90">
        <v>16</v>
      </c>
      <c r="H90" s="3">
        <f t="shared" si="3"/>
        <v>6.8032407407407458E-2</v>
      </c>
      <c r="I90" s="5">
        <f t="shared" si="4"/>
        <v>1.6327777777777779</v>
      </c>
      <c r="J90" s="5">
        <f t="shared" si="5"/>
        <v>167.85444444444443</v>
      </c>
    </row>
    <row r="91" spans="1:10" x14ac:dyDescent="0.3">
      <c r="A91">
        <v>90</v>
      </c>
      <c r="B91" s="1">
        <v>44456</v>
      </c>
      <c r="C91" s="2">
        <v>0.80049768518518516</v>
      </c>
      <c r="D91" s="1">
        <v>44456</v>
      </c>
      <c r="E91" s="3">
        <v>0.86509259259259252</v>
      </c>
      <c r="F91">
        <v>7</v>
      </c>
      <c r="G91">
        <v>0</v>
      </c>
      <c r="H91" s="3">
        <f t="shared" si="3"/>
        <v>6.4594907407407365E-2</v>
      </c>
      <c r="I91" s="5">
        <f t="shared" si="4"/>
        <v>1.5502777777777779</v>
      </c>
      <c r="J91" s="5">
        <f t="shared" si="5"/>
        <v>169.4047222222222</v>
      </c>
    </row>
    <row r="92" spans="1:10" x14ac:dyDescent="0.3">
      <c r="A92">
        <v>91</v>
      </c>
      <c r="B92" s="1">
        <v>44457</v>
      </c>
      <c r="C92" s="2">
        <v>0.21187500000000001</v>
      </c>
      <c r="D92" s="1">
        <v>44457</v>
      </c>
      <c r="E92" s="3">
        <v>0.26673611111111112</v>
      </c>
      <c r="F92">
        <v>17</v>
      </c>
      <c r="G92">
        <v>15</v>
      </c>
      <c r="H92" s="3">
        <f t="shared" si="3"/>
        <v>5.486111111111111E-2</v>
      </c>
      <c r="I92" s="5">
        <f t="shared" si="4"/>
        <v>1.3166666666666667</v>
      </c>
      <c r="J92" s="5">
        <f t="shared" si="5"/>
        <v>170.72138888888887</v>
      </c>
    </row>
    <row r="93" spans="1:10" x14ac:dyDescent="0.3">
      <c r="A93">
        <v>92</v>
      </c>
      <c r="B93" s="1">
        <v>44457</v>
      </c>
      <c r="C93" s="2">
        <v>0.38490740740740742</v>
      </c>
      <c r="D93" s="1">
        <v>44457</v>
      </c>
      <c r="E93" s="3">
        <v>0.41679398148148145</v>
      </c>
      <c r="F93">
        <v>5</v>
      </c>
      <c r="G93">
        <v>8</v>
      </c>
      <c r="H93" s="3">
        <f t="shared" si="3"/>
        <v>3.1886574074074026E-2</v>
      </c>
      <c r="I93" s="5">
        <f t="shared" si="4"/>
        <v>0.76527777777777772</v>
      </c>
      <c r="J93" s="5">
        <f t="shared" si="5"/>
        <v>171.48666666666665</v>
      </c>
    </row>
    <row r="94" spans="1:10" x14ac:dyDescent="0.3">
      <c r="A94">
        <v>93</v>
      </c>
      <c r="B94" s="1">
        <v>44457</v>
      </c>
      <c r="C94" s="2">
        <v>0.47458333333333336</v>
      </c>
      <c r="D94" s="1">
        <v>44457</v>
      </c>
      <c r="E94" s="3">
        <v>0.5599884259259259</v>
      </c>
      <c r="F94">
        <v>14</v>
      </c>
      <c r="G94">
        <v>9</v>
      </c>
      <c r="H94" s="3">
        <f t="shared" si="3"/>
        <v>8.5405092592592546E-2</v>
      </c>
      <c r="I94" s="5">
        <f t="shared" si="4"/>
        <v>2.049722222222222</v>
      </c>
      <c r="J94" s="5">
        <f t="shared" si="5"/>
        <v>173.53638888888887</v>
      </c>
    </row>
    <row r="95" spans="1:10" x14ac:dyDescent="0.3">
      <c r="A95">
        <v>94</v>
      </c>
      <c r="B95" s="1">
        <v>44457</v>
      </c>
      <c r="C95" s="2">
        <v>0.62175925925925923</v>
      </c>
      <c r="D95" s="1">
        <v>44457</v>
      </c>
      <c r="E95" s="3">
        <v>0.64258101851851845</v>
      </c>
      <c r="F95">
        <v>11</v>
      </c>
      <c r="G95">
        <v>17</v>
      </c>
      <c r="H95" s="3">
        <f t="shared" si="3"/>
        <v>2.082175925925922E-2</v>
      </c>
      <c r="I95" s="5">
        <f t="shared" si="4"/>
        <v>0.49972222222222223</v>
      </c>
      <c r="J95" s="5">
        <f t="shared" si="5"/>
        <v>174.0361111111111</v>
      </c>
    </row>
    <row r="96" spans="1:10" x14ac:dyDescent="0.3">
      <c r="A96">
        <v>95</v>
      </c>
      <c r="B96" s="1">
        <v>44457</v>
      </c>
      <c r="C96" s="2">
        <v>0.72517361111111101</v>
      </c>
      <c r="D96" s="1">
        <v>44457</v>
      </c>
      <c r="E96" s="3">
        <v>0.78138888888888891</v>
      </c>
      <c r="F96">
        <v>7</v>
      </c>
      <c r="G96">
        <v>16</v>
      </c>
      <c r="H96" s="3">
        <f t="shared" si="3"/>
        <v>5.6215277777777906E-2</v>
      </c>
      <c r="I96" s="5">
        <f t="shared" si="4"/>
        <v>1.3491666666666666</v>
      </c>
      <c r="J96" s="5">
        <f t="shared" si="5"/>
        <v>175.38527777777776</v>
      </c>
    </row>
    <row r="97" spans="1:10" x14ac:dyDescent="0.3">
      <c r="A97">
        <v>96</v>
      </c>
      <c r="B97" s="1">
        <v>44458</v>
      </c>
      <c r="C97" s="2">
        <v>0.37921296296296297</v>
      </c>
      <c r="D97" s="1">
        <v>44458</v>
      </c>
      <c r="E97" s="3">
        <v>0.44873842592592594</v>
      </c>
      <c r="F97">
        <v>5</v>
      </c>
      <c r="G97">
        <v>1</v>
      </c>
      <c r="H97" s="3">
        <f t="shared" si="3"/>
        <v>6.9525462962962969E-2</v>
      </c>
      <c r="I97" s="5">
        <f t="shared" si="4"/>
        <v>1.668611111111111</v>
      </c>
      <c r="J97" s="5">
        <f t="shared" si="5"/>
        <v>177.05388888888888</v>
      </c>
    </row>
    <row r="98" spans="1:10" x14ac:dyDescent="0.3">
      <c r="A98">
        <v>97</v>
      </c>
      <c r="B98" s="1">
        <v>44458</v>
      </c>
      <c r="C98" s="2">
        <v>0.58005787037037038</v>
      </c>
      <c r="D98" s="1">
        <v>44458</v>
      </c>
      <c r="E98" s="3">
        <v>0.62572916666666667</v>
      </c>
      <c r="F98">
        <v>14</v>
      </c>
      <c r="G98">
        <v>7</v>
      </c>
      <c r="H98" s="3">
        <f t="shared" si="3"/>
        <v>4.5671296296296293E-2</v>
      </c>
      <c r="I98" s="5">
        <f t="shared" si="4"/>
        <v>1.096111111111111</v>
      </c>
      <c r="J98" s="5">
        <f t="shared" si="5"/>
        <v>178.14999999999998</v>
      </c>
    </row>
    <row r="99" spans="1:10" x14ac:dyDescent="0.3">
      <c r="A99">
        <v>98</v>
      </c>
      <c r="B99" s="1">
        <v>44458</v>
      </c>
      <c r="C99" s="2">
        <v>0.67716435185185186</v>
      </c>
      <c r="D99" s="1">
        <v>44458</v>
      </c>
      <c r="E99" s="3">
        <v>0.73178240740740741</v>
      </c>
      <c r="F99">
        <v>12</v>
      </c>
      <c r="G99">
        <v>9</v>
      </c>
      <c r="H99" s="3">
        <f t="shared" si="3"/>
        <v>5.4618055555555545E-2</v>
      </c>
      <c r="I99" s="5">
        <f t="shared" si="4"/>
        <v>1.3108333333333333</v>
      </c>
      <c r="J99" s="5">
        <f t="shared" si="5"/>
        <v>179.46083333333331</v>
      </c>
    </row>
    <row r="100" spans="1:10" x14ac:dyDescent="0.3">
      <c r="A100">
        <v>99</v>
      </c>
      <c r="B100" s="1">
        <v>44458</v>
      </c>
      <c r="C100" s="2">
        <v>0.81361111111111117</v>
      </c>
      <c r="D100" s="1">
        <v>44458</v>
      </c>
      <c r="E100" s="3">
        <v>0.84862268518518524</v>
      </c>
      <c r="F100">
        <v>11</v>
      </c>
      <c r="G100">
        <v>9</v>
      </c>
      <c r="H100" s="3">
        <f t="shared" si="3"/>
        <v>3.501157407407407E-2</v>
      </c>
      <c r="I100" s="5">
        <f t="shared" si="4"/>
        <v>0.84027777777777779</v>
      </c>
      <c r="J100" s="5">
        <f t="shared" si="5"/>
        <v>180.30111111111108</v>
      </c>
    </row>
    <row r="101" spans="1:10" x14ac:dyDescent="0.3">
      <c r="A101">
        <v>100</v>
      </c>
      <c r="B101" s="1">
        <v>44458</v>
      </c>
      <c r="C101" s="2">
        <v>0.95554398148148145</v>
      </c>
      <c r="D101" s="1">
        <v>44459</v>
      </c>
      <c r="E101" s="3">
        <v>5.0520833333333327E-2</v>
      </c>
      <c r="F101">
        <v>11</v>
      </c>
      <c r="G101">
        <v>8</v>
      </c>
      <c r="H101" s="3">
        <f t="shared" si="3"/>
        <v>23.09497685185185</v>
      </c>
      <c r="I101" s="5">
        <f t="shared" si="4"/>
        <v>2.2794444444444446</v>
      </c>
      <c r="J101" s="5">
        <f t="shared" si="5"/>
        <v>182.58055555555552</v>
      </c>
    </row>
    <row r="102" spans="1:10" x14ac:dyDescent="0.3">
      <c r="A102">
        <v>101</v>
      </c>
      <c r="B102" s="1">
        <v>44459</v>
      </c>
      <c r="C102" s="2">
        <v>0.3830324074074074</v>
      </c>
      <c r="D102" s="1">
        <v>44459</v>
      </c>
      <c r="E102" s="3">
        <v>0.44746527777777773</v>
      </c>
      <c r="F102">
        <v>12</v>
      </c>
      <c r="G102">
        <v>3</v>
      </c>
      <c r="H102" s="3">
        <f t="shared" si="3"/>
        <v>6.4432870370370321E-2</v>
      </c>
      <c r="I102" s="5">
        <f t="shared" si="4"/>
        <v>1.5463888888888888</v>
      </c>
      <c r="J102" s="5">
        <f t="shared" si="5"/>
        <v>184.1269444444444</v>
      </c>
    </row>
    <row r="103" spans="1:10" x14ac:dyDescent="0.3">
      <c r="A103">
        <v>102</v>
      </c>
      <c r="B103" s="1">
        <v>44459</v>
      </c>
      <c r="C103" s="2">
        <v>0.47513888888888883</v>
      </c>
      <c r="D103" s="1">
        <v>44459</v>
      </c>
      <c r="E103" s="3">
        <v>0.52998842592592588</v>
      </c>
      <c r="F103">
        <v>7</v>
      </c>
      <c r="G103">
        <v>12</v>
      </c>
      <c r="H103" s="3">
        <f t="shared" si="3"/>
        <v>5.4849537037037044E-2</v>
      </c>
      <c r="I103" s="5">
        <f t="shared" si="4"/>
        <v>1.3163888888888888</v>
      </c>
      <c r="J103" s="5">
        <f t="shared" si="5"/>
        <v>185.4433333333333</v>
      </c>
    </row>
    <row r="104" spans="1:10" x14ac:dyDescent="0.3">
      <c r="A104">
        <v>103</v>
      </c>
      <c r="B104" s="1">
        <v>44459</v>
      </c>
      <c r="C104" s="2">
        <v>0.54886574074074079</v>
      </c>
      <c r="D104" s="1">
        <v>44459</v>
      </c>
      <c r="E104" s="3">
        <v>0.59329861111111104</v>
      </c>
      <c r="F104">
        <v>9</v>
      </c>
      <c r="G104">
        <v>14</v>
      </c>
      <c r="H104" s="3">
        <f t="shared" si="3"/>
        <v>4.4432870370370248E-2</v>
      </c>
      <c r="I104" s="5">
        <f t="shared" si="4"/>
        <v>1.0663888888888888</v>
      </c>
      <c r="J104" s="5">
        <f t="shared" si="5"/>
        <v>186.50972222222219</v>
      </c>
    </row>
    <row r="105" spans="1:10" x14ac:dyDescent="0.3">
      <c r="A105">
        <v>104</v>
      </c>
      <c r="B105" s="1">
        <v>44459</v>
      </c>
      <c r="C105" s="2">
        <v>0.63266203703703705</v>
      </c>
      <c r="D105" s="1">
        <v>44459</v>
      </c>
      <c r="E105" s="3">
        <v>0.67504629629629631</v>
      </c>
      <c r="F105">
        <v>8</v>
      </c>
      <c r="G105">
        <v>19</v>
      </c>
      <c r="H105" s="3">
        <f t="shared" si="3"/>
        <v>4.238425925925926E-2</v>
      </c>
      <c r="I105" s="5">
        <f t="shared" si="4"/>
        <v>1.0172222222222222</v>
      </c>
      <c r="J105" s="5">
        <f t="shared" si="5"/>
        <v>187.52694444444441</v>
      </c>
    </row>
    <row r="106" spans="1:10" x14ac:dyDescent="0.3">
      <c r="A106">
        <v>105</v>
      </c>
      <c r="B106" s="1">
        <v>44459</v>
      </c>
      <c r="C106" s="2">
        <v>0.70928240740740733</v>
      </c>
      <c r="D106" s="1">
        <v>44459</v>
      </c>
      <c r="E106" s="3">
        <v>0.72917824074074078</v>
      </c>
      <c r="F106">
        <v>23</v>
      </c>
      <c r="G106">
        <v>14</v>
      </c>
      <c r="H106" s="3">
        <f t="shared" si="3"/>
        <v>1.9895833333333446E-2</v>
      </c>
      <c r="I106" s="5">
        <f t="shared" si="4"/>
        <v>0.47750000000000004</v>
      </c>
      <c r="J106" s="5">
        <f t="shared" si="5"/>
        <v>188.0044444444444</v>
      </c>
    </row>
    <row r="107" spans="1:10" x14ac:dyDescent="0.3">
      <c r="A107">
        <v>106</v>
      </c>
      <c r="B107" s="1">
        <v>44459</v>
      </c>
      <c r="C107" s="2">
        <v>0.74663194444444436</v>
      </c>
      <c r="D107" s="1">
        <v>44459</v>
      </c>
      <c r="E107" s="3">
        <v>0.78163194444444439</v>
      </c>
      <c r="F107">
        <v>19</v>
      </c>
      <c r="G107">
        <v>9</v>
      </c>
      <c r="H107" s="3">
        <f t="shared" si="3"/>
        <v>3.5000000000000031E-2</v>
      </c>
      <c r="I107" s="5">
        <f t="shared" si="4"/>
        <v>0.84000000000000008</v>
      </c>
      <c r="J107" s="5">
        <f t="shared" si="5"/>
        <v>188.84444444444441</v>
      </c>
    </row>
    <row r="108" spans="1:10" x14ac:dyDescent="0.3">
      <c r="A108">
        <v>107</v>
      </c>
      <c r="B108" s="1">
        <v>44459</v>
      </c>
      <c r="C108" s="2">
        <v>0.82415509259259256</v>
      </c>
      <c r="D108" s="1">
        <v>44459</v>
      </c>
      <c r="E108" s="3">
        <v>0.91810185185185178</v>
      </c>
      <c r="F108">
        <v>0</v>
      </c>
      <c r="G108">
        <v>6</v>
      </c>
      <c r="H108" s="3">
        <f t="shared" si="3"/>
        <v>9.3946759259259216E-2</v>
      </c>
      <c r="I108" s="5">
        <f t="shared" si="4"/>
        <v>2.2547222222222221</v>
      </c>
      <c r="J108" s="5">
        <f t="shared" si="5"/>
        <v>191.09916666666663</v>
      </c>
    </row>
    <row r="109" spans="1:10" x14ac:dyDescent="0.3">
      <c r="A109">
        <v>108</v>
      </c>
      <c r="B109" s="1">
        <v>44459</v>
      </c>
      <c r="C109" s="2">
        <v>0.97640046296296301</v>
      </c>
      <c r="D109" s="1">
        <v>44460</v>
      </c>
      <c r="E109" s="3">
        <v>5.7824074074074076E-2</v>
      </c>
      <c r="F109">
        <v>4</v>
      </c>
      <c r="G109">
        <v>15</v>
      </c>
      <c r="H109" s="3">
        <f t="shared" si="3"/>
        <v>23.081423611111109</v>
      </c>
      <c r="I109" s="5">
        <f t="shared" si="4"/>
        <v>1.9541666666666666</v>
      </c>
      <c r="J109" s="5">
        <f t="shared" si="5"/>
        <v>193.05333333333331</v>
      </c>
    </row>
    <row r="110" spans="1:10" x14ac:dyDescent="0.3">
      <c r="A110">
        <v>109</v>
      </c>
      <c r="B110" s="1">
        <v>44460</v>
      </c>
      <c r="C110" s="2">
        <v>0.29172453703703705</v>
      </c>
      <c r="D110" s="1">
        <v>44460</v>
      </c>
      <c r="E110" s="3">
        <v>0.33641203703703698</v>
      </c>
      <c r="F110">
        <v>11</v>
      </c>
      <c r="G110">
        <v>0</v>
      </c>
      <c r="H110" s="3">
        <f t="shared" si="3"/>
        <v>4.4687499999999936E-2</v>
      </c>
      <c r="I110" s="5">
        <f t="shared" si="4"/>
        <v>1.0725</v>
      </c>
      <c r="J110" s="5">
        <f t="shared" si="5"/>
        <v>194.1258333333333</v>
      </c>
    </row>
    <row r="111" spans="1:10" x14ac:dyDescent="0.3">
      <c r="A111">
        <v>110</v>
      </c>
      <c r="B111" s="1">
        <v>44460</v>
      </c>
      <c r="C111" s="2">
        <v>0.42815972222222221</v>
      </c>
      <c r="D111" s="1">
        <v>44460</v>
      </c>
      <c r="E111" s="3">
        <v>0.58225694444444442</v>
      </c>
      <c r="F111">
        <v>9</v>
      </c>
      <c r="G111">
        <v>4</v>
      </c>
      <c r="H111" s="3">
        <f t="shared" si="3"/>
        <v>0.15409722222222222</v>
      </c>
      <c r="I111" s="5">
        <f t="shared" si="4"/>
        <v>3.6983333333333337</v>
      </c>
      <c r="J111" s="5">
        <f t="shared" si="5"/>
        <v>197.82416666666663</v>
      </c>
    </row>
    <row r="112" spans="1:10" x14ac:dyDescent="0.3">
      <c r="A112">
        <v>111</v>
      </c>
      <c r="B112" s="1">
        <v>44460</v>
      </c>
      <c r="C112" s="2">
        <v>0.62174768518518519</v>
      </c>
      <c r="D112" s="1">
        <v>44460</v>
      </c>
      <c r="E112" s="3">
        <v>0.66903935185185182</v>
      </c>
      <c r="F112">
        <v>9</v>
      </c>
      <c r="G112">
        <v>28</v>
      </c>
      <c r="H112" s="3">
        <f t="shared" si="3"/>
        <v>4.7291666666666621E-2</v>
      </c>
      <c r="I112" s="5">
        <f t="shared" si="4"/>
        <v>1.135</v>
      </c>
      <c r="J112" s="5">
        <f t="shared" si="5"/>
        <v>198.95916666666662</v>
      </c>
    </row>
    <row r="113" spans="1:10" x14ac:dyDescent="0.3">
      <c r="A113" s="7">
        <v>112</v>
      </c>
      <c r="B113" s="8">
        <v>44460</v>
      </c>
      <c r="C113" s="9">
        <v>0.71136574074074066</v>
      </c>
      <c r="D113" s="8">
        <v>44460</v>
      </c>
      <c r="E113" s="10">
        <v>0.76173611111111106</v>
      </c>
      <c r="F113" s="7">
        <v>0</v>
      </c>
      <c r="G113" s="7">
        <v>10</v>
      </c>
      <c r="H113" s="10">
        <f t="shared" si="3"/>
        <v>5.0370370370370399E-2</v>
      </c>
      <c r="I113" s="11">
        <f t="shared" si="4"/>
        <v>1.2088888888888889</v>
      </c>
      <c r="J113" s="11">
        <f t="shared" si="5"/>
        <v>200.1680555555555</v>
      </c>
    </row>
    <row r="114" spans="1:10" x14ac:dyDescent="0.3">
      <c r="A114">
        <v>113</v>
      </c>
      <c r="B114" s="1">
        <v>44460</v>
      </c>
      <c r="C114" s="2">
        <v>0.83270833333333327</v>
      </c>
      <c r="D114" s="1">
        <v>44460</v>
      </c>
      <c r="E114" s="3">
        <v>0.9375</v>
      </c>
      <c r="F114">
        <v>12</v>
      </c>
      <c r="G114">
        <v>6</v>
      </c>
      <c r="H114" s="3">
        <f t="shared" si="3"/>
        <v>0.10479166666666673</v>
      </c>
      <c r="I114" s="5">
        <f t="shared" si="4"/>
        <v>2.5150000000000001</v>
      </c>
      <c r="J114" s="5">
        <f t="shared" si="5"/>
        <v>202.68305555555548</v>
      </c>
    </row>
    <row r="115" spans="1:10" x14ac:dyDescent="0.3">
      <c r="A115">
        <v>114</v>
      </c>
      <c r="B115" s="1">
        <v>44461</v>
      </c>
      <c r="C115" s="2">
        <v>0.29829861111111111</v>
      </c>
      <c r="D115" s="1">
        <v>44461</v>
      </c>
      <c r="E115" s="3">
        <v>0.3449652777777778</v>
      </c>
      <c r="F115">
        <v>11</v>
      </c>
      <c r="G115">
        <v>5</v>
      </c>
      <c r="H115" s="3">
        <f t="shared" si="3"/>
        <v>4.666666666666669E-2</v>
      </c>
      <c r="I115" s="5">
        <f t="shared" si="4"/>
        <v>1.1200000000000001</v>
      </c>
      <c r="J115" s="5">
        <f t="shared" si="5"/>
        <v>203.80305555555549</v>
      </c>
    </row>
    <row r="116" spans="1:10" x14ac:dyDescent="0.3">
      <c r="A116">
        <v>115</v>
      </c>
      <c r="B116" s="1">
        <v>44461</v>
      </c>
      <c r="C116" s="2">
        <v>0.38718750000000002</v>
      </c>
      <c r="D116" s="1">
        <v>44461</v>
      </c>
      <c r="E116" s="3">
        <v>0.46149305555555559</v>
      </c>
      <c r="F116">
        <v>13</v>
      </c>
      <c r="G116">
        <v>9</v>
      </c>
      <c r="H116" s="3">
        <f t="shared" si="3"/>
        <v>7.4305555555555569E-2</v>
      </c>
      <c r="I116" s="5">
        <f t="shared" si="4"/>
        <v>1.7833333333333332</v>
      </c>
      <c r="J116" s="5">
        <f t="shared" si="5"/>
        <v>205.58638888888882</v>
      </c>
    </row>
    <row r="117" spans="1:10" x14ac:dyDescent="0.3">
      <c r="A117">
        <v>116</v>
      </c>
      <c r="B117" s="1">
        <v>44461</v>
      </c>
      <c r="C117" s="2">
        <v>0.60652777777777778</v>
      </c>
      <c r="D117" s="1">
        <v>44461</v>
      </c>
      <c r="E117" s="3">
        <v>0.63285879629629627</v>
      </c>
      <c r="F117">
        <v>14</v>
      </c>
      <c r="G117">
        <v>11</v>
      </c>
      <c r="H117" s="3">
        <f t="shared" si="3"/>
        <v>2.633101851851849E-2</v>
      </c>
      <c r="I117" s="5">
        <f t="shared" si="4"/>
        <v>0.63194444444444442</v>
      </c>
      <c r="J117" s="5">
        <f t="shared" si="5"/>
        <v>206.21833333333328</v>
      </c>
    </row>
    <row r="118" spans="1:10" x14ac:dyDescent="0.3">
      <c r="A118">
        <v>117</v>
      </c>
      <c r="B118" s="1">
        <v>44461</v>
      </c>
      <c r="C118" s="2">
        <v>0.64589120370370368</v>
      </c>
      <c r="D118" s="1">
        <v>44461</v>
      </c>
      <c r="E118" s="3">
        <v>0.70006944444444441</v>
      </c>
      <c r="F118">
        <v>2</v>
      </c>
      <c r="G118">
        <v>0</v>
      </c>
      <c r="H118" s="3">
        <f t="shared" si="3"/>
        <v>5.4178240740740735E-2</v>
      </c>
      <c r="I118" s="5">
        <f t="shared" si="4"/>
        <v>1.3002777777777779</v>
      </c>
      <c r="J118" s="5">
        <f t="shared" si="5"/>
        <v>207.51861111111106</v>
      </c>
    </row>
    <row r="119" spans="1:10" x14ac:dyDescent="0.3">
      <c r="A119">
        <v>118</v>
      </c>
      <c r="B119" s="1">
        <v>44461</v>
      </c>
      <c r="C119" s="2">
        <v>0.76406249999999998</v>
      </c>
      <c r="D119" s="1">
        <v>44461</v>
      </c>
      <c r="E119" s="3">
        <v>0.84799768518518526</v>
      </c>
      <c r="F119">
        <v>6</v>
      </c>
      <c r="G119">
        <v>0</v>
      </c>
      <c r="H119" s="3">
        <f t="shared" si="3"/>
        <v>8.3935185185185279E-2</v>
      </c>
      <c r="I119" s="5">
        <f t="shared" si="4"/>
        <v>2.0144444444444445</v>
      </c>
      <c r="J119" s="5">
        <f t="shared" si="5"/>
        <v>209.53305555555551</v>
      </c>
    </row>
    <row r="120" spans="1:10" x14ac:dyDescent="0.3">
      <c r="A120">
        <v>119</v>
      </c>
      <c r="B120" s="1">
        <v>44461</v>
      </c>
      <c r="C120" s="2">
        <v>0.98342592592592604</v>
      </c>
      <c r="D120" s="1">
        <v>44462</v>
      </c>
      <c r="E120" s="3">
        <v>4.2638888888888893E-2</v>
      </c>
      <c r="F120">
        <v>4</v>
      </c>
      <c r="G120">
        <v>11</v>
      </c>
      <c r="H120" s="3">
        <f t="shared" si="3"/>
        <v>23.059212962962963</v>
      </c>
      <c r="I120" s="5">
        <f t="shared" si="4"/>
        <v>1.4211111111111112</v>
      </c>
      <c r="J120" s="5">
        <f t="shared" si="5"/>
        <v>210.95416666666662</v>
      </c>
    </row>
    <row r="121" spans="1:10" x14ac:dyDescent="0.3">
      <c r="A121">
        <v>120</v>
      </c>
      <c r="B121" s="1">
        <v>44462</v>
      </c>
      <c r="C121" s="2">
        <v>0.29726851851851849</v>
      </c>
      <c r="D121" s="1">
        <v>44462</v>
      </c>
      <c r="E121" s="3">
        <v>0.39068287037037036</v>
      </c>
      <c r="F121">
        <v>19</v>
      </c>
      <c r="G121">
        <v>3</v>
      </c>
      <c r="H121" s="3">
        <f t="shared" si="3"/>
        <v>9.3414351851851873E-2</v>
      </c>
      <c r="I121" s="5">
        <f t="shared" si="4"/>
        <v>2.2419444444444445</v>
      </c>
      <c r="J121" s="5">
        <f t="shared" si="5"/>
        <v>213.19611111111107</v>
      </c>
    </row>
    <row r="122" spans="1:10" x14ac:dyDescent="0.3">
      <c r="A122">
        <v>121</v>
      </c>
      <c r="B122" s="1">
        <v>44462</v>
      </c>
      <c r="C122" s="2">
        <v>0.43444444444444441</v>
      </c>
      <c r="D122" s="1">
        <v>44462</v>
      </c>
      <c r="E122" s="3">
        <v>0.51065972222222222</v>
      </c>
      <c r="F122">
        <v>3</v>
      </c>
      <c r="G122">
        <v>21</v>
      </c>
      <c r="H122" s="3">
        <f t="shared" si="3"/>
        <v>7.6215277777777812E-2</v>
      </c>
      <c r="I122" s="5">
        <f t="shared" si="4"/>
        <v>1.8291666666666666</v>
      </c>
      <c r="J122" s="5">
        <f t="shared" si="5"/>
        <v>215.02527777777775</v>
      </c>
    </row>
    <row r="123" spans="1:10" x14ac:dyDescent="0.3">
      <c r="A123">
        <v>122</v>
      </c>
      <c r="B123" s="1">
        <v>44462</v>
      </c>
      <c r="C123" s="2">
        <v>0.54518518518518522</v>
      </c>
      <c r="D123" s="1">
        <v>44462</v>
      </c>
      <c r="E123" s="3">
        <v>0.58775462962962965</v>
      </c>
      <c r="F123">
        <v>19</v>
      </c>
      <c r="G123">
        <v>22</v>
      </c>
      <c r="H123" s="3">
        <f t="shared" si="3"/>
        <v>4.2569444444444438E-2</v>
      </c>
      <c r="I123" s="5">
        <f t="shared" si="4"/>
        <v>1.0216666666666665</v>
      </c>
      <c r="J123" s="5">
        <f t="shared" si="5"/>
        <v>216.04694444444442</v>
      </c>
    </row>
    <row r="124" spans="1:10" x14ac:dyDescent="0.3">
      <c r="A124">
        <v>123</v>
      </c>
      <c r="B124" s="1">
        <v>44462</v>
      </c>
      <c r="C124" s="2">
        <v>0.63270833333333332</v>
      </c>
      <c r="D124" s="1">
        <v>44462</v>
      </c>
      <c r="E124" s="3">
        <v>0.74785879629629637</v>
      </c>
      <c r="F124">
        <v>13</v>
      </c>
      <c r="G124">
        <v>14</v>
      </c>
      <c r="H124" s="3">
        <f t="shared" si="3"/>
        <v>0.11515046296296305</v>
      </c>
      <c r="I124" s="5">
        <f t="shared" si="4"/>
        <v>2.763611111111111</v>
      </c>
      <c r="J124" s="5">
        <f t="shared" si="5"/>
        <v>218.81055555555554</v>
      </c>
    </row>
    <row r="125" spans="1:10" x14ac:dyDescent="0.3">
      <c r="A125">
        <v>124</v>
      </c>
      <c r="B125" s="1">
        <v>44462</v>
      </c>
      <c r="C125" s="2">
        <v>0.78940972222222217</v>
      </c>
      <c r="D125" s="1">
        <v>44462</v>
      </c>
      <c r="E125" s="3">
        <v>0.88962962962962966</v>
      </c>
      <c r="F125">
        <v>19</v>
      </c>
      <c r="G125">
        <v>25</v>
      </c>
      <c r="H125" s="3">
        <f t="shared" si="3"/>
        <v>0.10021990740740749</v>
      </c>
      <c r="I125" s="5">
        <f t="shared" si="4"/>
        <v>2.4052777777777776</v>
      </c>
      <c r="J125" s="5">
        <f t="shared" si="5"/>
        <v>221.21583333333331</v>
      </c>
    </row>
    <row r="126" spans="1:10" x14ac:dyDescent="0.3">
      <c r="A126">
        <v>125</v>
      </c>
      <c r="B126" s="1">
        <v>44463</v>
      </c>
      <c r="C126" s="2">
        <v>0.17437499999999997</v>
      </c>
      <c r="D126" s="1">
        <v>44463</v>
      </c>
      <c r="E126" s="3">
        <v>0.30024305555555558</v>
      </c>
      <c r="F126">
        <v>19</v>
      </c>
      <c r="G126">
        <v>11</v>
      </c>
      <c r="H126" s="3">
        <f t="shared" si="3"/>
        <v>0.12586805555555561</v>
      </c>
      <c r="I126" s="5">
        <f t="shared" si="4"/>
        <v>3.0208333333333335</v>
      </c>
      <c r="J126" s="5">
        <f t="shared" si="5"/>
        <v>224.23666666666665</v>
      </c>
    </row>
    <row r="127" spans="1:10" x14ac:dyDescent="0.3">
      <c r="A127">
        <v>126</v>
      </c>
      <c r="B127" s="1">
        <v>44463</v>
      </c>
      <c r="C127" s="2">
        <v>0.45619212962962963</v>
      </c>
      <c r="D127" s="1">
        <v>44463</v>
      </c>
      <c r="E127" s="3">
        <v>0.59104166666666669</v>
      </c>
      <c r="F127">
        <v>13</v>
      </c>
      <c r="G127">
        <v>4</v>
      </c>
      <c r="H127" s="3">
        <f t="shared" si="3"/>
        <v>0.13484953703703706</v>
      </c>
      <c r="I127" s="5">
        <f t="shared" si="4"/>
        <v>3.236388888888889</v>
      </c>
      <c r="J127" s="5">
        <f t="shared" si="5"/>
        <v>227.47305555555553</v>
      </c>
    </row>
    <row r="128" spans="1:10" x14ac:dyDescent="0.3">
      <c r="A128">
        <v>127</v>
      </c>
      <c r="B128" s="1">
        <v>44463</v>
      </c>
      <c r="C128" s="2">
        <v>0.72642361111111109</v>
      </c>
      <c r="D128" s="1">
        <v>44463</v>
      </c>
      <c r="E128" s="3">
        <v>0.78383101851851855</v>
      </c>
      <c r="F128">
        <v>13</v>
      </c>
      <c r="G128">
        <v>9</v>
      </c>
      <c r="H128" s="3">
        <f t="shared" si="3"/>
        <v>5.7407407407407463E-2</v>
      </c>
      <c r="I128" s="5">
        <f t="shared" si="4"/>
        <v>1.3777777777777778</v>
      </c>
      <c r="J128" s="5">
        <f t="shared" si="5"/>
        <v>228.8508333333333</v>
      </c>
    </row>
    <row r="129" spans="1:10" x14ac:dyDescent="0.3">
      <c r="A129">
        <v>128</v>
      </c>
      <c r="B129" s="1">
        <v>44463</v>
      </c>
      <c r="C129" s="2">
        <v>0.8197106481481482</v>
      </c>
      <c r="D129" s="1">
        <v>44463</v>
      </c>
      <c r="E129" s="3">
        <v>0.88407407407407401</v>
      </c>
      <c r="F129">
        <v>10</v>
      </c>
      <c r="G129">
        <v>12</v>
      </c>
      <c r="H129" s="3">
        <f t="shared" si="3"/>
        <v>6.436342592592581E-2</v>
      </c>
      <c r="I129" s="5">
        <f t="shared" si="4"/>
        <v>1.5447222222222221</v>
      </c>
      <c r="J129" s="5">
        <f t="shared" si="5"/>
        <v>230.39555555555552</v>
      </c>
    </row>
    <row r="130" spans="1:10" x14ac:dyDescent="0.3">
      <c r="A130">
        <v>129</v>
      </c>
      <c r="B130" s="1">
        <v>44464</v>
      </c>
      <c r="C130" s="2">
        <v>0.29473379629629631</v>
      </c>
      <c r="D130" s="1">
        <v>44464</v>
      </c>
      <c r="E130" s="3">
        <v>0.3518634259259259</v>
      </c>
      <c r="F130">
        <v>9</v>
      </c>
      <c r="G130">
        <v>11</v>
      </c>
      <c r="H130" s="3">
        <f t="shared" si="3"/>
        <v>5.7129629629629586E-2</v>
      </c>
      <c r="I130" s="5">
        <f t="shared" si="4"/>
        <v>1.3711111111111112</v>
      </c>
      <c r="J130" s="5">
        <f t="shared" si="5"/>
        <v>231.76666666666662</v>
      </c>
    </row>
    <row r="131" spans="1:10" x14ac:dyDescent="0.3">
      <c r="A131">
        <v>130</v>
      </c>
      <c r="B131" s="1">
        <v>44464</v>
      </c>
      <c r="C131" s="2">
        <v>0.42454861111111114</v>
      </c>
      <c r="D131" s="1">
        <v>44464</v>
      </c>
      <c r="E131" s="3">
        <v>0.50074074074074071</v>
      </c>
      <c r="F131">
        <v>14</v>
      </c>
      <c r="G131">
        <v>20</v>
      </c>
      <c r="H131" s="3">
        <f t="shared" ref="H131:H158" si="6">IF(E131&lt;C131,(24-C131)+E131,E131-C131)</f>
        <v>7.6192129629629568E-2</v>
      </c>
      <c r="I131" s="5">
        <f t="shared" ref="I131:I158" si="7">HOUR(H131) + MINUTE(H131)/60 + SECOND(H131) /3600</f>
        <v>1.8286111111111112</v>
      </c>
      <c r="J131" s="5">
        <f t="shared" si="5"/>
        <v>233.59527777777774</v>
      </c>
    </row>
    <row r="132" spans="1:10" x14ac:dyDescent="0.3">
      <c r="A132">
        <v>131</v>
      </c>
      <c r="B132" s="1">
        <v>44464</v>
      </c>
      <c r="C132" s="2">
        <v>0.5447453703703703</v>
      </c>
      <c r="D132" s="1">
        <v>44464</v>
      </c>
      <c r="E132" s="3">
        <v>0.57574074074074078</v>
      </c>
      <c r="F132">
        <v>1</v>
      </c>
      <c r="G132">
        <v>3</v>
      </c>
      <c r="H132" s="3">
        <f t="shared" si="6"/>
        <v>3.0995370370370479E-2</v>
      </c>
      <c r="I132" s="5">
        <f t="shared" si="7"/>
        <v>0.74388888888888882</v>
      </c>
      <c r="J132" s="5">
        <f t="shared" ref="J132:J158" si="8">I132+J131</f>
        <v>234.33916666666661</v>
      </c>
    </row>
    <row r="133" spans="1:10" x14ac:dyDescent="0.3">
      <c r="A133">
        <v>132</v>
      </c>
      <c r="B133" s="1">
        <v>44464</v>
      </c>
      <c r="C133" s="2">
        <v>0.63065972222222222</v>
      </c>
      <c r="D133" s="1">
        <v>44464</v>
      </c>
      <c r="E133" s="3">
        <v>0.66954861111111119</v>
      </c>
      <c r="F133">
        <v>5</v>
      </c>
      <c r="G133">
        <v>6</v>
      </c>
      <c r="H133" s="3">
        <f t="shared" si="6"/>
        <v>3.8888888888888973E-2</v>
      </c>
      <c r="I133" s="5">
        <f t="shared" si="7"/>
        <v>0.93333333333333335</v>
      </c>
      <c r="J133" s="5">
        <f t="shared" si="8"/>
        <v>235.27249999999995</v>
      </c>
    </row>
    <row r="134" spans="1:10" x14ac:dyDescent="0.3">
      <c r="A134">
        <v>133</v>
      </c>
      <c r="B134" s="1">
        <v>44464</v>
      </c>
      <c r="C134" s="2">
        <v>0.71141203703703704</v>
      </c>
      <c r="D134" s="1">
        <v>44464</v>
      </c>
      <c r="E134" s="3">
        <v>0.75629629629629624</v>
      </c>
      <c r="F134">
        <v>12</v>
      </c>
      <c r="G134">
        <v>6</v>
      </c>
      <c r="H134" s="3">
        <f t="shared" si="6"/>
        <v>4.4884259259259207E-2</v>
      </c>
      <c r="I134" s="5">
        <f t="shared" si="7"/>
        <v>1.0772222222222223</v>
      </c>
      <c r="J134" s="5">
        <f t="shared" si="8"/>
        <v>236.34972222222217</v>
      </c>
    </row>
    <row r="135" spans="1:10" x14ac:dyDescent="0.3">
      <c r="A135">
        <v>134</v>
      </c>
      <c r="B135" s="1">
        <v>44465</v>
      </c>
      <c r="C135" s="2">
        <v>0.26834490740740741</v>
      </c>
      <c r="D135" s="1">
        <v>44465</v>
      </c>
      <c r="E135" s="3">
        <v>0.33027777777777778</v>
      </c>
      <c r="F135">
        <v>13</v>
      </c>
      <c r="G135">
        <v>24</v>
      </c>
      <c r="H135" s="3">
        <f t="shared" si="6"/>
        <v>6.1932870370370374E-2</v>
      </c>
      <c r="I135" s="5">
        <f t="shared" si="7"/>
        <v>1.486388888888889</v>
      </c>
      <c r="J135" s="5">
        <f t="shared" si="8"/>
        <v>237.83611111111105</v>
      </c>
    </row>
    <row r="136" spans="1:10" x14ac:dyDescent="0.3">
      <c r="A136">
        <v>135</v>
      </c>
      <c r="B136" s="1">
        <v>44465</v>
      </c>
      <c r="C136" s="2">
        <v>0.38269675925925922</v>
      </c>
      <c r="D136" s="1">
        <v>44465</v>
      </c>
      <c r="E136" s="3">
        <v>0.42315972222222226</v>
      </c>
      <c r="F136">
        <v>9</v>
      </c>
      <c r="G136">
        <v>2</v>
      </c>
      <c r="H136" s="3">
        <f t="shared" si="6"/>
        <v>4.0462962962963034E-2</v>
      </c>
      <c r="I136" s="5">
        <f t="shared" si="7"/>
        <v>0.97111111111111115</v>
      </c>
      <c r="J136" s="5">
        <f t="shared" si="8"/>
        <v>238.80722222222215</v>
      </c>
    </row>
    <row r="137" spans="1:10" x14ac:dyDescent="0.3">
      <c r="A137">
        <v>136</v>
      </c>
      <c r="B137" s="1">
        <v>44465</v>
      </c>
      <c r="C137" s="2">
        <v>0.45490740740740737</v>
      </c>
      <c r="D137" s="1">
        <v>44465</v>
      </c>
      <c r="E137" s="3">
        <v>0.49594907407407413</v>
      </c>
      <c r="F137">
        <v>11</v>
      </c>
      <c r="G137">
        <v>6</v>
      </c>
      <c r="H137" s="3">
        <f t="shared" si="6"/>
        <v>4.1041666666666754E-2</v>
      </c>
      <c r="I137" s="5">
        <f t="shared" si="7"/>
        <v>0.98499999999999999</v>
      </c>
      <c r="J137" s="5">
        <f t="shared" si="8"/>
        <v>239.79222222222216</v>
      </c>
    </row>
    <row r="138" spans="1:10" x14ac:dyDescent="0.3">
      <c r="A138">
        <v>137</v>
      </c>
      <c r="B138" s="1">
        <v>44465</v>
      </c>
      <c r="C138" s="2">
        <v>0.54450231481481481</v>
      </c>
      <c r="D138" s="1">
        <v>44465</v>
      </c>
      <c r="E138" s="3">
        <v>0.58751157407407406</v>
      </c>
      <c r="F138">
        <v>11</v>
      </c>
      <c r="G138">
        <v>9</v>
      </c>
      <c r="H138" s="3">
        <f t="shared" si="6"/>
        <v>4.3009259259259247E-2</v>
      </c>
      <c r="I138" s="5">
        <f t="shared" si="7"/>
        <v>1.0322222222222222</v>
      </c>
      <c r="J138" s="5">
        <f t="shared" si="8"/>
        <v>240.8244444444444</v>
      </c>
    </row>
    <row r="139" spans="1:10" x14ac:dyDescent="0.3">
      <c r="A139">
        <v>138</v>
      </c>
      <c r="B139" s="1">
        <v>44465</v>
      </c>
      <c r="C139" s="2">
        <v>0.67274305555555547</v>
      </c>
      <c r="D139" s="1">
        <v>44465</v>
      </c>
      <c r="E139" s="3">
        <v>0.74657407407407417</v>
      </c>
      <c r="F139">
        <v>13</v>
      </c>
      <c r="G139">
        <v>24</v>
      </c>
      <c r="H139" s="3">
        <f t="shared" si="6"/>
        <v>7.3831018518518698E-2</v>
      </c>
      <c r="I139" s="5">
        <f t="shared" si="7"/>
        <v>1.7719444444444443</v>
      </c>
      <c r="J139" s="5">
        <f t="shared" si="8"/>
        <v>242.59638888888884</v>
      </c>
    </row>
    <row r="140" spans="1:10" x14ac:dyDescent="0.3">
      <c r="A140">
        <v>139</v>
      </c>
      <c r="B140" s="1">
        <v>44465</v>
      </c>
      <c r="C140" s="2">
        <v>0.79449074074074078</v>
      </c>
      <c r="D140" s="1">
        <v>44465</v>
      </c>
      <c r="E140" s="3">
        <v>0.85421296296296301</v>
      </c>
      <c r="F140">
        <v>15</v>
      </c>
      <c r="G140">
        <v>6</v>
      </c>
      <c r="H140" s="3">
        <f t="shared" si="6"/>
        <v>5.9722222222222232E-2</v>
      </c>
      <c r="I140" s="5">
        <f t="shared" si="7"/>
        <v>1.4333333333333333</v>
      </c>
      <c r="J140" s="5">
        <f t="shared" si="8"/>
        <v>244.02972222222218</v>
      </c>
    </row>
    <row r="141" spans="1:10" x14ac:dyDescent="0.3">
      <c r="A141">
        <v>140</v>
      </c>
      <c r="B141" s="1">
        <v>44466</v>
      </c>
      <c r="C141" s="2">
        <v>0.25283564814814813</v>
      </c>
      <c r="D141" s="1">
        <v>44466</v>
      </c>
      <c r="E141" s="3">
        <v>0.33119212962962963</v>
      </c>
      <c r="F141">
        <v>15</v>
      </c>
      <c r="G141">
        <v>9</v>
      </c>
      <c r="H141" s="3">
        <f t="shared" si="6"/>
        <v>7.8356481481481499E-2</v>
      </c>
      <c r="I141" s="5">
        <f t="shared" si="7"/>
        <v>1.8805555555555555</v>
      </c>
      <c r="J141" s="5">
        <f t="shared" si="8"/>
        <v>245.91027777777774</v>
      </c>
    </row>
    <row r="142" spans="1:10" x14ac:dyDescent="0.3">
      <c r="A142">
        <v>141</v>
      </c>
      <c r="B142" s="1">
        <v>44466</v>
      </c>
      <c r="C142" s="2">
        <v>0.38195601851851851</v>
      </c>
      <c r="D142" s="1">
        <v>44466</v>
      </c>
      <c r="E142" s="3">
        <v>0.42439814814814819</v>
      </c>
      <c r="F142">
        <v>10</v>
      </c>
      <c r="G142">
        <v>19</v>
      </c>
      <c r="H142" s="3">
        <f t="shared" si="6"/>
        <v>4.2442129629629677E-2</v>
      </c>
      <c r="I142" s="5">
        <f t="shared" si="7"/>
        <v>1.0186111111111111</v>
      </c>
      <c r="J142" s="5">
        <f t="shared" si="8"/>
        <v>246.92888888888885</v>
      </c>
    </row>
    <row r="143" spans="1:10" x14ac:dyDescent="0.3">
      <c r="A143">
        <v>142</v>
      </c>
      <c r="B143" s="1">
        <v>44466</v>
      </c>
      <c r="C143" s="2">
        <v>0.54520833333333341</v>
      </c>
      <c r="D143" s="1">
        <v>44466</v>
      </c>
      <c r="E143" s="3">
        <v>0.62854166666666667</v>
      </c>
      <c r="F143">
        <v>1</v>
      </c>
      <c r="G143">
        <v>0</v>
      </c>
      <c r="H143" s="3">
        <f t="shared" si="6"/>
        <v>8.3333333333333259E-2</v>
      </c>
      <c r="I143" s="5">
        <f t="shared" si="7"/>
        <v>2</v>
      </c>
      <c r="J143" s="5">
        <f t="shared" si="8"/>
        <v>248.92888888888885</v>
      </c>
    </row>
    <row r="144" spans="1:10" x14ac:dyDescent="0.3">
      <c r="A144">
        <v>143</v>
      </c>
      <c r="B144" s="1">
        <v>44466</v>
      </c>
      <c r="C144" s="2">
        <v>0.71118055555555548</v>
      </c>
      <c r="D144" s="1">
        <v>44466</v>
      </c>
      <c r="E144" s="3">
        <v>0.79310185185185178</v>
      </c>
      <c r="F144">
        <v>3</v>
      </c>
      <c r="G144">
        <v>0</v>
      </c>
      <c r="H144" s="3">
        <f t="shared" si="6"/>
        <v>8.1921296296296298E-2</v>
      </c>
      <c r="I144" s="5">
        <f t="shared" si="7"/>
        <v>1.9661111111111111</v>
      </c>
      <c r="J144" s="5">
        <f t="shared" si="8"/>
        <v>250.89499999999995</v>
      </c>
    </row>
    <row r="145" spans="1:10" x14ac:dyDescent="0.3">
      <c r="A145">
        <v>144</v>
      </c>
      <c r="B145" s="1">
        <v>44467</v>
      </c>
      <c r="C145" s="2">
        <v>0.41951388888888891</v>
      </c>
      <c r="D145" s="1">
        <v>44467</v>
      </c>
      <c r="E145" s="3">
        <v>0.4959027777777778</v>
      </c>
      <c r="F145">
        <v>9</v>
      </c>
      <c r="G145">
        <v>14</v>
      </c>
      <c r="H145" s="3">
        <f t="shared" si="6"/>
        <v>7.6388888888888895E-2</v>
      </c>
      <c r="I145" s="5">
        <f t="shared" si="7"/>
        <v>1.8333333333333335</v>
      </c>
      <c r="J145" s="5">
        <f t="shared" si="8"/>
        <v>252.7283333333333</v>
      </c>
    </row>
    <row r="146" spans="1:10" x14ac:dyDescent="0.3">
      <c r="A146">
        <v>145</v>
      </c>
      <c r="B146" s="1">
        <v>44467</v>
      </c>
      <c r="C146" s="2">
        <v>0.54101851851851845</v>
      </c>
      <c r="D146" s="1">
        <v>44467</v>
      </c>
      <c r="E146" s="3">
        <v>0.62842592592592594</v>
      </c>
      <c r="F146">
        <v>11</v>
      </c>
      <c r="G146">
        <v>13</v>
      </c>
      <c r="H146" s="3">
        <f t="shared" si="6"/>
        <v>8.7407407407407489E-2</v>
      </c>
      <c r="I146" s="5">
        <f t="shared" si="7"/>
        <v>2.097777777777778</v>
      </c>
      <c r="J146" s="5">
        <f t="shared" si="8"/>
        <v>254.82611111111106</v>
      </c>
    </row>
    <row r="147" spans="1:10" x14ac:dyDescent="0.3">
      <c r="A147">
        <v>146</v>
      </c>
      <c r="B147" s="1">
        <v>44467</v>
      </c>
      <c r="C147" s="2">
        <v>0.7125462962962964</v>
      </c>
      <c r="D147" s="1">
        <v>44467</v>
      </c>
      <c r="E147" s="3">
        <v>0.75473379629629633</v>
      </c>
      <c r="F147">
        <v>12</v>
      </c>
      <c r="G147">
        <v>9</v>
      </c>
      <c r="H147" s="3">
        <f t="shared" si="6"/>
        <v>4.2187499999999933E-2</v>
      </c>
      <c r="I147" s="5">
        <f t="shared" si="7"/>
        <v>1.0125</v>
      </c>
      <c r="J147" s="5">
        <f t="shared" si="8"/>
        <v>255.83861111111105</v>
      </c>
    </row>
    <row r="148" spans="1:10" x14ac:dyDescent="0.3">
      <c r="A148">
        <v>147</v>
      </c>
      <c r="B148" s="1">
        <v>44467</v>
      </c>
      <c r="C148" s="2">
        <v>0.79166666666666663</v>
      </c>
      <c r="D148" s="1">
        <v>44467</v>
      </c>
      <c r="E148" s="3">
        <v>0.87570601851851848</v>
      </c>
      <c r="F148">
        <v>14</v>
      </c>
      <c r="G148">
        <v>9</v>
      </c>
      <c r="H148" s="3">
        <f t="shared" si="6"/>
        <v>8.4039351851851851E-2</v>
      </c>
      <c r="I148" s="5">
        <f t="shared" si="7"/>
        <v>2.0169444444444444</v>
      </c>
      <c r="J148" s="5">
        <f t="shared" si="8"/>
        <v>257.8555555555555</v>
      </c>
    </row>
    <row r="149" spans="1:10" x14ac:dyDescent="0.3">
      <c r="A149">
        <v>148</v>
      </c>
      <c r="B149" s="1">
        <v>44468</v>
      </c>
      <c r="C149" s="2">
        <v>0.29934027777777777</v>
      </c>
      <c r="D149" s="1">
        <v>44468</v>
      </c>
      <c r="E149" s="3">
        <v>0.37398148148148147</v>
      </c>
      <c r="F149">
        <v>12</v>
      </c>
      <c r="G149">
        <v>16</v>
      </c>
      <c r="H149" s="3">
        <f t="shared" si="6"/>
        <v>7.4641203703703696E-2</v>
      </c>
      <c r="I149" s="5">
        <f t="shared" si="7"/>
        <v>1.7913888888888887</v>
      </c>
      <c r="J149" s="5">
        <f t="shared" si="8"/>
        <v>259.64694444444439</v>
      </c>
    </row>
    <row r="150" spans="1:10" x14ac:dyDescent="0.3">
      <c r="A150">
        <v>149</v>
      </c>
      <c r="B150" s="1">
        <v>44468</v>
      </c>
      <c r="C150" s="2">
        <v>0.41740740740740739</v>
      </c>
      <c r="D150" s="1">
        <v>44468</v>
      </c>
      <c r="E150" s="3">
        <v>0.50071759259259252</v>
      </c>
      <c r="F150">
        <v>9</v>
      </c>
      <c r="G150">
        <v>21</v>
      </c>
      <c r="H150" s="3">
        <f t="shared" si="6"/>
        <v>8.3310185185185126E-2</v>
      </c>
      <c r="I150" s="5">
        <f t="shared" si="7"/>
        <v>1.9994444444444446</v>
      </c>
      <c r="J150" s="5">
        <f t="shared" si="8"/>
        <v>261.64638888888885</v>
      </c>
    </row>
    <row r="151" spans="1:10" x14ac:dyDescent="0.3">
      <c r="A151">
        <v>150</v>
      </c>
      <c r="B151" s="1">
        <v>44468</v>
      </c>
      <c r="C151" s="2">
        <v>0.55636574074074074</v>
      </c>
      <c r="D151" s="1">
        <v>44468</v>
      </c>
      <c r="E151" s="3">
        <v>0.61332175925925925</v>
      </c>
      <c r="F151">
        <v>15</v>
      </c>
      <c r="G151">
        <v>9</v>
      </c>
      <c r="H151" s="3">
        <f t="shared" si="6"/>
        <v>5.6956018518518503E-2</v>
      </c>
      <c r="I151" s="5">
        <f t="shared" si="7"/>
        <v>1.3669444444444445</v>
      </c>
      <c r="J151" s="5">
        <f t="shared" si="8"/>
        <v>263.01333333333332</v>
      </c>
    </row>
    <row r="152" spans="1:10" x14ac:dyDescent="0.3">
      <c r="A152">
        <v>151</v>
      </c>
      <c r="B152" s="1">
        <v>44468</v>
      </c>
      <c r="C152" s="2">
        <v>0.67305555555555552</v>
      </c>
      <c r="D152" s="1">
        <v>44468</v>
      </c>
      <c r="E152" s="3">
        <v>0.73208333333333331</v>
      </c>
      <c r="F152">
        <v>14</v>
      </c>
      <c r="G152">
        <v>8</v>
      </c>
      <c r="H152" s="3">
        <f t="shared" si="6"/>
        <v>5.902777777777779E-2</v>
      </c>
      <c r="I152" s="5">
        <f t="shared" si="7"/>
        <v>1.4166666666666667</v>
      </c>
      <c r="J152" s="5">
        <f t="shared" si="8"/>
        <v>264.43</v>
      </c>
    </row>
    <row r="153" spans="1:10" x14ac:dyDescent="0.3">
      <c r="A153">
        <v>152</v>
      </c>
      <c r="B153" s="1">
        <v>44468</v>
      </c>
      <c r="C153" s="2">
        <v>0.79931712962962964</v>
      </c>
      <c r="D153" s="1">
        <v>44468</v>
      </c>
      <c r="E153" s="3">
        <v>0.84817129629629628</v>
      </c>
      <c r="F153">
        <v>16</v>
      </c>
      <c r="G153">
        <v>21</v>
      </c>
      <c r="H153" s="3">
        <f t="shared" si="6"/>
        <v>4.8854166666666643E-2</v>
      </c>
      <c r="I153" s="5">
        <f t="shared" si="7"/>
        <v>1.1725000000000001</v>
      </c>
      <c r="J153" s="5">
        <f t="shared" si="8"/>
        <v>265.60250000000002</v>
      </c>
    </row>
    <row r="154" spans="1:10" x14ac:dyDescent="0.3">
      <c r="A154">
        <v>153</v>
      </c>
      <c r="B154" s="1">
        <v>44468</v>
      </c>
      <c r="C154" s="2">
        <v>0.9611574074074074</v>
      </c>
      <c r="D154" s="1">
        <v>44469</v>
      </c>
      <c r="E154" s="3">
        <v>3.9629629629629633E-2</v>
      </c>
      <c r="F154">
        <v>14</v>
      </c>
      <c r="G154">
        <v>9</v>
      </c>
      <c r="H154" s="3">
        <f t="shared" si="6"/>
        <v>23.078472222222224</v>
      </c>
      <c r="I154" s="5">
        <f t="shared" si="7"/>
        <v>1.8833333333333333</v>
      </c>
      <c r="J154" s="5">
        <f t="shared" si="8"/>
        <v>267.48583333333335</v>
      </c>
    </row>
    <row r="155" spans="1:10" x14ac:dyDescent="0.3">
      <c r="A155">
        <v>154</v>
      </c>
      <c r="B155" s="1">
        <v>44469</v>
      </c>
      <c r="C155" s="2">
        <v>0.3125</v>
      </c>
      <c r="D155" s="1">
        <v>44469</v>
      </c>
      <c r="E155" s="3">
        <v>0.33385416666666662</v>
      </c>
      <c r="F155">
        <v>17</v>
      </c>
      <c r="G155">
        <v>3</v>
      </c>
      <c r="H155" s="3">
        <f t="shared" si="6"/>
        <v>2.1354166666666619E-2</v>
      </c>
      <c r="I155" s="5">
        <f t="shared" si="7"/>
        <v>0.51249999999999996</v>
      </c>
      <c r="J155" s="5">
        <f t="shared" si="8"/>
        <v>267.99833333333333</v>
      </c>
    </row>
    <row r="156" spans="1:10" x14ac:dyDescent="0.3">
      <c r="A156">
        <v>155</v>
      </c>
      <c r="B156" s="1">
        <v>44469</v>
      </c>
      <c r="C156" s="2">
        <v>0.44229166666666669</v>
      </c>
      <c r="D156" s="1">
        <v>44469</v>
      </c>
      <c r="E156" s="3">
        <v>0.50074074074074071</v>
      </c>
      <c r="F156">
        <v>0</v>
      </c>
      <c r="G156">
        <v>9</v>
      </c>
      <c r="H156" s="3">
        <f t="shared" si="6"/>
        <v>5.8449074074074014E-2</v>
      </c>
      <c r="I156" s="5">
        <f t="shared" si="7"/>
        <v>1.4027777777777777</v>
      </c>
      <c r="J156" s="5">
        <f t="shared" si="8"/>
        <v>269.40111111111111</v>
      </c>
    </row>
    <row r="157" spans="1:10" x14ac:dyDescent="0.3">
      <c r="A157">
        <v>156</v>
      </c>
      <c r="B157" s="1">
        <v>44469</v>
      </c>
      <c r="C157" s="2">
        <v>0.59045138888888882</v>
      </c>
      <c r="D157" s="1">
        <v>44469</v>
      </c>
      <c r="E157" s="3">
        <v>0.63065972222222222</v>
      </c>
      <c r="F157">
        <v>14</v>
      </c>
      <c r="G157">
        <v>8</v>
      </c>
      <c r="H157" s="3">
        <f t="shared" si="6"/>
        <v>4.0208333333333401E-2</v>
      </c>
      <c r="I157" s="5">
        <f t="shared" si="7"/>
        <v>0.96499999999999997</v>
      </c>
      <c r="J157" s="5">
        <f t="shared" si="8"/>
        <v>270.36611111111108</v>
      </c>
    </row>
    <row r="158" spans="1:10" x14ac:dyDescent="0.3">
      <c r="A158">
        <v>157</v>
      </c>
      <c r="B158" s="1">
        <v>44469</v>
      </c>
      <c r="C158" s="2">
        <v>0.7142708333333333</v>
      </c>
      <c r="D158" s="1">
        <v>44469</v>
      </c>
      <c r="E158" s="3">
        <v>0.789525462962963</v>
      </c>
      <c r="F158">
        <v>6</v>
      </c>
      <c r="G158">
        <v>39</v>
      </c>
      <c r="H158" s="3">
        <f t="shared" si="6"/>
        <v>7.5254629629629699E-2</v>
      </c>
      <c r="I158" s="5">
        <f t="shared" si="7"/>
        <v>1.8061111111111112</v>
      </c>
      <c r="J158" s="5">
        <f t="shared" si="8"/>
        <v>272.17222222222222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8"/>
  <sheetViews>
    <sheetView workbookViewId="0">
      <selection sqref="A1:M1048576"/>
    </sheetView>
  </sheetViews>
  <sheetFormatPr defaultRowHeight="14.4" x14ac:dyDescent="0.3"/>
  <cols>
    <col min="1" max="1" width="4" bestFit="1" customWidth="1"/>
    <col min="2" max="2" width="10.6640625" bestFit="1" customWidth="1"/>
    <col min="3" max="3" width="13.33203125" bestFit="1" customWidth="1"/>
    <col min="4" max="4" width="11.6640625" bestFit="1" customWidth="1"/>
    <col min="5" max="5" width="14.33203125" style="3" bestFit="1" customWidth="1"/>
    <col min="6" max="6" width="15" bestFit="1" customWidth="1"/>
    <col min="7" max="7" width="15" customWidth="1"/>
    <col min="8" max="8" width="15.5546875" bestFit="1" customWidth="1"/>
    <col min="9" max="9" width="10.5546875" bestFit="1" customWidth="1"/>
    <col min="10" max="10" width="14.21875" bestFit="1" customWidth="1"/>
    <col min="11" max="11" width="16.5546875" bestFit="1" customWidth="1"/>
    <col min="12" max="12" width="13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6</v>
      </c>
      <c r="G1" t="s">
        <v>10</v>
      </c>
      <c r="H1" t="s">
        <v>5</v>
      </c>
      <c r="I1" t="s">
        <v>12</v>
      </c>
      <c r="J1" t="s">
        <v>18</v>
      </c>
      <c r="K1" t="s">
        <v>19</v>
      </c>
      <c r="L1" t="s">
        <v>20</v>
      </c>
      <c r="M1" t="s">
        <v>21</v>
      </c>
    </row>
    <row r="2" spans="1:13" x14ac:dyDescent="0.3">
      <c r="A2">
        <v>1</v>
      </c>
      <c r="B2" s="1">
        <v>44440</v>
      </c>
      <c r="C2" s="2">
        <v>0.33333333333333331</v>
      </c>
      <c r="D2" s="1">
        <v>44440</v>
      </c>
      <c r="E2" s="3">
        <v>0.38513888888888892</v>
      </c>
      <c r="F2">
        <v>12</v>
      </c>
      <c r="G2">
        <f>F2</f>
        <v>12</v>
      </c>
      <c r="H2">
        <v>0</v>
      </c>
      <c r="I2">
        <f>G2-H2</f>
        <v>12</v>
      </c>
      <c r="J2">
        <f>F2 * 1500</f>
        <v>18000</v>
      </c>
      <c r="K2">
        <f>H2*1500</f>
        <v>0</v>
      </c>
      <c r="L2">
        <f>IF(F2&lt;10,F2*6000,IF(F2&lt;20,F2*5500,IF(F2&lt;30,F2*5000,F2*4000)))</f>
        <v>66000</v>
      </c>
      <c r="M2">
        <f>L2-J2-K2</f>
        <v>48000</v>
      </c>
    </row>
    <row r="3" spans="1:13" x14ac:dyDescent="0.3">
      <c r="A3">
        <v>2</v>
      </c>
      <c r="B3" s="1">
        <v>44440</v>
      </c>
      <c r="C3" s="2">
        <v>0.42430555555555555</v>
      </c>
      <c r="D3" s="1">
        <v>44440</v>
      </c>
      <c r="E3" s="3">
        <v>0.55934027777777773</v>
      </c>
      <c r="F3">
        <v>11</v>
      </c>
      <c r="G3">
        <f>I2+F3</f>
        <v>23</v>
      </c>
      <c r="H3">
        <v>16</v>
      </c>
      <c r="I3">
        <f>G3-H3</f>
        <v>7</v>
      </c>
      <c r="J3">
        <f>F3 * 1500</f>
        <v>16500</v>
      </c>
      <c r="K3">
        <f>H3*1500</f>
        <v>24000</v>
      </c>
      <c r="L3">
        <f>IF(F3&lt;10,F3*6000,IF(F3&lt;20,F3*5500,IF(F3&lt;30,F3*5000,F3*4000)))</f>
        <v>60500</v>
      </c>
      <c r="M3">
        <f>L3-J3-K3</f>
        <v>20000</v>
      </c>
    </row>
    <row r="4" spans="1:13" x14ac:dyDescent="0.3">
      <c r="A4">
        <v>3</v>
      </c>
      <c r="B4" s="1">
        <v>44440</v>
      </c>
      <c r="C4" s="2">
        <v>0.64613425925925927</v>
      </c>
      <c r="D4" s="1">
        <v>44440</v>
      </c>
      <c r="E4" s="3">
        <v>0.71621527777777771</v>
      </c>
      <c r="F4">
        <v>9</v>
      </c>
      <c r="G4">
        <f>I3+F4</f>
        <v>16</v>
      </c>
      <c r="H4">
        <v>0</v>
      </c>
      <c r="I4">
        <f>G4-H4</f>
        <v>16</v>
      </c>
      <c r="J4">
        <f>F4 * 1500</f>
        <v>13500</v>
      </c>
      <c r="K4">
        <f>H4*1500</f>
        <v>0</v>
      </c>
      <c r="L4">
        <f>IF(F4&lt;10,F4*6000,IF(F4&lt;20,F4*5500,IF(F4&lt;30,F4*5000,F4*4000)))</f>
        <v>54000</v>
      </c>
      <c r="M4">
        <f>L4-J4-K4</f>
        <v>40500</v>
      </c>
    </row>
    <row r="5" spans="1:13" x14ac:dyDescent="0.3">
      <c r="A5">
        <v>4</v>
      </c>
      <c r="B5" s="1">
        <v>44440</v>
      </c>
      <c r="C5" s="2">
        <v>0.76347222222222222</v>
      </c>
      <c r="D5" s="1">
        <v>44440</v>
      </c>
      <c r="E5" s="3">
        <v>0.91402777777777777</v>
      </c>
      <c r="F5">
        <v>14</v>
      </c>
      <c r="G5">
        <f>I4+F5</f>
        <v>30</v>
      </c>
      <c r="H5">
        <v>11</v>
      </c>
      <c r="I5">
        <f>G5-H5</f>
        <v>19</v>
      </c>
      <c r="J5">
        <f>F5 * 1500</f>
        <v>21000</v>
      </c>
      <c r="K5">
        <f>H5*1500</f>
        <v>16500</v>
      </c>
      <c r="L5">
        <f>IF(F5&lt;10,F5*6000,IF(F5&lt;20,F5*5500,IF(F5&lt;30,F5*5000,F5*4000)))</f>
        <v>77000</v>
      </c>
      <c r="M5">
        <f>L5-J5-K5</f>
        <v>39500</v>
      </c>
    </row>
    <row r="6" spans="1:13" x14ac:dyDescent="0.3">
      <c r="A6">
        <v>5</v>
      </c>
      <c r="B6" s="1">
        <v>44441</v>
      </c>
      <c r="C6" s="2">
        <v>0.17721064814814813</v>
      </c>
      <c r="D6" s="1">
        <v>44441</v>
      </c>
      <c r="E6" s="3">
        <v>0.27315972222222223</v>
      </c>
      <c r="F6">
        <v>21</v>
      </c>
      <c r="G6">
        <f>I5+F6</f>
        <v>40</v>
      </c>
      <c r="H6">
        <v>15</v>
      </c>
      <c r="I6">
        <f>G6-H6</f>
        <v>25</v>
      </c>
      <c r="J6">
        <f>F6 * 1500</f>
        <v>31500</v>
      </c>
      <c r="K6">
        <f>H6*1500</f>
        <v>22500</v>
      </c>
      <c r="L6">
        <f>IF(F6&lt;10,F6*6000,IF(F6&lt;20,F6*5500,IF(F6&lt;30,F6*5000,F6*4000)))</f>
        <v>105000</v>
      </c>
      <c r="M6">
        <f>L6-J6-K6</f>
        <v>51000</v>
      </c>
    </row>
    <row r="7" spans="1:13" x14ac:dyDescent="0.3">
      <c r="A7">
        <v>6</v>
      </c>
      <c r="B7" s="1">
        <v>44441</v>
      </c>
      <c r="C7" s="2">
        <v>0.34736111111111106</v>
      </c>
      <c r="D7" s="1">
        <v>44441</v>
      </c>
      <c r="E7" s="3">
        <v>0.42460648148148145</v>
      </c>
      <c r="F7">
        <v>11</v>
      </c>
      <c r="G7">
        <f>I6+F7</f>
        <v>36</v>
      </c>
      <c r="H7">
        <v>24</v>
      </c>
      <c r="I7">
        <f>G7-H7</f>
        <v>12</v>
      </c>
      <c r="J7">
        <f>F7 * 1500</f>
        <v>16500</v>
      </c>
      <c r="K7">
        <f>H7*1500</f>
        <v>36000</v>
      </c>
      <c r="L7">
        <f>IF(F7&lt;10,F7*6000,IF(F7&lt;20,F7*5500,IF(F7&lt;30,F7*5000,F7*4000)))</f>
        <v>60500</v>
      </c>
      <c r="M7">
        <f>L7-J7-K7</f>
        <v>8000</v>
      </c>
    </row>
    <row r="8" spans="1:13" x14ac:dyDescent="0.3">
      <c r="A8">
        <v>7</v>
      </c>
      <c r="B8" s="1">
        <v>44441</v>
      </c>
      <c r="C8" s="2">
        <v>0.48079861111111111</v>
      </c>
      <c r="D8" s="1">
        <v>44441</v>
      </c>
      <c r="E8" s="3">
        <v>0.57214120370370369</v>
      </c>
      <c r="F8">
        <v>19</v>
      </c>
      <c r="G8">
        <f>I7+F8</f>
        <v>31</v>
      </c>
      <c r="H8">
        <v>10</v>
      </c>
      <c r="I8">
        <f>G8-H8</f>
        <v>21</v>
      </c>
      <c r="J8">
        <f>F8 * 1500</f>
        <v>28500</v>
      </c>
      <c r="K8">
        <f>H8*1500</f>
        <v>15000</v>
      </c>
      <c r="L8">
        <f>IF(F8&lt;10,F8*6000,IF(F8&lt;20,F8*5500,IF(F8&lt;30,F8*5000,F8*4000)))</f>
        <v>104500</v>
      </c>
      <c r="M8">
        <f>L8-J8-K8</f>
        <v>61000</v>
      </c>
    </row>
    <row r="9" spans="1:13" x14ac:dyDescent="0.3">
      <c r="A9">
        <v>8</v>
      </c>
      <c r="B9" s="1">
        <v>44441</v>
      </c>
      <c r="C9" s="2">
        <v>0.63290509259259264</v>
      </c>
      <c r="D9" s="1">
        <v>44441</v>
      </c>
      <c r="E9" s="3">
        <v>0.72944444444444445</v>
      </c>
      <c r="F9">
        <v>9</v>
      </c>
      <c r="G9">
        <f>I8+F9</f>
        <v>30</v>
      </c>
      <c r="H9">
        <v>11</v>
      </c>
      <c r="I9">
        <f>G9-H9</f>
        <v>19</v>
      </c>
      <c r="J9">
        <f>F9 * 1500</f>
        <v>13500</v>
      </c>
      <c r="K9">
        <f>H9*1500</f>
        <v>16500</v>
      </c>
      <c r="L9">
        <f>IF(F9&lt;10,F9*6000,IF(F9&lt;20,F9*5500,IF(F9&lt;30,F9*5000,F9*4000)))</f>
        <v>54000</v>
      </c>
      <c r="M9">
        <f>L9-J9-K9</f>
        <v>24000</v>
      </c>
    </row>
    <row r="10" spans="1:13" x14ac:dyDescent="0.3">
      <c r="A10">
        <v>9</v>
      </c>
      <c r="B10" s="1">
        <v>44441</v>
      </c>
      <c r="C10" s="2">
        <v>0.80592592592592593</v>
      </c>
      <c r="D10" s="1">
        <v>44441</v>
      </c>
      <c r="E10" s="3">
        <v>0.89690972222222232</v>
      </c>
      <c r="F10">
        <v>12</v>
      </c>
      <c r="G10">
        <f>I9+F10</f>
        <v>31</v>
      </c>
      <c r="H10">
        <v>15</v>
      </c>
      <c r="I10">
        <f>G10-H10</f>
        <v>16</v>
      </c>
      <c r="J10">
        <f>F10 * 1500</f>
        <v>18000</v>
      </c>
      <c r="K10">
        <f>H10*1500</f>
        <v>22500</v>
      </c>
      <c r="L10">
        <f>IF(F10&lt;10,F10*6000,IF(F10&lt;20,F10*5500,IF(F10&lt;30,F10*5000,F10*4000)))</f>
        <v>66000</v>
      </c>
      <c r="M10">
        <f>L10-J10-K10</f>
        <v>25500</v>
      </c>
    </row>
    <row r="11" spans="1:13" x14ac:dyDescent="0.3">
      <c r="A11">
        <v>10</v>
      </c>
      <c r="B11" s="1">
        <v>44442</v>
      </c>
      <c r="C11" s="2">
        <v>0.13548611111111111</v>
      </c>
      <c r="D11" s="1">
        <v>44442</v>
      </c>
      <c r="E11" s="3">
        <v>0.31579861111111113</v>
      </c>
      <c r="F11">
        <v>17</v>
      </c>
      <c r="G11">
        <f>I10+F11</f>
        <v>33</v>
      </c>
      <c r="H11">
        <v>22</v>
      </c>
      <c r="I11">
        <f>G11-H11</f>
        <v>11</v>
      </c>
      <c r="J11">
        <f>F11 * 1500</f>
        <v>25500</v>
      </c>
      <c r="K11">
        <f>H11*1500</f>
        <v>33000</v>
      </c>
      <c r="L11">
        <f>IF(F11&lt;10,F11*6000,IF(F11&lt;20,F11*5500,IF(F11&lt;30,F11*5000,F11*4000)))</f>
        <v>93500</v>
      </c>
      <c r="M11">
        <f>L11-J11-K11</f>
        <v>35000</v>
      </c>
    </row>
    <row r="12" spans="1:13" x14ac:dyDescent="0.3">
      <c r="A12">
        <v>11</v>
      </c>
      <c r="B12" s="1">
        <v>44442</v>
      </c>
      <c r="C12" s="2">
        <v>0.37784722222222222</v>
      </c>
      <c r="D12" s="1">
        <v>44442</v>
      </c>
      <c r="E12" s="3">
        <v>0.46140046296296294</v>
      </c>
      <c r="F12">
        <v>14</v>
      </c>
      <c r="G12">
        <f>I11+F12</f>
        <v>25</v>
      </c>
      <c r="H12">
        <v>10</v>
      </c>
      <c r="I12">
        <f>G12-H12</f>
        <v>15</v>
      </c>
      <c r="J12">
        <f>F12 * 1500</f>
        <v>21000</v>
      </c>
      <c r="K12">
        <f>H12*1500</f>
        <v>15000</v>
      </c>
      <c r="L12">
        <f>IF(F12&lt;10,F12*6000,IF(F12&lt;20,F12*5500,IF(F12&lt;30,F12*5000,F12*4000)))</f>
        <v>77000</v>
      </c>
      <c r="M12">
        <f>L12-J12-K12</f>
        <v>41000</v>
      </c>
    </row>
    <row r="13" spans="1:13" x14ac:dyDescent="0.3">
      <c r="A13">
        <v>12</v>
      </c>
      <c r="B13" s="1">
        <v>44442</v>
      </c>
      <c r="C13" s="2">
        <v>0.50086805555555558</v>
      </c>
      <c r="D13" s="1">
        <v>44442</v>
      </c>
      <c r="E13" s="3">
        <v>0.63633101851851859</v>
      </c>
      <c r="F13">
        <v>24</v>
      </c>
      <c r="G13">
        <f>I12+F13</f>
        <v>39</v>
      </c>
      <c r="H13">
        <v>19</v>
      </c>
      <c r="I13">
        <f>G13-H13</f>
        <v>20</v>
      </c>
      <c r="J13">
        <f>F13 * 1500</f>
        <v>36000</v>
      </c>
      <c r="K13">
        <f>H13*1500</f>
        <v>28500</v>
      </c>
      <c r="L13">
        <f>IF(F13&lt;10,F13*6000,IF(F13&lt;20,F13*5500,IF(F13&lt;30,F13*5000,F13*4000)))</f>
        <v>120000</v>
      </c>
      <c r="M13">
        <f>L13-J13-K13</f>
        <v>55500</v>
      </c>
    </row>
    <row r="14" spans="1:13" x14ac:dyDescent="0.3">
      <c r="A14">
        <v>13</v>
      </c>
      <c r="B14" s="1">
        <v>44442</v>
      </c>
      <c r="C14" s="2">
        <v>0.7049305555555555</v>
      </c>
      <c r="D14" s="1">
        <v>44442</v>
      </c>
      <c r="E14" s="3">
        <v>0.76827546296296301</v>
      </c>
      <c r="F14">
        <v>16</v>
      </c>
      <c r="G14">
        <f>I13+F14</f>
        <v>36</v>
      </c>
      <c r="H14">
        <v>11</v>
      </c>
      <c r="I14">
        <f>G14-H14</f>
        <v>25</v>
      </c>
      <c r="J14">
        <f>F14 * 1500</f>
        <v>24000</v>
      </c>
      <c r="K14">
        <f>H14*1500</f>
        <v>16500</v>
      </c>
      <c r="L14">
        <f>IF(F14&lt;10,F14*6000,IF(F14&lt;20,F14*5500,IF(F14&lt;30,F14*5000,F14*4000)))</f>
        <v>88000</v>
      </c>
      <c r="M14">
        <f>L14-J14-K14</f>
        <v>47500</v>
      </c>
    </row>
    <row r="15" spans="1:13" x14ac:dyDescent="0.3">
      <c r="A15">
        <v>14</v>
      </c>
      <c r="B15" s="1">
        <v>44442</v>
      </c>
      <c r="C15" s="2">
        <v>0.80994212962962964</v>
      </c>
      <c r="D15" s="1">
        <v>44442</v>
      </c>
      <c r="E15" s="3">
        <v>0.92829861111111101</v>
      </c>
      <c r="F15">
        <v>15</v>
      </c>
      <c r="G15">
        <f>I14+F15</f>
        <v>40</v>
      </c>
      <c r="H15">
        <v>9</v>
      </c>
      <c r="I15">
        <f>G15-H15</f>
        <v>31</v>
      </c>
      <c r="J15">
        <f>F15 * 1500</f>
        <v>22500</v>
      </c>
      <c r="K15">
        <f>H15*1500</f>
        <v>13500</v>
      </c>
      <c r="L15">
        <f>IF(F15&lt;10,F15*6000,IF(F15&lt;20,F15*5500,IF(F15&lt;30,F15*5000,F15*4000)))</f>
        <v>82500</v>
      </c>
      <c r="M15">
        <f>L15-J15-K15</f>
        <v>46500</v>
      </c>
    </row>
    <row r="16" spans="1:13" x14ac:dyDescent="0.3">
      <c r="A16">
        <v>15</v>
      </c>
      <c r="B16" s="1">
        <v>44443</v>
      </c>
      <c r="C16" s="2">
        <v>0.17093749999999999</v>
      </c>
      <c r="D16" s="1">
        <v>44443</v>
      </c>
      <c r="E16" s="3">
        <v>0.25318287037037041</v>
      </c>
      <c r="F16">
        <v>7</v>
      </c>
      <c r="G16">
        <f>I15+F16</f>
        <v>38</v>
      </c>
      <c r="H16">
        <v>16</v>
      </c>
      <c r="I16">
        <f>G16-H16</f>
        <v>22</v>
      </c>
      <c r="J16">
        <f>F16 * 1500</f>
        <v>10500</v>
      </c>
      <c r="K16">
        <f>H16*1500</f>
        <v>24000</v>
      </c>
      <c r="L16">
        <f>IF(F16&lt;10,F16*6000,IF(F16&lt;20,F16*5500,IF(F16&lt;30,F16*5000,F16*4000)))</f>
        <v>42000</v>
      </c>
      <c r="M16">
        <f>L16-J16-K16</f>
        <v>7500</v>
      </c>
    </row>
    <row r="17" spans="1:13" x14ac:dyDescent="0.3">
      <c r="A17">
        <v>16</v>
      </c>
      <c r="B17" s="1">
        <v>44443</v>
      </c>
      <c r="C17" s="2">
        <v>0.29620370370370369</v>
      </c>
      <c r="D17" s="1">
        <v>44443</v>
      </c>
      <c r="E17" s="3">
        <v>0.34704861111111113</v>
      </c>
      <c r="F17">
        <v>9</v>
      </c>
      <c r="G17">
        <f>I16+F17</f>
        <v>31</v>
      </c>
      <c r="H17">
        <v>11</v>
      </c>
      <c r="I17">
        <f>G17-H17</f>
        <v>20</v>
      </c>
      <c r="J17">
        <f>F17 * 1500</f>
        <v>13500</v>
      </c>
      <c r="K17">
        <f>H17*1500</f>
        <v>16500</v>
      </c>
      <c r="L17">
        <f>IF(F17&lt;10,F17*6000,IF(F17&lt;20,F17*5500,IF(F17&lt;30,F17*5000,F17*4000)))</f>
        <v>54000</v>
      </c>
      <c r="M17">
        <f>L17-J17-K17</f>
        <v>24000</v>
      </c>
    </row>
    <row r="18" spans="1:13" x14ac:dyDescent="0.3">
      <c r="A18">
        <v>17</v>
      </c>
      <c r="B18" s="1">
        <v>44443</v>
      </c>
      <c r="C18" s="2">
        <v>0.3578587962962963</v>
      </c>
      <c r="D18" s="1">
        <v>44443</v>
      </c>
      <c r="E18" s="3">
        <v>0.42055555555555557</v>
      </c>
      <c r="F18">
        <v>13</v>
      </c>
      <c r="G18">
        <f>I17+F18</f>
        <v>33</v>
      </c>
      <c r="H18">
        <v>18</v>
      </c>
      <c r="I18">
        <f>G18-H18</f>
        <v>15</v>
      </c>
      <c r="J18">
        <f>F18 * 1500</f>
        <v>19500</v>
      </c>
      <c r="K18">
        <f>H18*1500</f>
        <v>27000</v>
      </c>
      <c r="L18">
        <f>IF(F18&lt;10,F18*6000,IF(F18&lt;20,F18*5500,IF(F18&lt;30,F18*5000,F18*4000)))</f>
        <v>71500</v>
      </c>
      <c r="M18">
        <f>L18-J18-K18</f>
        <v>25000</v>
      </c>
    </row>
    <row r="19" spans="1:13" x14ac:dyDescent="0.3">
      <c r="A19">
        <v>18</v>
      </c>
      <c r="B19" s="1">
        <v>44443</v>
      </c>
      <c r="C19" s="2">
        <v>0.48564814814814811</v>
      </c>
      <c r="D19" s="1">
        <v>44443</v>
      </c>
      <c r="E19" s="3">
        <v>0.53831018518518514</v>
      </c>
      <c r="F19">
        <v>22</v>
      </c>
      <c r="G19">
        <f>I18+F19</f>
        <v>37</v>
      </c>
      <c r="H19">
        <v>5</v>
      </c>
      <c r="I19">
        <f>G19-H19</f>
        <v>32</v>
      </c>
      <c r="J19">
        <f>F19 * 1500</f>
        <v>33000</v>
      </c>
      <c r="K19">
        <f>H19*1500</f>
        <v>7500</v>
      </c>
      <c r="L19">
        <f>IF(F19&lt;10,F19*6000,IF(F19&lt;20,F19*5500,IF(F19&lt;30,F19*5000,F19*4000)))</f>
        <v>110000</v>
      </c>
      <c r="M19">
        <f>L19-J19-K19</f>
        <v>69500</v>
      </c>
    </row>
    <row r="20" spans="1:13" x14ac:dyDescent="0.3">
      <c r="A20">
        <v>19</v>
      </c>
      <c r="B20" s="1">
        <v>44443</v>
      </c>
      <c r="C20" s="2">
        <v>0.70219907407407411</v>
      </c>
      <c r="D20" s="1">
        <v>44443</v>
      </c>
      <c r="E20" s="3">
        <v>0.7736574074074074</v>
      </c>
      <c r="F20">
        <v>8</v>
      </c>
      <c r="G20">
        <f>I19+F20</f>
        <v>40</v>
      </c>
      <c r="H20">
        <v>23</v>
      </c>
      <c r="I20">
        <f>G20-H20</f>
        <v>17</v>
      </c>
      <c r="J20">
        <f>F20 * 1500</f>
        <v>12000</v>
      </c>
      <c r="K20">
        <f>H20*1500</f>
        <v>34500</v>
      </c>
      <c r="L20">
        <f>IF(F20&lt;10,F20*6000,IF(F20&lt;20,F20*5500,IF(F20&lt;30,F20*5000,F20*4000)))</f>
        <v>48000</v>
      </c>
      <c r="M20">
        <f>L20-J20-K20</f>
        <v>1500</v>
      </c>
    </row>
    <row r="21" spans="1:13" x14ac:dyDescent="0.3">
      <c r="A21">
        <v>20</v>
      </c>
      <c r="B21" s="1">
        <v>44443</v>
      </c>
      <c r="C21" s="2">
        <v>0.80978009259259265</v>
      </c>
      <c r="D21" s="1">
        <v>44443</v>
      </c>
      <c r="E21" s="3">
        <v>0.96615740740740741</v>
      </c>
      <c r="F21">
        <v>11</v>
      </c>
      <c r="G21">
        <f>I20+F21</f>
        <v>28</v>
      </c>
      <c r="H21">
        <v>14</v>
      </c>
      <c r="I21">
        <f>G21-H21</f>
        <v>14</v>
      </c>
      <c r="J21">
        <f>F21 * 1500</f>
        <v>16500</v>
      </c>
      <c r="K21">
        <f>H21*1500</f>
        <v>21000</v>
      </c>
      <c r="L21">
        <f>IF(F21&lt;10,F21*6000,IF(F21&lt;20,F21*5500,IF(F21&lt;30,F21*5000,F21*4000)))</f>
        <v>60500</v>
      </c>
      <c r="M21">
        <f>L21-J21-K21</f>
        <v>23000</v>
      </c>
    </row>
    <row r="22" spans="1:13" x14ac:dyDescent="0.3">
      <c r="A22">
        <v>21</v>
      </c>
      <c r="B22" s="1">
        <v>44444</v>
      </c>
      <c r="C22" s="2">
        <v>0.3027083333333333</v>
      </c>
      <c r="D22" s="1">
        <v>44444</v>
      </c>
      <c r="E22" s="3">
        <v>0.3762152777777778</v>
      </c>
      <c r="F22">
        <v>17</v>
      </c>
      <c r="G22">
        <f>I21+F22</f>
        <v>31</v>
      </c>
      <c r="H22">
        <v>23</v>
      </c>
      <c r="I22">
        <f>G22-H22</f>
        <v>8</v>
      </c>
      <c r="J22">
        <f>F22 * 1500</f>
        <v>25500</v>
      </c>
      <c r="K22">
        <f>H22*1500</f>
        <v>34500</v>
      </c>
      <c r="L22">
        <f>IF(F22&lt;10,F22*6000,IF(F22&lt;20,F22*5500,IF(F22&lt;30,F22*5000,F22*4000)))</f>
        <v>93500</v>
      </c>
      <c r="M22">
        <f>L22-J22-K22</f>
        <v>33500</v>
      </c>
    </row>
    <row r="23" spans="1:13" x14ac:dyDescent="0.3">
      <c r="A23">
        <v>22</v>
      </c>
      <c r="B23" s="1">
        <v>44444</v>
      </c>
      <c r="C23" s="2">
        <v>0.43002314814814818</v>
      </c>
      <c r="D23" s="1">
        <v>44444</v>
      </c>
      <c r="E23" s="3">
        <v>0.51140046296296293</v>
      </c>
      <c r="F23">
        <v>15</v>
      </c>
      <c r="G23">
        <f>I22+F23</f>
        <v>23</v>
      </c>
      <c r="H23">
        <v>11</v>
      </c>
      <c r="I23">
        <f>G23-H23</f>
        <v>12</v>
      </c>
      <c r="J23">
        <f>F23 * 1500</f>
        <v>22500</v>
      </c>
      <c r="K23">
        <f>H23*1500</f>
        <v>16500</v>
      </c>
      <c r="L23">
        <f>IF(F23&lt;10,F23*6000,IF(F23&lt;20,F23*5500,IF(F23&lt;30,F23*5000,F23*4000)))</f>
        <v>82500</v>
      </c>
      <c r="M23">
        <f>L23-J23-K23</f>
        <v>43500</v>
      </c>
    </row>
    <row r="24" spans="1:13" x14ac:dyDescent="0.3">
      <c r="A24">
        <v>23</v>
      </c>
      <c r="B24" s="1">
        <v>44444</v>
      </c>
      <c r="C24" s="2">
        <v>0.55909722222222225</v>
      </c>
      <c r="D24" s="1">
        <v>44444</v>
      </c>
      <c r="E24" s="3">
        <v>0.64327546296296301</v>
      </c>
      <c r="F24">
        <v>19</v>
      </c>
      <c r="G24">
        <f>I23+F24</f>
        <v>31</v>
      </c>
      <c r="H24">
        <v>21</v>
      </c>
      <c r="I24">
        <f>G24-H24</f>
        <v>10</v>
      </c>
      <c r="J24">
        <f>F24 * 1500</f>
        <v>28500</v>
      </c>
      <c r="K24">
        <f>H24*1500</f>
        <v>31500</v>
      </c>
      <c r="L24">
        <f>IF(F24&lt;10,F24*6000,IF(F24&lt;20,F24*5500,IF(F24&lt;30,F24*5000,F24*4000)))</f>
        <v>104500</v>
      </c>
      <c r="M24">
        <f>L24-J24-K24</f>
        <v>44500</v>
      </c>
    </row>
    <row r="25" spans="1:13" x14ac:dyDescent="0.3">
      <c r="A25">
        <v>24</v>
      </c>
      <c r="B25" s="1">
        <v>44444</v>
      </c>
      <c r="C25" s="2">
        <v>0.69188657407407417</v>
      </c>
      <c r="D25" s="1">
        <v>44444</v>
      </c>
      <c r="E25" s="3">
        <v>0.73365740740740737</v>
      </c>
      <c r="F25">
        <v>11</v>
      </c>
      <c r="G25">
        <f>I24+F25</f>
        <v>21</v>
      </c>
      <c r="H25">
        <v>9</v>
      </c>
      <c r="I25">
        <f>G25-H25</f>
        <v>12</v>
      </c>
      <c r="J25">
        <f>F25 * 1500</f>
        <v>16500</v>
      </c>
      <c r="K25">
        <f>H25*1500</f>
        <v>13500</v>
      </c>
      <c r="L25">
        <f>IF(F25&lt;10,F25*6000,IF(F25&lt;20,F25*5500,IF(F25&lt;30,F25*5000,F25*4000)))</f>
        <v>60500</v>
      </c>
      <c r="M25">
        <f>L25-J25-K25</f>
        <v>30500</v>
      </c>
    </row>
    <row r="26" spans="1:13" x14ac:dyDescent="0.3">
      <c r="A26">
        <v>25</v>
      </c>
      <c r="B26" s="1">
        <v>44444</v>
      </c>
      <c r="C26" s="2">
        <v>0.77118055555555554</v>
      </c>
      <c r="D26" s="1">
        <v>44444</v>
      </c>
      <c r="E26" s="3">
        <v>0.82657407407407402</v>
      </c>
      <c r="F26">
        <v>15</v>
      </c>
      <c r="G26">
        <f>I25+F26</f>
        <v>27</v>
      </c>
      <c r="H26">
        <v>11</v>
      </c>
      <c r="I26">
        <f>G26-H26</f>
        <v>16</v>
      </c>
      <c r="J26">
        <f>F26 * 1500</f>
        <v>22500</v>
      </c>
      <c r="K26">
        <f>H26*1500</f>
        <v>16500</v>
      </c>
      <c r="L26">
        <f>IF(F26&lt;10,F26*6000,IF(F26&lt;20,F26*5500,IF(F26&lt;30,F26*5000,F26*4000)))</f>
        <v>82500</v>
      </c>
      <c r="M26">
        <f>L26-J26-K26</f>
        <v>43500</v>
      </c>
    </row>
    <row r="27" spans="1:13" x14ac:dyDescent="0.3">
      <c r="A27">
        <v>26</v>
      </c>
      <c r="B27" s="1">
        <v>44444</v>
      </c>
      <c r="C27" s="2">
        <v>0.875</v>
      </c>
      <c r="D27" s="1">
        <v>44445</v>
      </c>
      <c r="E27" s="3">
        <v>1.3495370370370371E-2</v>
      </c>
      <c r="F27">
        <v>15</v>
      </c>
      <c r="G27">
        <f>I26+F27</f>
        <v>31</v>
      </c>
      <c r="H27">
        <v>17</v>
      </c>
      <c r="I27">
        <f>G27-H27</f>
        <v>14</v>
      </c>
      <c r="J27">
        <f>F27 * 1500</f>
        <v>22500</v>
      </c>
      <c r="K27">
        <f>H27*1500</f>
        <v>25500</v>
      </c>
      <c r="L27">
        <f>IF(F27&lt;10,F27*6000,IF(F27&lt;20,F27*5500,IF(F27&lt;30,F27*5000,F27*4000)))</f>
        <v>82500</v>
      </c>
      <c r="M27">
        <f>L27-J27-K27</f>
        <v>34500</v>
      </c>
    </row>
    <row r="28" spans="1:13" x14ac:dyDescent="0.3">
      <c r="A28">
        <v>27</v>
      </c>
      <c r="B28" s="1">
        <v>44445</v>
      </c>
      <c r="C28" s="2">
        <v>0.2171990740740741</v>
      </c>
      <c r="D28" s="1">
        <v>44445</v>
      </c>
      <c r="E28" s="3">
        <v>0.2976388888888889</v>
      </c>
      <c r="F28">
        <v>9</v>
      </c>
      <c r="G28">
        <f>I27+F28</f>
        <v>23</v>
      </c>
      <c r="H28">
        <v>6</v>
      </c>
      <c r="I28">
        <f>G28-H28</f>
        <v>17</v>
      </c>
      <c r="J28">
        <f>F28 * 1500</f>
        <v>13500</v>
      </c>
      <c r="K28">
        <f>H28*1500</f>
        <v>9000</v>
      </c>
      <c r="L28">
        <f>IF(F28&lt;10,F28*6000,IF(F28&lt;20,F28*5500,IF(F28&lt;30,F28*5000,F28*4000)))</f>
        <v>54000</v>
      </c>
      <c r="M28">
        <f>L28-J28-K28</f>
        <v>31500</v>
      </c>
    </row>
    <row r="29" spans="1:13" x14ac:dyDescent="0.3">
      <c r="A29">
        <v>28</v>
      </c>
      <c r="B29" s="1">
        <v>44445</v>
      </c>
      <c r="C29" s="2">
        <v>0.38305555555555554</v>
      </c>
      <c r="D29" s="1">
        <v>44445</v>
      </c>
      <c r="E29" s="3">
        <v>0.52521990740740743</v>
      </c>
      <c r="F29">
        <v>14</v>
      </c>
      <c r="G29">
        <f>I28+F29</f>
        <v>31</v>
      </c>
      <c r="H29">
        <v>22</v>
      </c>
      <c r="I29">
        <f>G29-H29</f>
        <v>9</v>
      </c>
      <c r="J29">
        <f>F29 * 1500</f>
        <v>21000</v>
      </c>
      <c r="K29">
        <f>H29*1500</f>
        <v>33000</v>
      </c>
      <c r="L29">
        <f>IF(F29&lt;10,F29*6000,IF(F29&lt;20,F29*5500,IF(F29&lt;30,F29*5000,F29*4000)))</f>
        <v>77000</v>
      </c>
      <c r="M29">
        <f>L29-J29-K29</f>
        <v>23000</v>
      </c>
    </row>
    <row r="30" spans="1:13" x14ac:dyDescent="0.3">
      <c r="A30">
        <v>29</v>
      </c>
      <c r="B30" s="1">
        <v>44445</v>
      </c>
      <c r="C30" s="2">
        <v>0.55920138888888882</v>
      </c>
      <c r="D30" s="1">
        <v>44445</v>
      </c>
      <c r="E30" s="3">
        <v>0.62586805555555558</v>
      </c>
      <c r="F30">
        <v>14</v>
      </c>
      <c r="G30">
        <f>I29+F30</f>
        <v>23</v>
      </c>
      <c r="H30">
        <v>3</v>
      </c>
      <c r="I30">
        <f>G30-H30</f>
        <v>20</v>
      </c>
      <c r="J30">
        <f>F30 * 1500</f>
        <v>21000</v>
      </c>
      <c r="K30">
        <f>H30*1500</f>
        <v>4500</v>
      </c>
      <c r="L30">
        <f>IF(F30&lt;10,F30*6000,IF(F30&lt;20,F30*5500,IF(F30&lt;30,F30*5000,F30*4000)))</f>
        <v>77000</v>
      </c>
      <c r="M30">
        <f>L30-J30-K30</f>
        <v>51500</v>
      </c>
    </row>
    <row r="31" spans="1:13" x14ac:dyDescent="0.3">
      <c r="A31">
        <v>30</v>
      </c>
      <c r="B31" s="1">
        <v>44445</v>
      </c>
      <c r="C31" s="2">
        <v>0.7160185185185185</v>
      </c>
      <c r="D31" s="1">
        <v>44445</v>
      </c>
      <c r="E31" s="3">
        <v>0.7631944444444444</v>
      </c>
      <c r="F31">
        <v>18</v>
      </c>
      <c r="G31">
        <f>I30+F31</f>
        <v>38</v>
      </c>
      <c r="H31">
        <v>14</v>
      </c>
      <c r="I31">
        <f>G31-H31</f>
        <v>24</v>
      </c>
      <c r="J31">
        <f>F31 * 1500</f>
        <v>27000</v>
      </c>
      <c r="K31">
        <f>H31*1500</f>
        <v>21000</v>
      </c>
      <c r="L31">
        <f>IF(F31&lt;10,F31*6000,IF(F31&lt;20,F31*5500,IF(F31&lt;30,F31*5000,F31*4000)))</f>
        <v>99000</v>
      </c>
      <c r="M31">
        <f>L31-J31-K31</f>
        <v>51000</v>
      </c>
    </row>
    <row r="32" spans="1:13" x14ac:dyDescent="0.3">
      <c r="A32">
        <v>31</v>
      </c>
      <c r="B32" s="1">
        <v>44445</v>
      </c>
      <c r="C32" s="2">
        <v>0.82097222222222221</v>
      </c>
      <c r="D32" s="1">
        <v>44445</v>
      </c>
      <c r="E32" s="3">
        <v>0.89042824074074067</v>
      </c>
      <c r="F32">
        <v>16</v>
      </c>
      <c r="G32">
        <f>I31+F32</f>
        <v>40</v>
      </c>
      <c r="H32">
        <v>21</v>
      </c>
      <c r="I32">
        <f>G32-H32</f>
        <v>19</v>
      </c>
      <c r="J32">
        <f>F32 * 1500</f>
        <v>24000</v>
      </c>
      <c r="K32">
        <f>H32*1500</f>
        <v>31500</v>
      </c>
      <c r="L32">
        <f>IF(F32&lt;10,F32*6000,IF(F32&lt;20,F32*5500,IF(F32&lt;30,F32*5000,F32*4000)))</f>
        <v>88000</v>
      </c>
      <c r="M32">
        <f>L32-J32-K32</f>
        <v>32500</v>
      </c>
    </row>
    <row r="33" spans="1:13" x14ac:dyDescent="0.3">
      <c r="A33">
        <v>32</v>
      </c>
      <c r="B33" s="1">
        <v>44446</v>
      </c>
      <c r="C33" s="2">
        <v>0.32383101851851853</v>
      </c>
      <c r="D33" s="1">
        <v>44446</v>
      </c>
      <c r="E33" s="3">
        <v>0.40016203703703707</v>
      </c>
      <c r="F33">
        <v>15</v>
      </c>
      <c r="G33">
        <f>I32+F33</f>
        <v>34</v>
      </c>
      <c r="H33">
        <v>14</v>
      </c>
      <c r="I33">
        <f>G33-H33</f>
        <v>20</v>
      </c>
      <c r="J33">
        <f>F33 * 1500</f>
        <v>22500</v>
      </c>
      <c r="K33">
        <f>H33*1500</f>
        <v>21000</v>
      </c>
      <c r="L33">
        <f>IF(F33&lt;10,F33*6000,IF(F33&lt;20,F33*5500,IF(F33&lt;30,F33*5000,F33*4000)))</f>
        <v>82500</v>
      </c>
      <c r="M33">
        <f>L33-J33-K33</f>
        <v>39000</v>
      </c>
    </row>
    <row r="34" spans="1:13" x14ac:dyDescent="0.3">
      <c r="A34">
        <v>33</v>
      </c>
      <c r="B34" s="1">
        <v>44446</v>
      </c>
      <c r="C34" s="2">
        <v>0.46467592592592594</v>
      </c>
      <c r="D34" s="1">
        <v>44446</v>
      </c>
      <c r="E34" s="3">
        <v>0.52171296296296299</v>
      </c>
      <c r="F34">
        <v>12</v>
      </c>
      <c r="G34">
        <f>I33+F34</f>
        <v>32</v>
      </c>
      <c r="H34">
        <v>23</v>
      </c>
      <c r="I34">
        <f>G34-H34</f>
        <v>9</v>
      </c>
      <c r="J34">
        <f>F34 * 1500</f>
        <v>18000</v>
      </c>
      <c r="K34">
        <f>H34*1500</f>
        <v>34500</v>
      </c>
      <c r="L34">
        <f>IF(F34&lt;10,F34*6000,IF(F34&lt;20,F34*5500,IF(F34&lt;30,F34*5000,F34*4000)))</f>
        <v>66000</v>
      </c>
      <c r="M34">
        <f>L34-J34-K34</f>
        <v>13500</v>
      </c>
    </row>
    <row r="35" spans="1:13" x14ac:dyDescent="0.3">
      <c r="A35">
        <v>34</v>
      </c>
      <c r="B35" s="1">
        <v>44446</v>
      </c>
      <c r="C35" s="2">
        <v>0.57347222222222227</v>
      </c>
      <c r="D35" s="1">
        <v>44446</v>
      </c>
      <c r="E35" s="3">
        <v>0.64879629629629632</v>
      </c>
      <c r="F35">
        <v>17</v>
      </c>
      <c r="G35">
        <f>I34+F35</f>
        <v>26</v>
      </c>
      <c r="H35">
        <v>6</v>
      </c>
      <c r="I35">
        <f>G35-H35</f>
        <v>20</v>
      </c>
      <c r="J35">
        <f>F35 * 1500</f>
        <v>25500</v>
      </c>
      <c r="K35">
        <f>H35*1500</f>
        <v>9000</v>
      </c>
      <c r="L35">
        <f>IF(F35&lt;10,F35*6000,IF(F35&lt;20,F35*5500,IF(F35&lt;30,F35*5000,F35*4000)))</f>
        <v>93500</v>
      </c>
      <c r="M35">
        <f>L35-J35-K35</f>
        <v>59000</v>
      </c>
    </row>
    <row r="36" spans="1:13" x14ac:dyDescent="0.3">
      <c r="A36">
        <v>35</v>
      </c>
      <c r="B36" s="1">
        <v>44446</v>
      </c>
      <c r="C36" s="2">
        <v>0.70577546296296301</v>
      </c>
      <c r="D36" s="1">
        <v>44446</v>
      </c>
      <c r="E36" s="3">
        <v>0.7917939814814815</v>
      </c>
      <c r="F36">
        <v>19</v>
      </c>
      <c r="G36">
        <f>I35+F36</f>
        <v>39</v>
      </c>
      <c r="H36">
        <v>16</v>
      </c>
      <c r="I36">
        <f>G36-H36</f>
        <v>23</v>
      </c>
      <c r="J36">
        <f>F36 * 1500</f>
        <v>28500</v>
      </c>
      <c r="K36">
        <f>H36*1500</f>
        <v>24000</v>
      </c>
      <c r="L36">
        <f>IF(F36&lt;10,F36*6000,IF(F36&lt;20,F36*5500,IF(F36&lt;30,F36*5000,F36*4000)))</f>
        <v>104500</v>
      </c>
      <c r="M36">
        <f>L36-J36-K36</f>
        <v>52000</v>
      </c>
    </row>
    <row r="37" spans="1:13" x14ac:dyDescent="0.3">
      <c r="A37">
        <v>36</v>
      </c>
      <c r="B37" s="1">
        <v>44446</v>
      </c>
      <c r="C37" s="2">
        <v>0.84167824074074071</v>
      </c>
      <c r="D37" s="1">
        <v>44446</v>
      </c>
      <c r="E37" s="3">
        <v>0.9406944444444445</v>
      </c>
      <c r="F37">
        <v>11</v>
      </c>
      <c r="G37">
        <f>I36+F37</f>
        <v>34</v>
      </c>
      <c r="H37">
        <v>14</v>
      </c>
      <c r="I37">
        <f>G37-H37</f>
        <v>20</v>
      </c>
      <c r="J37">
        <f>F37 * 1500</f>
        <v>16500</v>
      </c>
      <c r="K37">
        <f>H37*1500</f>
        <v>21000</v>
      </c>
      <c r="L37">
        <f>IF(F37&lt;10,F37*6000,IF(F37&lt;20,F37*5500,IF(F37&lt;30,F37*5000,F37*4000)))</f>
        <v>60500</v>
      </c>
      <c r="M37">
        <f>L37-J37-K37</f>
        <v>23000</v>
      </c>
    </row>
    <row r="38" spans="1:13" x14ac:dyDescent="0.3">
      <c r="A38">
        <v>37</v>
      </c>
      <c r="B38" s="1">
        <v>44447</v>
      </c>
      <c r="C38" s="2">
        <v>0.13560185185185183</v>
      </c>
      <c r="D38" s="1">
        <v>44447</v>
      </c>
      <c r="E38" s="3">
        <v>0.26116898148148149</v>
      </c>
      <c r="F38">
        <v>13</v>
      </c>
      <c r="G38">
        <f>I37+F38</f>
        <v>33</v>
      </c>
      <c r="H38">
        <v>22</v>
      </c>
      <c r="I38">
        <f>G38-H38</f>
        <v>11</v>
      </c>
      <c r="J38">
        <f>F38 * 1500</f>
        <v>19500</v>
      </c>
      <c r="K38">
        <f>H38*1500</f>
        <v>33000</v>
      </c>
      <c r="L38">
        <f>IF(F38&lt;10,F38*6000,IF(F38&lt;20,F38*5500,IF(F38&lt;30,F38*5000,F38*4000)))</f>
        <v>71500</v>
      </c>
      <c r="M38">
        <f>L38-J38-K38</f>
        <v>19000</v>
      </c>
    </row>
    <row r="39" spans="1:13" x14ac:dyDescent="0.3">
      <c r="A39">
        <v>38</v>
      </c>
      <c r="B39" s="1">
        <v>44447</v>
      </c>
      <c r="C39" s="2">
        <v>0.32587962962962963</v>
      </c>
      <c r="D39" s="1">
        <v>44447</v>
      </c>
      <c r="E39" s="3">
        <v>0.39796296296296302</v>
      </c>
      <c r="F39">
        <v>11</v>
      </c>
      <c r="G39">
        <f>I38+F39</f>
        <v>22</v>
      </c>
      <c r="H39">
        <v>4</v>
      </c>
      <c r="I39">
        <f>G39-H39</f>
        <v>18</v>
      </c>
      <c r="J39">
        <f>F39 * 1500</f>
        <v>16500</v>
      </c>
      <c r="K39">
        <f>H39*1500</f>
        <v>6000</v>
      </c>
      <c r="L39">
        <f>IF(F39&lt;10,F39*6000,IF(F39&lt;20,F39*5500,IF(F39&lt;30,F39*5000,F39*4000)))</f>
        <v>60500</v>
      </c>
      <c r="M39">
        <f>L39-J39-K39</f>
        <v>38000</v>
      </c>
    </row>
    <row r="40" spans="1:13" x14ac:dyDescent="0.3">
      <c r="A40">
        <v>39</v>
      </c>
      <c r="B40" s="1">
        <v>44447</v>
      </c>
      <c r="C40" s="2">
        <v>0.41761574074074076</v>
      </c>
      <c r="D40" s="1">
        <v>44447</v>
      </c>
      <c r="E40" s="3">
        <v>0.52447916666666672</v>
      </c>
      <c r="F40">
        <v>14</v>
      </c>
      <c r="G40">
        <f>I39+F40</f>
        <v>32</v>
      </c>
      <c r="H40">
        <v>21</v>
      </c>
      <c r="I40">
        <f>G40-H40</f>
        <v>11</v>
      </c>
      <c r="J40">
        <f>F40 * 1500</f>
        <v>21000</v>
      </c>
      <c r="K40">
        <f>H40*1500</f>
        <v>31500</v>
      </c>
      <c r="L40">
        <f>IF(F40&lt;10,F40*6000,IF(F40&lt;20,F40*5500,IF(F40&lt;30,F40*5000,F40*4000)))</f>
        <v>77000</v>
      </c>
      <c r="M40">
        <f>L40-J40-K40</f>
        <v>24500</v>
      </c>
    </row>
    <row r="41" spans="1:13" x14ac:dyDescent="0.3">
      <c r="A41">
        <v>40</v>
      </c>
      <c r="B41" s="1">
        <v>44447</v>
      </c>
      <c r="C41" s="2">
        <v>0.59138888888888885</v>
      </c>
      <c r="D41" s="1">
        <v>44447</v>
      </c>
      <c r="E41" s="3">
        <v>0.68494212962962964</v>
      </c>
      <c r="F41">
        <v>16</v>
      </c>
      <c r="G41">
        <f>I40+F41</f>
        <v>27</v>
      </c>
      <c r="H41">
        <v>9</v>
      </c>
      <c r="I41">
        <f>G41-H41</f>
        <v>18</v>
      </c>
      <c r="J41">
        <f>F41 * 1500</f>
        <v>24000</v>
      </c>
      <c r="K41">
        <f>H41*1500</f>
        <v>13500</v>
      </c>
      <c r="L41">
        <f>IF(F41&lt;10,F41*6000,IF(F41&lt;20,F41*5500,IF(F41&lt;30,F41*5000,F41*4000)))</f>
        <v>88000</v>
      </c>
      <c r="M41">
        <f>L41-J41-K41</f>
        <v>50500</v>
      </c>
    </row>
    <row r="42" spans="1:13" x14ac:dyDescent="0.3">
      <c r="A42">
        <v>41</v>
      </c>
      <c r="B42" s="1">
        <v>44447</v>
      </c>
      <c r="C42" s="2">
        <v>0.7338541666666667</v>
      </c>
      <c r="D42" s="1">
        <v>44447</v>
      </c>
      <c r="E42" s="3">
        <v>0.77248842592592604</v>
      </c>
      <c r="F42">
        <v>12</v>
      </c>
      <c r="G42">
        <f>I41+F42</f>
        <v>30</v>
      </c>
      <c r="H42">
        <v>24</v>
      </c>
      <c r="I42">
        <f>G42-H42</f>
        <v>6</v>
      </c>
      <c r="J42">
        <f>F42 * 1500</f>
        <v>18000</v>
      </c>
      <c r="K42">
        <f>H42*1500</f>
        <v>36000</v>
      </c>
      <c r="L42">
        <f>IF(F42&lt;10,F42*6000,IF(F42&lt;20,F42*5500,IF(F42&lt;30,F42*5000,F42*4000)))</f>
        <v>66000</v>
      </c>
      <c r="M42">
        <f>L42-J42-K42</f>
        <v>12000</v>
      </c>
    </row>
    <row r="43" spans="1:13" x14ac:dyDescent="0.3">
      <c r="A43">
        <v>42</v>
      </c>
      <c r="B43" s="1">
        <v>44447</v>
      </c>
      <c r="C43" s="2">
        <v>0.83333333333333337</v>
      </c>
      <c r="D43" s="1">
        <v>44447</v>
      </c>
      <c r="E43" s="3">
        <v>0.89694444444444443</v>
      </c>
      <c r="F43">
        <v>9</v>
      </c>
      <c r="G43">
        <f>I42+F43</f>
        <v>15</v>
      </c>
      <c r="H43">
        <v>2</v>
      </c>
      <c r="I43">
        <f>G43-H43</f>
        <v>13</v>
      </c>
      <c r="J43">
        <f>F43 * 1500</f>
        <v>13500</v>
      </c>
      <c r="K43">
        <f>H43*1500</f>
        <v>3000</v>
      </c>
      <c r="L43">
        <f>IF(F43&lt;10,F43*6000,IF(F43&lt;20,F43*5500,IF(F43&lt;30,F43*5000,F43*4000)))</f>
        <v>54000</v>
      </c>
      <c r="M43">
        <f>L43-J43-K43</f>
        <v>37500</v>
      </c>
    </row>
    <row r="44" spans="1:13" x14ac:dyDescent="0.3">
      <c r="A44">
        <v>43</v>
      </c>
      <c r="B44" s="1">
        <v>44448</v>
      </c>
      <c r="C44" s="2">
        <v>0.25793981481481482</v>
      </c>
      <c r="D44" s="1">
        <v>44448</v>
      </c>
      <c r="E44" s="3">
        <v>0.32356481481481481</v>
      </c>
      <c r="F44">
        <v>9</v>
      </c>
      <c r="G44">
        <f>I43+F44</f>
        <v>22</v>
      </c>
      <c r="H44">
        <v>4</v>
      </c>
      <c r="I44">
        <f>G44-H44</f>
        <v>18</v>
      </c>
      <c r="J44">
        <f>F44 * 1500</f>
        <v>13500</v>
      </c>
      <c r="K44">
        <f>H44*1500</f>
        <v>6000</v>
      </c>
      <c r="L44">
        <f>IF(F44&lt;10,F44*6000,IF(F44&lt;20,F44*5500,IF(F44&lt;30,F44*5000,F44*4000)))</f>
        <v>54000</v>
      </c>
      <c r="M44">
        <f>L44-J44-K44</f>
        <v>34500</v>
      </c>
    </row>
    <row r="45" spans="1:13" x14ac:dyDescent="0.3">
      <c r="A45">
        <v>44</v>
      </c>
      <c r="B45" s="1">
        <v>44448</v>
      </c>
      <c r="C45" s="2">
        <v>0.41349537037037037</v>
      </c>
      <c r="D45" s="1">
        <v>44448</v>
      </c>
      <c r="E45" s="3">
        <v>0.45501157407407411</v>
      </c>
      <c r="F45">
        <v>9</v>
      </c>
      <c r="G45">
        <f>I44+F45</f>
        <v>27</v>
      </c>
      <c r="H45">
        <v>14</v>
      </c>
      <c r="I45">
        <f>G45-H45</f>
        <v>13</v>
      </c>
      <c r="J45">
        <f>F45 * 1500</f>
        <v>13500</v>
      </c>
      <c r="K45">
        <f>H45*1500</f>
        <v>21000</v>
      </c>
      <c r="L45">
        <f>IF(F45&lt;10,F45*6000,IF(F45&lt;20,F45*5500,IF(F45&lt;30,F45*5000,F45*4000)))</f>
        <v>54000</v>
      </c>
      <c r="M45">
        <f>L45-J45-K45</f>
        <v>19500</v>
      </c>
    </row>
    <row r="46" spans="1:13" x14ac:dyDescent="0.3">
      <c r="A46">
        <v>45</v>
      </c>
      <c r="B46" s="1">
        <v>44448</v>
      </c>
      <c r="C46" s="2">
        <v>0.50607638888888895</v>
      </c>
      <c r="D46" s="1">
        <v>44448</v>
      </c>
      <c r="E46" s="3">
        <v>0.59107638888888892</v>
      </c>
      <c r="F46">
        <v>12</v>
      </c>
      <c r="G46">
        <f>I45+F46</f>
        <v>25</v>
      </c>
      <c r="H46">
        <v>10</v>
      </c>
      <c r="I46">
        <f>G46-H46</f>
        <v>15</v>
      </c>
      <c r="J46">
        <f>F46 * 1500</f>
        <v>18000</v>
      </c>
      <c r="K46">
        <f>H46*1500</f>
        <v>15000</v>
      </c>
      <c r="L46">
        <f>IF(F46&lt;10,F46*6000,IF(F46&lt;20,F46*5500,IF(F46&lt;30,F46*5000,F46*4000)))</f>
        <v>66000</v>
      </c>
      <c r="M46">
        <f>L46-J46-K46</f>
        <v>33000</v>
      </c>
    </row>
    <row r="47" spans="1:13" x14ac:dyDescent="0.3">
      <c r="A47">
        <v>46</v>
      </c>
      <c r="B47" s="1">
        <v>44448</v>
      </c>
      <c r="C47" s="2">
        <v>0.68482638888888892</v>
      </c>
      <c r="D47" s="1">
        <v>44448</v>
      </c>
      <c r="E47" s="3">
        <v>0.77111111111111119</v>
      </c>
      <c r="F47">
        <v>16</v>
      </c>
      <c r="G47">
        <f>I46+F47</f>
        <v>31</v>
      </c>
      <c r="H47">
        <v>11</v>
      </c>
      <c r="I47">
        <f>G47-H47</f>
        <v>20</v>
      </c>
      <c r="J47">
        <f>F47 * 1500</f>
        <v>24000</v>
      </c>
      <c r="K47">
        <f>H47*1500</f>
        <v>16500</v>
      </c>
      <c r="L47">
        <f>IF(F47&lt;10,F47*6000,IF(F47&lt;20,F47*5500,IF(F47&lt;30,F47*5000,F47*4000)))</f>
        <v>88000</v>
      </c>
      <c r="M47">
        <f>L47-J47-K47</f>
        <v>47500</v>
      </c>
    </row>
    <row r="48" spans="1:13" x14ac:dyDescent="0.3">
      <c r="A48">
        <v>47</v>
      </c>
      <c r="B48" s="1">
        <v>44448</v>
      </c>
      <c r="C48" s="2">
        <v>0.85435185185185192</v>
      </c>
      <c r="D48" s="1">
        <v>44448</v>
      </c>
      <c r="E48" s="3">
        <v>0.89</v>
      </c>
      <c r="F48">
        <v>13</v>
      </c>
      <c r="G48">
        <f>I47+F48</f>
        <v>33</v>
      </c>
      <c r="H48">
        <v>21</v>
      </c>
      <c r="I48">
        <f>G48-H48</f>
        <v>12</v>
      </c>
      <c r="J48">
        <f>F48 * 1500</f>
        <v>19500</v>
      </c>
      <c r="K48">
        <f>H48*1500</f>
        <v>31500</v>
      </c>
      <c r="L48">
        <f>IF(F48&lt;10,F48*6000,IF(F48&lt;20,F48*5500,IF(F48&lt;30,F48*5000,F48*4000)))</f>
        <v>71500</v>
      </c>
      <c r="M48">
        <f>L48-J48-K48</f>
        <v>20500</v>
      </c>
    </row>
    <row r="49" spans="1:13" x14ac:dyDescent="0.3">
      <c r="A49">
        <v>48</v>
      </c>
      <c r="B49" s="1">
        <v>44449</v>
      </c>
      <c r="C49" s="2">
        <v>0.21634259259259259</v>
      </c>
      <c r="D49" s="1">
        <v>44449</v>
      </c>
      <c r="E49" s="3">
        <v>0.30988425925925928</v>
      </c>
      <c r="F49">
        <v>7</v>
      </c>
      <c r="G49">
        <f>I48+F49</f>
        <v>19</v>
      </c>
      <c r="H49">
        <v>15</v>
      </c>
      <c r="I49">
        <f>G49-H49</f>
        <v>4</v>
      </c>
      <c r="J49">
        <f>F49 * 1500</f>
        <v>10500</v>
      </c>
      <c r="K49">
        <f>H49*1500</f>
        <v>22500</v>
      </c>
      <c r="L49">
        <f>IF(F49&lt;10,F49*6000,IF(F49&lt;20,F49*5500,IF(F49&lt;30,F49*5000,F49*4000)))</f>
        <v>42000</v>
      </c>
      <c r="M49">
        <f>L49-J49-K49</f>
        <v>9000</v>
      </c>
    </row>
    <row r="50" spans="1:13" x14ac:dyDescent="0.3">
      <c r="A50">
        <v>49</v>
      </c>
      <c r="B50" s="1">
        <v>44449</v>
      </c>
      <c r="C50" s="2">
        <v>0.38201388888888888</v>
      </c>
      <c r="D50" s="1">
        <v>44449</v>
      </c>
      <c r="E50" s="3">
        <v>0.44449074074074074</v>
      </c>
      <c r="F50">
        <v>7</v>
      </c>
      <c r="G50">
        <f>I49+F50</f>
        <v>11</v>
      </c>
      <c r="H50">
        <v>0</v>
      </c>
      <c r="I50">
        <f>G50-H50</f>
        <v>11</v>
      </c>
      <c r="J50">
        <f>F50 * 1500</f>
        <v>10500</v>
      </c>
      <c r="K50">
        <f>H50*1500</f>
        <v>0</v>
      </c>
      <c r="L50">
        <f>IF(F50&lt;10,F50*6000,IF(F50&lt;20,F50*5500,IF(F50&lt;30,F50*5000,F50*4000)))</f>
        <v>42000</v>
      </c>
      <c r="M50">
        <f>L50-J50-K50</f>
        <v>31500</v>
      </c>
    </row>
    <row r="51" spans="1:13" x14ac:dyDescent="0.3">
      <c r="A51">
        <v>50</v>
      </c>
      <c r="B51" s="1">
        <v>44449</v>
      </c>
      <c r="C51" s="2">
        <v>0.49995370370370368</v>
      </c>
      <c r="D51" s="1">
        <v>44449</v>
      </c>
      <c r="E51" s="3">
        <v>0.59361111111111109</v>
      </c>
      <c r="F51">
        <v>7</v>
      </c>
      <c r="G51">
        <f>I50+F51</f>
        <v>18</v>
      </c>
      <c r="H51">
        <v>1</v>
      </c>
      <c r="I51">
        <f>G51-H51</f>
        <v>17</v>
      </c>
      <c r="J51">
        <f>F51 * 1500</f>
        <v>10500</v>
      </c>
      <c r="K51">
        <f>H51*1500</f>
        <v>1500</v>
      </c>
      <c r="L51">
        <f>IF(F51&lt;10,F51*6000,IF(F51&lt;20,F51*5500,IF(F51&lt;30,F51*5000,F51*4000)))</f>
        <v>42000</v>
      </c>
      <c r="M51">
        <f>L51-J51-K51</f>
        <v>30000</v>
      </c>
    </row>
    <row r="52" spans="1:13" x14ac:dyDescent="0.3">
      <c r="A52">
        <v>51</v>
      </c>
      <c r="B52" s="1">
        <v>44449</v>
      </c>
      <c r="C52" s="2">
        <v>0.64993055555555557</v>
      </c>
      <c r="D52" s="1">
        <v>44449</v>
      </c>
      <c r="E52" s="3">
        <v>0.70430555555555552</v>
      </c>
      <c r="F52">
        <v>13</v>
      </c>
      <c r="G52">
        <f>I51+F52</f>
        <v>30</v>
      </c>
      <c r="H52">
        <v>20</v>
      </c>
      <c r="I52">
        <f>G52-H52</f>
        <v>10</v>
      </c>
      <c r="J52">
        <f>F52 * 1500</f>
        <v>19500</v>
      </c>
      <c r="K52">
        <f>H52*1500</f>
        <v>30000</v>
      </c>
      <c r="L52">
        <f>IF(F52&lt;10,F52*6000,IF(F52&lt;20,F52*5500,IF(F52&lt;30,F52*5000,F52*4000)))</f>
        <v>71500</v>
      </c>
      <c r="M52">
        <f>L52-J52-K52</f>
        <v>22000</v>
      </c>
    </row>
    <row r="53" spans="1:13" x14ac:dyDescent="0.3">
      <c r="A53">
        <v>52</v>
      </c>
      <c r="B53" s="1">
        <v>44449</v>
      </c>
      <c r="C53" s="2">
        <v>0.79276620370370365</v>
      </c>
      <c r="D53" s="1">
        <v>44449</v>
      </c>
      <c r="E53" s="3">
        <v>0.82553240740740741</v>
      </c>
      <c r="F53">
        <v>12</v>
      </c>
      <c r="G53">
        <f>I52+F53</f>
        <v>22</v>
      </c>
      <c r="H53">
        <v>4</v>
      </c>
      <c r="I53">
        <f>G53-H53</f>
        <v>18</v>
      </c>
      <c r="J53">
        <f>F53 * 1500</f>
        <v>18000</v>
      </c>
      <c r="K53">
        <f>H53*1500</f>
        <v>6000</v>
      </c>
      <c r="L53">
        <f>IF(F53&lt;10,F53*6000,IF(F53&lt;20,F53*5500,IF(F53&lt;30,F53*5000,F53*4000)))</f>
        <v>66000</v>
      </c>
      <c r="M53">
        <f>L53-J53-K53</f>
        <v>42000</v>
      </c>
    </row>
    <row r="54" spans="1:13" x14ac:dyDescent="0.3">
      <c r="A54">
        <v>53</v>
      </c>
      <c r="B54" s="1">
        <v>44449</v>
      </c>
      <c r="C54" s="2">
        <v>0.87574074074074071</v>
      </c>
      <c r="D54" s="1">
        <v>44450</v>
      </c>
      <c r="E54" s="3">
        <v>3.770833333333333E-2</v>
      </c>
      <c r="F54">
        <v>11</v>
      </c>
      <c r="G54">
        <f>I53+F54</f>
        <v>29</v>
      </c>
      <c r="H54">
        <v>9</v>
      </c>
      <c r="I54">
        <f>G54-H54</f>
        <v>20</v>
      </c>
      <c r="J54">
        <f>F54 * 1500</f>
        <v>16500</v>
      </c>
      <c r="K54">
        <f>H54*1500</f>
        <v>13500</v>
      </c>
      <c r="L54">
        <f>IF(F54&lt;10,F54*6000,IF(F54&lt;20,F54*5500,IF(F54&lt;30,F54*5000,F54*4000)))</f>
        <v>60500</v>
      </c>
      <c r="M54">
        <f>L54-J54-K54</f>
        <v>30500</v>
      </c>
    </row>
    <row r="55" spans="1:13" x14ac:dyDescent="0.3">
      <c r="A55">
        <v>54</v>
      </c>
      <c r="B55" s="1">
        <v>44450</v>
      </c>
      <c r="C55" s="2">
        <v>0.26106481481481481</v>
      </c>
      <c r="D55" s="1">
        <v>44450</v>
      </c>
      <c r="E55" s="3">
        <v>0.38315972222222222</v>
      </c>
      <c r="F55">
        <v>12</v>
      </c>
      <c r="G55">
        <f>I54+F55</f>
        <v>32</v>
      </c>
      <c r="H55">
        <v>21</v>
      </c>
      <c r="I55">
        <f>G55-H55</f>
        <v>11</v>
      </c>
      <c r="J55">
        <f>F55 * 1500</f>
        <v>18000</v>
      </c>
      <c r="K55">
        <f>H55*1500</f>
        <v>31500</v>
      </c>
      <c r="L55">
        <f>IF(F55&lt;10,F55*6000,IF(F55&lt;20,F55*5500,IF(F55&lt;30,F55*5000,F55*4000)))</f>
        <v>66000</v>
      </c>
      <c r="M55">
        <f>L55-J55-K55</f>
        <v>16500</v>
      </c>
    </row>
    <row r="56" spans="1:13" x14ac:dyDescent="0.3">
      <c r="A56">
        <v>55</v>
      </c>
      <c r="B56" s="1">
        <v>44450</v>
      </c>
      <c r="C56" s="2">
        <v>0.46128472222222222</v>
      </c>
      <c r="D56" s="1">
        <v>44450</v>
      </c>
      <c r="E56" s="3">
        <v>0.50633101851851847</v>
      </c>
      <c r="F56">
        <v>14</v>
      </c>
      <c r="G56">
        <f>I55+F56</f>
        <v>25</v>
      </c>
      <c r="H56">
        <v>2</v>
      </c>
      <c r="I56">
        <f>G56-H56</f>
        <v>23</v>
      </c>
      <c r="J56">
        <f>F56 * 1500</f>
        <v>21000</v>
      </c>
      <c r="K56">
        <f>H56*1500</f>
        <v>3000</v>
      </c>
      <c r="L56">
        <f>IF(F56&lt;10,F56*6000,IF(F56&lt;20,F56*5500,IF(F56&lt;30,F56*5000,F56*4000)))</f>
        <v>77000</v>
      </c>
      <c r="M56">
        <f>L56-J56-K56</f>
        <v>53000</v>
      </c>
    </row>
    <row r="57" spans="1:13" x14ac:dyDescent="0.3">
      <c r="A57">
        <v>56</v>
      </c>
      <c r="B57" s="1">
        <v>44450</v>
      </c>
      <c r="C57" s="2">
        <v>0.56730324074074068</v>
      </c>
      <c r="D57" s="1">
        <v>44450</v>
      </c>
      <c r="E57" s="3">
        <v>0.60193287037037035</v>
      </c>
      <c r="F57">
        <v>17</v>
      </c>
      <c r="G57">
        <f>I56+F57</f>
        <v>40</v>
      </c>
      <c r="H57">
        <v>9</v>
      </c>
      <c r="I57">
        <f>G57-H57</f>
        <v>31</v>
      </c>
      <c r="J57">
        <f>F57 * 1500</f>
        <v>25500</v>
      </c>
      <c r="K57">
        <f>H57*1500</f>
        <v>13500</v>
      </c>
      <c r="L57">
        <f>IF(F57&lt;10,F57*6000,IF(F57&lt;20,F57*5500,IF(F57&lt;30,F57*5000,F57*4000)))</f>
        <v>93500</v>
      </c>
      <c r="M57">
        <f>L57-J57-K57</f>
        <v>54500</v>
      </c>
    </row>
    <row r="58" spans="1:13" x14ac:dyDescent="0.3">
      <c r="A58">
        <v>57</v>
      </c>
      <c r="B58" s="1">
        <v>44450</v>
      </c>
      <c r="C58" s="2">
        <v>0.66475694444444444</v>
      </c>
      <c r="D58" s="1">
        <v>44450</v>
      </c>
      <c r="E58" s="3">
        <v>0.71930555555555553</v>
      </c>
      <c r="F58">
        <v>3</v>
      </c>
      <c r="G58">
        <f>I57+F58</f>
        <v>34</v>
      </c>
      <c r="H58">
        <v>9</v>
      </c>
      <c r="I58">
        <f>G58-H58</f>
        <v>25</v>
      </c>
      <c r="J58">
        <f>F58 * 1500</f>
        <v>4500</v>
      </c>
      <c r="K58">
        <f>H58*1500</f>
        <v>13500</v>
      </c>
      <c r="L58">
        <f>IF(F58&lt;10,F58*6000,IF(F58&lt;20,F58*5500,IF(F58&lt;30,F58*5000,F58*4000)))</f>
        <v>18000</v>
      </c>
      <c r="M58">
        <f>L58-J58-K58</f>
        <v>0</v>
      </c>
    </row>
    <row r="59" spans="1:13" x14ac:dyDescent="0.3">
      <c r="A59">
        <v>58</v>
      </c>
      <c r="B59" s="1">
        <v>44450</v>
      </c>
      <c r="C59" s="2">
        <v>0.79238425925925926</v>
      </c>
      <c r="D59" s="1">
        <v>44450</v>
      </c>
      <c r="E59" s="3">
        <v>0.88265046296296301</v>
      </c>
      <c r="F59">
        <v>11</v>
      </c>
      <c r="G59">
        <f>I58+F59</f>
        <v>36</v>
      </c>
      <c r="H59">
        <v>3</v>
      </c>
      <c r="I59">
        <f>G59-H59</f>
        <v>33</v>
      </c>
      <c r="J59">
        <f>F59 * 1500</f>
        <v>16500</v>
      </c>
      <c r="K59">
        <f>H59*1500</f>
        <v>4500</v>
      </c>
      <c r="L59">
        <f>IF(F59&lt;10,F59*6000,IF(F59&lt;20,F59*5500,IF(F59&lt;30,F59*5000,F59*4000)))</f>
        <v>60500</v>
      </c>
      <c r="M59">
        <f>L59-J59-K59</f>
        <v>39500</v>
      </c>
    </row>
    <row r="60" spans="1:13" x14ac:dyDescent="0.3">
      <c r="A60">
        <v>59</v>
      </c>
      <c r="B60" s="1">
        <v>44451</v>
      </c>
      <c r="C60" s="2">
        <v>0.16666666666666666</v>
      </c>
      <c r="D60" s="1">
        <v>44451</v>
      </c>
      <c r="E60" s="3">
        <v>0.23270833333333332</v>
      </c>
      <c r="F60">
        <v>8</v>
      </c>
      <c r="G60">
        <f>I59+F60</f>
        <v>41</v>
      </c>
      <c r="H60">
        <v>4</v>
      </c>
      <c r="I60">
        <f>G60-H60</f>
        <v>37</v>
      </c>
      <c r="J60">
        <f>F60 * 1500</f>
        <v>12000</v>
      </c>
      <c r="K60">
        <f>H60*1500</f>
        <v>6000</v>
      </c>
      <c r="L60">
        <f>IF(F60&lt;10,F60*6000,IF(F60&lt;20,F60*5500,IF(F60&lt;30,F60*5000,F60*4000)))</f>
        <v>48000</v>
      </c>
      <c r="M60">
        <f>L60-J60-K60</f>
        <v>30000</v>
      </c>
    </row>
    <row r="61" spans="1:13" x14ac:dyDescent="0.3">
      <c r="A61">
        <v>60</v>
      </c>
      <c r="B61" s="1">
        <v>44451</v>
      </c>
      <c r="C61" s="2">
        <v>0.34324074074074074</v>
      </c>
      <c r="D61" s="1">
        <v>44451</v>
      </c>
      <c r="E61" s="3">
        <v>0.42799768518518522</v>
      </c>
      <c r="F61">
        <v>1</v>
      </c>
      <c r="G61">
        <f>I60+F61</f>
        <v>38</v>
      </c>
      <c r="H61">
        <v>6</v>
      </c>
      <c r="I61">
        <f>G61-H61</f>
        <v>32</v>
      </c>
      <c r="J61">
        <f>F61 * 1500</f>
        <v>1500</v>
      </c>
      <c r="K61">
        <f>H61*1500</f>
        <v>9000</v>
      </c>
      <c r="L61">
        <f>IF(F61&lt;10,F61*6000,IF(F61&lt;20,F61*5500,IF(F61&lt;30,F61*5000,F61*4000)))</f>
        <v>6000</v>
      </c>
      <c r="M61">
        <f>L61-J61-K61</f>
        <v>-4500</v>
      </c>
    </row>
    <row r="62" spans="1:13" x14ac:dyDescent="0.3">
      <c r="A62">
        <v>61</v>
      </c>
      <c r="B62" s="1">
        <v>44451</v>
      </c>
      <c r="C62" s="2">
        <v>0.52084490740740741</v>
      </c>
      <c r="D62" s="1">
        <v>44451</v>
      </c>
      <c r="E62" s="3">
        <v>0.59403935185185186</v>
      </c>
      <c r="F62">
        <v>4</v>
      </c>
      <c r="G62">
        <f>I61+F62</f>
        <v>36</v>
      </c>
      <c r="H62">
        <v>21</v>
      </c>
      <c r="I62">
        <f>G62-H62</f>
        <v>15</v>
      </c>
      <c r="J62">
        <f>F62 * 1500</f>
        <v>6000</v>
      </c>
      <c r="K62">
        <f>H62*1500</f>
        <v>31500</v>
      </c>
      <c r="L62">
        <f>IF(F62&lt;10,F62*6000,IF(F62&lt;20,F62*5500,IF(F62&lt;30,F62*5000,F62*4000)))</f>
        <v>24000</v>
      </c>
      <c r="M62">
        <f>L62-J62-K62</f>
        <v>-13500</v>
      </c>
    </row>
    <row r="63" spans="1:13" x14ac:dyDescent="0.3">
      <c r="A63">
        <v>62</v>
      </c>
      <c r="B63" s="1">
        <v>44451</v>
      </c>
      <c r="C63" s="2">
        <v>0.73968750000000005</v>
      </c>
      <c r="D63" s="1">
        <v>44451</v>
      </c>
      <c r="E63" s="3">
        <v>0.79862268518518509</v>
      </c>
      <c r="F63">
        <v>9</v>
      </c>
      <c r="G63">
        <f>I62+F63</f>
        <v>24</v>
      </c>
      <c r="H63">
        <v>11</v>
      </c>
      <c r="I63">
        <f>G63-H63</f>
        <v>13</v>
      </c>
      <c r="J63">
        <f>F63 * 1500</f>
        <v>13500</v>
      </c>
      <c r="K63">
        <f>H63*1500</f>
        <v>16500</v>
      </c>
      <c r="L63">
        <f>IF(F63&lt;10,F63*6000,IF(F63&lt;20,F63*5500,IF(F63&lt;30,F63*5000,F63*4000)))</f>
        <v>54000</v>
      </c>
      <c r="M63">
        <f>L63-J63-K63</f>
        <v>24000</v>
      </c>
    </row>
    <row r="64" spans="1:13" x14ac:dyDescent="0.3">
      <c r="A64">
        <v>63</v>
      </c>
      <c r="B64" s="1">
        <v>44452</v>
      </c>
      <c r="C64" s="2">
        <v>0.21440972222222221</v>
      </c>
      <c r="D64" s="1">
        <v>44452</v>
      </c>
      <c r="E64" s="3">
        <v>0.38071759259259258</v>
      </c>
      <c r="F64">
        <v>12</v>
      </c>
      <c r="G64">
        <f>I63+F64</f>
        <v>25</v>
      </c>
      <c r="H64">
        <v>7</v>
      </c>
      <c r="I64">
        <f>G64-H64</f>
        <v>18</v>
      </c>
      <c r="J64">
        <f>F64 * 1500</f>
        <v>18000</v>
      </c>
      <c r="K64">
        <f>H64*1500</f>
        <v>10500</v>
      </c>
      <c r="L64">
        <f>IF(F64&lt;10,F64*6000,IF(F64&lt;20,F64*5500,IF(F64&lt;30,F64*5000,F64*4000)))</f>
        <v>66000</v>
      </c>
      <c r="M64">
        <f>L64-J64-K64</f>
        <v>37500</v>
      </c>
    </row>
    <row r="65" spans="1:13" x14ac:dyDescent="0.3">
      <c r="A65">
        <v>64</v>
      </c>
      <c r="B65" s="1">
        <v>44452</v>
      </c>
      <c r="C65" s="2">
        <v>0.46302083333333338</v>
      </c>
      <c r="D65" s="1">
        <v>44452</v>
      </c>
      <c r="E65" s="3">
        <v>0.53340277777777778</v>
      </c>
      <c r="F65">
        <v>11</v>
      </c>
      <c r="G65">
        <f>I64+F65</f>
        <v>29</v>
      </c>
      <c r="H65">
        <v>13</v>
      </c>
      <c r="I65">
        <f>G65-H65</f>
        <v>16</v>
      </c>
      <c r="J65">
        <f>F65 * 1500</f>
        <v>16500</v>
      </c>
      <c r="K65">
        <f>H65*1500</f>
        <v>19500</v>
      </c>
      <c r="L65">
        <f>IF(F65&lt;10,F65*6000,IF(F65&lt;20,F65*5500,IF(F65&lt;30,F65*5000,F65*4000)))</f>
        <v>60500</v>
      </c>
      <c r="M65">
        <f>L65-J65-K65</f>
        <v>24500</v>
      </c>
    </row>
    <row r="66" spans="1:13" x14ac:dyDescent="0.3">
      <c r="A66">
        <v>65</v>
      </c>
      <c r="B66" s="1">
        <v>44452</v>
      </c>
      <c r="C66" s="2">
        <v>0.55218749999999994</v>
      </c>
      <c r="D66" s="1">
        <v>44452</v>
      </c>
      <c r="E66" s="3">
        <v>0.62197916666666664</v>
      </c>
      <c r="F66">
        <v>16</v>
      </c>
      <c r="G66">
        <f>I65+F66</f>
        <v>32</v>
      </c>
      <c r="H66">
        <v>21</v>
      </c>
      <c r="I66">
        <f>G66-H66</f>
        <v>11</v>
      </c>
      <c r="J66">
        <f>F66 * 1500</f>
        <v>24000</v>
      </c>
      <c r="K66">
        <f>H66*1500</f>
        <v>31500</v>
      </c>
      <c r="L66">
        <f>IF(F66&lt;10,F66*6000,IF(F66&lt;20,F66*5500,IF(F66&lt;30,F66*5000,F66*4000)))</f>
        <v>88000</v>
      </c>
      <c r="M66">
        <f>L66-J66-K66</f>
        <v>32500</v>
      </c>
    </row>
    <row r="67" spans="1:13" x14ac:dyDescent="0.3">
      <c r="A67">
        <v>66</v>
      </c>
      <c r="B67" s="1">
        <v>44452</v>
      </c>
      <c r="C67" s="2">
        <v>0.6699652777777777</v>
      </c>
      <c r="D67" s="1">
        <v>44452</v>
      </c>
      <c r="E67" s="3">
        <v>0.75</v>
      </c>
      <c r="F67">
        <v>19</v>
      </c>
      <c r="G67">
        <f>I66+F67</f>
        <v>30</v>
      </c>
      <c r="H67">
        <v>10</v>
      </c>
      <c r="I67">
        <f>G67-H67</f>
        <v>20</v>
      </c>
      <c r="J67">
        <f>F67 * 1500</f>
        <v>28500</v>
      </c>
      <c r="K67">
        <f>H67*1500</f>
        <v>15000</v>
      </c>
      <c r="L67">
        <f>IF(F67&lt;10,F67*6000,IF(F67&lt;20,F67*5500,IF(F67&lt;30,F67*5000,F67*4000)))</f>
        <v>104500</v>
      </c>
      <c r="M67">
        <f>L67-J67-K67</f>
        <v>61000</v>
      </c>
    </row>
    <row r="68" spans="1:13" x14ac:dyDescent="0.3">
      <c r="A68">
        <v>67</v>
      </c>
      <c r="B68" s="1">
        <v>44452</v>
      </c>
      <c r="C68" s="2">
        <v>0.83971064814814822</v>
      </c>
      <c r="D68" s="1">
        <v>44452</v>
      </c>
      <c r="E68" s="3">
        <v>0.9196643518518518</v>
      </c>
      <c r="F68">
        <v>3</v>
      </c>
      <c r="G68">
        <f>I67+F68</f>
        <v>23</v>
      </c>
      <c r="H68">
        <v>0</v>
      </c>
      <c r="I68">
        <f>G68-H68</f>
        <v>23</v>
      </c>
      <c r="J68">
        <f>F68 * 1500</f>
        <v>4500</v>
      </c>
      <c r="K68">
        <f>H68*1500</f>
        <v>0</v>
      </c>
      <c r="L68">
        <f>IF(F68&lt;10,F68*6000,IF(F68&lt;20,F68*5500,IF(F68&lt;30,F68*5000,F68*4000)))</f>
        <v>18000</v>
      </c>
      <c r="M68">
        <f>L68-J68-K68</f>
        <v>13500</v>
      </c>
    </row>
    <row r="69" spans="1:13" x14ac:dyDescent="0.3">
      <c r="A69">
        <v>68</v>
      </c>
      <c r="B69" s="1">
        <v>44453</v>
      </c>
      <c r="C69" s="2">
        <v>0.17733796296296298</v>
      </c>
      <c r="D69" s="1">
        <v>44453</v>
      </c>
      <c r="E69" s="3">
        <v>0.26</v>
      </c>
      <c r="F69">
        <v>12</v>
      </c>
      <c r="G69">
        <f>I68+F69</f>
        <v>35</v>
      </c>
      <c r="H69">
        <v>21</v>
      </c>
      <c r="I69">
        <f>G69-H69</f>
        <v>14</v>
      </c>
      <c r="J69">
        <f>F69 * 1500</f>
        <v>18000</v>
      </c>
      <c r="K69">
        <f>H69*1500</f>
        <v>31500</v>
      </c>
      <c r="L69">
        <f>IF(F69&lt;10,F69*6000,IF(F69&lt;20,F69*5500,IF(F69&lt;30,F69*5000,F69*4000)))</f>
        <v>66000</v>
      </c>
      <c r="M69">
        <f>L69-J69-K69</f>
        <v>16500</v>
      </c>
    </row>
    <row r="70" spans="1:13" x14ac:dyDescent="0.3">
      <c r="A70">
        <v>69</v>
      </c>
      <c r="B70" s="1">
        <v>44453</v>
      </c>
      <c r="C70" s="2">
        <v>0.34437500000000004</v>
      </c>
      <c r="D70" s="1">
        <v>44453</v>
      </c>
      <c r="E70" s="3">
        <v>0.42008101851851848</v>
      </c>
      <c r="F70">
        <v>17</v>
      </c>
      <c r="G70">
        <f>I69+F70</f>
        <v>31</v>
      </c>
      <c r="H70">
        <v>20</v>
      </c>
      <c r="I70">
        <f>G70-H70</f>
        <v>11</v>
      </c>
      <c r="J70">
        <f>F70 * 1500</f>
        <v>25500</v>
      </c>
      <c r="K70">
        <f>H70*1500</f>
        <v>30000</v>
      </c>
      <c r="L70">
        <f>IF(F70&lt;10,F70*6000,IF(F70&lt;20,F70*5500,IF(F70&lt;30,F70*5000,F70*4000)))</f>
        <v>93500</v>
      </c>
      <c r="M70">
        <f>L70-J70-K70</f>
        <v>38000</v>
      </c>
    </row>
    <row r="71" spans="1:13" x14ac:dyDescent="0.3">
      <c r="A71">
        <v>70</v>
      </c>
      <c r="B71" s="1">
        <v>44453</v>
      </c>
      <c r="C71" s="2">
        <v>0.5</v>
      </c>
      <c r="D71" s="1">
        <v>44453</v>
      </c>
      <c r="E71" s="3">
        <v>0.58119212962962963</v>
      </c>
      <c r="F71">
        <v>11</v>
      </c>
      <c r="G71">
        <f>I70+F71</f>
        <v>22</v>
      </c>
      <c r="H71">
        <v>22</v>
      </c>
      <c r="I71">
        <f>G71-H71</f>
        <v>0</v>
      </c>
      <c r="J71">
        <f>F71 * 1500</f>
        <v>16500</v>
      </c>
      <c r="K71">
        <f>H71*1500</f>
        <v>33000</v>
      </c>
      <c r="L71">
        <f>IF(F71&lt;10,F71*6000,IF(F71&lt;20,F71*5500,IF(F71&lt;30,F71*5000,F71*4000)))</f>
        <v>60500</v>
      </c>
      <c r="M71">
        <f>L71-J71-K71</f>
        <v>11000</v>
      </c>
    </row>
    <row r="72" spans="1:13" x14ac:dyDescent="0.3">
      <c r="A72">
        <v>71</v>
      </c>
      <c r="B72" s="1">
        <v>44453</v>
      </c>
      <c r="C72" s="2">
        <v>0.64340277777777777</v>
      </c>
      <c r="D72" s="1">
        <v>44453</v>
      </c>
      <c r="E72" s="3">
        <v>0.7085069444444444</v>
      </c>
      <c r="F72">
        <v>7</v>
      </c>
      <c r="G72">
        <f>I71+F72</f>
        <v>7</v>
      </c>
      <c r="H72">
        <v>2</v>
      </c>
      <c r="I72">
        <f>G72-H72</f>
        <v>5</v>
      </c>
      <c r="J72">
        <f>F72 * 1500</f>
        <v>10500</v>
      </c>
      <c r="K72">
        <f>H72*1500</f>
        <v>3000</v>
      </c>
      <c r="L72">
        <f>IF(F72&lt;10,F72*6000,IF(F72&lt;20,F72*5500,IF(F72&lt;30,F72*5000,F72*4000)))</f>
        <v>42000</v>
      </c>
      <c r="M72">
        <f>L72-J72-K72</f>
        <v>28500</v>
      </c>
    </row>
    <row r="73" spans="1:13" x14ac:dyDescent="0.3">
      <c r="A73">
        <v>72</v>
      </c>
      <c r="B73" s="1">
        <v>44453</v>
      </c>
      <c r="C73" s="2">
        <v>0.77552083333333333</v>
      </c>
      <c r="D73" s="1">
        <v>44453</v>
      </c>
      <c r="E73" s="3">
        <v>0.80270833333333336</v>
      </c>
      <c r="F73">
        <v>8</v>
      </c>
      <c r="G73">
        <f>I72+F73</f>
        <v>13</v>
      </c>
      <c r="H73">
        <v>7</v>
      </c>
      <c r="I73">
        <f>G73-H73</f>
        <v>6</v>
      </c>
      <c r="J73">
        <f>F73 * 1500</f>
        <v>12000</v>
      </c>
      <c r="K73">
        <f>H73*1500</f>
        <v>10500</v>
      </c>
      <c r="L73">
        <f>IF(F73&lt;10,F73*6000,IF(F73&lt;20,F73*5500,IF(F73&lt;30,F73*5000,F73*4000)))</f>
        <v>48000</v>
      </c>
      <c r="M73">
        <f>L73-J73-K73</f>
        <v>25500</v>
      </c>
    </row>
    <row r="74" spans="1:13" x14ac:dyDescent="0.3">
      <c r="A74">
        <v>73</v>
      </c>
      <c r="B74" s="1">
        <v>44453</v>
      </c>
      <c r="C74" s="2">
        <v>0.87285879629629637</v>
      </c>
      <c r="D74" s="1">
        <v>44453</v>
      </c>
      <c r="E74" s="3">
        <v>0.91951388888888885</v>
      </c>
      <c r="F74">
        <v>6</v>
      </c>
      <c r="G74">
        <f>I73+F74</f>
        <v>12</v>
      </c>
      <c r="H74">
        <v>1</v>
      </c>
      <c r="I74">
        <f>G74-H74</f>
        <v>11</v>
      </c>
      <c r="J74">
        <f>F74 * 1500</f>
        <v>9000</v>
      </c>
      <c r="K74">
        <f>H74*1500</f>
        <v>1500</v>
      </c>
      <c r="L74">
        <f>IF(F74&lt;10,F74*6000,IF(F74&lt;20,F74*5500,IF(F74&lt;30,F74*5000,F74*4000)))</f>
        <v>36000</v>
      </c>
      <c r="M74">
        <f>L74-J74-K74</f>
        <v>25500</v>
      </c>
    </row>
    <row r="75" spans="1:13" x14ac:dyDescent="0.3">
      <c r="A75">
        <v>74</v>
      </c>
      <c r="B75" s="1">
        <v>44454</v>
      </c>
      <c r="C75" s="2">
        <v>4.2361111111111106E-2</v>
      </c>
      <c r="D75" s="1">
        <v>44454</v>
      </c>
      <c r="E75" s="3">
        <v>0.17298611111111109</v>
      </c>
      <c r="F75">
        <v>0</v>
      </c>
      <c r="G75">
        <f>I74+F75</f>
        <v>11</v>
      </c>
      <c r="H75">
        <v>6</v>
      </c>
      <c r="I75">
        <f>G75-H75</f>
        <v>5</v>
      </c>
      <c r="J75">
        <f>F75 * 1500</f>
        <v>0</v>
      </c>
      <c r="K75">
        <f>H75*1500</f>
        <v>9000</v>
      </c>
      <c r="L75">
        <f>IF(F75&lt;10,F75*6000,IF(F75&lt;20,F75*5500,IF(F75&lt;30,F75*5000,F75*4000)))</f>
        <v>0</v>
      </c>
      <c r="M75">
        <f>L75-J75-K75</f>
        <v>-9000</v>
      </c>
    </row>
    <row r="76" spans="1:13" x14ac:dyDescent="0.3">
      <c r="A76">
        <v>75</v>
      </c>
      <c r="B76" s="1">
        <v>44454</v>
      </c>
      <c r="C76" s="2">
        <v>0.28885416666666669</v>
      </c>
      <c r="D76" s="1">
        <v>44454</v>
      </c>
      <c r="E76" s="3">
        <v>0.34437500000000004</v>
      </c>
      <c r="F76">
        <v>0</v>
      </c>
      <c r="G76">
        <f>I75+F76</f>
        <v>5</v>
      </c>
      <c r="H76">
        <v>5</v>
      </c>
      <c r="I76">
        <f>G76-H76</f>
        <v>0</v>
      </c>
      <c r="J76">
        <f>F76 * 1500</f>
        <v>0</v>
      </c>
      <c r="K76">
        <f>H76*1500</f>
        <v>7500</v>
      </c>
      <c r="L76">
        <f>IF(F76&lt;10,F76*6000,IF(F76&lt;20,F76*5500,IF(F76&lt;30,F76*5000,F76*4000)))</f>
        <v>0</v>
      </c>
      <c r="M76">
        <f>L76-J76-K76</f>
        <v>-7500</v>
      </c>
    </row>
    <row r="77" spans="1:13" x14ac:dyDescent="0.3">
      <c r="A77">
        <v>76</v>
      </c>
      <c r="B77" s="1">
        <v>44454</v>
      </c>
      <c r="C77" s="2">
        <v>0.42424768518518513</v>
      </c>
      <c r="D77" s="1">
        <v>44454</v>
      </c>
      <c r="E77" s="3">
        <v>0.53179398148148149</v>
      </c>
      <c r="F77">
        <v>10</v>
      </c>
      <c r="G77">
        <f>I76+F77</f>
        <v>10</v>
      </c>
      <c r="H77">
        <v>1</v>
      </c>
      <c r="I77">
        <f>G77-H77</f>
        <v>9</v>
      </c>
      <c r="J77">
        <f>F77 * 1500</f>
        <v>15000</v>
      </c>
      <c r="K77">
        <f>H77*1500</f>
        <v>1500</v>
      </c>
      <c r="L77">
        <f>IF(F77&lt;10,F77*6000,IF(F77&lt;20,F77*5500,IF(F77&lt;30,F77*5000,F77*4000)))</f>
        <v>55000</v>
      </c>
      <c r="M77">
        <f>L77-J77-K77</f>
        <v>38500</v>
      </c>
    </row>
    <row r="78" spans="1:13" x14ac:dyDescent="0.3">
      <c r="A78">
        <v>77</v>
      </c>
      <c r="B78" s="1">
        <v>44454</v>
      </c>
      <c r="C78" s="2">
        <v>0.5991319444444444</v>
      </c>
      <c r="D78" s="1">
        <v>44454</v>
      </c>
      <c r="E78" s="3">
        <v>0.63361111111111112</v>
      </c>
      <c r="F78">
        <v>14</v>
      </c>
      <c r="G78">
        <f>I77+F78</f>
        <v>23</v>
      </c>
      <c r="H78">
        <v>21</v>
      </c>
      <c r="I78">
        <f>G78-H78</f>
        <v>2</v>
      </c>
      <c r="J78">
        <f>F78 * 1500</f>
        <v>21000</v>
      </c>
      <c r="K78">
        <f>H78*1500</f>
        <v>31500</v>
      </c>
      <c r="L78">
        <f>IF(F78&lt;10,F78*6000,IF(F78&lt;20,F78*5500,IF(F78&lt;30,F78*5000,F78*4000)))</f>
        <v>77000</v>
      </c>
      <c r="M78">
        <f>L78-J78-K78</f>
        <v>24500</v>
      </c>
    </row>
    <row r="79" spans="1:13" x14ac:dyDescent="0.3">
      <c r="A79">
        <v>78</v>
      </c>
      <c r="B79" s="1">
        <v>44454</v>
      </c>
      <c r="C79" s="2">
        <v>0.7228472222222222</v>
      </c>
      <c r="D79" s="1">
        <v>44454</v>
      </c>
      <c r="E79" s="3">
        <v>0.77552083333333333</v>
      </c>
      <c r="F79">
        <v>4</v>
      </c>
      <c r="G79">
        <f>I78+F79</f>
        <v>6</v>
      </c>
      <c r="H79">
        <v>1</v>
      </c>
      <c r="I79">
        <f>G79-H79</f>
        <v>5</v>
      </c>
      <c r="J79">
        <f>F79 * 1500</f>
        <v>6000</v>
      </c>
      <c r="K79">
        <f>H79*1500</f>
        <v>1500</v>
      </c>
      <c r="L79">
        <f>IF(F79&lt;10,F79*6000,IF(F79&lt;20,F79*5500,IF(F79&lt;30,F79*5000,F79*4000)))</f>
        <v>24000</v>
      </c>
      <c r="M79">
        <f>L79-J79-K79</f>
        <v>16500</v>
      </c>
    </row>
    <row r="80" spans="1:13" x14ac:dyDescent="0.3">
      <c r="A80">
        <v>79</v>
      </c>
      <c r="B80" s="1">
        <v>44454</v>
      </c>
      <c r="C80" s="2">
        <v>0.86644675925925929</v>
      </c>
      <c r="D80" s="1">
        <v>44454</v>
      </c>
      <c r="E80" s="3">
        <v>0.90680555555555553</v>
      </c>
      <c r="F80">
        <v>7</v>
      </c>
      <c r="G80">
        <f>I79+F80</f>
        <v>12</v>
      </c>
      <c r="H80">
        <v>2</v>
      </c>
      <c r="I80">
        <f>G80-H80</f>
        <v>10</v>
      </c>
      <c r="J80">
        <f>F80 * 1500</f>
        <v>10500</v>
      </c>
      <c r="K80">
        <f>H80*1500</f>
        <v>3000</v>
      </c>
      <c r="L80">
        <f>IF(F80&lt;10,F80*6000,IF(F80&lt;20,F80*5500,IF(F80&lt;30,F80*5000,F80*4000)))</f>
        <v>42000</v>
      </c>
      <c r="M80">
        <f>L80-J80-K80</f>
        <v>28500</v>
      </c>
    </row>
    <row r="81" spans="1:13" x14ac:dyDescent="0.3">
      <c r="A81">
        <v>80</v>
      </c>
      <c r="B81" s="1">
        <v>44455</v>
      </c>
      <c r="C81" s="2">
        <v>0.13571759259259261</v>
      </c>
      <c r="D81" s="1">
        <v>44455</v>
      </c>
      <c r="E81" s="3">
        <v>0.25288194444444445</v>
      </c>
      <c r="F81">
        <v>13</v>
      </c>
      <c r="G81">
        <f>I80+F81</f>
        <v>23</v>
      </c>
      <c r="H81">
        <v>5</v>
      </c>
      <c r="I81">
        <f>G81-H81</f>
        <v>18</v>
      </c>
      <c r="J81">
        <f>F81 * 1500</f>
        <v>19500</v>
      </c>
      <c r="K81">
        <f>H81*1500</f>
        <v>7500</v>
      </c>
      <c r="L81">
        <f>IF(F81&lt;10,F81*6000,IF(F81&lt;20,F81*5500,IF(F81&lt;30,F81*5000,F81*4000)))</f>
        <v>71500</v>
      </c>
      <c r="M81">
        <f>L81-J81-K81</f>
        <v>44500</v>
      </c>
    </row>
    <row r="82" spans="1:13" x14ac:dyDescent="0.3">
      <c r="A82">
        <v>81</v>
      </c>
      <c r="B82" s="1">
        <v>44455</v>
      </c>
      <c r="C82" s="2">
        <v>0.29960648148148145</v>
      </c>
      <c r="D82" s="1">
        <v>44455</v>
      </c>
      <c r="E82" s="3">
        <v>0.37712962962962965</v>
      </c>
      <c r="F82">
        <v>13</v>
      </c>
      <c r="G82">
        <f>I81+F82</f>
        <v>31</v>
      </c>
      <c r="H82">
        <v>11</v>
      </c>
      <c r="I82">
        <f>G82-H82</f>
        <v>20</v>
      </c>
      <c r="J82">
        <f>F82 * 1500</f>
        <v>19500</v>
      </c>
      <c r="K82">
        <f>H82*1500</f>
        <v>16500</v>
      </c>
      <c r="L82">
        <f>IF(F82&lt;10,F82*6000,IF(F82&lt;20,F82*5500,IF(F82&lt;30,F82*5000,F82*4000)))</f>
        <v>71500</v>
      </c>
      <c r="M82">
        <f>L82-J82-K82</f>
        <v>35500</v>
      </c>
    </row>
    <row r="83" spans="1:13" x14ac:dyDescent="0.3">
      <c r="A83">
        <v>82</v>
      </c>
      <c r="B83" s="1">
        <v>44455</v>
      </c>
      <c r="C83" s="2">
        <v>0.46118055555555554</v>
      </c>
      <c r="D83" s="1">
        <v>44455</v>
      </c>
      <c r="E83" s="3">
        <v>0.5005208333333333</v>
      </c>
      <c r="F83">
        <v>14</v>
      </c>
      <c r="G83">
        <f>I82+F83</f>
        <v>34</v>
      </c>
      <c r="H83">
        <v>9</v>
      </c>
      <c r="I83">
        <f>G83-H83</f>
        <v>25</v>
      </c>
      <c r="J83">
        <f>F83 * 1500</f>
        <v>21000</v>
      </c>
      <c r="K83">
        <f>H83*1500</f>
        <v>13500</v>
      </c>
      <c r="L83">
        <f>IF(F83&lt;10,F83*6000,IF(F83&lt;20,F83*5500,IF(F83&lt;30,F83*5000,F83*4000)))</f>
        <v>77000</v>
      </c>
      <c r="M83">
        <f>L83-J83-K83</f>
        <v>42500</v>
      </c>
    </row>
    <row r="84" spans="1:13" x14ac:dyDescent="0.3">
      <c r="A84">
        <v>83</v>
      </c>
      <c r="B84" s="1">
        <v>44455</v>
      </c>
      <c r="C84" s="2">
        <v>0.57986111111111105</v>
      </c>
      <c r="D84" s="1">
        <v>44455</v>
      </c>
      <c r="E84" s="3">
        <v>0.61469907407407409</v>
      </c>
      <c r="F84">
        <v>14</v>
      </c>
      <c r="G84">
        <f>I83+F84</f>
        <v>39</v>
      </c>
      <c r="H84">
        <v>9</v>
      </c>
      <c r="I84">
        <f>G84-H84</f>
        <v>30</v>
      </c>
      <c r="J84">
        <f>F84 * 1500</f>
        <v>21000</v>
      </c>
      <c r="K84">
        <f>H84*1500</f>
        <v>13500</v>
      </c>
      <c r="L84">
        <f>IF(F84&lt;10,F84*6000,IF(F84&lt;20,F84*5500,IF(F84&lt;30,F84*5000,F84*4000)))</f>
        <v>77000</v>
      </c>
      <c r="M84">
        <f>L84-J84-K84</f>
        <v>42500</v>
      </c>
    </row>
    <row r="85" spans="1:13" x14ac:dyDescent="0.3">
      <c r="A85">
        <v>84</v>
      </c>
      <c r="B85" s="1">
        <v>44455</v>
      </c>
      <c r="C85" s="2">
        <v>0.67444444444444451</v>
      </c>
      <c r="D85" s="1">
        <v>44455</v>
      </c>
      <c r="E85" s="3">
        <v>0.72362268518518524</v>
      </c>
      <c r="F85">
        <v>12</v>
      </c>
      <c r="G85">
        <f>I84+F85</f>
        <v>42</v>
      </c>
      <c r="H85">
        <v>7</v>
      </c>
      <c r="I85">
        <f>G85-H85</f>
        <v>35</v>
      </c>
      <c r="J85">
        <f>F85 * 1500</f>
        <v>18000</v>
      </c>
      <c r="K85">
        <f>H85*1500</f>
        <v>10500</v>
      </c>
      <c r="L85">
        <f>IF(F85&lt;10,F85*6000,IF(F85&lt;20,F85*5500,IF(F85&lt;30,F85*5000,F85*4000)))</f>
        <v>66000</v>
      </c>
      <c r="M85">
        <f>L85-J85-K85</f>
        <v>37500</v>
      </c>
    </row>
    <row r="86" spans="1:13" x14ac:dyDescent="0.3">
      <c r="A86">
        <v>85</v>
      </c>
      <c r="B86" s="1">
        <v>44455</v>
      </c>
      <c r="C86" s="2">
        <v>0.7926157407407407</v>
      </c>
      <c r="D86" s="1">
        <v>44455</v>
      </c>
      <c r="E86" s="3">
        <v>0.86523148148148143</v>
      </c>
      <c r="F86">
        <v>2</v>
      </c>
      <c r="G86">
        <f>I85+F86</f>
        <v>37</v>
      </c>
      <c r="H86">
        <v>19</v>
      </c>
      <c r="I86">
        <f>G86-H86</f>
        <v>18</v>
      </c>
      <c r="J86">
        <f>F86 * 1500</f>
        <v>3000</v>
      </c>
      <c r="K86">
        <f>H86*1500</f>
        <v>28500</v>
      </c>
      <c r="L86">
        <f>IF(F86&lt;10,F86*6000,IF(F86&lt;20,F86*5500,IF(F86&lt;30,F86*5000,F86*4000)))</f>
        <v>12000</v>
      </c>
      <c r="M86">
        <f>L86-J86-K86</f>
        <v>-19500</v>
      </c>
    </row>
    <row r="87" spans="1:13" x14ac:dyDescent="0.3">
      <c r="A87">
        <v>86</v>
      </c>
      <c r="B87" s="1">
        <v>44456</v>
      </c>
      <c r="C87" s="2">
        <v>0.28914351851851855</v>
      </c>
      <c r="D87" s="1">
        <v>44456</v>
      </c>
      <c r="E87" s="3">
        <v>0.33407407407407402</v>
      </c>
      <c r="F87">
        <v>4</v>
      </c>
      <c r="G87">
        <f>I86+F87</f>
        <v>22</v>
      </c>
      <c r="H87">
        <v>11</v>
      </c>
      <c r="I87">
        <f>G87-H87</f>
        <v>11</v>
      </c>
      <c r="J87">
        <f>F87 * 1500</f>
        <v>6000</v>
      </c>
      <c r="K87">
        <f>H87*1500</f>
        <v>16500</v>
      </c>
      <c r="L87">
        <f>IF(F87&lt;10,F87*6000,IF(F87&lt;20,F87*5500,IF(F87&lt;30,F87*5000,F87*4000)))</f>
        <v>24000</v>
      </c>
      <c r="M87">
        <f>L87-J87-K87</f>
        <v>1500</v>
      </c>
    </row>
    <row r="88" spans="1:13" x14ac:dyDescent="0.3">
      <c r="A88">
        <v>87</v>
      </c>
      <c r="B88" s="1">
        <v>44456</v>
      </c>
      <c r="C88" s="2">
        <v>0.45840277777777777</v>
      </c>
      <c r="D88" s="1">
        <v>44456</v>
      </c>
      <c r="E88" s="3">
        <v>0.47927083333333331</v>
      </c>
      <c r="F88">
        <v>21</v>
      </c>
      <c r="G88">
        <f>I87+F88</f>
        <v>32</v>
      </c>
      <c r="H88">
        <v>15</v>
      </c>
      <c r="I88">
        <f>G88-H88</f>
        <v>17</v>
      </c>
      <c r="J88">
        <f>F88 * 1500</f>
        <v>31500</v>
      </c>
      <c r="K88">
        <f>H88*1500</f>
        <v>22500</v>
      </c>
      <c r="L88">
        <f>IF(F88&lt;10,F88*6000,IF(F88&lt;20,F88*5500,IF(F88&lt;30,F88*5000,F88*4000)))</f>
        <v>105000</v>
      </c>
      <c r="M88">
        <f>L88-J88-K88</f>
        <v>51000</v>
      </c>
    </row>
    <row r="89" spans="1:13" x14ac:dyDescent="0.3">
      <c r="A89">
        <v>88</v>
      </c>
      <c r="B89" s="1">
        <v>44456</v>
      </c>
      <c r="C89" s="2">
        <v>0.55218749999999994</v>
      </c>
      <c r="D89" s="1">
        <v>44456</v>
      </c>
      <c r="E89" s="3">
        <v>0.62156250000000002</v>
      </c>
      <c r="F89">
        <v>7</v>
      </c>
      <c r="G89">
        <f>I88+F89</f>
        <v>24</v>
      </c>
      <c r="H89">
        <v>13</v>
      </c>
      <c r="I89">
        <f>G89-H89</f>
        <v>11</v>
      </c>
      <c r="J89">
        <f>F89 * 1500</f>
        <v>10500</v>
      </c>
      <c r="K89">
        <f>H89*1500</f>
        <v>19500</v>
      </c>
      <c r="L89">
        <f>IF(F89&lt;10,F89*6000,IF(F89&lt;20,F89*5500,IF(F89&lt;30,F89*5000,F89*4000)))</f>
        <v>42000</v>
      </c>
      <c r="M89">
        <f>L89-J89-K89</f>
        <v>12000</v>
      </c>
    </row>
    <row r="90" spans="1:13" x14ac:dyDescent="0.3">
      <c r="A90">
        <v>89</v>
      </c>
      <c r="B90" s="1">
        <v>44456</v>
      </c>
      <c r="C90" s="2">
        <v>0.64994212962962961</v>
      </c>
      <c r="D90" s="1">
        <v>44456</v>
      </c>
      <c r="E90" s="3">
        <v>0.71797453703703706</v>
      </c>
      <c r="F90">
        <v>14</v>
      </c>
      <c r="G90">
        <f>I89+F90</f>
        <v>25</v>
      </c>
      <c r="H90">
        <v>16</v>
      </c>
      <c r="I90">
        <f>G90-H90</f>
        <v>9</v>
      </c>
      <c r="J90">
        <f>F90 * 1500</f>
        <v>21000</v>
      </c>
      <c r="K90">
        <f>H90*1500</f>
        <v>24000</v>
      </c>
      <c r="L90">
        <f>IF(F90&lt;10,F90*6000,IF(F90&lt;20,F90*5500,IF(F90&lt;30,F90*5000,F90*4000)))</f>
        <v>77000</v>
      </c>
      <c r="M90">
        <f>L90-J90-K90</f>
        <v>32000</v>
      </c>
    </row>
    <row r="91" spans="1:13" x14ac:dyDescent="0.3">
      <c r="A91">
        <v>90</v>
      </c>
      <c r="B91" s="1">
        <v>44456</v>
      </c>
      <c r="C91" s="2">
        <v>0.80049768518518516</v>
      </c>
      <c r="D91" s="1">
        <v>44456</v>
      </c>
      <c r="E91" s="3">
        <v>0.86509259259259252</v>
      </c>
      <c r="F91">
        <v>7</v>
      </c>
      <c r="G91">
        <f>I90+F91</f>
        <v>16</v>
      </c>
      <c r="H91">
        <v>0</v>
      </c>
      <c r="I91">
        <f>G91-H91</f>
        <v>16</v>
      </c>
      <c r="J91">
        <f>F91 * 1500</f>
        <v>10500</v>
      </c>
      <c r="K91">
        <f>H91*1500</f>
        <v>0</v>
      </c>
      <c r="L91">
        <f>IF(F91&lt;10,F91*6000,IF(F91&lt;20,F91*5500,IF(F91&lt;30,F91*5000,F91*4000)))</f>
        <v>42000</v>
      </c>
      <c r="M91">
        <f>L91-J91-K91</f>
        <v>31500</v>
      </c>
    </row>
    <row r="92" spans="1:13" x14ac:dyDescent="0.3">
      <c r="A92">
        <v>91</v>
      </c>
      <c r="B92" s="1">
        <v>44457</v>
      </c>
      <c r="C92" s="2">
        <v>0.21187500000000001</v>
      </c>
      <c r="D92" s="1">
        <v>44457</v>
      </c>
      <c r="E92" s="3">
        <v>0.26673611111111112</v>
      </c>
      <c r="F92">
        <v>17</v>
      </c>
      <c r="G92">
        <f>I91+F92</f>
        <v>33</v>
      </c>
      <c r="H92">
        <v>15</v>
      </c>
      <c r="I92">
        <f>G92-H92</f>
        <v>18</v>
      </c>
      <c r="J92">
        <f>F92 * 1500</f>
        <v>25500</v>
      </c>
      <c r="K92">
        <f>H92*1500</f>
        <v>22500</v>
      </c>
      <c r="L92">
        <f>IF(F92&lt;10,F92*6000,IF(F92&lt;20,F92*5500,IF(F92&lt;30,F92*5000,F92*4000)))</f>
        <v>93500</v>
      </c>
      <c r="M92">
        <f>L92-J92-K92</f>
        <v>45500</v>
      </c>
    </row>
    <row r="93" spans="1:13" x14ac:dyDescent="0.3">
      <c r="A93">
        <v>92</v>
      </c>
      <c r="B93" s="1">
        <v>44457</v>
      </c>
      <c r="C93" s="2">
        <v>0.38490740740740742</v>
      </c>
      <c r="D93" s="1">
        <v>44457</v>
      </c>
      <c r="E93" s="3">
        <v>0.41679398148148145</v>
      </c>
      <c r="F93">
        <v>5</v>
      </c>
      <c r="G93">
        <f>I92+F93</f>
        <v>23</v>
      </c>
      <c r="H93">
        <v>8</v>
      </c>
      <c r="I93">
        <f>G93-H93</f>
        <v>15</v>
      </c>
      <c r="J93">
        <f>F93 * 1500</f>
        <v>7500</v>
      </c>
      <c r="K93">
        <f>H93*1500</f>
        <v>12000</v>
      </c>
      <c r="L93">
        <f>IF(F93&lt;10,F93*6000,IF(F93&lt;20,F93*5500,IF(F93&lt;30,F93*5000,F93*4000)))</f>
        <v>30000</v>
      </c>
      <c r="M93">
        <f>L93-J93-K93</f>
        <v>10500</v>
      </c>
    </row>
    <row r="94" spans="1:13" x14ac:dyDescent="0.3">
      <c r="A94">
        <v>93</v>
      </c>
      <c r="B94" s="1">
        <v>44457</v>
      </c>
      <c r="C94" s="2">
        <v>0.47458333333333336</v>
      </c>
      <c r="D94" s="1">
        <v>44457</v>
      </c>
      <c r="E94" s="3">
        <v>0.5599884259259259</v>
      </c>
      <c r="F94">
        <v>14</v>
      </c>
      <c r="G94">
        <f>I93+F94</f>
        <v>29</v>
      </c>
      <c r="H94">
        <v>9</v>
      </c>
      <c r="I94">
        <f>G94-H94</f>
        <v>20</v>
      </c>
      <c r="J94">
        <f>F94 * 1500</f>
        <v>21000</v>
      </c>
      <c r="K94">
        <f>H94*1500</f>
        <v>13500</v>
      </c>
      <c r="L94">
        <f>IF(F94&lt;10,F94*6000,IF(F94&lt;20,F94*5500,IF(F94&lt;30,F94*5000,F94*4000)))</f>
        <v>77000</v>
      </c>
      <c r="M94">
        <f>L94-J94-K94</f>
        <v>42500</v>
      </c>
    </row>
    <row r="95" spans="1:13" x14ac:dyDescent="0.3">
      <c r="A95">
        <v>94</v>
      </c>
      <c r="B95" s="1">
        <v>44457</v>
      </c>
      <c r="C95" s="2">
        <v>0.62175925925925923</v>
      </c>
      <c r="D95" s="1">
        <v>44457</v>
      </c>
      <c r="E95" s="3">
        <v>0.64258101851851845</v>
      </c>
      <c r="F95">
        <v>11</v>
      </c>
      <c r="G95">
        <f>I94+F95</f>
        <v>31</v>
      </c>
      <c r="H95">
        <v>17</v>
      </c>
      <c r="I95">
        <f>G95-H95</f>
        <v>14</v>
      </c>
      <c r="J95">
        <f>F95 * 1500</f>
        <v>16500</v>
      </c>
      <c r="K95">
        <f>H95*1500</f>
        <v>25500</v>
      </c>
      <c r="L95">
        <f>IF(F95&lt;10,F95*6000,IF(F95&lt;20,F95*5500,IF(F95&lt;30,F95*5000,F95*4000)))</f>
        <v>60500</v>
      </c>
      <c r="M95">
        <f>L95-J95-K95</f>
        <v>18500</v>
      </c>
    </row>
    <row r="96" spans="1:13" x14ac:dyDescent="0.3">
      <c r="A96">
        <v>95</v>
      </c>
      <c r="B96" s="1">
        <v>44457</v>
      </c>
      <c r="C96" s="2">
        <v>0.72517361111111101</v>
      </c>
      <c r="D96" s="1">
        <v>44457</v>
      </c>
      <c r="E96" s="3">
        <v>0.78138888888888891</v>
      </c>
      <c r="F96">
        <v>7</v>
      </c>
      <c r="G96">
        <f>I95+F96</f>
        <v>21</v>
      </c>
      <c r="H96">
        <v>16</v>
      </c>
      <c r="I96">
        <f>G96-H96</f>
        <v>5</v>
      </c>
      <c r="J96">
        <f>F96 * 1500</f>
        <v>10500</v>
      </c>
      <c r="K96">
        <f>H96*1500</f>
        <v>24000</v>
      </c>
      <c r="L96">
        <f>IF(F96&lt;10,F96*6000,IF(F96&lt;20,F96*5500,IF(F96&lt;30,F96*5000,F96*4000)))</f>
        <v>42000</v>
      </c>
      <c r="M96">
        <f>L96-J96-K96</f>
        <v>7500</v>
      </c>
    </row>
    <row r="97" spans="1:13" x14ac:dyDescent="0.3">
      <c r="A97">
        <v>96</v>
      </c>
      <c r="B97" s="1">
        <v>44458</v>
      </c>
      <c r="C97" s="2">
        <v>0.37921296296296297</v>
      </c>
      <c r="D97" s="1">
        <v>44458</v>
      </c>
      <c r="E97" s="3">
        <v>0.44873842592592594</v>
      </c>
      <c r="F97">
        <v>5</v>
      </c>
      <c r="G97">
        <f>I96+F97</f>
        <v>10</v>
      </c>
      <c r="H97">
        <v>1</v>
      </c>
      <c r="I97">
        <f>G97-H97</f>
        <v>9</v>
      </c>
      <c r="J97">
        <f>F97 * 1500</f>
        <v>7500</v>
      </c>
      <c r="K97">
        <f>H97*1500</f>
        <v>1500</v>
      </c>
      <c r="L97">
        <f>IF(F97&lt;10,F97*6000,IF(F97&lt;20,F97*5500,IF(F97&lt;30,F97*5000,F97*4000)))</f>
        <v>30000</v>
      </c>
      <c r="M97">
        <f>L97-J97-K97</f>
        <v>21000</v>
      </c>
    </row>
    <row r="98" spans="1:13" x14ac:dyDescent="0.3">
      <c r="A98">
        <v>97</v>
      </c>
      <c r="B98" s="1">
        <v>44458</v>
      </c>
      <c r="C98" s="2">
        <v>0.58005787037037038</v>
      </c>
      <c r="D98" s="1">
        <v>44458</v>
      </c>
      <c r="E98" s="3">
        <v>0.62572916666666667</v>
      </c>
      <c r="F98">
        <v>14</v>
      </c>
      <c r="G98">
        <f>I97+F98</f>
        <v>23</v>
      </c>
      <c r="H98">
        <v>7</v>
      </c>
      <c r="I98">
        <f>G98-H98</f>
        <v>16</v>
      </c>
      <c r="J98">
        <f>F98 * 1500</f>
        <v>21000</v>
      </c>
      <c r="K98">
        <f>H98*1500</f>
        <v>10500</v>
      </c>
      <c r="L98">
        <f>IF(F98&lt;10,F98*6000,IF(F98&lt;20,F98*5500,IF(F98&lt;30,F98*5000,F98*4000)))</f>
        <v>77000</v>
      </c>
      <c r="M98">
        <f>L98-J98-K98</f>
        <v>45500</v>
      </c>
    </row>
    <row r="99" spans="1:13" x14ac:dyDescent="0.3">
      <c r="A99">
        <v>98</v>
      </c>
      <c r="B99" s="1">
        <v>44458</v>
      </c>
      <c r="C99" s="2">
        <v>0.67716435185185186</v>
      </c>
      <c r="D99" s="1">
        <v>44458</v>
      </c>
      <c r="E99" s="3">
        <v>0.73178240740740741</v>
      </c>
      <c r="F99">
        <v>12</v>
      </c>
      <c r="G99">
        <f>I98+F99</f>
        <v>28</v>
      </c>
      <c r="H99">
        <v>9</v>
      </c>
      <c r="I99">
        <f>G99-H99</f>
        <v>19</v>
      </c>
      <c r="J99">
        <f>F99 * 1500</f>
        <v>18000</v>
      </c>
      <c r="K99">
        <f>H99*1500</f>
        <v>13500</v>
      </c>
      <c r="L99">
        <f>IF(F99&lt;10,F99*6000,IF(F99&lt;20,F99*5500,IF(F99&lt;30,F99*5000,F99*4000)))</f>
        <v>66000</v>
      </c>
      <c r="M99">
        <f>L99-J99-K99</f>
        <v>34500</v>
      </c>
    </row>
    <row r="100" spans="1:13" x14ac:dyDescent="0.3">
      <c r="A100">
        <v>99</v>
      </c>
      <c r="B100" s="1">
        <v>44458</v>
      </c>
      <c r="C100" s="2">
        <v>0.81361111111111117</v>
      </c>
      <c r="D100" s="1">
        <v>44458</v>
      </c>
      <c r="E100" s="3">
        <v>0.84862268518518524</v>
      </c>
      <c r="F100">
        <v>11</v>
      </c>
      <c r="G100">
        <f>I99+F100</f>
        <v>30</v>
      </c>
      <c r="H100">
        <v>9</v>
      </c>
      <c r="I100">
        <f>G100-H100</f>
        <v>21</v>
      </c>
      <c r="J100">
        <f>F100 * 1500</f>
        <v>16500</v>
      </c>
      <c r="K100">
        <f>H100*1500</f>
        <v>13500</v>
      </c>
      <c r="L100">
        <f>IF(F100&lt;10,F100*6000,IF(F100&lt;20,F100*5500,IF(F100&lt;30,F100*5000,F100*4000)))</f>
        <v>60500</v>
      </c>
      <c r="M100">
        <f>L100-J100-K100</f>
        <v>30500</v>
      </c>
    </row>
    <row r="101" spans="1:13" x14ac:dyDescent="0.3">
      <c r="A101">
        <v>100</v>
      </c>
      <c r="B101" s="1">
        <v>44458</v>
      </c>
      <c r="C101" s="2">
        <v>0.95554398148148145</v>
      </c>
      <c r="D101" s="1">
        <v>44459</v>
      </c>
      <c r="E101" s="3">
        <v>5.0520833333333327E-2</v>
      </c>
      <c r="F101">
        <v>11</v>
      </c>
      <c r="G101">
        <f>I100+F101</f>
        <v>32</v>
      </c>
      <c r="H101">
        <v>8</v>
      </c>
      <c r="I101">
        <f>G101-H101</f>
        <v>24</v>
      </c>
      <c r="J101">
        <f>F101 * 1500</f>
        <v>16500</v>
      </c>
      <c r="K101">
        <f>H101*1500</f>
        <v>12000</v>
      </c>
      <c r="L101">
        <f>IF(F101&lt;10,F101*6000,IF(F101&lt;20,F101*5500,IF(F101&lt;30,F101*5000,F101*4000)))</f>
        <v>60500</v>
      </c>
      <c r="M101">
        <f>L101-J101-K101</f>
        <v>32000</v>
      </c>
    </row>
    <row r="102" spans="1:13" x14ac:dyDescent="0.3">
      <c r="A102">
        <v>101</v>
      </c>
      <c r="B102" s="1">
        <v>44459</v>
      </c>
      <c r="C102" s="2">
        <v>0.3830324074074074</v>
      </c>
      <c r="D102" s="1">
        <v>44459</v>
      </c>
      <c r="E102" s="3">
        <v>0.44746527777777773</v>
      </c>
      <c r="F102">
        <v>12</v>
      </c>
      <c r="G102">
        <f>I101+F102</f>
        <v>36</v>
      </c>
      <c r="H102">
        <v>3</v>
      </c>
      <c r="I102">
        <f>G102-H102</f>
        <v>33</v>
      </c>
      <c r="J102">
        <f>F102 * 1500</f>
        <v>18000</v>
      </c>
      <c r="K102">
        <f>H102*1500</f>
        <v>4500</v>
      </c>
      <c r="L102">
        <f>IF(F102&lt;10,F102*6000,IF(F102&lt;20,F102*5500,IF(F102&lt;30,F102*5000,F102*4000)))</f>
        <v>66000</v>
      </c>
      <c r="M102">
        <f>L102-J102-K102</f>
        <v>43500</v>
      </c>
    </row>
    <row r="103" spans="1:13" x14ac:dyDescent="0.3">
      <c r="A103">
        <v>102</v>
      </c>
      <c r="B103" s="1">
        <v>44459</v>
      </c>
      <c r="C103" s="2">
        <v>0.47513888888888883</v>
      </c>
      <c r="D103" s="1">
        <v>44459</v>
      </c>
      <c r="E103" s="3">
        <v>0.52998842592592588</v>
      </c>
      <c r="F103">
        <v>7</v>
      </c>
      <c r="G103">
        <f>I102+F103</f>
        <v>40</v>
      </c>
      <c r="H103">
        <v>12</v>
      </c>
      <c r="I103">
        <f>G103-H103</f>
        <v>28</v>
      </c>
      <c r="J103">
        <f>F103 * 1500</f>
        <v>10500</v>
      </c>
      <c r="K103">
        <f>H103*1500</f>
        <v>18000</v>
      </c>
      <c r="L103">
        <f>IF(F103&lt;10,F103*6000,IF(F103&lt;20,F103*5500,IF(F103&lt;30,F103*5000,F103*4000)))</f>
        <v>42000</v>
      </c>
      <c r="M103">
        <f>L103-J103-K103</f>
        <v>13500</v>
      </c>
    </row>
    <row r="104" spans="1:13" x14ac:dyDescent="0.3">
      <c r="A104">
        <v>103</v>
      </c>
      <c r="B104" s="1">
        <v>44459</v>
      </c>
      <c r="C104" s="2">
        <v>0.54886574074074079</v>
      </c>
      <c r="D104" s="1">
        <v>44459</v>
      </c>
      <c r="E104" s="3">
        <v>0.59329861111111104</v>
      </c>
      <c r="F104">
        <v>9</v>
      </c>
      <c r="G104">
        <f>I103+F104</f>
        <v>37</v>
      </c>
      <c r="H104">
        <v>14</v>
      </c>
      <c r="I104">
        <f>G104-H104</f>
        <v>23</v>
      </c>
      <c r="J104">
        <f>F104 * 1500</f>
        <v>13500</v>
      </c>
      <c r="K104">
        <f>H104*1500</f>
        <v>21000</v>
      </c>
      <c r="L104">
        <f>IF(F104&lt;10,F104*6000,IF(F104&lt;20,F104*5500,IF(F104&lt;30,F104*5000,F104*4000)))</f>
        <v>54000</v>
      </c>
      <c r="M104">
        <f>L104-J104-K104</f>
        <v>19500</v>
      </c>
    </row>
    <row r="105" spans="1:13" x14ac:dyDescent="0.3">
      <c r="A105">
        <v>104</v>
      </c>
      <c r="B105" s="1">
        <v>44459</v>
      </c>
      <c r="C105" s="2">
        <v>0.63266203703703705</v>
      </c>
      <c r="D105" s="1">
        <v>44459</v>
      </c>
      <c r="E105" s="3">
        <v>0.67504629629629631</v>
      </c>
      <c r="F105">
        <v>8</v>
      </c>
      <c r="G105">
        <f>I104+F105</f>
        <v>31</v>
      </c>
      <c r="H105">
        <v>19</v>
      </c>
      <c r="I105">
        <f>G105-H105</f>
        <v>12</v>
      </c>
      <c r="J105">
        <f>F105 * 1500</f>
        <v>12000</v>
      </c>
      <c r="K105">
        <f>H105*1500</f>
        <v>28500</v>
      </c>
      <c r="L105">
        <f>IF(F105&lt;10,F105*6000,IF(F105&lt;20,F105*5500,IF(F105&lt;30,F105*5000,F105*4000)))</f>
        <v>48000</v>
      </c>
      <c r="M105">
        <f>L105-J105-K105</f>
        <v>7500</v>
      </c>
    </row>
    <row r="106" spans="1:13" x14ac:dyDescent="0.3">
      <c r="A106">
        <v>105</v>
      </c>
      <c r="B106" s="1">
        <v>44459</v>
      </c>
      <c r="C106" s="2">
        <v>0.70928240740740733</v>
      </c>
      <c r="D106" s="1">
        <v>44459</v>
      </c>
      <c r="E106" s="3">
        <v>0.72917824074074078</v>
      </c>
      <c r="F106">
        <v>23</v>
      </c>
      <c r="G106">
        <f>I105+F106</f>
        <v>35</v>
      </c>
      <c r="H106">
        <v>14</v>
      </c>
      <c r="I106">
        <f>G106-H106</f>
        <v>21</v>
      </c>
      <c r="J106">
        <f>F106 * 1500</f>
        <v>34500</v>
      </c>
      <c r="K106">
        <f>H106*1500</f>
        <v>21000</v>
      </c>
      <c r="L106">
        <f>IF(F106&lt;10,F106*6000,IF(F106&lt;20,F106*5500,IF(F106&lt;30,F106*5000,F106*4000)))</f>
        <v>115000</v>
      </c>
      <c r="M106">
        <f>L106-J106-K106</f>
        <v>59500</v>
      </c>
    </row>
    <row r="107" spans="1:13" x14ac:dyDescent="0.3">
      <c r="A107">
        <v>106</v>
      </c>
      <c r="B107" s="1">
        <v>44459</v>
      </c>
      <c r="C107" s="2">
        <v>0.74663194444444436</v>
      </c>
      <c r="D107" s="1">
        <v>44459</v>
      </c>
      <c r="E107" s="3">
        <v>0.78163194444444439</v>
      </c>
      <c r="F107">
        <v>19</v>
      </c>
      <c r="G107">
        <f>I106+F107</f>
        <v>40</v>
      </c>
      <c r="H107">
        <v>9</v>
      </c>
      <c r="I107">
        <f>G107-H107</f>
        <v>31</v>
      </c>
      <c r="J107">
        <f>F107 * 1500</f>
        <v>28500</v>
      </c>
      <c r="K107">
        <f>H107*1500</f>
        <v>13500</v>
      </c>
      <c r="L107">
        <f>IF(F107&lt;10,F107*6000,IF(F107&lt;20,F107*5500,IF(F107&lt;30,F107*5000,F107*4000)))</f>
        <v>104500</v>
      </c>
      <c r="M107">
        <f>L107-J107-K107</f>
        <v>62500</v>
      </c>
    </row>
    <row r="108" spans="1:13" x14ac:dyDescent="0.3">
      <c r="A108">
        <v>107</v>
      </c>
      <c r="B108" s="1">
        <v>44459</v>
      </c>
      <c r="C108" s="2">
        <v>0.82415509259259256</v>
      </c>
      <c r="D108" s="1">
        <v>44459</v>
      </c>
      <c r="E108" s="3">
        <v>0.91810185185185178</v>
      </c>
      <c r="F108">
        <v>0</v>
      </c>
      <c r="G108">
        <f>I107+F108</f>
        <v>31</v>
      </c>
      <c r="H108">
        <v>6</v>
      </c>
      <c r="I108">
        <f>G108-H108</f>
        <v>25</v>
      </c>
      <c r="J108">
        <f>F108 * 1500</f>
        <v>0</v>
      </c>
      <c r="K108">
        <f>H108*1500</f>
        <v>9000</v>
      </c>
      <c r="L108">
        <f>IF(F108&lt;10,F108*6000,IF(F108&lt;20,F108*5500,IF(F108&lt;30,F108*5000,F108*4000)))</f>
        <v>0</v>
      </c>
      <c r="M108">
        <f>L108-J108-K108</f>
        <v>-9000</v>
      </c>
    </row>
    <row r="109" spans="1:13" x14ac:dyDescent="0.3">
      <c r="A109">
        <v>108</v>
      </c>
      <c r="B109" s="1">
        <v>44459</v>
      </c>
      <c r="C109" s="2">
        <v>0.97640046296296301</v>
      </c>
      <c r="D109" s="1">
        <v>44460</v>
      </c>
      <c r="E109" s="3">
        <v>5.7824074074074076E-2</v>
      </c>
      <c r="F109">
        <v>4</v>
      </c>
      <c r="G109">
        <f>I108+F109</f>
        <v>29</v>
      </c>
      <c r="H109">
        <v>15</v>
      </c>
      <c r="I109">
        <f>G109-H109</f>
        <v>14</v>
      </c>
      <c r="J109">
        <f>F109 * 1500</f>
        <v>6000</v>
      </c>
      <c r="K109">
        <f>H109*1500</f>
        <v>22500</v>
      </c>
      <c r="L109">
        <f>IF(F109&lt;10,F109*6000,IF(F109&lt;20,F109*5500,IF(F109&lt;30,F109*5000,F109*4000)))</f>
        <v>24000</v>
      </c>
      <c r="M109">
        <f>L109-J109-K109</f>
        <v>-4500</v>
      </c>
    </row>
    <row r="110" spans="1:13" x14ac:dyDescent="0.3">
      <c r="A110">
        <v>109</v>
      </c>
      <c r="B110" s="1">
        <v>44460</v>
      </c>
      <c r="C110" s="2">
        <v>0.29172453703703705</v>
      </c>
      <c r="D110" s="1">
        <v>44460</v>
      </c>
      <c r="E110" s="3">
        <v>0.33641203703703698</v>
      </c>
      <c r="F110">
        <v>11</v>
      </c>
      <c r="G110">
        <f>I109+F110</f>
        <v>25</v>
      </c>
      <c r="H110">
        <v>0</v>
      </c>
      <c r="I110">
        <f>G110-H110</f>
        <v>25</v>
      </c>
      <c r="J110">
        <f>F110 * 1500</f>
        <v>16500</v>
      </c>
      <c r="K110">
        <f>H110*1500</f>
        <v>0</v>
      </c>
      <c r="L110">
        <f>IF(F110&lt;10,F110*6000,IF(F110&lt;20,F110*5500,IF(F110&lt;30,F110*5000,F110*4000)))</f>
        <v>60500</v>
      </c>
      <c r="M110">
        <f>L110-J110-K110</f>
        <v>44000</v>
      </c>
    </row>
    <row r="111" spans="1:13" x14ac:dyDescent="0.3">
      <c r="A111">
        <v>110</v>
      </c>
      <c r="B111" s="1">
        <v>44460</v>
      </c>
      <c r="C111" s="2">
        <v>0.42815972222222221</v>
      </c>
      <c r="D111" s="1">
        <v>44460</v>
      </c>
      <c r="E111" s="3">
        <v>0.58225694444444442</v>
      </c>
      <c r="F111">
        <v>9</v>
      </c>
      <c r="G111">
        <f>I110+F111</f>
        <v>34</v>
      </c>
      <c r="H111">
        <v>4</v>
      </c>
      <c r="I111">
        <f>G111-H111</f>
        <v>30</v>
      </c>
      <c r="J111">
        <f>F111 * 1500</f>
        <v>13500</v>
      </c>
      <c r="K111">
        <f>H111*1500</f>
        <v>6000</v>
      </c>
      <c r="L111">
        <f>IF(F111&lt;10,F111*6000,IF(F111&lt;20,F111*5500,IF(F111&lt;30,F111*5000,F111*4000)))</f>
        <v>54000</v>
      </c>
      <c r="M111">
        <f>L111-J111-K111</f>
        <v>34500</v>
      </c>
    </row>
    <row r="112" spans="1:13" x14ac:dyDescent="0.3">
      <c r="A112">
        <v>111</v>
      </c>
      <c r="B112" s="1">
        <v>44460</v>
      </c>
      <c r="C112" s="2">
        <v>0.62174768518518519</v>
      </c>
      <c r="D112" s="1">
        <v>44460</v>
      </c>
      <c r="E112" s="3">
        <v>0.66903935185185182</v>
      </c>
      <c r="F112">
        <v>9</v>
      </c>
      <c r="G112">
        <f>I111+F112</f>
        <v>39</v>
      </c>
      <c r="H112">
        <v>28</v>
      </c>
      <c r="I112">
        <f>G112-H112</f>
        <v>11</v>
      </c>
      <c r="J112">
        <f>F112 * 1500</f>
        <v>13500</v>
      </c>
      <c r="K112">
        <f>H112*1500</f>
        <v>42000</v>
      </c>
      <c r="L112">
        <f>IF(F112&lt;10,F112*6000,IF(F112&lt;20,F112*5500,IF(F112&lt;30,F112*5000,F112*4000)))</f>
        <v>54000</v>
      </c>
      <c r="M112">
        <f>L112-J112-K112</f>
        <v>-1500</v>
      </c>
    </row>
    <row r="113" spans="1:13" x14ac:dyDescent="0.3">
      <c r="A113">
        <v>112</v>
      </c>
      <c r="B113" s="1">
        <v>44460</v>
      </c>
      <c r="C113" s="2">
        <v>0.71136574074074066</v>
      </c>
      <c r="D113" s="1">
        <v>44460</v>
      </c>
      <c r="E113" s="3">
        <v>0.76173611111111106</v>
      </c>
      <c r="F113">
        <v>0</v>
      </c>
      <c r="G113">
        <f>I112+F113</f>
        <v>11</v>
      </c>
      <c r="H113">
        <v>10</v>
      </c>
      <c r="I113">
        <f>G113-H113</f>
        <v>1</v>
      </c>
      <c r="J113">
        <f>F113 * 1500</f>
        <v>0</v>
      </c>
      <c r="K113">
        <f>H113*1500</f>
        <v>15000</v>
      </c>
      <c r="L113">
        <f>IF(F113&lt;10,F113*6000,IF(F113&lt;20,F113*5500,IF(F113&lt;30,F113*5000,F113*4000)))</f>
        <v>0</v>
      </c>
      <c r="M113">
        <f>L113-J113-K113</f>
        <v>-15000</v>
      </c>
    </row>
    <row r="114" spans="1:13" x14ac:dyDescent="0.3">
      <c r="A114">
        <v>113</v>
      </c>
      <c r="B114" s="1">
        <v>44460</v>
      </c>
      <c r="C114" s="2">
        <v>0.83270833333333327</v>
      </c>
      <c r="D114" s="1">
        <v>44460</v>
      </c>
      <c r="E114" s="3">
        <v>0.9375</v>
      </c>
      <c r="F114">
        <v>12</v>
      </c>
      <c r="G114">
        <f>I113+F114</f>
        <v>13</v>
      </c>
      <c r="H114">
        <v>6</v>
      </c>
      <c r="I114">
        <f>G114-H114</f>
        <v>7</v>
      </c>
      <c r="J114">
        <f>F114 * 1500</f>
        <v>18000</v>
      </c>
      <c r="K114">
        <f>H114*1500</f>
        <v>9000</v>
      </c>
      <c r="L114">
        <f>IF(F114&lt;10,F114*6000,IF(F114&lt;20,F114*5500,IF(F114&lt;30,F114*5000,F114*4000)))</f>
        <v>66000</v>
      </c>
      <c r="M114">
        <f>L114-J114-K114</f>
        <v>39000</v>
      </c>
    </row>
    <row r="115" spans="1:13" x14ac:dyDescent="0.3">
      <c r="A115">
        <v>114</v>
      </c>
      <c r="B115" s="1">
        <v>44461</v>
      </c>
      <c r="C115" s="2">
        <v>0.29829861111111111</v>
      </c>
      <c r="D115" s="1">
        <v>44461</v>
      </c>
      <c r="E115" s="3">
        <v>0.3449652777777778</v>
      </c>
      <c r="F115">
        <v>11</v>
      </c>
      <c r="G115">
        <f>I114+F115</f>
        <v>18</v>
      </c>
      <c r="H115">
        <v>5</v>
      </c>
      <c r="I115">
        <f>G115-H115</f>
        <v>13</v>
      </c>
      <c r="J115">
        <f>F115 * 1500</f>
        <v>16500</v>
      </c>
      <c r="K115">
        <f>H115*1500</f>
        <v>7500</v>
      </c>
      <c r="L115">
        <f>IF(F115&lt;10,F115*6000,IF(F115&lt;20,F115*5500,IF(F115&lt;30,F115*5000,F115*4000)))</f>
        <v>60500</v>
      </c>
      <c r="M115">
        <f>L115-J115-K115</f>
        <v>36500</v>
      </c>
    </row>
    <row r="116" spans="1:13" x14ac:dyDescent="0.3">
      <c r="A116">
        <v>115</v>
      </c>
      <c r="B116" s="1">
        <v>44461</v>
      </c>
      <c r="C116" s="2">
        <v>0.38718750000000002</v>
      </c>
      <c r="D116" s="1">
        <v>44461</v>
      </c>
      <c r="E116" s="3">
        <v>0.46149305555555559</v>
      </c>
      <c r="F116">
        <v>13</v>
      </c>
      <c r="G116">
        <f>I115+F116</f>
        <v>26</v>
      </c>
      <c r="H116">
        <v>9</v>
      </c>
      <c r="I116">
        <f>G116-H116</f>
        <v>17</v>
      </c>
      <c r="J116">
        <f>F116 * 1500</f>
        <v>19500</v>
      </c>
      <c r="K116">
        <f>H116*1500</f>
        <v>13500</v>
      </c>
      <c r="L116">
        <f>IF(F116&lt;10,F116*6000,IF(F116&lt;20,F116*5500,IF(F116&lt;30,F116*5000,F116*4000)))</f>
        <v>71500</v>
      </c>
      <c r="M116">
        <f>L116-J116-K116</f>
        <v>38500</v>
      </c>
    </row>
    <row r="117" spans="1:13" x14ac:dyDescent="0.3">
      <c r="A117">
        <v>116</v>
      </c>
      <c r="B117" s="1">
        <v>44461</v>
      </c>
      <c r="C117" s="2">
        <v>0.60652777777777778</v>
      </c>
      <c r="D117" s="1">
        <v>44461</v>
      </c>
      <c r="E117" s="3">
        <v>0.63285879629629627</v>
      </c>
      <c r="F117">
        <v>14</v>
      </c>
      <c r="G117">
        <f>I116+F117</f>
        <v>31</v>
      </c>
      <c r="H117">
        <v>11</v>
      </c>
      <c r="I117">
        <f>G117-H117</f>
        <v>20</v>
      </c>
      <c r="J117">
        <f>F117 * 1500</f>
        <v>21000</v>
      </c>
      <c r="K117">
        <f>H117*1500</f>
        <v>16500</v>
      </c>
      <c r="L117">
        <f>IF(F117&lt;10,F117*6000,IF(F117&lt;20,F117*5500,IF(F117&lt;30,F117*5000,F117*4000)))</f>
        <v>77000</v>
      </c>
      <c r="M117">
        <f>L117-J117-K117</f>
        <v>39500</v>
      </c>
    </row>
    <row r="118" spans="1:13" x14ac:dyDescent="0.3">
      <c r="A118">
        <v>117</v>
      </c>
      <c r="B118" s="1">
        <v>44461</v>
      </c>
      <c r="C118" s="2">
        <v>0.64589120370370368</v>
      </c>
      <c r="D118" s="1">
        <v>44461</v>
      </c>
      <c r="E118" s="3">
        <v>0.70006944444444441</v>
      </c>
      <c r="F118">
        <v>2</v>
      </c>
      <c r="G118">
        <f>I117+F118</f>
        <v>22</v>
      </c>
      <c r="H118">
        <v>0</v>
      </c>
      <c r="I118">
        <f>G118-H118</f>
        <v>22</v>
      </c>
      <c r="J118">
        <f>F118 * 1500</f>
        <v>3000</v>
      </c>
      <c r="K118">
        <f>H118*1500</f>
        <v>0</v>
      </c>
      <c r="L118">
        <f>IF(F118&lt;10,F118*6000,IF(F118&lt;20,F118*5500,IF(F118&lt;30,F118*5000,F118*4000)))</f>
        <v>12000</v>
      </c>
      <c r="M118">
        <f>L118-J118-K118</f>
        <v>9000</v>
      </c>
    </row>
    <row r="119" spans="1:13" x14ac:dyDescent="0.3">
      <c r="A119">
        <v>118</v>
      </c>
      <c r="B119" s="1">
        <v>44461</v>
      </c>
      <c r="C119" s="2">
        <v>0.76406249999999998</v>
      </c>
      <c r="D119" s="1">
        <v>44461</v>
      </c>
      <c r="E119" s="3">
        <v>0.84799768518518526</v>
      </c>
      <c r="F119">
        <v>6</v>
      </c>
      <c r="G119">
        <f>I118+F119</f>
        <v>28</v>
      </c>
      <c r="H119">
        <v>0</v>
      </c>
      <c r="I119">
        <f>G119-H119</f>
        <v>28</v>
      </c>
      <c r="J119">
        <f>F119 * 1500</f>
        <v>9000</v>
      </c>
      <c r="K119">
        <f>H119*1500</f>
        <v>0</v>
      </c>
      <c r="L119">
        <f>IF(F119&lt;10,F119*6000,IF(F119&lt;20,F119*5500,IF(F119&lt;30,F119*5000,F119*4000)))</f>
        <v>36000</v>
      </c>
      <c r="M119">
        <f>L119-J119-K119</f>
        <v>27000</v>
      </c>
    </row>
    <row r="120" spans="1:13" x14ac:dyDescent="0.3">
      <c r="A120">
        <v>119</v>
      </c>
      <c r="B120" s="1">
        <v>44461</v>
      </c>
      <c r="C120" s="2">
        <v>0.98342592592592604</v>
      </c>
      <c r="D120" s="1">
        <v>44462</v>
      </c>
      <c r="E120" s="3">
        <v>4.2638888888888893E-2</v>
      </c>
      <c r="F120">
        <v>4</v>
      </c>
      <c r="G120">
        <f>I119+F120</f>
        <v>32</v>
      </c>
      <c r="H120">
        <v>11</v>
      </c>
      <c r="I120">
        <f>G120-H120</f>
        <v>21</v>
      </c>
      <c r="J120">
        <f>F120 * 1500</f>
        <v>6000</v>
      </c>
      <c r="K120">
        <f>H120*1500</f>
        <v>16500</v>
      </c>
      <c r="L120">
        <f>IF(F120&lt;10,F120*6000,IF(F120&lt;20,F120*5500,IF(F120&lt;30,F120*5000,F120*4000)))</f>
        <v>24000</v>
      </c>
      <c r="M120">
        <f>L120-J120-K120</f>
        <v>1500</v>
      </c>
    </row>
    <row r="121" spans="1:13" x14ac:dyDescent="0.3">
      <c r="A121" s="7">
        <v>120</v>
      </c>
      <c r="B121" s="8">
        <v>44462</v>
      </c>
      <c r="C121" s="9">
        <v>0.29726851851851849</v>
      </c>
      <c r="D121" s="8">
        <v>44462</v>
      </c>
      <c r="E121" s="10">
        <v>0.39068287037037036</v>
      </c>
      <c r="F121" s="7">
        <v>19</v>
      </c>
      <c r="G121" s="7">
        <f>I120+F121</f>
        <v>40</v>
      </c>
      <c r="H121" s="7">
        <v>3</v>
      </c>
      <c r="I121" s="7">
        <f>G121-H121</f>
        <v>37</v>
      </c>
      <c r="J121" s="7">
        <f>F121 * 1500</f>
        <v>28500</v>
      </c>
      <c r="K121" s="7">
        <f>H121*1500</f>
        <v>4500</v>
      </c>
      <c r="L121" s="7">
        <f>IF(F121&lt;10,F121*6000,IF(F121&lt;20,F121*5500,IF(F121&lt;30,F121*5000,F121*4000)))</f>
        <v>104500</v>
      </c>
      <c r="M121" s="7">
        <f>L121-J121-K121</f>
        <v>71500</v>
      </c>
    </row>
    <row r="122" spans="1:13" x14ac:dyDescent="0.3">
      <c r="A122">
        <v>121</v>
      </c>
      <c r="B122" s="1">
        <v>44462</v>
      </c>
      <c r="C122" s="2">
        <v>0.43444444444444441</v>
      </c>
      <c r="D122" s="1">
        <v>44462</v>
      </c>
      <c r="E122" s="3">
        <v>0.51065972222222222</v>
      </c>
      <c r="F122">
        <v>3</v>
      </c>
      <c r="G122">
        <f>I121+F122</f>
        <v>40</v>
      </c>
      <c r="H122">
        <v>21</v>
      </c>
      <c r="I122">
        <f>G122-H122</f>
        <v>19</v>
      </c>
      <c r="J122">
        <f>F122 * 1500</f>
        <v>4500</v>
      </c>
      <c r="K122">
        <f>H122*1500</f>
        <v>31500</v>
      </c>
      <c r="L122">
        <f>IF(F122&lt;10,F122*6000,IF(F122&lt;20,F122*5500,IF(F122&lt;30,F122*5000,F122*4000)))</f>
        <v>18000</v>
      </c>
      <c r="M122">
        <f>L122-J122-K122</f>
        <v>-18000</v>
      </c>
    </row>
    <row r="123" spans="1:13" x14ac:dyDescent="0.3">
      <c r="A123">
        <v>122</v>
      </c>
      <c r="B123" s="1">
        <v>44462</v>
      </c>
      <c r="C123" s="2">
        <v>0.54518518518518522</v>
      </c>
      <c r="D123" s="1">
        <v>44462</v>
      </c>
      <c r="E123" s="3">
        <v>0.58775462962962965</v>
      </c>
      <c r="F123">
        <v>19</v>
      </c>
      <c r="G123">
        <f>I122+F123</f>
        <v>38</v>
      </c>
      <c r="H123">
        <v>22</v>
      </c>
      <c r="I123">
        <f>G123-H123</f>
        <v>16</v>
      </c>
      <c r="J123">
        <f>F123 * 1500</f>
        <v>28500</v>
      </c>
      <c r="K123">
        <f>H123*1500</f>
        <v>33000</v>
      </c>
      <c r="L123">
        <f>IF(F123&lt;10,F123*6000,IF(F123&lt;20,F123*5500,IF(F123&lt;30,F123*5000,F123*4000)))</f>
        <v>104500</v>
      </c>
      <c r="M123">
        <f>L123-J123-K123</f>
        <v>43000</v>
      </c>
    </row>
    <row r="124" spans="1:13" x14ac:dyDescent="0.3">
      <c r="A124">
        <v>123</v>
      </c>
      <c r="B124" s="1">
        <v>44462</v>
      </c>
      <c r="C124" s="2">
        <v>0.63270833333333332</v>
      </c>
      <c r="D124" s="1">
        <v>44462</v>
      </c>
      <c r="E124" s="3">
        <v>0.74785879629629637</v>
      </c>
      <c r="F124">
        <v>13</v>
      </c>
      <c r="G124">
        <f>I123+F124</f>
        <v>29</v>
      </c>
      <c r="H124">
        <v>14</v>
      </c>
      <c r="I124">
        <f>G124-H124</f>
        <v>15</v>
      </c>
      <c r="J124">
        <f>F124 * 1500</f>
        <v>19500</v>
      </c>
      <c r="K124">
        <f>H124*1500</f>
        <v>21000</v>
      </c>
      <c r="L124">
        <f>IF(F124&lt;10,F124*6000,IF(F124&lt;20,F124*5500,IF(F124&lt;30,F124*5000,F124*4000)))</f>
        <v>71500</v>
      </c>
      <c r="M124">
        <f>L124-J124-K124</f>
        <v>31000</v>
      </c>
    </row>
    <row r="125" spans="1:13" x14ac:dyDescent="0.3">
      <c r="A125">
        <v>124</v>
      </c>
      <c r="B125" s="1">
        <v>44462</v>
      </c>
      <c r="C125" s="2">
        <v>0.78940972222222217</v>
      </c>
      <c r="D125" s="1">
        <v>44462</v>
      </c>
      <c r="E125" s="3">
        <v>0.88962962962962966</v>
      </c>
      <c r="F125">
        <v>19</v>
      </c>
      <c r="G125">
        <f>I124+F125</f>
        <v>34</v>
      </c>
      <c r="H125">
        <v>25</v>
      </c>
      <c r="I125">
        <f>G125-H125</f>
        <v>9</v>
      </c>
      <c r="J125">
        <f>F125 * 1500</f>
        <v>28500</v>
      </c>
      <c r="K125">
        <f>H125*1500</f>
        <v>37500</v>
      </c>
      <c r="L125">
        <f>IF(F125&lt;10,F125*6000,IF(F125&lt;20,F125*5500,IF(F125&lt;30,F125*5000,F125*4000)))</f>
        <v>104500</v>
      </c>
      <c r="M125">
        <f>L125-J125-K125</f>
        <v>38500</v>
      </c>
    </row>
    <row r="126" spans="1:13" x14ac:dyDescent="0.3">
      <c r="A126">
        <v>125</v>
      </c>
      <c r="B126" s="1">
        <v>44463</v>
      </c>
      <c r="C126" s="2">
        <v>0.17437499999999997</v>
      </c>
      <c r="D126" s="1">
        <v>44463</v>
      </c>
      <c r="E126" s="3">
        <v>0.30024305555555558</v>
      </c>
      <c r="F126">
        <v>19</v>
      </c>
      <c r="G126">
        <f>I125+F126</f>
        <v>28</v>
      </c>
      <c r="H126">
        <v>11</v>
      </c>
      <c r="I126">
        <f>G126-H126</f>
        <v>17</v>
      </c>
      <c r="J126">
        <f>F126 * 1500</f>
        <v>28500</v>
      </c>
      <c r="K126">
        <f>H126*1500</f>
        <v>16500</v>
      </c>
      <c r="L126">
        <f>IF(F126&lt;10,F126*6000,IF(F126&lt;20,F126*5500,IF(F126&lt;30,F126*5000,F126*4000)))</f>
        <v>104500</v>
      </c>
      <c r="M126">
        <f>L126-J126-K126</f>
        <v>59500</v>
      </c>
    </row>
    <row r="127" spans="1:13" x14ac:dyDescent="0.3">
      <c r="A127">
        <v>126</v>
      </c>
      <c r="B127" s="1">
        <v>44463</v>
      </c>
      <c r="C127" s="2">
        <v>0.45619212962962963</v>
      </c>
      <c r="D127" s="1">
        <v>44463</v>
      </c>
      <c r="E127" s="3">
        <v>0.59104166666666669</v>
      </c>
      <c r="F127">
        <v>13</v>
      </c>
      <c r="G127">
        <f>I126+F127</f>
        <v>30</v>
      </c>
      <c r="H127">
        <v>4</v>
      </c>
      <c r="I127">
        <f>G127-H127</f>
        <v>26</v>
      </c>
      <c r="J127">
        <f>F127 * 1500</f>
        <v>19500</v>
      </c>
      <c r="K127">
        <f>H127*1500</f>
        <v>6000</v>
      </c>
      <c r="L127">
        <f>IF(F127&lt;10,F127*6000,IF(F127&lt;20,F127*5500,IF(F127&lt;30,F127*5000,F127*4000)))</f>
        <v>71500</v>
      </c>
      <c r="M127">
        <f>L127-J127-K127</f>
        <v>46000</v>
      </c>
    </row>
    <row r="128" spans="1:13" x14ac:dyDescent="0.3">
      <c r="A128">
        <v>127</v>
      </c>
      <c r="B128" s="1">
        <v>44463</v>
      </c>
      <c r="C128" s="2">
        <v>0.72642361111111109</v>
      </c>
      <c r="D128" s="1">
        <v>44463</v>
      </c>
      <c r="E128" s="3">
        <v>0.78383101851851855</v>
      </c>
      <c r="F128">
        <v>13</v>
      </c>
      <c r="G128">
        <f>I127+F128</f>
        <v>39</v>
      </c>
      <c r="H128">
        <v>9</v>
      </c>
      <c r="I128">
        <f>G128-H128</f>
        <v>30</v>
      </c>
      <c r="J128">
        <f>F128 * 1500</f>
        <v>19500</v>
      </c>
      <c r="K128">
        <f>H128*1500</f>
        <v>13500</v>
      </c>
      <c r="L128">
        <f>IF(F128&lt;10,F128*6000,IF(F128&lt;20,F128*5500,IF(F128&lt;30,F128*5000,F128*4000)))</f>
        <v>71500</v>
      </c>
      <c r="M128">
        <f>L128-J128-K128</f>
        <v>38500</v>
      </c>
    </row>
    <row r="129" spans="1:13" x14ac:dyDescent="0.3">
      <c r="A129">
        <v>128</v>
      </c>
      <c r="B129" s="1">
        <v>44463</v>
      </c>
      <c r="C129" s="2">
        <v>0.8197106481481482</v>
      </c>
      <c r="D129" s="1">
        <v>44463</v>
      </c>
      <c r="E129" s="3">
        <v>0.88407407407407401</v>
      </c>
      <c r="F129">
        <v>10</v>
      </c>
      <c r="G129">
        <f>I128+F129</f>
        <v>40</v>
      </c>
      <c r="H129">
        <v>12</v>
      </c>
      <c r="I129">
        <f>G129-H129</f>
        <v>28</v>
      </c>
      <c r="J129">
        <f>F129 * 1500</f>
        <v>15000</v>
      </c>
      <c r="K129">
        <f>H129*1500</f>
        <v>18000</v>
      </c>
      <c r="L129">
        <f>IF(F129&lt;10,F129*6000,IF(F129&lt;20,F129*5500,IF(F129&lt;30,F129*5000,F129*4000)))</f>
        <v>55000</v>
      </c>
      <c r="M129">
        <f>L129-J129-K129</f>
        <v>22000</v>
      </c>
    </row>
    <row r="130" spans="1:13" x14ac:dyDescent="0.3">
      <c r="A130">
        <v>129</v>
      </c>
      <c r="B130" s="1">
        <v>44464</v>
      </c>
      <c r="C130" s="2">
        <v>0.29473379629629631</v>
      </c>
      <c r="D130" s="1">
        <v>44464</v>
      </c>
      <c r="E130" s="3">
        <v>0.3518634259259259</v>
      </c>
      <c r="F130">
        <v>9</v>
      </c>
      <c r="G130">
        <f>I129+F130</f>
        <v>37</v>
      </c>
      <c r="H130">
        <v>11</v>
      </c>
      <c r="I130">
        <f>G130-H130</f>
        <v>26</v>
      </c>
      <c r="J130">
        <f>F130 * 1500</f>
        <v>13500</v>
      </c>
      <c r="K130">
        <f>H130*1500</f>
        <v>16500</v>
      </c>
      <c r="L130">
        <f>IF(F130&lt;10,F130*6000,IF(F130&lt;20,F130*5500,IF(F130&lt;30,F130*5000,F130*4000)))</f>
        <v>54000</v>
      </c>
      <c r="M130">
        <f>L130-J130-K130</f>
        <v>24000</v>
      </c>
    </row>
    <row r="131" spans="1:13" x14ac:dyDescent="0.3">
      <c r="A131">
        <v>130</v>
      </c>
      <c r="B131" s="1">
        <v>44464</v>
      </c>
      <c r="C131" s="2">
        <v>0.42454861111111114</v>
      </c>
      <c r="D131" s="1">
        <v>44464</v>
      </c>
      <c r="E131" s="3">
        <v>0.50074074074074071</v>
      </c>
      <c r="F131">
        <v>14</v>
      </c>
      <c r="G131">
        <f>I130+F131</f>
        <v>40</v>
      </c>
      <c r="H131">
        <v>20</v>
      </c>
      <c r="I131">
        <f>G131-H131</f>
        <v>20</v>
      </c>
      <c r="J131">
        <f>F131 * 1500</f>
        <v>21000</v>
      </c>
      <c r="K131">
        <f>H131*1500</f>
        <v>30000</v>
      </c>
      <c r="L131">
        <f>IF(F131&lt;10,F131*6000,IF(F131&lt;20,F131*5500,IF(F131&lt;30,F131*5000,F131*4000)))</f>
        <v>77000</v>
      </c>
      <c r="M131">
        <f>L131-J131-K131</f>
        <v>26000</v>
      </c>
    </row>
    <row r="132" spans="1:13" x14ac:dyDescent="0.3">
      <c r="A132">
        <v>131</v>
      </c>
      <c r="B132" s="1">
        <v>44464</v>
      </c>
      <c r="C132" s="2">
        <v>0.5447453703703703</v>
      </c>
      <c r="D132" s="1">
        <v>44464</v>
      </c>
      <c r="E132" s="3">
        <v>0.57574074074074078</v>
      </c>
      <c r="F132">
        <v>1</v>
      </c>
      <c r="G132">
        <f>I131+F132</f>
        <v>21</v>
      </c>
      <c r="H132">
        <v>3</v>
      </c>
      <c r="I132">
        <f>G132-H132</f>
        <v>18</v>
      </c>
      <c r="J132">
        <f>F132 * 1500</f>
        <v>1500</v>
      </c>
      <c r="K132">
        <f>H132*1500</f>
        <v>4500</v>
      </c>
      <c r="L132">
        <f>IF(F132&lt;10,F132*6000,IF(F132&lt;20,F132*5500,IF(F132&lt;30,F132*5000,F132*4000)))</f>
        <v>6000</v>
      </c>
      <c r="M132">
        <f>L132-J132-K132</f>
        <v>0</v>
      </c>
    </row>
    <row r="133" spans="1:13" x14ac:dyDescent="0.3">
      <c r="A133">
        <v>132</v>
      </c>
      <c r="B133" s="1">
        <v>44464</v>
      </c>
      <c r="C133" s="2">
        <v>0.63065972222222222</v>
      </c>
      <c r="D133" s="1">
        <v>44464</v>
      </c>
      <c r="E133" s="3">
        <v>0.66954861111111119</v>
      </c>
      <c r="F133">
        <v>5</v>
      </c>
      <c r="G133">
        <f>I132+F133</f>
        <v>23</v>
      </c>
      <c r="H133">
        <v>6</v>
      </c>
      <c r="I133">
        <f>G133-H133</f>
        <v>17</v>
      </c>
      <c r="J133">
        <f>F133 * 1500</f>
        <v>7500</v>
      </c>
      <c r="K133">
        <f>H133*1500</f>
        <v>9000</v>
      </c>
      <c r="L133">
        <f>IF(F133&lt;10,F133*6000,IF(F133&lt;20,F133*5500,IF(F133&lt;30,F133*5000,F133*4000)))</f>
        <v>30000</v>
      </c>
      <c r="M133">
        <f>L133-J133-K133</f>
        <v>13500</v>
      </c>
    </row>
    <row r="134" spans="1:13" x14ac:dyDescent="0.3">
      <c r="A134">
        <v>133</v>
      </c>
      <c r="B134" s="1">
        <v>44464</v>
      </c>
      <c r="C134" s="2">
        <v>0.71141203703703704</v>
      </c>
      <c r="D134" s="1">
        <v>44464</v>
      </c>
      <c r="E134" s="3">
        <v>0.75629629629629624</v>
      </c>
      <c r="F134">
        <v>12</v>
      </c>
      <c r="G134">
        <f>I133+F134</f>
        <v>29</v>
      </c>
      <c r="H134">
        <v>6</v>
      </c>
      <c r="I134">
        <f>G134-H134</f>
        <v>23</v>
      </c>
      <c r="J134">
        <f>F134 * 1500</f>
        <v>18000</v>
      </c>
      <c r="K134">
        <f>H134*1500</f>
        <v>9000</v>
      </c>
      <c r="L134">
        <f>IF(F134&lt;10,F134*6000,IF(F134&lt;20,F134*5500,IF(F134&lt;30,F134*5000,F134*4000)))</f>
        <v>66000</v>
      </c>
      <c r="M134">
        <f>L134-J134-K134</f>
        <v>39000</v>
      </c>
    </row>
    <row r="135" spans="1:13" x14ac:dyDescent="0.3">
      <c r="A135">
        <v>134</v>
      </c>
      <c r="B135" s="1">
        <v>44465</v>
      </c>
      <c r="C135" s="2">
        <v>0.26834490740740741</v>
      </c>
      <c r="D135" s="1">
        <v>44465</v>
      </c>
      <c r="E135" s="3">
        <v>0.33027777777777778</v>
      </c>
      <c r="F135">
        <v>13</v>
      </c>
      <c r="G135">
        <f>I134+F135</f>
        <v>36</v>
      </c>
      <c r="H135">
        <v>24</v>
      </c>
      <c r="I135">
        <f>G135-H135</f>
        <v>12</v>
      </c>
      <c r="J135">
        <f>F135 * 1500</f>
        <v>19500</v>
      </c>
      <c r="K135">
        <f>H135*1500</f>
        <v>36000</v>
      </c>
      <c r="L135">
        <f>IF(F135&lt;10,F135*6000,IF(F135&lt;20,F135*5500,IF(F135&lt;30,F135*5000,F135*4000)))</f>
        <v>71500</v>
      </c>
      <c r="M135">
        <f>L135-J135-K135</f>
        <v>16000</v>
      </c>
    </row>
    <row r="136" spans="1:13" x14ac:dyDescent="0.3">
      <c r="A136">
        <v>135</v>
      </c>
      <c r="B136" s="1">
        <v>44465</v>
      </c>
      <c r="C136" s="2">
        <v>0.38269675925925922</v>
      </c>
      <c r="D136" s="1">
        <v>44465</v>
      </c>
      <c r="E136" s="3">
        <v>0.42315972222222226</v>
      </c>
      <c r="F136">
        <v>9</v>
      </c>
      <c r="G136">
        <f>I135+F136</f>
        <v>21</v>
      </c>
      <c r="H136">
        <v>2</v>
      </c>
      <c r="I136">
        <f>G136-H136</f>
        <v>19</v>
      </c>
      <c r="J136">
        <f>F136 * 1500</f>
        <v>13500</v>
      </c>
      <c r="K136">
        <f>H136*1500</f>
        <v>3000</v>
      </c>
      <c r="L136">
        <f>IF(F136&lt;10,F136*6000,IF(F136&lt;20,F136*5500,IF(F136&lt;30,F136*5000,F136*4000)))</f>
        <v>54000</v>
      </c>
      <c r="M136">
        <f>L136-J136-K136</f>
        <v>37500</v>
      </c>
    </row>
    <row r="137" spans="1:13" x14ac:dyDescent="0.3">
      <c r="A137">
        <v>136</v>
      </c>
      <c r="B137" s="1">
        <v>44465</v>
      </c>
      <c r="C137" s="2">
        <v>0.45490740740740737</v>
      </c>
      <c r="D137" s="1">
        <v>44465</v>
      </c>
      <c r="E137" s="3">
        <v>0.49594907407407413</v>
      </c>
      <c r="F137">
        <v>11</v>
      </c>
      <c r="G137">
        <f>I136+F137</f>
        <v>30</v>
      </c>
      <c r="H137">
        <v>6</v>
      </c>
      <c r="I137">
        <f>G137-H137</f>
        <v>24</v>
      </c>
      <c r="J137">
        <f>F137 * 1500</f>
        <v>16500</v>
      </c>
      <c r="K137">
        <f>H137*1500</f>
        <v>9000</v>
      </c>
      <c r="L137">
        <f>IF(F137&lt;10,F137*6000,IF(F137&lt;20,F137*5500,IF(F137&lt;30,F137*5000,F137*4000)))</f>
        <v>60500</v>
      </c>
      <c r="M137">
        <f>L137-J137-K137</f>
        <v>35000</v>
      </c>
    </row>
    <row r="138" spans="1:13" x14ac:dyDescent="0.3">
      <c r="A138">
        <v>137</v>
      </c>
      <c r="B138" s="1">
        <v>44465</v>
      </c>
      <c r="C138" s="2">
        <v>0.54450231481481481</v>
      </c>
      <c r="D138" s="1">
        <v>44465</v>
      </c>
      <c r="E138" s="3">
        <v>0.58751157407407406</v>
      </c>
      <c r="F138">
        <v>11</v>
      </c>
      <c r="G138">
        <f>I137+F138</f>
        <v>35</v>
      </c>
      <c r="H138">
        <v>9</v>
      </c>
      <c r="I138">
        <f>G138-H138</f>
        <v>26</v>
      </c>
      <c r="J138">
        <f>F138 * 1500</f>
        <v>16500</v>
      </c>
      <c r="K138">
        <f>H138*1500</f>
        <v>13500</v>
      </c>
      <c r="L138">
        <f>IF(F138&lt;10,F138*6000,IF(F138&lt;20,F138*5500,IF(F138&lt;30,F138*5000,F138*4000)))</f>
        <v>60500</v>
      </c>
      <c r="M138">
        <f>L138-J138-K138</f>
        <v>30500</v>
      </c>
    </row>
    <row r="139" spans="1:13" x14ac:dyDescent="0.3">
      <c r="A139">
        <v>138</v>
      </c>
      <c r="B139" s="1">
        <v>44465</v>
      </c>
      <c r="C139" s="2">
        <v>0.67274305555555547</v>
      </c>
      <c r="D139" s="1">
        <v>44465</v>
      </c>
      <c r="E139" s="3">
        <v>0.74657407407407417</v>
      </c>
      <c r="F139">
        <v>13</v>
      </c>
      <c r="G139">
        <f>I138+F139</f>
        <v>39</v>
      </c>
      <c r="H139">
        <v>24</v>
      </c>
      <c r="I139">
        <f>G139-H139</f>
        <v>15</v>
      </c>
      <c r="J139">
        <f>F139 * 1500</f>
        <v>19500</v>
      </c>
      <c r="K139">
        <f>H139*1500</f>
        <v>36000</v>
      </c>
      <c r="L139">
        <f>IF(F139&lt;10,F139*6000,IF(F139&lt;20,F139*5500,IF(F139&lt;30,F139*5000,F139*4000)))</f>
        <v>71500</v>
      </c>
      <c r="M139">
        <f>L139-J139-K139</f>
        <v>16000</v>
      </c>
    </row>
    <row r="140" spans="1:13" x14ac:dyDescent="0.3">
      <c r="A140">
        <v>139</v>
      </c>
      <c r="B140" s="1">
        <v>44465</v>
      </c>
      <c r="C140" s="2">
        <v>0.79449074074074078</v>
      </c>
      <c r="D140" s="1">
        <v>44465</v>
      </c>
      <c r="E140" s="3">
        <v>0.85421296296296301</v>
      </c>
      <c r="F140">
        <v>15</v>
      </c>
      <c r="G140">
        <f>I139+F140</f>
        <v>30</v>
      </c>
      <c r="H140">
        <v>6</v>
      </c>
      <c r="I140">
        <f>G140-H140</f>
        <v>24</v>
      </c>
      <c r="J140">
        <f>F140 * 1500</f>
        <v>22500</v>
      </c>
      <c r="K140">
        <f>H140*1500</f>
        <v>9000</v>
      </c>
      <c r="L140">
        <f>IF(F140&lt;10,F140*6000,IF(F140&lt;20,F140*5500,IF(F140&lt;30,F140*5000,F140*4000)))</f>
        <v>82500</v>
      </c>
      <c r="M140">
        <f>L140-J140-K140</f>
        <v>51000</v>
      </c>
    </row>
    <row r="141" spans="1:13" x14ac:dyDescent="0.3">
      <c r="A141">
        <v>140</v>
      </c>
      <c r="B141" s="1">
        <v>44466</v>
      </c>
      <c r="C141" s="2">
        <v>0.25283564814814813</v>
      </c>
      <c r="D141" s="1">
        <v>44466</v>
      </c>
      <c r="E141" s="3">
        <v>0.33119212962962963</v>
      </c>
      <c r="F141">
        <v>15</v>
      </c>
      <c r="G141">
        <f>I140+F141</f>
        <v>39</v>
      </c>
      <c r="H141">
        <v>9</v>
      </c>
      <c r="I141">
        <f>G141-H141</f>
        <v>30</v>
      </c>
      <c r="J141">
        <f>F141 * 1500</f>
        <v>22500</v>
      </c>
      <c r="K141">
        <f>H141*1500</f>
        <v>13500</v>
      </c>
      <c r="L141">
        <f>IF(F141&lt;10,F141*6000,IF(F141&lt;20,F141*5500,IF(F141&lt;30,F141*5000,F141*4000)))</f>
        <v>82500</v>
      </c>
      <c r="M141">
        <f>L141-J141-K141</f>
        <v>46500</v>
      </c>
    </row>
    <row r="142" spans="1:13" x14ac:dyDescent="0.3">
      <c r="A142">
        <v>141</v>
      </c>
      <c r="B142" s="1">
        <v>44466</v>
      </c>
      <c r="C142" s="2">
        <v>0.38195601851851851</v>
      </c>
      <c r="D142" s="1">
        <v>44466</v>
      </c>
      <c r="E142" s="3">
        <v>0.42439814814814819</v>
      </c>
      <c r="F142">
        <v>10</v>
      </c>
      <c r="G142">
        <f>I141+F142</f>
        <v>40</v>
      </c>
      <c r="H142">
        <v>19</v>
      </c>
      <c r="I142">
        <f>G142-H142</f>
        <v>21</v>
      </c>
      <c r="J142">
        <f>F142 * 1500</f>
        <v>15000</v>
      </c>
      <c r="K142">
        <f>H142*1500</f>
        <v>28500</v>
      </c>
      <c r="L142">
        <f>IF(F142&lt;10,F142*6000,IF(F142&lt;20,F142*5500,IF(F142&lt;30,F142*5000,F142*4000)))</f>
        <v>55000</v>
      </c>
      <c r="M142">
        <f>L142-J142-K142</f>
        <v>11500</v>
      </c>
    </row>
    <row r="143" spans="1:13" x14ac:dyDescent="0.3">
      <c r="A143">
        <v>142</v>
      </c>
      <c r="B143" s="1">
        <v>44466</v>
      </c>
      <c r="C143" s="2">
        <v>0.54520833333333341</v>
      </c>
      <c r="D143" s="1">
        <v>44466</v>
      </c>
      <c r="E143" s="3">
        <v>0.62854166666666667</v>
      </c>
      <c r="F143">
        <v>1</v>
      </c>
      <c r="G143">
        <f>I142+F143</f>
        <v>22</v>
      </c>
      <c r="H143">
        <v>0</v>
      </c>
      <c r="I143">
        <f>G143-H143</f>
        <v>22</v>
      </c>
      <c r="J143">
        <f>F143 * 1500</f>
        <v>1500</v>
      </c>
      <c r="K143">
        <f>H143*1500</f>
        <v>0</v>
      </c>
      <c r="L143">
        <f>IF(F143&lt;10,F143*6000,IF(F143&lt;20,F143*5500,IF(F143&lt;30,F143*5000,F143*4000)))</f>
        <v>6000</v>
      </c>
      <c r="M143">
        <f>L143-J143-K143</f>
        <v>4500</v>
      </c>
    </row>
    <row r="144" spans="1:13" x14ac:dyDescent="0.3">
      <c r="A144">
        <v>143</v>
      </c>
      <c r="B144" s="1">
        <v>44466</v>
      </c>
      <c r="C144" s="2">
        <v>0.71118055555555548</v>
      </c>
      <c r="D144" s="1">
        <v>44466</v>
      </c>
      <c r="E144" s="3">
        <v>0.79310185185185178</v>
      </c>
      <c r="F144">
        <v>3</v>
      </c>
      <c r="G144">
        <f>I143+F144</f>
        <v>25</v>
      </c>
      <c r="H144">
        <v>0</v>
      </c>
      <c r="I144">
        <f>G144-H144</f>
        <v>25</v>
      </c>
      <c r="J144">
        <f>F144 * 1500</f>
        <v>4500</v>
      </c>
      <c r="K144">
        <f>H144*1500</f>
        <v>0</v>
      </c>
      <c r="L144">
        <f>IF(F144&lt;10,F144*6000,IF(F144&lt;20,F144*5500,IF(F144&lt;30,F144*5000,F144*4000)))</f>
        <v>18000</v>
      </c>
      <c r="M144">
        <f>L144-J144-K144</f>
        <v>13500</v>
      </c>
    </row>
    <row r="145" spans="1:13" x14ac:dyDescent="0.3">
      <c r="A145">
        <v>144</v>
      </c>
      <c r="B145" s="1">
        <v>44467</v>
      </c>
      <c r="C145" s="2">
        <v>0.41951388888888891</v>
      </c>
      <c r="D145" s="1">
        <v>44467</v>
      </c>
      <c r="E145" s="3">
        <v>0.4959027777777778</v>
      </c>
      <c r="F145">
        <v>9</v>
      </c>
      <c r="G145">
        <f>I144+F145</f>
        <v>34</v>
      </c>
      <c r="H145">
        <v>14</v>
      </c>
      <c r="I145">
        <f>G145-H145</f>
        <v>20</v>
      </c>
      <c r="J145">
        <f>F145 * 1500</f>
        <v>13500</v>
      </c>
      <c r="K145">
        <f>H145*1500</f>
        <v>21000</v>
      </c>
      <c r="L145">
        <f>IF(F145&lt;10,F145*6000,IF(F145&lt;20,F145*5500,IF(F145&lt;30,F145*5000,F145*4000)))</f>
        <v>54000</v>
      </c>
      <c r="M145">
        <f>L145-J145-K145</f>
        <v>19500</v>
      </c>
    </row>
    <row r="146" spans="1:13" x14ac:dyDescent="0.3">
      <c r="A146">
        <v>145</v>
      </c>
      <c r="B146" s="1">
        <v>44467</v>
      </c>
      <c r="C146" s="2">
        <v>0.54101851851851845</v>
      </c>
      <c r="D146" s="1">
        <v>44467</v>
      </c>
      <c r="E146" s="3">
        <v>0.62842592592592594</v>
      </c>
      <c r="F146">
        <v>11</v>
      </c>
      <c r="G146">
        <f>I145+F146</f>
        <v>31</v>
      </c>
      <c r="H146">
        <v>13</v>
      </c>
      <c r="I146">
        <f>G146-H146</f>
        <v>18</v>
      </c>
      <c r="J146">
        <f>F146 * 1500</f>
        <v>16500</v>
      </c>
      <c r="K146">
        <f>H146*1500</f>
        <v>19500</v>
      </c>
      <c r="L146">
        <f>IF(F146&lt;10,F146*6000,IF(F146&lt;20,F146*5500,IF(F146&lt;30,F146*5000,F146*4000)))</f>
        <v>60500</v>
      </c>
      <c r="M146">
        <f>L146-J146-K146</f>
        <v>24500</v>
      </c>
    </row>
    <row r="147" spans="1:13" x14ac:dyDescent="0.3">
      <c r="A147">
        <v>146</v>
      </c>
      <c r="B147" s="1">
        <v>44467</v>
      </c>
      <c r="C147" s="2">
        <v>0.7125462962962964</v>
      </c>
      <c r="D147" s="1">
        <v>44467</v>
      </c>
      <c r="E147" s="3">
        <v>0.75473379629629633</v>
      </c>
      <c r="F147">
        <v>12</v>
      </c>
      <c r="G147">
        <f>I146+F147</f>
        <v>30</v>
      </c>
      <c r="H147">
        <v>9</v>
      </c>
      <c r="I147">
        <f>G147-H147</f>
        <v>21</v>
      </c>
      <c r="J147">
        <f>F147 * 1500</f>
        <v>18000</v>
      </c>
      <c r="K147">
        <f>H147*1500</f>
        <v>13500</v>
      </c>
      <c r="L147">
        <f>IF(F147&lt;10,F147*6000,IF(F147&lt;20,F147*5500,IF(F147&lt;30,F147*5000,F147*4000)))</f>
        <v>66000</v>
      </c>
      <c r="M147">
        <f>L147-J147-K147</f>
        <v>34500</v>
      </c>
    </row>
    <row r="148" spans="1:13" x14ac:dyDescent="0.3">
      <c r="A148">
        <v>147</v>
      </c>
      <c r="B148" s="1">
        <v>44467</v>
      </c>
      <c r="C148" s="2">
        <v>0.79166666666666663</v>
      </c>
      <c r="D148" s="1">
        <v>44467</v>
      </c>
      <c r="E148" s="3">
        <v>0.87570601851851848</v>
      </c>
      <c r="F148">
        <v>14</v>
      </c>
      <c r="G148">
        <f>I147+F148</f>
        <v>35</v>
      </c>
      <c r="H148">
        <v>9</v>
      </c>
      <c r="I148">
        <f>G148-H148</f>
        <v>26</v>
      </c>
      <c r="J148">
        <f>F148 * 1500</f>
        <v>21000</v>
      </c>
      <c r="K148">
        <f>H148*1500</f>
        <v>13500</v>
      </c>
      <c r="L148">
        <f>IF(F148&lt;10,F148*6000,IF(F148&lt;20,F148*5500,IF(F148&lt;30,F148*5000,F148*4000)))</f>
        <v>77000</v>
      </c>
      <c r="M148">
        <f>L148-J148-K148</f>
        <v>42500</v>
      </c>
    </row>
    <row r="149" spans="1:13" x14ac:dyDescent="0.3">
      <c r="A149">
        <v>148</v>
      </c>
      <c r="B149" s="1">
        <v>44468</v>
      </c>
      <c r="C149" s="2">
        <v>0.29934027777777777</v>
      </c>
      <c r="D149" s="1">
        <v>44468</v>
      </c>
      <c r="E149" s="3">
        <v>0.37398148148148147</v>
      </c>
      <c r="F149">
        <v>12</v>
      </c>
      <c r="G149">
        <f>I148+F149</f>
        <v>38</v>
      </c>
      <c r="H149">
        <v>16</v>
      </c>
      <c r="I149">
        <f>G149-H149</f>
        <v>22</v>
      </c>
      <c r="J149">
        <f>F149 * 1500</f>
        <v>18000</v>
      </c>
      <c r="K149">
        <f>H149*1500</f>
        <v>24000</v>
      </c>
      <c r="L149">
        <f>IF(F149&lt;10,F149*6000,IF(F149&lt;20,F149*5500,IF(F149&lt;30,F149*5000,F149*4000)))</f>
        <v>66000</v>
      </c>
      <c r="M149">
        <f>L149-J149-K149</f>
        <v>24000</v>
      </c>
    </row>
    <row r="150" spans="1:13" x14ac:dyDescent="0.3">
      <c r="A150">
        <v>149</v>
      </c>
      <c r="B150" s="1">
        <v>44468</v>
      </c>
      <c r="C150" s="2">
        <v>0.41740740740740739</v>
      </c>
      <c r="D150" s="1">
        <v>44468</v>
      </c>
      <c r="E150" s="3">
        <v>0.50071759259259252</v>
      </c>
      <c r="F150">
        <v>9</v>
      </c>
      <c r="G150">
        <f>I149+F150</f>
        <v>31</v>
      </c>
      <c r="H150">
        <v>21</v>
      </c>
      <c r="I150">
        <f>G150-H150</f>
        <v>10</v>
      </c>
      <c r="J150">
        <f>F150 * 1500</f>
        <v>13500</v>
      </c>
      <c r="K150">
        <f>H150*1500</f>
        <v>31500</v>
      </c>
      <c r="L150">
        <f>IF(F150&lt;10,F150*6000,IF(F150&lt;20,F150*5500,IF(F150&lt;30,F150*5000,F150*4000)))</f>
        <v>54000</v>
      </c>
      <c r="M150">
        <f>L150-J150-K150</f>
        <v>9000</v>
      </c>
    </row>
    <row r="151" spans="1:13" x14ac:dyDescent="0.3">
      <c r="A151">
        <v>150</v>
      </c>
      <c r="B151" s="1">
        <v>44468</v>
      </c>
      <c r="C151" s="2">
        <v>0.55636574074074074</v>
      </c>
      <c r="D151" s="1">
        <v>44468</v>
      </c>
      <c r="E151" s="3">
        <v>0.61332175925925925</v>
      </c>
      <c r="F151">
        <v>15</v>
      </c>
      <c r="G151">
        <f>I150+F151</f>
        <v>25</v>
      </c>
      <c r="H151">
        <v>9</v>
      </c>
      <c r="I151">
        <f>G151-H151</f>
        <v>16</v>
      </c>
      <c r="J151">
        <f>F151 * 1500</f>
        <v>22500</v>
      </c>
      <c r="K151">
        <f>H151*1500</f>
        <v>13500</v>
      </c>
      <c r="L151">
        <f>IF(F151&lt;10,F151*6000,IF(F151&lt;20,F151*5500,IF(F151&lt;30,F151*5000,F151*4000)))</f>
        <v>82500</v>
      </c>
      <c r="M151">
        <f>L151-J151-K151</f>
        <v>46500</v>
      </c>
    </row>
    <row r="152" spans="1:13" x14ac:dyDescent="0.3">
      <c r="A152">
        <v>151</v>
      </c>
      <c r="B152" s="1">
        <v>44468</v>
      </c>
      <c r="C152" s="2">
        <v>0.67305555555555552</v>
      </c>
      <c r="D152" s="1">
        <v>44468</v>
      </c>
      <c r="E152" s="3">
        <v>0.73208333333333331</v>
      </c>
      <c r="F152">
        <v>14</v>
      </c>
      <c r="G152">
        <f>I151+F152</f>
        <v>30</v>
      </c>
      <c r="H152">
        <v>8</v>
      </c>
      <c r="I152">
        <f>G152-H152</f>
        <v>22</v>
      </c>
      <c r="J152">
        <f>F152 * 1500</f>
        <v>21000</v>
      </c>
      <c r="K152">
        <f>H152*1500</f>
        <v>12000</v>
      </c>
      <c r="L152">
        <f>IF(F152&lt;10,F152*6000,IF(F152&lt;20,F152*5500,IF(F152&lt;30,F152*5000,F152*4000)))</f>
        <v>77000</v>
      </c>
      <c r="M152">
        <f>L152-J152-K152</f>
        <v>44000</v>
      </c>
    </row>
    <row r="153" spans="1:13" x14ac:dyDescent="0.3">
      <c r="A153">
        <v>152</v>
      </c>
      <c r="B153" s="1">
        <v>44468</v>
      </c>
      <c r="C153" s="2">
        <v>0.79931712962962964</v>
      </c>
      <c r="D153" s="1">
        <v>44468</v>
      </c>
      <c r="E153" s="3">
        <v>0.84817129629629628</v>
      </c>
      <c r="F153">
        <v>16</v>
      </c>
      <c r="G153">
        <f>I152+F153</f>
        <v>38</v>
      </c>
      <c r="H153">
        <v>21</v>
      </c>
      <c r="I153">
        <f>G153-H153</f>
        <v>17</v>
      </c>
      <c r="J153">
        <f>F153 * 1500</f>
        <v>24000</v>
      </c>
      <c r="K153">
        <f>H153*1500</f>
        <v>31500</v>
      </c>
      <c r="L153">
        <f>IF(F153&lt;10,F153*6000,IF(F153&lt;20,F153*5500,IF(F153&lt;30,F153*5000,F153*4000)))</f>
        <v>88000</v>
      </c>
      <c r="M153">
        <f>L153-J153-K153</f>
        <v>32500</v>
      </c>
    </row>
    <row r="154" spans="1:13" x14ac:dyDescent="0.3">
      <c r="A154">
        <v>153</v>
      </c>
      <c r="B154" s="1">
        <v>44468</v>
      </c>
      <c r="C154" s="2">
        <v>0.9611574074074074</v>
      </c>
      <c r="D154" s="1">
        <v>44469</v>
      </c>
      <c r="E154" s="3">
        <v>3.9629629629629633E-2</v>
      </c>
      <c r="F154">
        <v>14</v>
      </c>
      <c r="G154">
        <f>I153+F154</f>
        <v>31</v>
      </c>
      <c r="H154">
        <v>9</v>
      </c>
      <c r="I154">
        <f>G154-H154</f>
        <v>22</v>
      </c>
      <c r="J154">
        <f>F154 * 1500</f>
        <v>21000</v>
      </c>
      <c r="K154">
        <f>H154*1500</f>
        <v>13500</v>
      </c>
      <c r="L154">
        <f>IF(F154&lt;10,F154*6000,IF(F154&lt;20,F154*5500,IF(F154&lt;30,F154*5000,F154*4000)))</f>
        <v>77000</v>
      </c>
      <c r="M154">
        <f>L154-J154-K154</f>
        <v>42500</v>
      </c>
    </row>
    <row r="155" spans="1:13" x14ac:dyDescent="0.3">
      <c r="A155">
        <v>154</v>
      </c>
      <c r="B155" s="1">
        <v>44469</v>
      </c>
      <c r="C155" s="2">
        <v>0.3125</v>
      </c>
      <c r="D155" s="1">
        <v>44469</v>
      </c>
      <c r="E155" s="3">
        <v>0.33385416666666662</v>
      </c>
      <c r="F155">
        <v>17</v>
      </c>
      <c r="G155">
        <f>I154+F155</f>
        <v>39</v>
      </c>
      <c r="H155">
        <v>3</v>
      </c>
      <c r="I155">
        <f>G155-H155</f>
        <v>36</v>
      </c>
      <c r="J155">
        <f>F155 * 1500</f>
        <v>25500</v>
      </c>
      <c r="K155">
        <f>H155*1500</f>
        <v>4500</v>
      </c>
      <c r="L155">
        <f>IF(F155&lt;10,F155*6000,IF(F155&lt;20,F155*5500,IF(F155&lt;30,F155*5000,F155*4000)))</f>
        <v>93500</v>
      </c>
      <c r="M155">
        <f>L155-J155-K155</f>
        <v>63500</v>
      </c>
    </row>
    <row r="156" spans="1:13" x14ac:dyDescent="0.3">
      <c r="A156">
        <v>155</v>
      </c>
      <c r="B156" s="1">
        <v>44469</v>
      </c>
      <c r="C156" s="2">
        <v>0.44229166666666669</v>
      </c>
      <c r="D156" s="1">
        <v>44469</v>
      </c>
      <c r="E156" s="3">
        <v>0.50074074074074071</v>
      </c>
      <c r="F156">
        <v>0</v>
      </c>
      <c r="G156">
        <f>I155+F156</f>
        <v>36</v>
      </c>
      <c r="H156">
        <v>9</v>
      </c>
      <c r="I156">
        <f>G156-H156</f>
        <v>27</v>
      </c>
      <c r="J156">
        <f>F156 * 1500</f>
        <v>0</v>
      </c>
      <c r="K156">
        <f>H156*1500</f>
        <v>13500</v>
      </c>
      <c r="L156">
        <f>IF(F156&lt;10,F156*6000,IF(F156&lt;20,F156*5500,IF(F156&lt;30,F156*5000,F156*4000)))</f>
        <v>0</v>
      </c>
      <c r="M156">
        <f>L156-J156-K156</f>
        <v>-13500</v>
      </c>
    </row>
    <row r="157" spans="1:13" x14ac:dyDescent="0.3">
      <c r="A157">
        <v>156</v>
      </c>
      <c r="B157" s="1">
        <v>44469</v>
      </c>
      <c r="C157" s="2">
        <v>0.59045138888888882</v>
      </c>
      <c r="D157" s="1">
        <v>44469</v>
      </c>
      <c r="E157" s="3">
        <v>0.63065972222222222</v>
      </c>
      <c r="F157">
        <v>14</v>
      </c>
      <c r="G157">
        <f>I156+F157</f>
        <v>41</v>
      </c>
      <c r="H157">
        <v>8</v>
      </c>
      <c r="I157">
        <f>G157-H157</f>
        <v>33</v>
      </c>
      <c r="J157">
        <f>F157 * 1500</f>
        <v>21000</v>
      </c>
      <c r="K157">
        <f>H157*1500</f>
        <v>12000</v>
      </c>
      <c r="L157">
        <f>IF(F157&lt;10,F157*6000,IF(F157&lt;20,F157*5500,IF(F157&lt;30,F157*5000,F157*4000)))</f>
        <v>77000</v>
      </c>
      <c r="M157">
        <f>L157-J157-K157</f>
        <v>44000</v>
      </c>
    </row>
    <row r="158" spans="1:13" x14ac:dyDescent="0.3">
      <c r="A158">
        <v>157</v>
      </c>
      <c r="B158" s="1">
        <v>44469</v>
      </c>
      <c r="C158" s="2">
        <v>0.7142708333333333</v>
      </c>
      <c r="D158" s="1">
        <v>44469</v>
      </c>
      <c r="E158" s="3">
        <v>0.789525462962963</v>
      </c>
      <c r="F158">
        <v>6</v>
      </c>
      <c r="G158">
        <f>I157+F158</f>
        <v>39</v>
      </c>
      <c r="H158">
        <v>39</v>
      </c>
      <c r="I158">
        <f>G158-H158</f>
        <v>0</v>
      </c>
      <c r="J158">
        <f>F158 * 1500</f>
        <v>9000</v>
      </c>
      <c r="K158">
        <f>H158*1500</f>
        <v>58500</v>
      </c>
      <c r="L158">
        <f>IF(F158&lt;10,F158*6000,IF(F158&lt;20,F158*5500,IF(F158&lt;30,F158*5000,F158*4000)))</f>
        <v>36000</v>
      </c>
      <c r="M158">
        <f>L158-J158-K158</f>
        <v>-31500</v>
      </c>
    </row>
  </sheetData>
  <conditionalFormatting sqref="G1:G1048576">
    <cfRule type="cellIs" dxfId="3" priority="1" operator="greaterThan">
      <formula>40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8"/>
  <sheetViews>
    <sheetView workbookViewId="0">
      <selection activeCell="P15" sqref="P15"/>
    </sheetView>
  </sheetViews>
  <sheetFormatPr defaultRowHeight="14.4" x14ac:dyDescent="0.3"/>
  <cols>
    <col min="1" max="1" width="4" bestFit="1" customWidth="1"/>
    <col min="2" max="2" width="10.6640625" bestFit="1" customWidth="1"/>
    <col min="3" max="3" width="13.33203125" bestFit="1" customWidth="1"/>
    <col min="4" max="4" width="11.6640625" bestFit="1" customWidth="1"/>
    <col min="5" max="5" width="14.33203125" style="3" bestFit="1" customWidth="1"/>
    <col min="6" max="6" width="15" bestFit="1" customWidth="1"/>
    <col min="7" max="7" width="15" customWidth="1"/>
    <col min="8" max="8" width="15.5546875" bestFit="1" customWidth="1"/>
    <col min="9" max="9" width="10.5546875" bestFit="1" customWidth="1"/>
    <col min="10" max="10" width="14.21875" bestFit="1" customWidth="1"/>
    <col min="11" max="11" width="16.5546875" bestFit="1" customWidth="1"/>
    <col min="12" max="12" width="13.2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6</v>
      </c>
      <c r="G1" t="s">
        <v>10</v>
      </c>
      <c r="H1" t="s">
        <v>5</v>
      </c>
      <c r="I1" t="s">
        <v>12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5" x14ac:dyDescent="0.3">
      <c r="A2">
        <v>1</v>
      </c>
      <c r="B2" s="1">
        <v>44440</v>
      </c>
      <c r="C2" s="2">
        <v>0.33333333333333331</v>
      </c>
      <c r="D2" s="1">
        <v>44440</v>
      </c>
      <c r="E2" s="3">
        <v>0.38513888888888892</v>
      </c>
      <c r="F2">
        <v>12</v>
      </c>
      <c r="G2">
        <f>F2</f>
        <v>12</v>
      </c>
      <c r="H2">
        <v>0</v>
      </c>
      <c r="I2">
        <f>G2-H2</f>
        <v>12</v>
      </c>
      <c r="J2">
        <f>F2 * 1500</f>
        <v>18000</v>
      </c>
      <c r="K2">
        <f>H2*1500</f>
        <v>0</v>
      </c>
      <c r="L2">
        <f>IF(F2&lt;10,F2*6000,IF(F2&lt;20,F2*5500,IF(F2&lt;30,F2*5000,F2*4000)))</f>
        <v>66000</v>
      </c>
      <c r="M2">
        <f>L2-J2-K2</f>
        <v>48000</v>
      </c>
      <c r="N2">
        <f>IF(M2&lt;0,1,0)</f>
        <v>0</v>
      </c>
      <c r="O2" s="7">
        <f>SUM(N:N)</f>
        <v>12</v>
      </c>
    </row>
    <row r="3" spans="1:15" x14ac:dyDescent="0.3">
      <c r="A3">
        <v>2</v>
      </c>
      <c r="B3" s="1">
        <v>44440</v>
      </c>
      <c r="C3" s="2">
        <v>0.42430555555555555</v>
      </c>
      <c r="D3" s="1">
        <v>44440</v>
      </c>
      <c r="E3" s="3">
        <v>0.55934027777777773</v>
      </c>
      <c r="F3">
        <v>11</v>
      </c>
      <c r="G3">
        <f>I2+F3</f>
        <v>23</v>
      </c>
      <c r="H3">
        <v>16</v>
      </c>
      <c r="I3">
        <f>G3-H3</f>
        <v>7</v>
      </c>
      <c r="J3">
        <f>F3 * 1500</f>
        <v>16500</v>
      </c>
      <c r="K3">
        <f>H3*1500</f>
        <v>24000</v>
      </c>
      <c r="L3">
        <f>IF(F3&lt;10,F3*6000,IF(F3&lt;20,F3*5500,IF(F3&lt;30,F3*5000,F3*4000)))</f>
        <v>60500</v>
      </c>
      <c r="M3">
        <f>L3-J3-K3</f>
        <v>20000</v>
      </c>
      <c r="N3">
        <f t="shared" ref="N3:N66" si="0">IF(M3&lt;0,1,0)</f>
        <v>0</v>
      </c>
    </row>
    <row r="4" spans="1:15" x14ac:dyDescent="0.3">
      <c r="A4">
        <v>3</v>
      </c>
      <c r="B4" s="1">
        <v>44440</v>
      </c>
      <c r="C4" s="2">
        <v>0.64613425925925927</v>
      </c>
      <c r="D4" s="1">
        <v>44440</v>
      </c>
      <c r="E4" s="3">
        <v>0.71621527777777771</v>
      </c>
      <c r="F4">
        <v>9</v>
      </c>
      <c r="G4">
        <f>I3+F4</f>
        <v>16</v>
      </c>
      <c r="H4">
        <v>0</v>
      </c>
      <c r="I4">
        <f>G4-H4</f>
        <v>16</v>
      </c>
      <c r="J4">
        <f>F4 * 1500</f>
        <v>13500</v>
      </c>
      <c r="K4">
        <f>H4*1500</f>
        <v>0</v>
      </c>
      <c r="L4">
        <f>IF(F4&lt;10,F4*6000,IF(F4&lt;20,F4*5500,IF(F4&lt;30,F4*5000,F4*4000)))</f>
        <v>54000</v>
      </c>
      <c r="M4">
        <f>L4-J4-K4</f>
        <v>40500</v>
      </c>
      <c r="N4">
        <f t="shared" si="0"/>
        <v>0</v>
      </c>
    </row>
    <row r="5" spans="1:15" x14ac:dyDescent="0.3">
      <c r="A5">
        <v>4</v>
      </c>
      <c r="B5" s="1">
        <v>44440</v>
      </c>
      <c r="C5" s="2">
        <v>0.76347222222222222</v>
      </c>
      <c r="D5" s="1">
        <v>44440</v>
      </c>
      <c r="E5" s="3">
        <v>0.91402777777777777</v>
      </c>
      <c r="F5">
        <v>14</v>
      </c>
      <c r="G5">
        <f>I4+F5</f>
        <v>30</v>
      </c>
      <c r="H5">
        <v>11</v>
      </c>
      <c r="I5">
        <f>G5-H5</f>
        <v>19</v>
      </c>
      <c r="J5">
        <f>F5 * 1500</f>
        <v>21000</v>
      </c>
      <c r="K5">
        <f>H5*1500</f>
        <v>16500</v>
      </c>
      <c r="L5">
        <f>IF(F5&lt;10,F5*6000,IF(F5&lt;20,F5*5500,IF(F5&lt;30,F5*5000,F5*4000)))</f>
        <v>77000</v>
      </c>
      <c r="M5">
        <f>L5-J5-K5</f>
        <v>39500</v>
      </c>
      <c r="N5">
        <f t="shared" si="0"/>
        <v>0</v>
      </c>
    </row>
    <row r="6" spans="1:15" x14ac:dyDescent="0.3">
      <c r="A6">
        <v>5</v>
      </c>
      <c r="B6" s="1">
        <v>44441</v>
      </c>
      <c r="C6" s="2">
        <v>0.17721064814814813</v>
      </c>
      <c r="D6" s="1">
        <v>44441</v>
      </c>
      <c r="E6" s="3">
        <v>0.27315972222222223</v>
      </c>
      <c r="F6">
        <v>21</v>
      </c>
      <c r="G6">
        <f>I5+F6</f>
        <v>40</v>
      </c>
      <c r="H6">
        <v>15</v>
      </c>
      <c r="I6">
        <f>G6-H6</f>
        <v>25</v>
      </c>
      <c r="J6">
        <f>F6 * 1500</f>
        <v>31500</v>
      </c>
      <c r="K6">
        <f>H6*1500</f>
        <v>22500</v>
      </c>
      <c r="L6">
        <f>IF(F6&lt;10,F6*6000,IF(F6&lt;20,F6*5500,IF(F6&lt;30,F6*5000,F6*4000)))</f>
        <v>105000</v>
      </c>
      <c r="M6">
        <f>L6-J6-K6</f>
        <v>51000</v>
      </c>
      <c r="N6">
        <f t="shared" si="0"/>
        <v>0</v>
      </c>
    </row>
    <row r="7" spans="1:15" x14ac:dyDescent="0.3">
      <c r="A7">
        <v>6</v>
      </c>
      <c r="B7" s="1">
        <v>44441</v>
      </c>
      <c r="C7" s="2">
        <v>0.34736111111111106</v>
      </c>
      <c r="D7" s="1">
        <v>44441</v>
      </c>
      <c r="E7" s="3">
        <v>0.42460648148148145</v>
      </c>
      <c r="F7">
        <v>11</v>
      </c>
      <c r="G7">
        <f>I6+F7</f>
        <v>36</v>
      </c>
      <c r="H7">
        <v>24</v>
      </c>
      <c r="I7">
        <f>G7-H7</f>
        <v>12</v>
      </c>
      <c r="J7">
        <f>F7 * 1500</f>
        <v>16500</v>
      </c>
      <c r="K7">
        <f>H7*1500</f>
        <v>36000</v>
      </c>
      <c r="L7">
        <f>IF(F7&lt;10,F7*6000,IF(F7&lt;20,F7*5500,IF(F7&lt;30,F7*5000,F7*4000)))</f>
        <v>60500</v>
      </c>
      <c r="M7">
        <f>L7-J7-K7</f>
        <v>8000</v>
      </c>
      <c r="N7">
        <f t="shared" si="0"/>
        <v>0</v>
      </c>
    </row>
    <row r="8" spans="1:15" x14ac:dyDescent="0.3">
      <c r="A8">
        <v>7</v>
      </c>
      <c r="B8" s="1">
        <v>44441</v>
      </c>
      <c r="C8" s="2">
        <v>0.48079861111111111</v>
      </c>
      <c r="D8" s="1">
        <v>44441</v>
      </c>
      <c r="E8" s="3">
        <v>0.57214120370370369</v>
      </c>
      <c r="F8">
        <v>19</v>
      </c>
      <c r="G8">
        <f>I7+F8</f>
        <v>31</v>
      </c>
      <c r="H8">
        <v>10</v>
      </c>
      <c r="I8">
        <f>G8-H8</f>
        <v>21</v>
      </c>
      <c r="J8">
        <f>F8 * 1500</f>
        <v>28500</v>
      </c>
      <c r="K8">
        <f>H8*1500</f>
        <v>15000</v>
      </c>
      <c r="L8">
        <f>IF(F8&lt;10,F8*6000,IF(F8&lt;20,F8*5500,IF(F8&lt;30,F8*5000,F8*4000)))</f>
        <v>104500</v>
      </c>
      <c r="M8">
        <f>L8-J8-K8</f>
        <v>61000</v>
      </c>
      <c r="N8">
        <f t="shared" si="0"/>
        <v>0</v>
      </c>
    </row>
    <row r="9" spans="1:15" x14ac:dyDescent="0.3">
      <c r="A9">
        <v>8</v>
      </c>
      <c r="B9" s="1">
        <v>44441</v>
      </c>
      <c r="C9" s="2">
        <v>0.63290509259259264</v>
      </c>
      <c r="D9" s="1">
        <v>44441</v>
      </c>
      <c r="E9" s="3">
        <v>0.72944444444444445</v>
      </c>
      <c r="F9">
        <v>9</v>
      </c>
      <c r="G9">
        <f>I8+F9</f>
        <v>30</v>
      </c>
      <c r="H9">
        <v>11</v>
      </c>
      <c r="I9">
        <f>G9-H9</f>
        <v>19</v>
      </c>
      <c r="J9">
        <f>F9 * 1500</f>
        <v>13500</v>
      </c>
      <c r="K9">
        <f>H9*1500</f>
        <v>16500</v>
      </c>
      <c r="L9">
        <f>IF(F9&lt;10,F9*6000,IF(F9&lt;20,F9*5500,IF(F9&lt;30,F9*5000,F9*4000)))</f>
        <v>54000</v>
      </c>
      <c r="M9">
        <f>L9-J9-K9</f>
        <v>24000</v>
      </c>
      <c r="N9">
        <f t="shared" si="0"/>
        <v>0</v>
      </c>
    </row>
    <row r="10" spans="1:15" x14ac:dyDescent="0.3">
      <c r="A10">
        <v>9</v>
      </c>
      <c r="B10" s="1">
        <v>44441</v>
      </c>
      <c r="C10" s="2">
        <v>0.80592592592592593</v>
      </c>
      <c r="D10" s="1">
        <v>44441</v>
      </c>
      <c r="E10" s="3">
        <v>0.89690972222222232</v>
      </c>
      <c r="F10">
        <v>12</v>
      </c>
      <c r="G10">
        <f>I9+F10</f>
        <v>31</v>
      </c>
      <c r="H10">
        <v>15</v>
      </c>
      <c r="I10">
        <f>G10-H10</f>
        <v>16</v>
      </c>
      <c r="J10">
        <f>F10 * 1500</f>
        <v>18000</v>
      </c>
      <c r="K10">
        <f>H10*1500</f>
        <v>22500</v>
      </c>
      <c r="L10">
        <f>IF(F10&lt;10,F10*6000,IF(F10&lt;20,F10*5500,IF(F10&lt;30,F10*5000,F10*4000)))</f>
        <v>66000</v>
      </c>
      <c r="M10">
        <f>L10-J10-K10</f>
        <v>25500</v>
      </c>
      <c r="N10">
        <f t="shared" si="0"/>
        <v>0</v>
      </c>
    </row>
    <row r="11" spans="1:15" x14ac:dyDescent="0.3">
      <c r="A11">
        <v>10</v>
      </c>
      <c r="B11" s="1">
        <v>44442</v>
      </c>
      <c r="C11" s="2">
        <v>0.13548611111111111</v>
      </c>
      <c r="D11" s="1">
        <v>44442</v>
      </c>
      <c r="E11" s="3">
        <v>0.31579861111111113</v>
      </c>
      <c r="F11">
        <v>17</v>
      </c>
      <c r="G11">
        <f>I10+F11</f>
        <v>33</v>
      </c>
      <c r="H11">
        <v>22</v>
      </c>
      <c r="I11">
        <f>G11-H11</f>
        <v>11</v>
      </c>
      <c r="J11">
        <f>F11 * 1500</f>
        <v>25500</v>
      </c>
      <c r="K11">
        <f>H11*1500</f>
        <v>33000</v>
      </c>
      <c r="L11">
        <f>IF(F11&lt;10,F11*6000,IF(F11&lt;20,F11*5500,IF(F11&lt;30,F11*5000,F11*4000)))</f>
        <v>93500</v>
      </c>
      <c r="M11">
        <f>L11-J11-K11</f>
        <v>35000</v>
      </c>
      <c r="N11">
        <f t="shared" si="0"/>
        <v>0</v>
      </c>
    </row>
    <row r="12" spans="1:15" x14ac:dyDescent="0.3">
      <c r="A12">
        <v>11</v>
      </c>
      <c r="B12" s="1">
        <v>44442</v>
      </c>
      <c r="C12" s="2">
        <v>0.37784722222222222</v>
      </c>
      <c r="D12" s="1">
        <v>44442</v>
      </c>
      <c r="E12" s="3">
        <v>0.46140046296296294</v>
      </c>
      <c r="F12">
        <v>14</v>
      </c>
      <c r="G12">
        <f>I11+F12</f>
        <v>25</v>
      </c>
      <c r="H12">
        <v>10</v>
      </c>
      <c r="I12">
        <f>G12-H12</f>
        <v>15</v>
      </c>
      <c r="J12">
        <f>F12 * 1500</f>
        <v>21000</v>
      </c>
      <c r="K12">
        <f>H12*1500</f>
        <v>15000</v>
      </c>
      <c r="L12">
        <f>IF(F12&lt;10,F12*6000,IF(F12&lt;20,F12*5500,IF(F12&lt;30,F12*5000,F12*4000)))</f>
        <v>77000</v>
      </c>
      <c r="M12">
        <f>L12-J12-K12</f>
        <v>41000</v>
      </c>
      <c r="N12">
        <f t="shared" si="0"/>
        <v>0</v>
      </c>
    </row>
    <row r="13" spans="1:15" x14ac:dyDescent="0.3">
      <c r="A13">
        <v>12</v>
      </c>
      <c r="B13" s="1">
        <v>44442</v>
      </c>
      <c r="C13" s="2">
        <v>0.50086805555555558</v>
      </c>
      <c r="D13" s="1">
        <v>44442</v>
      </c>
      <c r="E13" s="3">
        <v>0.63633101851851859</v>
      </c>
      <c r="F13">
        <v>24</v>
      </c>
      <c r="G13">
        <f>I12+F13</f>
        <v>39</v>
      </c>
      <c r="H13">
        <v>19</v>
      </c>
      <c r="I13">
        <f>G13-H13</f>
        <v>20</v>
      </c>
      <c r="J13">
        <f>F13 * 1500</f>
        <v>36000</v>
      </c>
      <c r="K13">
        <f>H13*1500</f>
        <v>28500</v>
      </c>
      <c r="L13">
        <f>IF(F13&lt;10,F13*6000,IF(F13&lt;20,F13*5500,IF(F13&lt;30,F13*5000,F13*4000)))</f>
        <v>120000</v>
      </c>
      <c r="M13">
        <f>L13-J13-K13</f>
        <v>55500</v>
      </c>
      <c r="N13">
        <f t="shared" si="0"/>
        <v>0</v>
      </c>
    </row>
    <row r="14" spans="1:15" x14ac:dyDescent="0.3">
      <c r="A14">
        <v>13</v>
      </c>
      <c r="B14" s="1">
        <v>44442</v>
      </c>
      <c r="C14" s="2">
        <v>0.7049305555555555</v>
      </c>
      <c r="D14" s="1">
        <v>44442</v>
      </c>
      <c r="E14" s="3">
        <v>0.76827546296296301</v>
      </c>
      <c r="F14">
        <v>16</v>
      </c>
      <c r="G14">
        <f>I13+F14</f>
        <v>36</v>
      </c>
      <c r="H14">
        <v>11</v>
      </c>
      <c r="I14">
        <f>G14-H14</f>
        <v>25</v>
      </c>
      <c r="J14">
        <f>F14 * 1500</f>
        <v>24000</v>
      </c>
      <c r="K14">
        <f>H14*1500</f>
        <v>16500</v>
      </c>
      <c r="L14">
        <f>IF(F14&lt;10,F14*6000,IF(F14&lt;20,F14*5500,IF(F14&lt;30,F14*5000,F14*4000)))</f>
        <v>88000</v>
      </c>
      <c r="M14">
        <f>L14-J14-K14</f>
        <v>47500</v>
      </c>
      <c r="N14">
        <f t="shared" si="0"/>
        <v>0</v>
      </c>
    </row>
    <row r="15" spans="1:15" x14ac:dyDescent="0.3">
      <c r="A15">
        <v>14</v>
      </c>
      <c r="B15" s="1">
        <v>44442</v>
      </c>
      <c r="C15" s="2">
        <v>0.80994212962962964</v>
      </c>
      <c r="D15" s="1">
        <v>44442</v>
      </c>
      <c r="E15" s="3">
        <v>0.92829861111111101</v>
      </c>
      <c r="F15">
        <v>15</v>
      </c>
      <c r="G15">
        <f>I14+F15</f>
        <v>40</v>
      </c>
      <c r="H15">
        <v>9</v>
      </c>
      <c r="I15">
        <f>G15-H15</f>
        <v>31</v>
      </c>
      <c r="J15">
        <f>F15 * 1500</f>
        <v>22500</v>
      </c>
      <c r="K15">
        <f>H15*1500</f>
        <v>13500</v>
      </c>
      <c r="L15">
        <f>IF(F15&lt;10,F15*6000,IF(F15&lt;20,F15*5500,IF(F15&lt;30,F15*5000,F15*4000)))</f>
        <v>82500</v>
      </c>
      <c r="M15">
        <f>L15-J15-K15</f>
        <v>46500</v>
      </c>
      <c r="N15">
        <f t="shared" si="0"/>
        <v>0</v>
      </c>
    </row>
    <row r="16" spans="1:15" x14ac:dyDescent="0.3">
      <c r="A16">
        <v>15</v>
      </c>
      <c r="B16" s="1">
        <v>44443</v>
      </c>
      <c r="C16" s="2">
        <v>0.17093749999999999</v>
      </c>
      <c r="D16" s="1">
        <v>44443</v>
      </c>
      <c r="E16" s="3">
        <v>0.25318287037037041</v>
      </c>
      <c r="F16">
        <v>7</v>
      </c>
      <c r="G16">
        <f>I15+F16</f>
        <v>38</v>
      </c>
      <c r="H16">
        <v>16</v>
      </c>
      <c r="I16">
        <f>G16-H16</f>
        <v>22</v>
      </c>
      <c r="J16">
        <f>F16 * 1500</f>
        <v>10500</v>
      </c>
      <c r="K16">
        <f>H16*1500</f>
        <v>24000</v>
      </c>
      <c r="L16">
        <f>IF(F16&lt;10,F16*6000,IF(F16&lt;20,F16*5500,IF(F16&lt;30,F16*5000,F16*4000)))</f>
        <v>42000</v>
      </c>
      <c r="M16">
        <f>L16-J16-K16</f>
        <v>7500</v>
      </c>
      <c r="N16">
        <f t="shared" si="0"/>
        <v>0</v>
      </c>
    </row>
    <row r="17" spans="1:14" x14ac:dyDescent="0.3">
      <c r="A17">
        <v>16</v>
      </c>
      <c r="B17" s="1">
        <v>44443</v>
      </c>
      <c r="C17" s="2">
        <v>0.29620370370370369</v>
      </c>
      <c r="D17" s="1">
        <v>44443</v>
      </c>
      <c r="E17" s="3">
        <v>0.34704861111111113</v>
      </c>
      <c r="F17">
        <v>9</v>
      </c>
      <c r="G17">
        <f>I16+F17</f>
        <v>31</v>
      </c>
      <c r="H17">
        <v>11</v>
      </c>
      <c r="I17">
        <f>G17-H17</f>
        <v>20</v>
      </c>
      <c r="J17">
        <f>F17 * 1500</f>
        <v>13500</v>
      </c>
      <c r="K17">
        <f>H17*1500</f>
        <v>16500</v>
      </c>
      <c r="L17">
        <f>IF(F17&lt;10,F17*6000,IF(F17&lt;20,F17*5500,IF(F17&lt;30,F17*5000,F17*4000)))</f>
        <v>54000</v>
      </c>
      <c r="M17">
        <f>L17-J17-K17</f>
        <v>24000</v>
      </c>
      <c r="N17">
        <f t="shared" si="0"/>
        <v>0</v>
      </c>
    </row>
    <row r="18" spans="1:14" x14ac:dyDescent="0.3">
      <c r="A18">
        <v>17</v>
      </c>
      <c r="B18" s="1">
        <v>44443</v>
      </c>
      <c r="C18" s="2">
        <v>0.3578587962962963</v>
      </c>
      <c r="D18" s="1">
        <v>44443</v>
      </c>
      <c r="E18" s="3">
        <v>0.42055555555555557</v>
      </c>
      <c r="F18">
        <v>13</v>
      </c>
      <c r="G18">
        <f>I17+F18</f>
        <v>33</v>
      </c>
      <c r="H18">
        <v>18</v>
      </c>
      <c r="I18">
        <f>G18-H18</f>
        <v>15</v>
      </c>
      <c r="J18">
        <f>F18 * 1500</f>
        <v>19500</v>
      </c>
      <c r="K18">
        <f>H18*1500</f>
        <v>27000</v>
      </c>
      <c r="L18">
        <f>IF(F18&lt;10,F18*6000,IF(F18&lt;20,F18*5500,IF(F18&lt;30,F18*5000,F18*4000)))</f>
        <v>71500</v>
      </c>
      <c r="M18">
        <f>L18-J18-K18</f>
        <v>25000</v>
      </c>
      <c r="N18">
        <f t="shared" si="0"/>
        <v>0</v>
      </c>
    </row>
    <row r="19" spans="1:14" x14ac:dyDescent="0.3">
      <c r="A19">
        <v>18</v>
      </c>
      <c r="B19" s="1">
        <v>44443</v>
      </c>
      <c r="C19" s="2">
        <v>0.48564814814814811</v>
      </c>
      <c r="D19" s="1">
        <v>44443</v>
      </c>
      <c r="E19" s="3">
        <v>0.53831018518518514</v>
      </c>
      <c r="F19">
        <v>22</v>
      </c>
      <c r="G19">
        <f>I18+F19</f>
        <v>37</v>
      </c>
      <c r="H19">
        <v>5</v>
      </c>
      <c r="I19">
        <f>G19-H19</f>
        <v>32</v>
      </c>
      <c r="J19">
        <f>F19 * 1500</f>
        <v>33000</v>
      </c>
      <c r="K19">
        <f>H19*1500</f>
        <v>7500</v>
      </c>
      <c r="L19">
        <f>IF(F19&lt;10,F19*6000,IF(F19&lt;20,F19*5500,IF(F19&lt;30,F19*5000,F19*4000)))</f>
        <v>110000</v>
      </c>
      <c r="M19">
        <f>L19-J19-K19</f>
        <v>69500</v>
      </c>
      <c r="N19">
        <f t="shared" si="0"/>
        <v>0</v>
      </c>
    </row>
    <row r="20" spans="1:14" x14ac:dyDescent="0.3">
      <c r="A20">
        <v>19</v>
      </c>
      <c r="B20" s="1">
        <v>44443</v>
      </c>
      <c r="C20" s="2">
        <v>0.70219907407407411</v>
      </c>
      <c r="D20" s="1">
        <v>44443</v>
      </c>
      <c r="E20" s="3">
        <v>0.7736574074074074</v>
      </c>
      <c r="F20">
        <v>8</v>
      </c>
      <c r="G20">
        <f>I19+F20</f>
        <v>40</v>
      </c>
      <c r="H20">
        <v>23</v>
      </c>
      <c r="I20">
        <f>G20-H20</f>
        <v>17</v>
      </c>
      <c r="J20">
        <f>F20 * 1500</f>
        <v>12000</v>
      </c>
      <c r="K20">
        <f>H20*1500</f>
        <v>34500</v>
      </c>
      <c r="L20">
        <f>IF(F20&lt;10,F20*6000,IF(F20&lt;20,F20*5500,IF(F20&lt;30,F20*5000,F20*4000)))</f>
        <v>48000</v>
      </c>
      <c r="M20">
        <f>L20-J20-K20</f>
        <v>1500</v>
      </c>
      <c r="N20">
        <f t="shared" si="0"/>
        <v>0</v>
      </c>
    </row>
    <row r="21" spans="1:14" x14ac:dyDescent="0.3">
      <c r="A21">
        <v>20</v>
      </c>
      <c r="B21" s="1">
        <v>44443</v>
      </c>
      <c r="C21" s="2">
        <v>0.80978009259259265</v>
      </c>
      <c r="D21" s="1">
        <v>44443</v>
      </c>
      <c r="E21" s="3">
        <v>0.96615740740740741</v>
      </c>
      <c r="F21">
        <v>11</v>
      </c>
      <c r="G21">
        <f>I20+F21</f>
        <v>28</v>
      </c>
      <c r="H21">
        <v>14</v>
      </c>
      <c r="I21">
        <f>G21-H21</f>
        <v>14</v>
      </c>
      <c r="J21">
        <f>F21 * 1500</f>
        <v>16500</v>
      </c>
      <c r="K21">
        <f>H21*1500</f>
        <v>21000</v>
      </c>
      <c r="L21">
        <f>IF(F21&lt;10,F21*6000,IF(F21&lt;20,F21*5500,IF(F21&lt;30,F21*5000,F21*4000)))</f>
        <v>60500</v>
      </c>
      <c r="M21">
        <f>L21-J21-K21</f>
        <v>23000</v>
      </c>
      <c r="N21">
        <f t="shared" si="0"/>
        <v>0</v>
      </c>
    </row>
    <row r="22" spans="1:14" x14ac:dyDescent="0.3">
      <c r="A22">
        <v>21</v>
      </c>
      <c r="B22" s="1">
        <v>44444</v>
      </c>
      <c r="C22" s="2">
        <v>0.3027083333333333</v>
      </c>
      <c r="D22" s="1">
        <v>44444</v>
      </c>
      <c r="E22" s="3">
        <v>0.3762152777777778</v>
      </c>
      <c r="F22">
        <v>17</v>
      </c>
      <c r="G22">
        <f>I21+F22</f>
        <v>31</v>
      </c>
      <c r="H22">
        <v>23</v>
      </c>
      <c r="I22">
        <f>G22-H22</f>
        <v>8</v>
      </c>
      <c r="J22">
        <f>F22 * 1500</f>
        <v>25500</v>
      </c>
      <c r="K22">
        <f>H22*1500</f>
        <v>34500</v>
      </c>
      <c r="L22">
        <f>IF(F22&lt;10,F22*6000,IF(F22&lt;20,F22*5500,IF(F22&lt;30,F22*5000,F22*4000)))</f>
        <v>93500</v>
      </c>
      <c r="M22">
        <f>L22-J22-K22</f>
        <v>33500</v>
      </c>
      <c r="N22">
        <f t="shared" si="0"/>
        <v>0</v>
      </c>
    </row>
    <row r="23" spans="1:14" x14ac:dyDescent="0.3">
      <c r="A23">
        <v>22</v>
      </c>
      <c r="B23" s="1">
        <v>44444</v>
      </c>
      <c r="C23" s="2">
        <v>0.43002314814814818</v>
      </c>
      <c r="D23" s="1">
        <v>44444</v>
      </c>
      <c r="E23" s="3">
        <v>0.51140046296296293</v>
      </c>
      <c r="F23">
        <v>15</v>
      </c>
      <c r="G23">
        <f>I22+F23</f>
        <v>23</v>
      </c>
      <c r="H23">
        <v>11</v>
      </c>
      <c r="I23">
        <f>G23-H23</f>
        <v>12</v>
      </c>
      <c r="J23">
        <f>F23 * 1500</f>
        <v>22500</v>
      </c>
      <c r="K23">
        <f>H23*1500</f>
        <v>16500</v>
      </c>
      <c r="L23">
        <f>IF(F23&lt;10,F23*6000,IF(F23&lt;20,F23*5500,IF(F23&lt;30,F23*5000,F23*4000)))</f>
        <v>82500</v>
      </c>
      <c r="M23">
        <f>L23-J23-K23</f>
        <v>43500</v>
      </c>
      <c r="N23">
        <f t="shared" si="0"/>
        <v>0</v>
      </c>
    </row>
    <row r="24" spans="1:14" x14ac:dyDescent="0.3">
      <c r="A24">
        <v>23</v>
      </c>
      <c r="B24" s="1">
        <v>44444</v>
      </c>
      <c r="C24" s="2">
        <v>0.55909722222222225</v>
      </c>
      <c r="D24" s="1">
        <v>44444</v>
      </c>
      <c r="E24" s="3">
        <v>0.64327546296296301</v>
      </c>
      <c r="F24">
        <v>19</v>
      </c>
      <c r="G24">
        <f>I23+F24</f>
        <v>31</v>
      </c>
      <c r="H24">
        <v>21</v>
      </c>
      <c r="I24">
        <f>G24-H24</f>
        <v>10</v>
      </c>
      <c r="J24">
        <f>F24 * 1500</f>
        <v>28500</v>
      </c>
      <c r="K24">
        <f>H24*1500</f>
        <v>31500</v>
      </c>
      <c r="L24">
        <f>IF(F24&lt;10,F24*6000,IF(F24&lt;20,F24*5500,IF(F24&lt;30,F24*5000,F24*4000)))</f>
        <v>104500</v>
      </c>
      <c r="M24">
        <f>L24-J24-K24</f>
        <v>44500</v>
      </c>
      <c r="N24">
        <f t="shared" si="0"/>
        <v>0</v>
      </c>
    </row>
    <row r="25" spans="1:14" x14ac:dyDescent="0.3">
      <c r="A25">
        <v>24</v>
      </c>
      <c r="B25" s="1">
        <v>44444</v>
      </c>
      <c r="C25" s="2">
        <v>0.69188657407407417</v>
      </c>
      <c r="D25" s="1">
        <v>44444</v>
      </c>
      <c r="E25" s="3">
        <v>0.73365740740740737</v>
      </c>
      <c r="F25">
        <v>11</v>
      </c>
      <c r="G25">
        <f>I24+F25</f>
        <v>21</v>
      </c>
      <c r="H25">
        <v>9</v>
      </c>
      <c r="I25">
        <f>G25-H25</f>
        <v>12</v>
      </c>
      <c r="J25">
        <f>F25 * 1500</f>
        <v>16500</v>
      </c>
      <c r="K25">
        <f>H25*1500</f>
        <v>13500</v>
      </c>
      <c r="L25">
        <f>IF(F25&lt;10,F25*6000,IF(F25&lt;20,F25*5500,IF(F25&lt;30,F25*5000,F25*4000)))</f>
        <v>60500</v>
      </c>
      <c r="M25">
        <f>L25-J25-K25</f>
        <v>30500</v>
      </c>
      <c r="N25">
        <f t="shared" si="0"/>
        <v>0</v>
      </c>
    </row>
    <row r="26" spans="1:14" x14ac:dyDescent="0.3">
      <c r="A26">
        <v>25</v>
      </c>
      <c r="B26" s="1">
        <v>44444</v>
      </c>
      <c r="C26" s="2">
        <v>0.77118055555555554</v>
      </c>
      <c r="D26" s="1">
        <v>44444</v>
      </c>
      <c r="E26" s="3">
        <v>0.82657407407407402</v>
      </c>
      <c r="F26">
        <v>15</v>
      </c>
      <c r="G26">
        <f>I25+F26</f>
        <v>27</v>
      </c>
      <c r="H26">
        <v>11</v>
      </c>
      <c r="I26">
        <f>G26-H26</f>
        <v>16</v>
      </c>
      <c r="J26">
        <f>F26 * 1500</f>
        <v>22500</v>
      </c>
      <c r="K26">
        <f>H26*1500</f>
        <v>16500</v>
      </c>
      <c r="L26">
        <f>IF(F26&lt;10,F26*6000,IF(F26&lt;20,F26*5500,IF(F26&lt;30,F26*5000,F26*4000)))</f>
        <v>82500</v>
      </c>
      <c r="M26">
        <f>L26-J26-K26</f>
        <v>43500</v>
      </c>
      <c r="N26">
        <f t="shared" si="0"/>
        <v>0</v>
      </c>
    </row>
    <row r="27" spans="1:14" x14ac:dyDescent="0.3">
      <c r="A27">
        <v>26</v>
      </c>
      <c r="B27" s="1">
        <v>44444</v>
      </c>
      <c r="C27" s="2">
        <v>0.875</v>
      </c>
      <c r="D27" s="1">
        <v>44445</v>
      </c>
      <c r="E27" s="3">
        <v>1.3495370370370371E-2</v>
      </c>
      <c r="F27">
        <v>15</v>
      </c>
      <c r="G27">
        <f>I26+F27</f>
        <v>31</v>
      </c>
      <c r="H27">
        <v>17</v>
      </c>
      <c r="I27">
        <f>G27-H27</f>
        <v>14</v>
      </c>
      <c r="J27">
        <f>F27 * 1500</f>
        <v>22500</v>
      </c>
      <c r="K27">
        <f>H27*1500</f>
        <v>25500</v>
      </c>
      <c r="L27">
        <f>IF(F27&lt;10,F27*6000,IF(F27&lt;20,F27*5500,IF(F27&lt;30,F27*5000,F27*4000)))</f>
        <v>82500</v>
      </c>
      <c r="M27">
        <f>L27-J27-K27</f>
        <v>34500</v>
      </c>
      <c r="N27">
        <f t="shared" si="0"/>
        <v>0</v>
      </c>
    </row>
    <row r="28" spans="1:14" x14ac:dyDescent="0.3">
      <c r="A28">
        <v>27</v>
      </c>
      <c r="B28" s="1">
        <v>44445</v>
      </c>
      <c r="C28" s="2">
        <v>0.2171990740740741</v>
      </c>
      <c r="D28" s="1">
        <v>44445</v>
      </c>
      <c r="E28" s="3">
        <v>0.2976388888888889</v>
      </c>
      <c r="F28">
        <v>9</v>
      </c>
      <c r="G28">
        <f>I27+F28</f>
        <v>23</v>
      </c>
      <c r="H28">
        <v>6</v>
      </c>
      <c r="I28">
        <f>G28-H28</f>
        <v>17</v>
      </c>
      <c r="J28">
        <f>F28 * 1500</f>
        <v>13500</v>
      </c>
      <c r="K28">
        <f>H28*1500</f>
        <v>9000</v>
      </c>
      <c r="L28">
        <f>IF(F28&lt;10,F28*6000,IF(F28&lt;20,F28*5500,IF(F28&lt;30,F28*5000,F28*4000)))</f>
        <v>54000</v>
      </c>
      <c r="M28">
        <f>L28-J28-K28</f>
        <v>31500</v>
      </c>
      <c r="N28">
        <f t="shared" si="0"/>
        <v>0</v>
      </c>
    </row>
    <row r="29" spans="1:14" x14ac:dyDescent="0.3">
      <c r="A29">
        <v>28</v>
      </c>
      <c r="B29" s="1">
        <v>44445</v>
      </c>
      <c r="C29" s="2">
        <v>0.38305555555555554</v>
      </c>
      <c r="D29" s="1">
        <v>44445</v>
      </c>
      <c r="E29" s="3">
        <v>0.52521990740740743</v>
      </c>
      <c r="F29">
        <v>14</v>
      </c>
      <c r="G29">
        <f>I28+F29</f>
        <v>31</v>
      </c>
      <c r="H29">
        <v>22</v>
      </c>
      <c r="I29">
        <f>G29-H29</f>
        <v>9</v>
      </c>
      <c r="J29">
        <f>F29 * 1500</f>
        <v>21000</v>
      </c>
      <c r="K29">
        <f>H29*1500</f>
        <v>33000</v>
      </c>
      <c r="L29">
        <f>IF(F29&lt;10,F29*6000,IF(F29&lt;20,F29*5500,IF(F29&lt;30,F29*5000,F29*4000)))</f>
        <v>77000</v>
      </c>
      <c r="M29">
        <f>L29-J29-K29</f>
        <v>23000</v>
      </c>
      <c r="N29">
        <f t="shared" si="0"/>
        <v>0</v>
      </c>
    </row>
    <row r="30" spans="1:14" x14ac:dyDescent="0.3">
      <c r="A30">
        <v>29</v>
      </c>
      <c r="B30" s="1">
        <v>44445</v>
      </c>
      <c r="C30" s="2">
        <v>0.55920138888888882</v>
      </c>
      <c r="D30" s="1">
        <v>44445</v>
      </c>
      <c r="E30" s="3">
        <v>0.62586805555555558</v>
      </c>
      <c r="F30">
        <v>14</v>
      </c>
      <c r="G30">
        <f>I29+F30</f>
        <v>23</v>
      </c>
      <c r="H30">
        <v>3</v>
      </c>
      <c r="I30">
        <f>G30-H30</f>
        <v>20</v>
      </c>
      <c r="J30">
        <f>F30 * 1500</f>
        <v>21000</v>
      </c>
      <c r="K30">
        <f>H30*1500</f>
        <v>4500</v>
      </c>
      <c r="L30">
        <f>IF(F30&lt;10,F30*6000,IF(F30&lt;20,F30*5500,IF(F30&lt;30,F30*5000,F30*4000)))</f>
        <v>77000</v>
      </c>
      <c r="M30">
        <f>L30-J30-K30</f>
        <v>51500</v>
      </c>
      <c r="N30">
        <f t="shared" si="0"/>
        <v>0</v>
      </c>
    </row>
    <row r="31" spans="1:14" x14ac:dyDescent="0.3">
      <c r="A31">
        <v>30</v>
      </c>
      <c r="B31" s="1">
        <v>44445</v>
      </c>
      <c r="C31" s="2">
        <v>0.7160185185185185</v>
      </c>
      <c r="D31" s="1">
        <v>44445</v>
      </c>
      <c r="E31" s="3">
        <v>0.7631944444444444</v>
      </c>
      <c r="F31">
        <v>18</v>
      </c>
      <c r="G31">
        <f>I30+F31</f>
        <v>38</v>
      </c>
      <c r="H31">
        <v>14</v>
      </c>
      <c r="I31">
        <f>G31-H31</f>
        <v>24</v>
      </c>
      <c r="J31">
        <f>F31 * 1500</f>
        <v>27000</v>
      </c>
      <c r="K31">
        <f>H31*1500</f>
        <v>21000</v>
      </c>
      <c r="L31">
        <f>IF(F31&lt;10,F31*6000,IF(F31&lt;20,F31*5500,IF(F31&lt;30,F31*5000,F31*4000)))</f>
        <v>99000</v>
      </c>
      <c r="M31">
        <f>L31-J31-K31</f>
        <v>51000</v>
      </c>
      <c r="N31">
        <f t="shared" si="0"/>
        <v>0</v>
      </c>
    </row>
    <row r="32" spans="1:14" x14ac:dyDescent="0.3">
      <c r="A32">
        <v>31</v>
      </c>
      <c r="B32" s="1">
        <v>44445</v>
      </c>
      <c r="C32" s="2">
        <v>0.82097222222222221</v>
      </c>
      <c r="D32" s="1">
        <v>44445</v>
      </c>
      <c r="E32" s="3">
        <v>0.89042824074074067</v>
      </c>
      <c r="F32">
        <v>16</v>
      </c>
      <c r="G32">
        <f>I31+F32</f>
        <v>40</v>
      </c>
      <c r="H32">
        <v>21</v>
      </c>
      <c r="I32">
        <f>G32-H32</f>
        <v>19</v>
      </c>
      <c r="J32">
        <f>F32 * 1500</f>
        <v>24000</v>
      </c>
      <c r="K32">
        <f>H32*1500</f>
        <v>31500</v>
      </c>
      <c r="L32">
        <f>IF(F32&lt;10,F32*6000,IF(F32&lt;20,F32*5500,IF(F32&lt;30,F32*5000,F32*4000)))</f>
        <v>88000</v>
      </c>
      <c r="M32">
        <f>L32-J32-K32</f>
        <v>32500</v>
      </c>
      <c r="N32">
        <f t="shared" si="0"/>
        <v>0</v>
      </c>
    </row>
    <row r="33" spans="1:14" x14ac:dyDescent="0.3">
      <c r="A33">
        <v>32</v>
      </c>
      <c r="B33" s="1">
        <v>44446</v>
      </c>
      <c r="C33" s="2">
        <v>0.32383101851851853</v>
      </c>
      <c r="D33" s="1">
        <v>44446</v>
      </c>
      <c r="E33" s="3">
        <v>0.40016203703703707</v>
      </c>
      <c r="F33">
        <v>15</v>
      </c>
      <c r="G33">
        <f>I32+F33</f>
        <v>34</v>
      </c>
      <c r="H33">
        <v>14</v>
      </c>
      <c r="I33">
        <f>G33-H33</f>
        <v>20</v>
      </c>
      <c r="J33">
        <f>F33 * 1500</f>
        <v>22500</v>
      </c>
      <c r="K33">
        <f>H33*1500</f>
        <v>21000</v>
      </c>
      <c r="L33">
        <f>IF(F33&lt;10,F33*6000,IF(F33&lt;20,F33*5500,IF(F33&lt;30,F33*5000,F33*4000)))</f>
        <v>82500</v>
      </c>
      <c r="M33">
        <f>L33-J33-K33</f>
        <v>39000</v>
      </c>
      <c r="N33">
        <f t="shared" si="0"/>
        <v>0</v>
      </c>
    </row>
    <row r="34" spans="1:14" x14ac:dyDescent="0.3">
      <c r="A34">
        <v>33</v>
      </c>
      <c r="B34" s="1">
        <v>44446</v>
      </c>
      <c r="C34" s="2">
        <v>0.46467592592592594</v>
      </c>
      <c r="D34" s="1">
        <v>44446</v>
      </c>
      <c r="E34" s="3">
        <v>0.52171296296296299</v>
      </c>
      <c r="F34">
        <v>12</v>
      </c>
      <c r="G34">
        <f>I33+F34</f>
        <v>32</v>
      </c>
      <c r="H34">
        <v>23</v>
      </c>
      <c r="I34">
        <f>G34-H34</f>
        <v>9</v>
      </c>
      <c r="J34">
        <f>F34 * 1500</f>
        <v>18000</v>
      </c>
      <c r="K34">
        <f>H34*1500</f>
        <v>34500</v>
      </c>
      <c r="L34">
        <f>IF(F34&lt;10,F34*6000,IF(F34&lt;20,F34*5500,IF(F34&lt;30,F34*5000,F34*4000)))</f>
        <v>66000</v>
      </c>
      <c r="M34">
        <f>L34-J34-K34</f>
        <v>13500</v>
      </c>
      <c r="N34">
        <f t="shared" si="0"/>
        <v>0</v>
      </c>
    </row>
    <row r="35" spans="1:14" x14ac:dyDescent="0.3">
      <c r="A35">
        <v>34</v>
      </c>
      <c r="B35" s="1">
        <v>44446</v>
      </c>
      <c r="C35" s="2">
        <v>0.57347222222222227</v>
      </c>
      <c r="D35" s="1">
        <v>44446</v>
      </c>
      <c r="E35" s="3">
        <v>0.64879629629629632</v>
      </c>
      <c r="F35">
        <v>17</v>
      </c>
      <c r="G35">
        <f>I34+F35</f>
        <v>26</v>
      </c>
      <c r="H35">
        <v>6</v>
      </c>
      <c r="I35">
        <f>G35-H35</f>
        <v>20</v>
      </c>
      <c r="J35">
        <f>F35 * 1500</f>
        <v>25500</v>
      </c>
      <c r="K35">
        <f>H35*1500</f>
        <v>9000</v>
      </c>
      <c r="L35">
        <f>IF(F35&lt;10,F35*6000,IF(F35&lt;20,F35*5500,IF(F35&lt;30,F35*5000,F35*4000)))</f>
        <v>93500</v>
      </c>
      <c r="M35">
        <f>L35-J35-K35</f>
        <v>59000</v>
      </c>
      <c r="N35">
        <f t="shared" si="0"/>
        <v>0</v>
      </c>
    </row>
    <row r="36" spans="1:14" x14ac:dyDescent="0.3">
      <c r="A36">
        <v>35</v>
      </c>
      <c r="B36" s="1">
        <v>44446</v>
      </c>
      <c r="C36" s="2">
        <v>0.70577546296296301</v>
      </c>
      <c r="D36" s="1">
        <v>44446</v>
      </c>
      <c r="E36" s="3">
        <v>0.7917939814814815</v>
      </c>
      <c r="F36">
        <v>19</v>
      </c>
      <c r="G36">
        <f>I35+F36</f>
        <v>39</v>
      </c>
      <c r="H36">
        <v>16</v>
      </c>
      <c r="I36">
        <f>G36-H36</f>
        <v>23</v>
      </c>
      <c r="J36">
        <f>F36 * 1500</f>
        <v>28500</v>
      </c>
      <c r="K36">
        <f>H36*1500</f>
        <v>24000</v>
      </c>
      <c r="L36">
        <f>IF(F36&lt;10,F36*6000,IF(F36&lt;20,F36*5500,IF(F36&lt;30,F36*5000,F36*4000)))</f>
        <v>104500</v>
      </c>
      <c r="M36">
        <f>L36-J36-K36</f>
        <v>52000</v>
      </c>
      <c r="N36">
        <f t="shared" si="0"/>
        <v>0</v>
      </c>
    </row>
    <row r="37" spans="1:14" x14ac:dyDescent="0.3">
      <c r="A37">
        <v>36</v>
      </c>
      <c r="B37" s="1">
        <v>44446</v>
      </c>
      <c r="C37" s="2">
        <v>0.84167824074074071</v>
      </c>
      <c r="D37" s="1">
        <v>44446</v>
      </c>
      <c r="E37" s="3">
        <v>0.9406944444444445</v>
      </c>
      <c r="F37">
        <v>11</v>
      </c>
      <c r="G37">
        <f>I36+F37</f>
        <v>34</v>
      </c>
      <c r="H37">
        <v>14</v>
      </c>
      <c r="I37">
        <f>G37-H37</f>
        <v>20</v>
      </c>
      <c r="J37">
        <f>F37 * 1500</f>
        <v>16500</v>
      </c>
      <c r="K37">
        <f>H37*1500</f>
        <v>21000</v>
      </c>
      <c r="L37">
        <f>IF(F37&lt;10,F37*6000,IF(F37&lt;20,F37*5500,IF(F37&lt;30,F37*5000,F37*4000)))</f>
        <v>60500</v>
      </c>
      <c r="M37">
        <f>L37-J37-K37</f>
        <v>23000</v>
      </c>
      <c r="N37">
        <f t="shared" si="0"/>
        <v>0</v>
      </c>
    </row>
    <row r="38" spans="1:14" x14ac:dyDescent="0.3">
      <c r="A38">
        <v>37</v>
      </c>
      <c r="B38" s="1">
        <v>44447</v>
      </c>
      <c r="C38" s="2">
        <v>0.13560185185185183</v>
      </c>
      <c r="D38" s="1">
        <v>44447</v>
      </c>
      <c r="E38" s="3">
        <v>0.26116898148148149</v>
      </c>
      <c r="F38">
        <v>13</v>
      </c>
      <c r="G38">
        <f>I37+F38</f>
        <v>33</v>
      </c>
      <c r="H38">
        <v>22</v>
      </c>
      <c r="I38">
        <f>G38-H38</f>
        <v>11</v>
      </c>
      <c r="J38">
        <f>F38 * 1500</f>
        <v>19500</v>
      </c>
      <c r="K38">
        <f>H38*1500</f>
        <v>33000</v>
      </c>
      <c r="L38">
        <f>IF(F38&lt;10,F38*6000,IF(F38&lt;20,F38*5500,IF(F38&lt;30,F38*5000,F38*4000)))</f>
        <v>71500</v>
      </c>
      <c r="M38">
        <f>L38-J38-K38</f>
        <v>19000</v>
      </c>
      <c r="N38">
        <f t="shared" si="0"/>
        <v>0</v>
      </c>
    </row>
    <row r="39" spans="1:14" x14ac:dyDescent="0.3">
      <c r="A39">
        <v>38</v>
      </c>
      <c r="B39" s="1">
        <v>44447</v>
      </c>
      <c r="C39" s="2">
        <v>0.32587962962962963</v>
      </c>
      <c r="D39" s="1">
        <v>44447</v>
      </c>
      <c r="E39" s="3">
        <v>0.39796296296296302</v>
      </c>
      <c r="F39">
        <v>11</v>
      </c>
      <c r="G39">
        <f>I38+F39</f>
        <v>22</v>
      </c>
      <c r="H39">
        <v>4</v>
      </c>
      <c r="I39">
        <f>G39-H39</f>
        <v>18</v>
      </c>
      <c r="J39">
        <f>F39 * 1500</f>
        <v>16500</v>
      </c>
      <c r="K39">
        <f>H39*1500</f>
        <v>6000</v>
      </c>
      <c r="L39">
        <f>IF(F39&lt;10,F39*6000,IF(F39&lt;20,F39*5500,IF(F39&lt;30,F39*5000,F39*4000)))</f>
        <v>60500</v>
      </c>
      <c r="M39">
        <f>L39-J39-K39</f>
        <v>38000</v>
      </c>
      <c r="N39">
        <f t="shared" si="0"/>
        <v>0</v>
      </c>
    </row>
    <row r="40" spans="1:14" x14ac:dyDescent="0.3">
      <c r="A40">
        <v>39</v>
      </c>
      <c r="B40" s="1">
        <v>44447</v>
      </c>
      <c r="C40" s="2">
        <v>0.41761574074074076</v>
      </c>
      <c r="D40" s="1">
        <v>44447</v>
      </c>
      <c r="E40" s="3">
        <v>0.52447916666666672</v>
      </c>
      <c r="F40">
        <v>14</v>
      </c>
      <c r="G40">
        <f>I39+F40</f>
        <v>32</v>
      </c>
      <c r="H40">
        <v>21</v>
      </c>
      <c r="I40">
        <f>G40-H40</f>
        <v>11</v>
      </c>
      <c r="J40">
        <f>F40 * 1500</f>
        <v>21000</v>
      </c>
      <c r="K40">
        <f>H40*1500</f>
        <v>31500</v>
      </c>
      <c r="L40">
        <f>IF(F40&lt;10,F40*6000,IF(F40&lt;20,F40*5500,IF(F40&lt;30,F40*5000,F40*4000)))</f>
        <v>77000</v>
      </c>
      <c r="M40">
        <f>L40-J40-K40</f>
        <v>24500</v>
      </c>
      <c r="N40">
        <f t="shared" si="0"/>
        <v>0</v>
      </c>
    </row>
    <row r="41" spans="1:14" x14ac:dyDescent="0.3">
      <c r="A41">
        <v>40</v>
      </c>
      <c r="B41" s="1">
        <v>44447</v>
      </c>
      <c r="C41" s="2">
        <v>0.59138888888888885</v>
      </c>
      <c r="D41" s="1">
        <v>44447</v>
      </c>
      <c r="E41" s="3">
        <v>0.68494212962962964</v>
      </c>
      <c r="F41">
        <v>16</v>
      </c>
      <c r="G41">
        <f>I40+F41</f>
        <v>27</v>
      </c>
      <c r="H41">
        <v>9</v>
      </c>
      <c r="I41">
        <f>G41-H41</f>
        <v>18</v>
      </c>
      <c r="J41">
        <f>F41 * 1500</f>
        <v>24000</v>
      </c>
      <c r="K41">
        <f>H41*1500</f>
        <v>13500</v>
      </c>
      <c r="L41">
        <f>IF(F41&lt;10,F41*6000,IF(F41&lt;20,F41*5500,IF(F41&lt;30,F41*5000,F41*4000)))</f>
        <v>88000</v>
      </c>
      <c r="M41">
        <f>L41-J41-K41</f>
        <v>50500</v>
      </c>
      <c r="N41">
        <f t="shared" si="0"/>
        <v>0</v>
      </c>
    </row>
    <row r="42" spans="1:14" x14ac:dyDescent="0.3">
      <c r="A42">
        <v>41</v>
      </c>
      <c r="B42" s="1">
        <v>44447</v>
      </c>
      <c r="C42" s="2">
        <v>0.7338541666666667</v>
      </c>
      <c r="D42" s="1">
        <v>44447</v>
      </c>
      <c r="E42" s="3">
        <v>0.77248842592592604</v>
      </c>
      <c r="F42">
        <v>12</v>
      </c>
      <c r="G42">
        <f>I41+F42</f>
        <v>30</v>
      </c>
      <c r="H42">
        <v>24</v>
      </c>
      <c r="I42">
        <f>G42-H42</f>
        <v>6</v>
      </c>
      <c r="J42">
        <f>F42 * 1500</f>
        <v>18000</v>
      </c>
      <c r="K42">
        <f>H42*1500</f>
        <v>36000</v>
      </c>
      <c r="L42">
        <f>IF(F42&lt;10,F42*6000,IF(F42&lt;20,F42*5500,IF(F42&lt;30,F42*5000,F42*4000)))</f>
        <v>66000</v>
      </c>
      <c r="M42">
        <f>L42-J42-K42</f>
        <v>12000</v>
      </c>
      <c r="N42">
        <f t="shared" si="0"/>
        <v>0</v>
      </c>
    </row>
    <row r="43" spans="1:14" x14ac:dyDescent="0.3">
      <c r="A43">
        <v>42</v>
      </c>
      <c r="B43" s="1">
        <v>44447</v>
      </c>
      <c r="C43" s="2">
        <v>0.83333333333333337</v>
      </c>
      <c r="D43" s="1">
        <v>44447</v>
      </c>
      <c r="E43" s="3">
        <v>0.89694444444444443</v>
      </c>
      <c r="F43">
        <v>9</v>
      </c>
      <c r="G43">
        <f>I42+F43</f>
        <v>15</v>
      </c>
      <c r="H43">
        <v>2</v>
      </c>
      <c r="I43">
        <f>G43-H43</f>
        <v>13</v>
      </c>
      <c r="J43">
        <f>F43 * 1500</f>
        <v>13500</v>
      </c>
      <c r="K43">
        <f>H43*1500</f>
        <v>3000</v>
      </c>
      <c r="L43">
        <f>IF(F43&lt;10,F43*6000,IF(F43&lt;20,F43*5500,IF(F43&lt;30,F43*5000,F43*4000)))</f>
        <v>54000</v>
      </c>
      <c r="M43">
        <f>L43-J43-K43</f>
        <v>37500</v>
      </c>
      <c r="N43">
        <f t="shared" si="0"/>
        <v>0</v>
      </c>
    </row>
    <row r="44" spans="1:14" x14ac:dyDescent="0.3">
      <c r="A44">
        <v>43</v>
      </c>
      <c r="B44" s="1">
        <v>44448</v>
      </c>
      <c r="C44" s="2">
        <v>0.25793981481481482</v>
      </c>
      <c r="D44" s="1">
        <v>44448</v>
      </c>
      <c r="E44" s="3">
        <v>0.32356481481481481</v>
      </c>
      <c r="F44">
        <v>9</v>
      </c>
      <c r="G44">
        <f>I43+F44</f>
        <v>22</v>
      </c>
      <c r="H44">
        <v>4</v>
      </c>
      <c r="I44">
        <f>G44-H44</f>
        <v>18</v>
      </c>
      <c r="J44">
        <f>F44 * 1500</f>
        <v>13500</v>
      </c>
      <c r="K44">
        <f>H44*1500</f>
        <v>6000</v>
      </c>
      <c r="L44">
        <f>IF(F44&lt;10,F44*6000,IF(F44&lt;20,F44*5500,IF(F44&lt;30,F44*5000,F44*4000)))</f>
        <v>54000</v>
      </c>
      <c r="M44">
        <f>L44-J44-K44</f>
        <v>34500</v>
      </c>
      <c r="N44">
        <f t="shared" si="0"/>
        <v>0</v>
      </c>
    </row>
    <row r="45" spans="1:14" x14ac:dyDescent="0.3">
      <c r="A45">
        <v>44</v>
      </c>
      <c r="B45" s="1">
        <v>44448</v>
      </c>
      <c r="C45" s="2">
        <v>0.41349537037037037</v>
      </c>
      <c r="D45" s="1">
        <v>44448</v>
      </c>
      <c r="E45" s="3">
        <v>0.45501157407407411</v>
      </c>
      <c r="F45">
        <v>9</v>
      </c>
      <c r="G45">
        <f>I44+F45</f>
        <v>27</v>
      </c>
      <c r="H45">
        <v>14</v>
      </c>
      <c r="I45">
        <f>G45-H45</f>
        <v>13</v>
      </c>
      <c r="J45">
        <f>F45 * 1500</f>
        <v>13500</v>
      </c>
      <c r="K45">
        <f>H45*1500</f>
        <v>21000</v>
      </c>
      <c r="L45">
        <f>IF(F45&lt;10,F45*6000,IF(F45&lt;20,F45*5500,IF(F45&lt;30,F45*5000,F45*4000)))</f>
        <v>54000</v>
      </c>
      <c r="M45">
        <f>L45-J45-K45</f>
        <v>19500</v>
      </c>
      <c r="N45">
        <f t="shared" si="0"/>
        <v>0</v>
      </c>
    </row>
    <row r="46" spans="1:14" x14ac:dyDescent="0.3">
      <c r="A46">
        <v>45</v>
      </c>
      <c r="B46" s="1">
        <v>44448</v>
      </c>
      <c r="C46" s="2">
        <v>0.50607638888888895</v>
      </c>
      <c r="D46" s="1">
        <v>44448</v>
      </c>
      <c r="E46" s="3">
        <v>0.59107638888888892</v>
      </c>
      <c r="F46">
        <v>12</v>
      </c>
      <c r="G46">
        <f>I45+F46</f>
        <v>25</v>
      </c>
      <c r="H46">
        <v>10</v>
      </c>
      <c r="I46">
        <f>G46-H46</f>
        <v>15</v>
      </c>
      <c r="J46">
        <f>F46 * 1500</f>
        <v>18000</v>
      </c>
      <c r="K46">
        <f>H46*1500</f>
        <v>15000</v>
      </c>
      <c r="L46">
        <f>IF(F46&lt;10,F46*6000,IF(F46&lt;20,F46*5500,IF(F46&lt;30,F46*5000,F46*4000)))</f>
        <v>66000</v>
      </c>
      <c r="M46">
        <f>L46-J46-K46</f>
        <v>33000</v>
      </c>
      <c r="N46">
        <f t="shared" si="0"/>
        <v>0</v>
      </c>
    </row>
    <row r="47" spans="1:14" x14ac:dyDescent="0.3">
      <c r="A47">
        <v>46</v>
      </c>
      <c r="B47" s="1">
        <v>44448</v>
      </c>
      <c r="C47" s="2">
        <v>0.68482638888888892</v>
      </c>
      <c r="D47" s="1">
        <v>44448</v>
      </c>
      <c r="E47" s="3">
        <v>0.77111111111111119</v>
      </c>
      <c r="F47">
        <v>16</v>
      </c>
      <c r="G47">
        <f>I46+F47</f>
        <v>31</v>
      </c>
      <c r="H47">
        <v>11</v>
      </c>
      <c r="I47">
        <f>G47-H47</f>
        <v>20</v>
      </c>
      <c r="J47">
        <f>F47 * 1500</f>
        <v>24000</v>
      </c>
      <c r="K47">
        <f>H47*1500</f>
        <v>16500</v>
      </c>
      <c r="L47">
        <f>IF(F47&lt;10,F47*6000,IF(F47&lt;20,F47*5500,IF(F47&lt;30,F47*5000,F47*4000)))</f>
        <v>88000</v>
      </c>
      <c r="M47">
        <f>L47-J47-K47</f>
        <v>47500</v>
      </c>
      <c r="N47">
        <f t="shared" si="0"/>
        <v>0</v>
      </c>
    </row>
    <row r="48" spans="1:14" x14ac:dyDescent="0.3">
      <c r="A48">
        <v>47</v>
      </c>
      <c r="B48" s="1">
        <v>44448</v>
      </c>
      <c r="C48" s="2">
        <v>0.85435185185185192</v>
      </c>
      <c r="D48" s="1">
        <v>44448</v>
      </c>
      <c r="E48" s="3">
        <v>0.89</v>
      </c>
      <c r="F48">
        <v>13</v>
      </c>
      <c r="G48">
        <f>I47+F48</f>
        <v>33</v>
      </c>
      <c r="H48">
        <v>21</v>
      </c>
      <c r="I48">
        <f>G48-H48</f>
        <v>12</v>
      </c>
      <c r="J48">
        <f>F48 * 1500</f>
        <v>19500</v>
      </c>
      <c r="K48">
        <f>H48*1500</f>
        <v>31500</v>
      </c>
      <c r="L48">
        <f>IF(F48&lt;10,F48*6000,IF(F48&lt;20,F48*5500,IF(F48&lt;30,F48*5000,F48*4000)))</f>
        <v>71500</v>
      </c>
      <c r="M48">
        <f>L48-J48-K48</f>
        <v>20500</v>
      </c>
      <c r="N48">
        <f t="shared" si="0"/>
        <v>0</v>
      </c>
    </row>
    <row r="49" spans="1:14" x14ac:dyDescent="0.3">
      <c r="A49">
        <v>48</v>
      </c>
      <c r="B49" s="1">
        <v>44449</v>
      </c>
      <c r="C49" s="2">
        <v>0.21634259259259259</v>
      </c>
      <c r="D49" s="1">
        <v>44449</v>
      </c>
      <c r="E49" s="3">
        <v>0.30988425925925928</v>
      </c>
      <c r="F49">
        <v>7</v>
      </c>
      <c r="G49">
        <f>I48+F49</f>
        <v>19</v>
      </c>
      <c r="H49">
        <v>15</v>
      </c>
      <c r="I49">
        <f>G49-H49</f>
        <v>4</v>
      </c>
      <c r="J49">
        <f>F49 * 1500</f>
        <v>10500</v>
      </c>
      <c r="K49">
        <f>H49*1500</f>
        <v>22500</v>
      </c>
      <c r="L49">
        <f>IF(F49&lt;10,F49*6000,IF(F49&lt;20,F49*5500,IF(F49&lt;30,F49*5000,F49*4000)))</f>
        <v>42000</v>
      </c>
      <c r="M49">
        <f>L49-J49-K49</f>
        <v>9000</v>
      </c>
      <c r="N49">
        <f t="shared" si="0"/>
        <v>0</v>
      </c>
    </row>
    <row r="50" spans="1:14" x14ac:dyDescent="0.3">
      <c r="A50">
        <v>49</v>
      </c>
      <c r="B50" s="1">
        <v>44449</v>
      </c>
      <c r="C50" s="2">
        <v>0.38201388888888888</v>
      </c>
      <c r="D50" s="1">
        <v>44449</v>
      </c>
      <c r="E50" s="3">
        <v>0.44449074074074074</v>
      </c>
      <c r="F50">
        <v>7</v>
      </c>
      <c r="G50">
        <f>I49+F50</f>
        <v>11</v>
      </c>
      <c r="H50">
        <v>0</v>
      </c>
      <c r="I50">
        <f>G50-H50</f>
        <v>11</v>
      </c>
      <c r="J50">
        <f>F50 * 1500</f>
        <v>10500</v>
      </c>
      <c r="K50">
        <f>H50*1500</f>
        <v>0</v>
      </c>
      <c r="L50">
        <f>IF(F50&lt;10,F50*6000,IF(F50&lt;20,F50*5500,IF(F50&lt;30,F50*5000,F50*4000)))</f>
        <v>42000</v>
      </c>
      <c r="M50">
        <f>L50-J50-K50</f>
        <v>31500</v>
      </c>
      <c r="N50">
        <f t="shared" si="0"/>
        <v>0</v>
      </c>
    </row>
    <row r="51" spans="1:14" x14ac:dyDescent="0.3">
      <c r="A51">
        <v>50</v>
      </c>
      <c r="B51" s="1">
        <v>44449</v>
      </c>
      <c r="C51" s="2">
        <v>0.49995370370370368</v>
      </c>
      <c r="D51" s="1">
        <v>44449</v>
      </c>
      <c r="E51" s="3">
        <v>0.59361111111111109</v>
      </c>
      <c r="F51">
        <v>7</v>
      </c>
      <c r="G51">
        <f>I50+F51</f>
        <v>18</v>
      </c>
      <c r="H51">
        <v>1</v>
      </c>
      <c r="I51">
        <f>G51-H51</f>
        <v>17</v>
      </c>
      <c r="J51">
        <f>F51 * 1500</f>
        <v>10500</v>
      </c>
      <c r="K51">
        <f>H51*1500</f>
        <v>1500</v>
      </c>
      <c r="L51">
        <f>IF(F51&lt;10,F51*6000,IF(F51&lt;20,F51*5500,IF(F51&lt;30,F51*5000,F51*4000)))</f>
        <v>42000</v>
      </c>
      <c r="M51">
        <f>L51-J51-K51</f>
        <v>30000</v>
      </c>
      <c r="N51">
        <f t="shared" si="0"/>
        <v>0</v>
      </c>
    </row>
    <row r="52" spans="1:14" x14ac:dyDescent="0.3">
      <c r="A52">
        <v>51</v>
      </c>
      <c r="B52" s="1">
        <v>44449</v>
      </c>
      <c r="C52" s="2">
        <v>0.64993055555555557</v>
      </c>
      <c r="D52" s="1">
        <v>44449</v>
      </c>
      <c r="E52" s="3">
        <v>0.70430555555555552</v>
      </c>
      <c r="F52">
        <v>13</v>
      </c>
      <c r="G52">
        <f>I51+F52</f>
        <v>30</v>
      </c>
      <c r="H52">
        <v>20</v>
      </c>
      <c r="I52">
        <f>G52-H52</f>
        <v>10</v>
      </c>
      <c r="J52">
        <f>F52 * 1500</f>
        <v>19500</v>
      </c>
      <c r="K52">
        <f>H52*1500</f>
        <v>30000</v>
      </c>
      <c r="L52">
        <f>IF(F52&lt;10,F52*6000,IF(F52&lt;20,F52*5500,IF(F52&lt;30,F52*5000,F52*4000)))</f>
        <v>71500</v>
      </c>
      <c r="M52">
        <f>L52-J52-K52</f>
        <v>22000</v>
      </c>
      <c r="N52">
        <f t="shared" si="0"/>
        <v>0</v>
      </c>
    </row>
    <row r="53" spans="1:14" x14ac:dyDescent="0.3">
      <c r="A53">
        <v>52</v>
      </c>
      <c r="B53" s="1">
        <v>44449</v>
      </c>
      <c r="C53" s="2">
        <v>0.79276620370370365</v>
      </c>
      <c r="D53" s="1">
        <v>44449</v>
      </c>
      <c r="E53" s="3">
        <v>0.82553240740740741</v>
      </c>
      <c r="F53">
        <v>12</v>
      </c>
      <c r="G53">
        <f>I52+F53</f>
        <v>22</v>
      </c>
      <c r="H53">
        <v>4</v>
      </c>
      <c r="I53">
        <f>G53-H53</f>
        <v>18</v>
      </c>
      <c r="J53">
        <f>F53 * 1500</f>
        <v>18000</v>
      </c>
      <c r="K53">
        <f>H53*1500</f>
        <v>6000</v>
      </c>
      <c r="L53">
        <f>IF(F53&lt;10,F53*6000,IF(F53&lt;20,F53*5500,IF(F53&lt;30,F53*5000,F53*4000)))</f>
        <v>66000</v>
      </c>
      <c r="M53">
        <f>L53-J53-K53</f>
        <v>42000</v>
      </c>
      <c r="N53">
        <f t="shared" si="0"/>
        <v>0</v>
      </c>
    </row>
    <row r="54" spans="1:14" x14ac:dyDescent="0.3">
      <c r="A54">
        <v>53</v>
      </c>
      <c r="B54" s="1">
        <v>44449</v>
      </c>
      <c r="C54" s="2">
        <v>0.87574074074074071</v>
      </c>
      <c r="D54" s="1">
        <v>44450</v>
      </c>
      <c r="E54" s="3">
        <v>3.770833333333333E-2</v>
      </c>
      <c r="F54">
        <v>11</v>
      </c>
      <c r="G54">
        <f>I53+F54</f>
        <v>29</v>
      </c>
      <c r="H54">
        <v>9</v>
      </c>
      <c r="I54">
        <f>G54-H54</f>
        <v>20</v>
      </c>
      <c r="J54">
        <f>F54 * 1500</f>
        <v>16500</v>
      </c>
      <c r="K54">
        <f>H54*1500</f>
        <v>13500</v>
      </c>
      <c r="L54">
        <f>IF(F54&lt;10,F54*6000,IF(F54&lt;20,F54*5500,IF(F54&lt;30,F54*5000,F54*4000)))</f>
        <v>60500</v>
      </c>
      <c r="M54">
        <f>L54-J54-K54</f>
        <v>30500</v>
      </c>
      <c r="N54">
        <f t="shared" si="0"/>
        <v>0</v>
      </c>
    </row>
    <row r="55" spans="1:14" x14ac:dyDescent="0.3">
      <c r="A55">
        <v>54</v>
      </c>
      <c r="B55" s="1">
        <v>44450</v>
      </c>
      <c r="C55" s="2">
        <v>0.26106481481481481</v>
      </c>
      <c r="D55" s="1">
        <v>44450</v>
      </c>
      <c r="E55" s="3">
        <v>0.38315972222222222</v>
      </c>
      <c r="F55">
        <v>12</v>
      </c>
      <c r="G55">
        <f>I54+F55</f>
        <v>32</v>
      </c>
      <c r="H55">
        <v>21</v>
      </c>
      <c r="I55">
        <f>G55-H55</f>
        <v>11</v>
      </c>
      <c r="J55">
        <f>F55 * 1500</f>
        <v>18000</v>
      </c>
      <c r="K55">
        <f>H55*1500</f>
        <v>31500</v>
      </c>
      <c r="L55">
        <f>IF(F55&lt;10,F55*6000,IF(F55&lt;20,F55*5500,IF(F55&lt;30,F55*5000,F55*4000)))</f>
        <v>66000</v>
      </c>
      <c r="M55">
        <f>L55-J55-K55</f>
        <v>16500</v>
      </c>
      <c r="N55">
        <f t="shared" si="0"/>
        <v>0</v>
      </c>
    </row>
    <row r="56" spans="1:14" x14ac:dyDescent="0.3">
      <c r="A56">
        <v>55</v>
      </c>
      <c r="B56" s="1">
        <v>44450</v>
      </c>
      <c r="C56" s="2">
        <v>0.46128472222222222</v>
      </c>
      <c r="D56" s="1">
        <v>44450</v>
      </c>
      <c r="E56" s="3">
        <v>0.50633101851851847</v>
      </c>
      <c r="F56">
        <v>14</v>
      </c>
      <c r="G56">
        <f>I55+F56</f>
        <v>25</v>
      </c>
      <c r="H56">
        <v>2</v>
      </c>
      <c r="I56">
        <f>G56-H56</f>
        <v>23</v>
      </c>
      <c r="J56">
        <f>F56 * 1500</f>
        <v>21000</v>
      </c>
      <c r="K56">
        <f>H56*1500</f>
        <v>3000</v>
      </c>
      <c r="L56">
        <f>IF(F56&lt;10,F56*6000,IF(F56&lt;20,F56*5500,IF(F56&lt;30,F56*5000,F56*4000)))</f>
        <v>77000</v>
      </c>
      <c r="M56">
        <f>L56-J56-K56</f>
        <v>53000</v>
      </c>
      <c r="N56">
        <f t="shared" si="0"/>
        <v>0</v>
      </c>
    </row>
    <row r="57" spans="1:14" x14ac:dyDescent="0.3">
      <c r="A57">
        <v>56</v>
      </c>
      <c r="B57" s="1">
        <v>44450</v>
      </c>
      <c r="C57" s="2">
        <v>0.56730324074074068</v>
      </c>
      <c r="D57" s="1">
        <v>44450</v>
      </c>
      <c r="E57" s="3">
        <v>0.60193287037037035</v>
      </c>
      <c r="F57">
        <v>17</v>
      </c>
      <c r="G57">
        <f>I56+F57</f>
        <v>40</v>
      </c>
      <c r="H57">
        <v>9</v>
      </c>
      <c r="I57">
        <f>G57-H57</f>
        <v>31</v>
      </c>
      <c r="J57">
        <f>F57 * 1500</f>
        <v>25500</v>
      </c>
      <c r="K57">
        <f>H57*1500</f>
        <v>13500</v>
      </c>
      <c r="L57">
        <f>IF(F57&lt;10,F57*6000,IF(F57&lt;20,F57*5500,IF(F57&lt;30,F57*5000,F57*4000)))</f>
        <v>93500</v>
      </c>
      <c r="M57">
        <f>L57-J57-K57</f>
        <v>54500</v>
      </c>
      <c r="N57">
        <f t="shared" si="0"/>
        <v>0</v>
      </c>
    </row>
    <row r="58" spans="1:14" x14ac:dyDescent="0.3">
      <c r="A58">
        <v>57</v>
      </c>
      <c r="B58" s="1">
        <v>44450</v>
      </c>
      <c r="C58" s="2">
        <v>0.66475694444444444</v>
      </c>
      <c r="D58" s="1">
        <v>44450</v>
      </c>
      <c r="E58" s="3">
        <v>0.71930555555555553</v>
      </c>
      <c r="F58">
        <v>3</v>
      </c>
      <c r="G58">
        <f>I57+F58</f>
        <v>34</v>
      </c>
      <c r="H58">
        <v>9</v>
      </c>
      <c r="I58">
        <f>G58-H58</f>
        <v>25</v>
      </c>
      <c r="J58">
        <f>F58 * 1500</f>
        <v>4500</v>
      </c>
      <c r="K58">
        <f>H58*1500</f>
        <v>13500</v>
      </c>
      <c r="L58">
        <f>IF(F58&lt;10,F58*6000,IF(F58&lt;20,F58*5500,IF(F58&lt;30,F58*5000,F58*4000)))</f>
        <v>18000</v>
      </c>
      <c r="M58">
        <f>L58-J58-K58</f>
        <v>0</v>
      </c>
      <c r="N58">
        <f t="shared" si="0"/>
        <v>0</v>
      </c>
    </row>
    <row r="59" spans="1:14" x14ac:dyDescent="0.3">
      <c r="A59">
        <v>58</v>
      </c>
      <c r="B59" s="1">
        <v>44450</v>
      </c>
      <c r="C59" s="2">
        <v>0.79238425925925926</v>
      </c>
      <c r="D59" s="1">
        <v>44450</v>
      </c>
      <c r="E59" s="3">
        <v>0.88265046296296301</v>
      </c>
      <c r="F59">
        <v>11</v>
      </c>
      <c r="G59">
        <f>I58+F59</f>
        <v>36</v>
      </c>
      <c r="H59">
        <v>3</v>
      </c>
      <c r="I59">
        <f>G59-H59</f>
        <v>33</v>
      </c>
      <c r="J59">
        <f>F59 * 1500</f>
        <v>16500</v>
      </c>
      <c r="K59">
        <f>H59*1500</f>
        <v>4500</v>
      </c>
      <c r="L59">
        <f>IF(F59&lt;10,F59*6000,IF(F59&lt;20,F59*5500,IF(F59&lt;30,F59*5000,F59*4000)))</f>
        <v>60500</v>
      </c>
      <c r="M59">
        <f>L59-J59-K59</f>
        <v>39500</v>
      </c>
      <c r="N59">
        <f t="shared" si="0"/>
        <v>0</v>
      </c>
    </row>
    <row r="60" spans="1:14" x14ac:dyDescent="0.3">
      <c r="A60">
        <v>59</v>
      </c>
      <c r="B60" s="1">
        <v>44451</v>
      </c>
      <c r="C60" s="2">
        <v>0.16666666666666666</v>
      </c>
      <c r="D60" s="1">
        <v>44451</v>
      </c>
      <c r="E60" s="3">
        <v>0.23270833333333332</v>
      </c>
      <c r="F60">
        <v>8</v>
      </c>
      <c r="G60">
        <f>I59+F60</f>
        <v>41</v>
      </c>
      <c r="H60">
        <v>4</v>
      </c>
      <c r="I60">
        <f>G60-H60</f>
        <v>37</v>
      </c>
      <c r="J60">
        <f>F60 * 1500</f>
        <v>12000</v>
      </c>
      <c r="K60">
        <f>H60*1500</f>
        <v>6000</v>
      </c>
      <c r="L60">
        <f>IF(F60&lt;10,F60*6000,IF(F60&lt;20,F60*5500,IF(F60&lt;30,F60*5000,F60*4000)))</f>
        <v>48000</v>
      </c>
      <c r="M60">
        <f>L60-J60-K60</f>
        <v>30000</v>
      </c>
      <c r="N60">
        <f t="shared" si="0"/>
        <v>0</v>
      </c>
    </row>
    <row r="61" spans="1:14" x14ac:dyDescent="0.3">
      <c r="A61">
        <v>60</v>
      </c>
      <c r="B61" s="1">
        <v>44451</v>
      </c>
      <c r="C61" s="2">
        <v>0.34324074074074074</v>
      </c>
      <c r="D61" s="1">
        <v>44451</v>
      </c>
      <c r="E61" s="3">
        <v>0.42799768518518522</v>
      </c>
      <c r="F61">
        <v>1</v>
      </c>
      <c r="G61">
        <f>I60+F61</f>
        <v>38</v>
      </c>
      <c r="H61">
        <v>6</v>
      </c>
      <c r="I61">
        <f>G61-H61</f>
        <v>32</v>
      </c>
      <c r="J61">
        <f>F61 * 1500</f>
        <v>1500</v>
      </c>
      <c r="K61">
        <f>H61*1500</f>
        <v>9000</v>
      </c>
      <c r="L61">
        <f>IF(F61&lt;10,F61*6000,IF(F61&lt;20,F61*5500,IF(F61&lt;30,F61*5000,F61*4000)))</f>
        <v>6000</v>
      </c>
      <c r="M61">
        <f>L61-J61-K61</f>
        <v>-4500</v>
      </c>
      <c r="N61">
        <f t="shared" si="0"/>
        <v>1</v>
      </c>
    </row>
    <row r="62" spans="1:14" x14ac:dyDescent="0.3">
      <c r="A62">
        <v>61</v>
      </c>
      <c r="B62" s="1">
        <v>44451</v>
      </c>
      <c r="C62" s="2">
        <v>0.52084490740740741</v>
      </c>
      <c r="D62" s="1">
        <v>44451</v>
      </c>
      <c r="E62" s="3">
        <v>0.59403935185185186</v>
      </c>
      <c r="F62">
        <v>4</v>
      </c>
      <c r="G62">
        <f>I61+F62</f>
        <v>36</v>
      </c>
      <c r="H62">
        <v>21</v>
      </c>
      <c r="I62">
        <f>G62-H62</f>
        <v>15</v>
      </c>
      <c r="J62">
        <f>F62 * 1500</f>
        <v>6000</v>
      </c>
      <c r="K62">
        <f>H62*1500</f>
        <v>31500</v>
      </c>
      <c r="L62">
        <f>IF(F62&lt;10,F62*6000,IF(F62&lt;20,F62*5500,IF(F62&lt;30,F62*5000,F62*4000)))</f>
        <v>24000</v>
      </c>
      <c r="M62">
        <f>L62-J62-K62</f>
        <v>-13500</v>
      </c>
      <c r="N62">
        <f t="shared" si="0"/>
        <v>1</v>
      </c>
    </row>
    <row r="63" spans="1:14" x14ac:dyDescent="0.3">
      <c r="A63">
        <v>62</v>
      </c>
      <c r="B63" s="1">
        <v>44451</v>
      </c>
      <c r="C63" s="2">
        <v>0.73968750000000005</v>
      </c>
      <c r="D63" s="1">
        <v>44451</v>
      </c>
      <c r="E63" s="3">
        <v>0.79862268518518509</v>
      </c>
      <c r="F63">
        <v>9</v>
      </c>
      <c r="G63">
        <f>I62+F63</f>
        <v>24</v>
      </c>
      <c r="H63">
        <v>11</v>
      </c>
      <c r="I63">
        <f>G63-H63</f>
        <v>13</v>
      </c>
      <c r="J63">
        <f>F63 * 1500</f>
        <v>13500</v>
      </c>
      <c r="K63">
        <f>H63*1500</f>
        <v>16500</v>
      </c>
      <c r="L63">
        <f>IF(F63&lt;10,F63*6000,IF(F63&lt;20,F63*5500,IF(F63&lt;30,F63*5000,F63*4000)))</f>
        <v>54000</v>
      </c>
      <c r="M63">
        <f>L63-J63-K63</f>
        <v>24000</v>
      </c>
      <c r="N63">
        <f t="shared" si="0"/>
        <v>0</v>
      </c>
    </row>
    <row r="64" spans="1:14" x14ac:dyDescent="0.3">
      <c r="A64">
        <v>63</v>
      </c>
      <c r="B64" s="1">
        <v>44452</v>
      </c>
      <c r="C64" s="2">
        <v>0.21440972222222221</v>
      </c>
      <c r="D64" s="1">
        <v>44452</v>
      </c>
      <c r="E64" s="3">
        <v>0.38071759259259258</v>
      </c>
      <c r="F64">
        <v>12</v>
      </c>
      <c r="G64">
        <f>I63+F64</f>
        <v>25</v>
      </c>
      <c r="H64">
        <v>7</v>
      </c>
      <c r="I64">
        <f>G64-H64</f>
        <v>18</v>
      </c>
      <c r="J64">
        <f>F64 * 1500</f>
        <v>18000</v>
      </c>
      <c r="K64">
        <f>H64*1500</f>
        <v>10500</v>
      </c>
      <c r="L64">
        <f>IF(F64&lt;10,F64*6000,IF(F64&lt;20,F64*5500,IF(F64&lt;30,F64*5000,F64*4000)))</f>
        <v>66000</v>
      </c>
      <c r="M64">
        <f>L64-J64-K64</f>
        <v>37500</v>
      </c>
      <c r="N64">
        <f t="shared" si="0"/>
        <v>0</v>
      </c>
    </row>
    <row r="65" spans="1:14" x14ac:dyDescent="0.3">
      <c r="A65">
        <v>64</v>
      </c>
      <c r="B65" s="1">
        <v>44452</v>
      </c>
      <c r="C65" s="2">
        <v>0.46302083333333338</v>
      </c>
      <c r="D65" s="1">
        <v>44452</v>
      </c>
      <c r="E65" s="3">
        <v>0.53340277777777778</v>
      </c>
      <c r="F65">
        <v>11</v>
      </c>
      <c r="G65">
        <f>I64+F65</f>
        <v>29</v>
      </c>
      <c r="H65">
        <v>13</v>
      </c>
      <c r="I65">
        <f>G65-H65</f>
        <v>16</v>
      </c>
      <c r="J65">
        <f>F65 * 1500</f>
        <v>16500</v>
      </c>
      <c r="K65">
        <f>H65*1500</f>
        <v>19500</v>
      </c>
      <c r="L65">
        <f>IF(F65&lt;10,F65*6000,IF(F65&lt;20,F65*5500,IF(F65&lt;30,F65*5000,F65*4000)))</f>
        <v>60500</v>
      </c>
      <c r="M65">
        <f>L65-J65-K65</f>
        <v>24500</v>
      </c>
      <c r="N65">
        <f t="shared" si="0"/>
        <v>0</v>
      </c>
    </row>
    <row r="66" spans="1:14" x14ac:dyDescent="0.3">
      <c r="A66">
        <v>65</v>
      </c>
      <c r="B66" s="1">
        <v>44452</v>
      </c>
      <c r="C66" s="2">
        <v>0.55218749999999994</v>
      </c>
      <c r="D66" s="1">
        <v>44452</v>
      </c>
      <c r="E66" s="3">
        <v>0.62197916666666664</v>
      </c>
      <c r="F66">
        <v>16</v>
      </c>
      <c r="G66">
        <f>I65+F66</f>
        <v>32</v>
      </c>
      <c r="H66">
        <v>21</v>
      </c>
      <c r="I66">
        <f>G66-H66</f>
        <v>11</v>
      </c>
      <c r="J66">
        <f>F66 * 1500</f>
        <v>24000</v>
      </c>
      <c r="K66">
        <f>H66*1500</f>
        <v>31500</v>
      </c>
      <c r="L66">
        <f>IF(F66&lt;10,F66*6000,IF(F66&lt;20,F66*5500,IF(F66&lt;30,F66*5000,F66*4000)))</f>
        <v>88000</v>
      </c>
      <c r="M66">
        <f>L66-J66-K66</f>
        <v>32500</v>
      </c>
      <c r="N66">
        <f t="shared" si="0"/>
        <v>0</v>
      </c>
    </row>
    <row r="67" spans="1:14" x14ac:dyDescent="0.3">
      <c r="A67">
        <v>66</v>
      </c>
      <c r="B67" s="1">
        <v>44452</v>
      </c>
      <c r="C67" s="2">
        <v>0.6699652777777777</v>
      </c>
      <c r="D67" s="1">
        <v>44452</v>
      </c>
      <c r="E67" s="3">
        <v>0.75</v>
      </c>
      <c r="F67">
        <v>19</v>
      </c>
      <c r="G67">
        <f>I66+F67</f>
        <v>30</v>
      </c>
      <c r="H67">
        <v>10</v>
      </c>
      <c r="I67">
        <f>G67-H67</f>
        <v>20</v>
      </c>
      <c r="J67">
        <f>F67 * 1500</f>
        <v>28500</v>
      </c>
      <c r="K67">
        <f>H67*1500</f>
        <v>15000</v>
      </c>
      <c r="L67">
        <f>IF(F67&lt;10,F67*6000,IF(F67&lt;20,F67*5500,IF(F67&lt;30,F67*5000,F67*4000)))</f>
        <v>104500</v>
      </c>
      <c r="M67">
        <f>L67-J67-K67</f>
        <v>61000</v>
      </c>
      <c r="N67">
        <f t="shared" ref="N67:N130" si="1">IF(M67&lt;0,1,0)</f>
        <v>0</v>
      </c>
    </row>
    <row r="68" spans="1:14" x14ac:dyDescent="0.3">
      <c r="A68">
        <v>67</v>
      </c>
      <c r="B68" s="1">
        <v>44452</v>
      </c>
      <c r="C68" s="2">
        <v>0.83971064814814822</v>
      </c>
      <c r="D68" s="1">
        <v>44452</v>
      </c>
      <c r="E68" s="3">
        <v>0.9196643518518518</v>
      </c>
      <c r="F68">
        <v>3</v>
      </c>
      <c r="G68">
        <f>I67+F68</f>
        <v>23</v>
      </c>
      <c r="H68">
        <v>0</v>
      </c>
      <c r="I68">
        <f>G68-H68</f>
        <v>23</v>
      </c>
      <c r="J68">
        <f>F68 * 1500</f>
        <v>4500</v>
      </c>
      <c r="K68">
        <f>H68*1500</f>
        <v>0</v>
      </c>
      <c r="L68">
        <f>IF(F68&lt;10,F68*6000,IF(F68&lt;20,F68*5500,IF(F68&lt;30,F68*5000,F68*4000)))</f>
        <v>18000</v>
      </c>
      <c r="M68">
        <f>L68-J68-K68</f>
        <v>13500</v>
      </c>
      <c r="N68">
        <f t="shared" si="1"/>
        <v>0</v>
      </c>
    </row>
    <row r="69" spans="1:14" x14ac:dyDescent="0.3">
      <c r="A69">
        <v>68</v>
      </c>
      <c r="B69" s="1">
        <v>44453</v>
      </c>
      <c r="C69" s="2">
        <v>0.17733796296296298</v>
      </c>
      <c r="D69" s="1">
        <v>44453</v>
      </c>
      <c r="E69" s="3">
        <v>0.26</v>
      </c>
      <c r="F69">
        <v>12</v>
      </c>
      <c r="G69">
        <f>I68+F69</f>
        <v>35</v>
      </c>
      <c r="H69">
        <v>21</v>
      </c>
      <c r="I69">
        <f>G69-H69</f>
        <v>14</v>
      </c>
      <c r="J69">
        <f>F69 * 1500</f>
        <v>18000</v>
      </c>
      <c r="K69">
        <f>H69*1500</f>
        <v>31500</v>
      </c>
      <c r="L69">
        <f>IF(F69&lt;10,F69*6000,IF(F69&lt;20,F69*5500,IF(F69&lt;30,F69*5000,F69*4000)))</f>
        <v>66000</v>
      </c>
      <c r="M69">
        <f>L69-J69-K69</f>
        <v>16500</v>
      </c>
      <c r="N69">
        <f t="shared" si="1"/>
        <v>0</v>
      </c>
    </row>
    <row r="70" spans="1:14" x14ac:dyDescent="0.3">
      <c r="A70">
        <v>69</v>
      </c>
      <c r="B70" s="1">
        <v>44453</v>
      </c>
      <c r="C70" s="2">
        <v>0.34437500000000004</v>
      </c>
      <c r="D70" s="1">
        <v>44453</v>
      </c>
      <c r="E70" s="3">
        <v>0.42008101851851848</v>
      </c>
      <c r="F70">
        <v>17</v>
      </c>
      <c r="G70">
        <f>I69+F70</f>
        <v>31</v>
      </c>
      <c r="H70">
        <v>20</v>
      </c>
      <c r="I70">
        <f>G70-H70</f>
        <v>11</v>
      </c>
      <c r="J70">
        <f>F70 * 1500</f>
        <v>25500</v>
      </c>
      <c r="K70">
        <f>H70*1500</f>
        <v>30000</v>
      </c>
      <c r="L70">
        <f>IF(F70&lt;10,F70*6000,IF(F70&lt;20,F70*5500,IF(F70&lt;30,F70*5000,F70*4000)))</f>
        <v>93500</v>
      </c>
      <c r="M70">
        <f>L70-J70-K70</f>
        <v>38000</v>
      </c>
      <c r="N70">
        <f t="shared" si="1"/>
        <v>0</v>
      </c>
    </row>
    <row r="71" spans="1:14" x14ac:dyDescent="0.3">
      <c r="A71">
        <v>70</v>
      </c>
      <c r="B71" s="1">
        <v>44453</v>
      </c>
      <c r="C71" s="2">
        <v>0.5</v>
      </c>
      <c r="D71" s="1">
        <v>44453</v>
      </c>
      <c r="E71" s="3">
        <v>0.58119212962962963</v>
      </c>
      <c r="F71">
        <v>11</v>
      </c>
      <c r="G71">
        <f>I70+F71</f>
        <v>22</v>
      </c>
      <c r="H71">
        <v>22</v>
      </c>
      <c r="I71">
        <f>G71-H71</f>
        <v>0</v>
      </c>
      <c r="J71">
        <f>F71 * 1500</f>
        <v>16500</v>
      </c>
      <c r="K71">
        <f>H71*1500</f>
        <v>33000</v>
      </c>
      <c r="L71">
        <f>IF(F71&lt;10,F71*6000,IF(F71&lt;20,F71*5500,IF(F71&lt;30,F71*5000,F71*4000)))</f>
        <v>60500</v>
      </c>
      <c r="M71">
        <f>L71-J71-K71</f>
        <v>11000</v>
      </c>
      <c r="N71">
        <f t="shared" si="1"/>
        <v>0</v>
      </c>
    </row>
    <row r="72" spans="1:14" x14ac:dyDescent="0.3">
      <c r="A72">
        <v>71</v>
      </c>
      <c r="B72" s="1">
        <v>44453</v>
      </c>
      <c r="C72" s="2">
        <v>0.64340277777777777</v>
      </c>
      <c r="D72" s="1">
        <v>44453</v>
      </c>
      <c r="E72" s="3">
        <v>0.7085069444444444</v>
      </c>
      <c r="F72">
        <v>7</v>
      </c>
      <c r="G72">
        <f>I71+F72</f>
        <v>7</v>
      </c>
      <c r="H72">
        <v>2</v>
      </c>
      <c r="I72">
        <f>G72-H72</f>
        <v>5</v>
      </c>
      <c r="J72">
        <f>F72 * 1500</f>
        <v>10500</v>
      </c>
      <c r="K72">
        <f>H72*1500</f>
        <v>3000</v>
      </c>
      <c r="L72">
        <f>IF(F72&lt;10,F72*6000,IF(F72&lt;20,F72*5500,IF(F72&lt;30,F72*5000,F72*4000)))</f>
        <v>42000</v>
      </c>
      <c r="M72">
        <f>L72-J72-K72</f>
        <v>28500</v>
      </c>
      <c r="N72">
        <f t="shared" si="1"/>
        <v>0</v>
      </c>
    </row>
    <row r="73" spans="1:14" x14ac:dyDescent="0.3">
      <c r="A73">
        <v>72</v>
      </c>
      <c r="B73" s="1">
        <v>44453</v>
      </c>
      <c r="C73" s="2">
        <v>0.77552083333333333</v>
      </c>
      <c r="D73" s="1">
        <v>44453</v>
      </c>
      <c r="E73" s="3">
        <v>0.80270833333333336</v>
      </c>
      <c r="F73">
        <v>8</v>
      </c>
      <c r="G73">
        <f>I72+F73</f>
        <v>13</v>
      </c>
      <c r="H73">
        <v>7</v>
      </c>
      <c r="I73">
        <f>G73-H73</f>
        <v>6</v>
      </c>
      <c r="J73">
        <f>F73 * 1500</f>
        <v>12000</v>
      </c>
      <c r="K73">
        <f>H73*1500</f>
        <v>10500</v>
      </c>
      <c r="L73">
        <f>IF(F73&lt;10,F73*6000,IF(F73&lt;20,F73*5500,IF(F73&lt;30,F73*5000,F73*4000)))</f>
        <v>48000</v>
      </c>
      <c r="M73">
        <f>L73-J73-K73</f>
        <v>25500</v>
      </c>
      <c r="N73">
        <f t="shared" si="1"/>
        <v>0</v>
      </c>
    </row>
    <row r="74" spans="1:14" x14ac:dyDescent="0.3">
      <c r="A74">
        <v>73</v>
      </c>
      <c r="B74" s="1">
        <v>44453</v>
      </c>
      <c r="C74" s="2">
        <v>0.87285879629629637</v>
      </c>
      <c r="D74" s="1">
        <v>44453</v>
      </c>
      <c r="E74" s="3">
        <v>0.91951388888888885</v>
      </c>
      <c r="F74">
        <v>6</v>
      </c>
      <c r="G74">
        <f>I73+F74</f>
        <v>12</v>
      </c>
      <c r="H74">
        <v>1</v>
      </c>
      <c r="I74">
        <f>G74-H74</f>
        <v>11</v>
      </c>
      <c r="J74">
        <f>F74 * 1500</f>
        <v>9000</v>
      </c>
      <c r="K74">
        <f>H74*1500</f>
        <v>1500</v>
      </c>
      <c r="L74">
        <f>IF(F74&lt;10,F74*6000,IF(F74&lt;20,F74*5500,IF(F74&lt;30,F74*5000,F74*4000)))</f>
        <v>36000</v>
      </c>
      <c r="M74">
        <f>L74-J74-K74</f>
        <v>25500</v>
      </c>
      <c r="N74">
        <f t="shared" si="1"/>
        <v>0</v>
      </c>
    </row>
    <row r="75" spans="1:14" x14ac:dyDescent="0.3">
      <c r="A75">
        <v>74</v>
      </c>
      <c r="B75" s="1">
        <v>44454</v>
      </c>
      <c r="C75" s="2">
        <v>4.2361111111111106E-2</v>
      </c>
      <c r="D75" s="1">
        <v>44454</v>
      </c>
      <c r="E75" s="3">
        <v>0.17298611111111109</v>
      </c>
      <c r="F75">
        <v>0</v>
      </c>
      <c r="G75">
        <f>I74+F75</f>
        <v>11</v>
      </c>
      <c r="H75">
        <v>6</v>
      </c>
      <c r="I75">
        <f>G75-H75</f>
        <v>5</v>
      </c>
      <c r="J75">
        <f>F75 * 1500</f>
        <v>0</v>
      </c>
      <c r="K75">
        <f>H75*1500</f>
        <v>9000</v>
      </c>
      <c r="L75">
        <f>IF(F75&lt;10,F75*6000,IF(F75&lt;20,F75*5500,IF(F75&lt;30,F75*5000,F75*4000)))</f>
        <v>0</v>
      </c>
      <c r="M75">
        <f>L75-J75-K75</f>
        <v>-9000</v>
      </c>
      <c r="N75">
        <f t="shared" si="1"/>
        <v>1</v>
      </c>
    </row>
    <row r="76" spans="1:14" x14ac:dyDescent="0.3">
      <c r="A76">
        <v>75</v>
      </c>
      <c r="B76" s="1">
        <v>44454</v>
      </c>
      <c r="C76" s="2">
        <v>0.28885416666666669</v>
      </c>
      <c r="D76" s="1">
        <v>44454</v>
      </c>
      <c r="E76" s="3">
        <v>0.34437500000000004</v>
      </c>
      <c r="F76">
        <v>0</v>
      </c>
      <c r="G76">
        <f>I75+F76</f>
        <v>5</v>
      </c>
      <c r="H76">
        <v>5</v>
      </c>
      <c r="I76">
        <f>G76-H76</f>
        <v>0</v>
      </c>
      <c r="J76">
        <f>F76 * 1500</f>
        <v>0</v>
      </c>
      <c r="K76">
        <f>H76*1500</f>
        <v>7500</v>
      </c>
      <c r="L76">
        <f>IF(F76&lt;10,F76*6000,IF(F76&lt;20,F76*5500,IF(F76&lt;30,F76*5000,F76*4000)))</f>
        <v>0</v>
      </c>
      <c r="M76">
        <f>L76-J76-K76</f>
        <v>-7500</v>
      </c>
      <c r="N76">
        <f t="shared" si="1"/>
        <v>1</v>
      </c>
    </row>
    <row r="77" spans="1:14" x14ac:dyDescent="0.3">
      <c r="A77">
        <v>76</v>
      </c>
      <c r="B77" s="1">
        <v>44454</v>
      </c>
      <c r="C77" s="2">
        <v>0.42424768518518513</v>
      </c>
      <c r="D77" s="1">
        <v>44454</v>
      </c>
      <c r="E77" s="3">
        <v>0.53179398148148149</v>
      </c>
      <c r="F77">
        <v>10</v>
      </c>
      <c r="G77">
        <f>I76+F77</f>
        <v>10</v>
      </c>
      <c r="H77">
        <v>1</v>
      </c>
      <c r="I77">
        <f>G77-H77</f>
        <v>9</v>
      </c>
      <c r="J77">
        <f>F77 * 1500</f>
        <v>15000</v>
      </c>
      <c r="K77">
        <f>H77*1500</f>
        <v>1500</v>
      </c>
      <c r="L77">
        <f>IF(F77&lt;10,F77*6000,IF(F77&lt;20,F77*5500,IF(F77&lt;30,F77*5000,F77*4000)))</f>
        <v>55000</v>
      </c>
      <c r="M77">
        <f>L77-J77-K77</f>
        <v>38500</v>
      </c>
      <c r="N77">
        <f t="shared" si="1"/>
        <v>0</v>
      </c>
    </row>
    <row r="78" spans="1:14" x14ac:dyDescent="0.3">
      <c r="A78">
        <v>77</v>
      </c>
      <c r="B78" s="1">
        <v>44454</v>
      </c>
      <c r="C78" s="2">
        <v>0.5991319444444444</v>
      </c>
      <c r="D78" s="1">
        <v>44454</v>
      </c>
      <c r="E78" s="3">
        <v>0.63361111111111112</v>
      </c>
      <c r="F78">
        <v>14</v>
      </c>
      <c r="G78">
        <f>I77+F78</f>
        <v>23</v>
      </c>
      <c r="H78">
        <v>21</v>
      </c>
      <c r="I78">
        <f>G78-H78</f>
        <v>2</v>
      </c>
      <c r="J78">
        <f>F78 * 1500</f>
        <v>21000</v>
      </c>
      <c r="K78">
        <f>H78*1500</f>
        <v>31500</v>
      </c>
      <c r="L78">
        <f>IF(F78&lt;10,F78*6000,IF(F78&lt;20,F78*5500,IF(F78&lt;30,F78*5000,F78*4000)))</f>
        <v>77000</v>
      </c>
      <c r="M78">
        <f>L78-J78-K78</f>
        <v>24500</v>
      </c>
      <c r="N78">
        <f t="shared" si="1"/>
        <v>0</v>
      </c>
    </row>
    <row r="79" spans="1:14" x14ac:dyDescent="0.3">
      <c r="A79">
        <v>78</v>
      </c>
      <c r="B79" s="1">
        <v>44454</v>
      </c>
      <c r="C79" s="2">
        <v>0.7228472222222222</v>
      </c>
      <c r="D79" s="1">
        <v>44454</v>
      </c>
      <c r="E79" s="3">
        <v>0.77552083333333333</v>
      </c>
      <c r="F79">
        <v>4</v>
      </c>
      <c r="G79">
        <f>I78+F79</f>
        <v>6</v>
      </c>
      <c r="H79">
        <v>1</v>
      </c>
      <c r="I79">
        <f>G79-H79</f>
        <v>5</v>
      </c>
      <c r="J79">
        <f>F79 * 1500</f>
        <v>6000</v>
      </c>
      <c r="K79">
        <f>H79*1500</f>
        <v>1500</v>
      </c>
      <c r="L79">
        <f>IF(F79&lt;10,F79*6000,IF(F79&lt;20,F79*5500,IF(F79&lt;30,F79*5000,F79*4000)))</f>
        <v>24000</v>
      </c>
      <c r="M79">
        <f>L79-J79-K79</f>
        <v>16500</v>
      </c>
      <c r="N79">
        <f t="shared" si="1"/>
        <v>0</v>
      </c>
    </row>
    <row r="80" spans="1:14" x14ac:dyDescent="0.3">
      <c r="A80">
        <v>79</v>
      </c>
      <c r="B80" s="1">
        <v>44454</v>
      </c>
      <c r="C80" s="2">
        <v>0.86644675925925929</v>
      </c>
      <c r="D80" s="1">
        <v>44454</v>
      </c>
      <c r="E80" s="3">
        <v>0.90680555555555553</v>
      </c>
      <c r="F80">
        <v>7</v>
      </c>
      <c r="G80">
        <f>I79+F80</f>
        <v>12</v>
      </c>
      <c r="H80">
        <v>2</v>
      </c>
      <c r="I80">
        <f>G80-H80</f>
        <v>10</v>
      </c>
      <c r="J80">
        <f>F80 * 1500</f>
        <v>10500</v>
      </c>
      <c r="K80">
        <f>H80*1500</f>
        <v>3000</v>
      </c>
      <c r="L80">
        <f>IF(F80&lt;10,F80*6000,IF(F80&lt;20,F80*5500,IF(F80&lt;30,F80*5000,F80*4000)))</f>
        <v>42000</v>
      </c>
      <c r="M80">
        <f>L80-J80-K80</f>
        <v>28500</v>
      </c>
      <c r="N80">
        <f t="shared" si="1"/>
        <v>0</v>
      </c>
    </row>
    <row r="81" spans="1:14" x14ac:dyDescent="0.3">
      <c r="A81">
        <v>80</v>
      </c>
      <c r="B81" s="1">
        <v>44455</v>
      </c>
      <c r="C81" s="2">
        <v>0.13571759259259261</v>
      </c>
      <c r="D81" s="1">
        <v>44455</v>
      </c>
      <c r="E81" s="3">
        <v>0.25288194444444445</v>
      </c>
      <c r="F81">
        <v>13</v>
      </c>
      <c r="G81">
        <f>I80+F81</f>
        <v>23</v>
      </c>
      <c r="H81">
        <v>5</v>
      </c>
      <c r="I81">
        <f>G81-H81</f>
        <v>18</v>
      </c>
      <c r="J81">
        <f>F81 * 1500</f>
        <v>19500</v>
      </c>
      <c r="K81">
        <f>H81*1500</f>
        <v>7500</v>
      </c>
      <c r="L81">
        <f>IF(F81&lt;10,F81*6000,IF(F81&lt;20,F81*5500,IF(F81&lt;30,F81*5000,F81*4000)))</f>
        <v>71500</v>
      </c>
      <c r="M81">
        <f>L81-J81-K81</f>
        <v>44500</v>
      </c>
      <c r="N81">
        <f t="shared" si="1"/>
        <v>0</v>
      </c>
    </row>
    <row r="82" spans="1:14" x14ac:dyDescent="0.3">
      <c r="A82">
        <v>81</v>
      </c>
      <c r="B82" s="1">
        <v>44455</v>
      </c>
      <c r="C82" s="2">
        <v>0.29960648148148145</v>
      </c>
      <c r="D82" s="1">
        <v>44455</v>
      </c>
      <c r="E82" s="3">
        <v>0.37712962962962965</v>
      </c>
      <c r="F82">
        <v>13</v>
      </c>
      <c r="G82">
        <f>I81+F82</f>
        <v>31</v>
      </c>
      <c r="H82">
        <v>11</v>
      </c>
      <c r="I82">
        <f>G82-H82</f>
        <v>20</v>
      </c>
      <c r="J82">
        <f>F82 * 1500</f>
        <v>19500</v>
      </c>
      <c r="K82">
        <f>H82*1500</f>
        <v>16500</v>
      </c>
      <c r="L82">
        <f>IF(F82&lt;10,F82*6000,IF(F82&lt;20,F82*5500,IF(F82&lt;30,F82*5000,F82*4000)))</f>
        <v>71500</v>
      </c>
      <c r="M82">
        <f>L82-J82-K82</f>
        <v>35500</v>
      </c>
      <c r="N82">
        <f t="shared" si="1"/>
        <v>0</v>
      </c>
    </row>
    <row r="83" spans="1:14" x14ac:dyDescent="0.3">
      <c r="A83">
        <v>82</v>
      </c>
      <c r="B83" s="1">
        <v>44455</v>
      </c>
      <c r="C83" s="2">
        <v>0.46118055555555554</v>
      </c>
      <c r="D83" s="1">
        <v>44455</v>
      </c>
      <c r="E83" s="3">
        <v>0.5005208333333333</v>
      </c>
      <c r="F83">
        <v>14</v>
      </c>
      <c r="G83">
        <f>I82+F83</f>
        <v>34</v>
      </c>
      <c r="H83">
        <v>9</v>
      </c>
      <c r="I83">
        <f>G83-H83</f>
        <v>25</v>
      </c>
      <c r="J83">
        <f>F83 * 1500</f>
        <v>21000</v>
      </c>
      <c r="K83">
        <f>H83*1500</f>
        <v>13500</v>
      </c>
      <c r="L83">
        <f>IF(F83&lt;10,F83*6000,IF(F83&lt;20,F83*5500,IF(F83&lt;30,F83*5000,F83*4000)))</f>
        <v>77000</v>
      </c>
      <c r="M83">
        <f>L83-J83-K83</f>
        <v>42500</v>
      </c>
      <c r="N83">
        <f t="shared" si="1"/>
        <v>0</v>
      </c>
    </row>
    <row r="84" spans="1:14" x14ac:dyDescent="0.3">
      <c r="A84">
        <v>83</v>
      </c>
      <c r="B84" s="1">
        <v>44455</v>
      </c>
      <c r="C84" s="2">
        <v>0.57986111111111105</v>
      </c>
      <c r="D84" s="1">
        <v>44455</v>
      </c>
      <c r="E84" s="3">
        <v>0.61469907407407409</v>
      </c>
      <c r="F84">
        <v>14</v>
      </c>
      <c r="G84">
        <f>I83+F84</f>
        <v>39</v>
      </c>
      <c r="H84">
        <v>9</v>
      </c>
      <c r="I84">
        <f>G84-H84</f>
        <v>30</v>
      </c>
      <c r="J84">
        <f>F84 * 1500</f>
        <v>21000</v>
      </c>
      <c r="K84">
        <f>H84*1500</f>
        <v>13500</v>
      </c>
      <c r="L84">
        <f>IF(F84&lt;10,F84*6000,IF(F84&lt;20,F84*5500,IF(F84&lt;30,F84*5000,F84*4000)))</f>
        <v>77000</v>
      </c>
      <c r="M84">
        <f>L84-J84-K84</f>
        <v>42500</v>
      </c>
      <c r="N84">
        <f t="shared" si="1"/>
        <v>0</v>
      </c>
    </row>
    <row r="85" spans="1:14" x14ac:dyDescent="0.3">
      <c r="A85">
        <v>84</v>
      </c>
      <c r="B85" s="1">
        <v>44455</v>
      </c>
      <c r="C85" s="2">
        <v>0.67444444444444451</v>
      </c>
      <c r="D85" s="1">
        <v>44455</v>
      </c>
      <c r="E85" s="3">
        <v>0.72362268518518524</v>
      </c>
      <c r="F85">
        <v>12</v>
      </c>
      <c r="G85">
        <f>I84+F85</f>
        <v>42</v>
      </c>
      <c r="H85">
        <v>7</v>
      </c>
      <c r="I85">
        <f>G85-H85</f>
        <v>35</v>
      </c>
      <c r="J85">
        <f>F85 * 1500</f>
        <v>18000</v>
      </c>
      <c r="K85">
        <f>H85*1500</f>
        <v>10500</v>
      </c>
      <c r="L85">
        <f>IF(F85&lt;10,F85*6000,IF(F85&lt;20,F85*5500,IF(F85&lt;30,F85*5000,F85*4000)))</f>
        <v>66000</v>
      </c>
      <c r="M85">
        <f>L85-J85-K85</f>
        <v>37500</v>
      </c>
      <c r="N85">
        <f t="shared" si="1"/>
        <v>0</v>
      </c>
    </row>
    <row r="86" spans="1:14" x14ac:dyDescent="0.3">
      <c r="A86">
        <v>85</v>
      </c>
      <c r="B86" s="1">
        <v>44455</v>
      </c>
      <c r="C86" s="2">
        <v>0.7926157407407407</v>
      </c>
      <c r="D86" s="1">
        <v>44455</v>
      </c>
      <c r="E86" s="3">
        <v>0.86523148148148143</v>
      </c>
      <c r="F86">
        <v>2</v>
      </c>
      <c r="G86">
        <f>I85+F86</f>
        <v>37</v>
      </c>
      <c r="H86">
        <v>19</v>
      </c>
      <c r="I86">
        <f>G86-H86</f>
        <v>18</v>
      </c>
      <c r="J86">
        <f>F86 * 1500</f>
        <v>3000</v>
      </c>
      <c r="K86">
        <f>H86*1500</f>
        <v>28500</v>
      </c>
      <c r="L86">
        <f>IF(F86&lt;10,F86*6000,IF(F86&lt;20,F86*5500,IF(F86&lt;30,F86*5000,F86*4000)))</f>
        <v>12000</v>
      </c>
      <c r="M86">
        <f>L86-J86-K86</f>
        <v>-19500</v>
      </c>
      <c r="N86">
        <f t="shared" si="1"/>
        <v>1</v>
      </c>
    </row>
    <row r="87" spans="1:14" x14ac:dyDescent="0.3">
      <c r="A87">
        <v>86</v>
      </c>
      <c r="B87" s="1">
        <v>44456</v>
      </c>
      <c r="C87" s="2">
        <v>0.28914351851851855</v>
      </c>
      <c r="D87" s="1">
        <v>44456</v>
      </c>
      <c r="E87" s="3">
        <v>0.33407407407407402</v>
      </c>
      <c r="F87">
        <v>4</v>
      </c>
      <c r="G87">
        <f>I86+F87</f>
        <v>22</v>
      </c>
      <c r="H87">
        <v>11</v>
      </c>
      <c r="I87">
        <f>G87-H87</f>
        <v>11</v>
      </c>
      <c r="J87">
        <f>F87 * 1500</f>
        <v>6000</v>
      </c>
      <c r="K87">
        <f>H87*1500</f>
        <v>16500</v>
      </c>
      <c r="L87">
        <f>IF(F87&lt;10,F87*6000,IF(F87&lt;20,F87*5500,IF(F87&lt;30,F87*5000,F87*4000)))</f>
        <v>24000</v>
      </c>
      <c r="M87">
        <f>L87-J87-K87</f>
        <v>1500</v>
      </c>
      <c r="N87">
        <f t="shared" si="1"/>
        <v>0</v>
      </c>
    </row>
    <row r="88" spans="1:14" x14ac:dyDescent="0.3">
      <c r="A88">
        <v>87</v>
      </c>
      <c r="B88" s="1">
        <v>44456</v>
      </c>
      <c r="C88" s="2">
        <v>0.45840277777777777</v>
      </c>
      <c r="D88" s="1">
        <v>44456</v>
      </c>
      <c r="E88" s="3">
        <v>0.47927083333333331</v>
      </c>
      <c r="F88">
        <v>21</v>
      </c>
      <c r="G88">
        <f>I87+F88</f>
        <v>32</v>
      </c>
      <c r="H88">
        <v>15</v>
      </c>
      <c r="I88">
        <f>G88-H88</f>
        <v>17</v>
      </c>
      <c r="J88">
        <f>F88 * 1500</f>
        <v>31500</v>
      </c>
      <c r="K88">
        <f>H88*1500</f>
        <v>22500</v>
      </c>
      <c r="L88">
        <f>IF(F88&lt;10,F88*6000,IF(F88&lt;20,F88*5500,IF(F88&lt;30,F88*5000,F88*4000)))</f>
        <v>105000</v>
      </c>
      <c r="M88">
        <f>L88-J88-K88</f>
        <v>51000</v>
      </c>
      <c r="N88">
        <f t="shared" si="1"/>
        <v>0</v>
      </c>
    </row>
    <row r="89" spans="1:14" x14ac:dyDescent="0.3">
      <c r="A89">
        <v>88</v>
      </c>
      <c r="B89" s="1">
        <v>44456</v>
      </c>
      <c r="C89" s="2">
        <v>0.55218749999999994</v>
      </c>
      <c r="D89" s="1">
        <v>44456</v>
      </c>
      <c r="E89" s="3">
        <v>0.62156250000000002</v>
      </c>
      <c r="F89">
        <v>7</v>
      </c>
      <c r="G89">
        <f>I88+F89</f>
        <v>24</v>
      </c>
      <c r="H89">
        <v>13</v>
      </c>
      <c r="I89">
        <f>G89-H89</f>
        <v>11</v>
      </c>
      <c r="J89">
        <f>F89 * 1500</f>
        <v>10500</v>
      </c>
      <c r="K89">
        <f>H89*1500</f>
        <v>19500</v>
      </c>
      <c r="L89">
        <f>IF(F89&lt;10,F89*6000,IF(F89&lt;20,F89*5500,IF(F89&lt;30,F89*5000,F89*4000)))</f>
        <v>42000</v>
      </c>
      <c r="M89">
        <f>L89-J89-K89</f>
        <v>12000</v>
      </c>
      <c r="N89">
        <f t="shared" si="1"/>
        <v>0</v>
      </c>
    </row>
    <row r="90" spans="1:14" x14ac:dyDescent="0.3">
      <c r="A90">
        <v>89</v>
      </c>
      <c r="B90" s="1">
        <v>44456</v>
      </c>
      <c r="C90" s="2">
        <v>0.64994212962962961</v>
      </c>
      <c r="D90" s="1">
        <v>44456</v>
      </c>
      <c r="E90" s="3">
        <v>0.71797453703703706</v>
      </c>
      <c r="F90">
        <v>14</v>
      </c>
      <c r="G90">
        <f>I89+F90</f>
        <v>25</v>
      </c>
      <c r="H90">
        <v>16</v>
      </c>
      <c r="I90">
        <f>G90-H90</f>
        <v>9</v>
      </c>
      <c r="J90">
        <f>F90 * 1500</f>
        <v>21000</v>
      </c>
      <c r="K90">
        <f>H90*1500</f>
        <v>24000</v>
      </c>
      <c r="L90">
        <f>IF(F90&lt;10,F90*6000,IF(F90&lt;20,F90*5500,IF(F90&lt;30,F90*5000,F90*4000)))</f>
        <v>77000</v>
      </c>
      <c r="M90">
        <f>L90-J90-K90</f>
        <v>32000</v>
      </c>
      <c r="N90">
        <f t="shared" si="1"/>
        <v>0</v>
      </c>
    </row>
    <row r="91" spans="1:14" x14ac:dyDescent="0.3">
      <c r="A91">
        <v>90</v>
      </c>
      <c r="B91" s="1">
        <v>44456</v>
      </c>
      <c r="C91" s="2">
        <v>0.80049768518518516</v>
      </c>
      <c r="D91" s="1">
        <v>44456</v>
      </c>
      <c r="E91" s="3">
        <v>0.86509259259259252</v>
      </c>
      <c r="F91">
        <v>7</v>
      </c>
      <c r="G91">
        <f>I90+F91</f>
        <v>16</v>
      </c>
      <c r="H91">
        <v>0</v>
      </c>
      <c r="I91">
        <f>G91-H91</f>
        <v>16</v>
      </c>
      <c r="J91">
        <f>F91 * 1500</f>
        <v>10500</v>
      </c>
      <c r="K91">
        <f>H91*1500</f>
        <v>0</v>
      </c>
      <c r="L91">
        <f>IF(F91&lt;10,F91*6000,IF(F91&lt;20,F91*5500,IF(F91&lt;30,F91*5000,F91*4000)))</f>
        <v>42000</v>
      </c>
      <c r="M91">
        <f>L91-J91-K91</f>
        <v>31500</v>
      </c>
      <c r="N91">
        <f t="shared" si="1"/>
        <v>0</v>
      </c>
    </row>
    <row r="92" spans="1:14" x14ac:dyDescent="0.3">
      <c r="A92">
        <v>91</v>
      </c>
      <c r="B92" s="1">
        <v>44457</v>
      </c>
      <c r="C92" s="2">
        <v>0.21187500000000001</v>
      </c>
      <c r="D92" s="1">
        <v>44457</v>
      </c>
      <c r="E92" s="3">
        <v>0.26673611111111112</v>
      </c>
      <c r="F92">
        <v>17</v>
      </c>
      <c r="G92">
        <f>I91+F92</f>
        <v>33</v>
      </c>
      <c r="H92">
        <v>15</v>
      </c>
      <c r="I92">
        <f>G92-H92</f>
        <v>18</v>
      </c>
      <c r="J92">
        <f>F92 * 1500</f>
        <v>25500</v>
      </c>
      <c r="K92">
        <f>H92*1500</f>
        <v>22500</v>
      </c>
      <c r="L92">
        <f>IF(F92&lt;10,F92*6000,IF(F92&lt;20,F92*5500,IF(F92&lt;30,F92*5000,F92*4000)))</f>
        <v>93500</v>
      </c>
      <c r="M92">
        <f>L92-J92-K92</f>
        <v>45500</v>
      </c>
      <c r="N92">
        <f t="shared" si="1"/>
        <v>0</v>
      </c>
    </row>
    <row r="93" spans="1:14" x14ac:dyDescent="0.3">
      <c r="A93">
        <v>92</v>
      </c>
      <c r="B93" s="1">
        <v>44457</v>
      </c>
      <c r="C93" s="2">
        <v>0.38490740740740742</v>
      </c>
      <c r="D93" s="1">
        <v>44457</v>
      </c>
      <c r="E93" s="3">
        <v>0.41679398148148145</v>
      </c>
      <c r="F93">
        <v>5</v>
      </c>
      <c r="G93">
        <f>I92+F93</f>
        <v>23</v>
      </c>
      <c r="H93">
        <v>8</v>
      </c>
      <c r="I93">
        <f>G93-H93</f>
        <v>15</v>
      </c>
      <c r="J93">
        <f>F93 * 1500</f>
        <v>7500</v>
      </c>
      <c r="K93">
        <f>H93*1500</f>
        <v>12000</v>
      </c>
      <c r="L93">
        <f>IF(F93&lt;10,F93*6000,IF(F93&lt;20,F93*5500,IF(F93&lt;30,F93*5000,F93*4000)))</f>
        <v>30000</v>
      </c>
      <c r="M93">
        <f>L93-J93-K93</f>
        <v>10500</v>
      </c>
      <c r="N93">
        <f t="shared" si="1"/>
        <v>0</v>
      </c>
    </row>
    <row r="94" spans="1:14" x14ac:dyDescent="0.3">
      <c r="A94">
        <v>93</v>
      </c>
      <c r="B94" s="1">
        <v>44457</v>
      </c>
      <c r="C94" s="2">
        <v>0.47458333333333336</v>
      </c>
      <c r="D94" s="1">
        <v>44457</v>
      </c>
      <c r="E94" s="3">
        <v>0.5599884259259259</v>
      </c>
      <c r="F94">
        <v>14</v>
      </c>
      <c r="G94">
        <f>I93+F94</f>
        <v>29</v>
      </c>
      <c r="H94">
        <v>9</v>
      </c>
      <c r="I94">
        <f>G94-H94</f>
        <v>20</v>
      </c>
      <c r="J94">
        <f>F94 * 1500</f>
        <v>21000</v>
      </c>
      <c r="K94">
        <f>H94*1500</f>
        <v>13500</v>
      </c>
      <c r="L94">
        <f>IF(F94&lt;10,F94*6000,IF(F94&lt;20,F94*5500,IF(F94&lt;30,F94*5000,F94*4000)))</f>
        <v>77000</v>
      </c>
      <c r="M94">
        <f>L94-J94-K94</f>
        <v>42500</v>
      </c>
      <c r="N94">
        <f t="shared" si="1"/>
        <v>0</v>
      </c>
    </row>
    <row r="95" spans="1:14" x14ac:dyDescent="0.3">
      <c r="A95">
        <v>94</v>
      </c>
      <c r="B95" s="1">
        <v>44457</v>
      </c>
      <c r="C95" s="2">
        <v>0.62175925925925923</v>
      </c>
      <c r="D95" s="1">
        <v>44457</v>
      </c>
      <c r="E95" s="3">
        <v>0.64258101851851845</v>
      </c>
      <c r="F95">
        <v>11</v>
      </c>
      <c r="G95">
        <f>I94+F95</f>
        <v>31</v>
      </c>
      <c r="H95">
        <v>17</v>
      </c>
      <c r="I95">
        <f>G95-H95</f>
        <v>14</v>
      </c>
      <c r="J95">
        <f>F95 * 1500</f>
        <v>16500</v>
      </c>
      <c r="K95">
        <f>H95*1500</f>
        <v>25500</v>
      </c>
      <c r="L95">
        <f>IF(F95&lt;10,F95*6000,IF(F95&lt;20,F95*5500,IF(F95&lt;30,F95*5000,F95*4000)))</f>
        <v>60500</v>
      </c>
      <c r="M95">
        <f>L95-J95-K95</f>
        <v>18500</v>
      </c>
      <c r="N95">
        <f t="shared" si="1"/>
        <v>0</v>
      </c>
    </row>
    <row r="96" spans="1:14" x14ac:dyDescent="0.3">
      <c r="A96">
        <v>95</v>
      </c>
      <c r="B96" s="1">
        <v>44457</v>
      </c>
      <c r="C96" s="2">
        <v>0.72517361111111101</v>
      </c>
      <c r="D96" s="1">
        <v>44457</v>
      </c>
      <c r="E96" s="3">
        <v>0.78138888888888891</v>
      </c>
      <c r="F96">
        <v>7</v>
      </c>
      <c r="G96">
        <f>I95+F96</f>
        <v>21</v>
      </c>
      <c r="H96">
        <v>16</v>
      </c>
      <c r="I96">
        <f>G96-H96</f>
        <v>5</v>
      </c>
      <c r="J96">
        <f>F96 * 1500</f>
        <v>10500</v>
      </c>
      <c r="K96">
        <f>H96*1500</f>
        <v>24000</v>
      </c>
      <c r="L96">
        <f>IF(F96&lt;10,F96*6000,IF(F96&lt;20,F96*5500,IF(F96&lt;30,F96*5000,F96*4000)))</f>
        <v>42000</v>
      </c>
      <c r="M96">
        <f>L96-J96-K96</f>
        <v>7500</v>
      </c>
      <c r="N96">
        <f t="shared" si="1"/>
        <v>0</v>
      </c>
    </row>
    <row r="97" spans="1:14" x14ac:dyDescent="0.3">
      <c r="A97">
        <v>96</v>
      </c>
      <c r="B97" s="1">
        <v>44458</v>
      </c>
      <c r="C97" s="2">
        <v>0.37921296296296297</v>
      </c>
      <c r="D97" s="1">
        <v>44458</v>
      </c>
      <c r="E97" s="3">
        <v>0.44873842592592594</v>
      </c>
      <c r="F97">
        <v>5</v>
      </c>
      <c r="G97">
        <f>I96+F97</f>
        <v>10</v>
      </c>
      <c r="H97">
        <v>1</v>
      </c>
      <c r="I97">
        <f>G97-H97</f>
        <v>9</v>
      </c>
      <c r="J97">
        <f>F97 * 1500</f>
        <v>7500</v>
      </c>
      <c r="K97">
        <f>H97*1500</f>
        <v>1500</v>
      </c>
      <c r="L97">
        <f>IF(F97&lt;10,F97*6000,IF(F97&lt;20,F97*5500,IF(F97&lt;30,F97*5000,F97*4000)))</f>
        <v>30000</v>
      </c>
      <c r="M97">
        <f>L97-J97-K97</f>
        <v>21000</v>
      </c>
      <c r="N97">
        <f t="shared" si="1"/>
        <v>0</v>
      </c>
    </row>
    <row r="98" spans="1:14" x14ac:dyDescent="0.3">
      <c r="A98">
        <v>97</v>
      </c>
      <c r="B98" s="1">
        <v>44458</v>
      </c>
      <c r="C98" s="2">
        <v>0.58005787037037038</v>
      </c>
      <c r="D98" s="1">
        <v>44458</v>
      </c>
      <c r="E98" s="3">
        <v>0.62572916666666667</v>
      </c>
      <c r="F98">
        <v>14</v>
      </c>
      <c r="G98">
        <f>I97+F98</f>
        <v>23</v>
      </c>
      <c r="H98">
        <v>7</v>
      </c>
      <c r="I98">
        <f>G98-H98</f>
        <v>16</v>
      </c>
      <c r="J98">
        <f>F98 * 1500</f>
        <v>21000</v>
      </c>
      <c r="K98">
        <f>H98*1500</f>
        <v>10500</v>
      </c>
      <c r="L98">
        <f>IF(F98&lt;10,F98*6000,IF(F98&lt;20,F98*5500,IF(F98&lt;30,F98*5000,F98*4000)))</f>
        <v>77000</v>
      </c>
      <c r="M98">
        <f>L98-J98-K98</f>
        <v>45500</v>
      </c>
      <c r="N98">
        <f t="shared" si="1"/>
        <v>0</v>
      </c>
    </row>
    <row r="99" spans="1:14" x14ac:dyDescent="0.3">
      <c r="A99">
        <v>98</v>
      </c>
      <c r="B99" s="1">
        <v>44458</v>
      </c>
      <c r="C99" s="2">
        <v>0.67716435185185186</v>
      </c>
      <c r="D99" s="1">
        <v>44458</v>
      </c>
      <c r="E99" s="3">
        <v>0.73178240740740741</v>
      </c>
      <c r="F99">
        <v>12</v>
      </c>
      <c r="G99">
        <f>I98+F99</f>
        <v>28</v>
      </c>
      <c r="H99">
        <v>9</v>
      </c>
      <c r="I99">
        <f>G99-H99</f>
        <v>19</v>
      </c>
      <c r="J99">
        <f>F99 * 1500</f>
        <v>18000</v>
      </c>
      <c r="K99">
        <f>H99*1500</f>
        <v>13500</v>
      </c>
      <c r="L99">
        <f>IF(F99&lt;10,F99*6000,IF(F99&lt;20,F99*5500,IF(F99&lt;30,F99*5000,F99*4000)))</f>
        <v>66000</v>
      </c>
      <c r="M99">
        <f>L99-J99-K99</f>
        <v>34500</v>
      </c>
      <c r="N99">
        <f t="shared" si="1"/>
        <v>0</v>
      </c>
    </row>
    <row r="100" spans="1:14" x14ac:dyDescent="0.3">
      <c r="A100">
        <v>99</v>
      </c>
      <c r="B100" s="1">
        <v>44458</v>
      </c>
      <c r="C100" s="2">
        <v>0.81361111111111117</v>
      </c>
      <c r="D100" s="1">
        <v>44458</v>
      </c>
      <c r="E100" s="3">
        <v>0.84862268518518524</v>
      </c>
      <c r="F100">
        <v>11</v>
      </c>
      <c r="G100">
        <f>I99+F100</f>
        <v>30</v>
      </c>
      <c r="H100">
        <v>9</v>
      </c>
      <c r="I100">
        <f>G100-H100</f>
        <v>21</v>
      </c>
      <c r="J100">
        <f>F100 * 1500</f>
        <v>16500</v>
      </c>
      <c r="K100">
        <f>H100*1500</f>
        <v>13500</v>
      </c>
      <c r="L100">
        <f>IF(F100&lt;10,F100*6000,IF(F100&lt;20,F100*5500,IF(F100&lt;30,F100*5000,F100*4000)))</f>
        <v>60500</v>
      </c>
      <c r="M100">
        <f>L100-J100-K100</f>
        <v>30500</v>
      </c>
      <c r="N100">
        <f t="shared" si="1"/>
        <v>0</v>
      </c>
    </row>
    <row r="101" spans="1:14" x14ac:dyDescent="0.3">
      <c r="A101">
        <v>100</v>
      </c>
      <c r="B101" s="1">
        <v>44458</v>
      </c>
      <c r="C101" s="2">
        <v>0.95554398148148145</v>
      </c>
      <c r="D101" s="1">
        <v>44459</v>
      </c>
      <c r="E101" s="3">
        <v>5.0520833333333327E-2</v>
      </c>
      <c r="F101">
        <v>11</v>
      </c>
      <c r="G101">
        <f>I100+F101</f>
        <v>32</v>
      </c>
      <c r="H101">
        <v>8</v>
      </c>
      <c r="I101">
        <f>G101-H101</f>
        <v>24</v>
      </c>
      <c r="J101">
        <f>F101 * 1500</f>
        <v>16500</v>
      </c>
      <c r="K101">
        <f>H101*1500</f>
        <v>12000</v>
      </c>
      <c r="L101">
        <f>IF(F101&lt;10,F101*6000,IF(F101&lt;20,F101*5500,IF(F101&lt;30,F101*5000,F101*4000)))</f>
        <v>60500</v>
      </c>
      <c r="M101">
        <f>L101-J101-K101</f>
        <v>32000</v>
      </c>
      <c r="N101">
        <f t="shared" si="1"/>
        <v>0</v>
      </c>
    </row>
    <row r="102" spans="1:14" x14ac:dyDescent="0.3">
      <c r="A102">
        <v>101</v>
      </c>
      <c r="B102" s="1">
        <v>44459</v>
      </c>
      <c r="C102" s="2">
        <v>0.3830324074074074</v>
      </c>
      <c r="D102" s="1">
        <v>44459</v>
      </c>
      <c r="E102" s="3">
        <v>0.44746527777777773</v>
      </c>
      <c r="F102">
        <v>12</v>
      </c>
      <c r="G102">
        <f>I101+F102</f>
        <v>36</v>
      </c>
      <c r="H102">
        <v>3</v>
      </c>
      <c r="I102">
        <f>G102-H102</f>
        <v>33</v>
      </c>
      <c r="J102">
        <f>F102 * 1500</f>
        <v>18000</v>
      </c>
      <c r="K102">
        <f>H102*1500</f>
        <v>4500</v>
      </c>
      <c r="L102">
        <f>IF(F102&lt;10,F102*6000,IF(F102&lt;20,F102*5500,IF(F102&lt;30,F102*5000,F102*4000)))</f>
        <v>66000</v>
      </c>
      <c r="M102">
        <f>L102-J102-K102</f>
        <v>43500</v>
      </c>
      <c r="N102">
        <f t="shared" si="1"/>
        <v>0</v>
      </c>
    </row>
    <row r="103" spans="1:14" x14ac:dyDescent="0.3">
      <c r="A103">
        <v>102</v>
      </c>
      <c r="B103" s="1">
        <v>44459</v>
      </c>
      <c r="C103" s="2">
        <v>0.47513888888888883</v>
      </c>
      <c r="D103" s="1">
        <v>44459</v>
      </c>
      <c r="E103" s="3">
        <v>0.52998842592592588</v>
      </c>
      <c r="F103">
        <v>7</v>
      </c>
      <c r="G103">
        <f>I102+F103</f>
        <v>40</v>
      </c>
      <c r="H103">
        <v>12</v>
      </c>
      <c r="I103">
        <f>G103-H103</f>
        <v>28</v>
      </c>
      <c r="J103">
        <f>F103 * 1500</f>
        <v>10500</v>
      </c>
      <c r="K103">
        <f>H103*1500</f>
        <v>18000</v>
      </c>
      <c r="L103">
        <f>IF(F103&lt;10,F103*6000,IF(F103&lt;20,F103*5500,IF(F103&lt;30,F103*5000,F103*4000)))</f>
        <v>42000</v>
      </c>
      <c r="M103">
        <f>L103-J103-K103</f>
        <v>13500</v>
      </c>
      <c r="N103">
        <f t="shared" si="1"/>
        <v>0</v>
      </c>
    </row>
    <row r="104" spans="1:14" x14ac:dyDescent="0.3">
      <c r="A104">
        <v>103</v>
      </c>
      <c r="B104" s="1">
        <v>44459</v>
      </c>
      <c r="C104" s="2">
        <v>0.54886574074074079</v>
      </c>
      <c r="D104" s="1">
        <v>44459</v>
      </c>
      <c r="E104" s="3">
        <v>0.59329861111111104</v>
      </c>
      <c r="F104">
        <v>9</v>
      </c>
      <c r="G104">
        <f>I103+F104</f>
        <v>37</v>
      </c>
      <c r="H104">
        <v>14</v>
      </c>
      <c r="I104">
        <f>G104-H104</f>
        <v>23</v>
      </c>
      <c r="J104">
        <f>F104 * 1500</f>
        <v>13500</v>
      </c>
      <c r="K104">
        <f>H104*1500</f>
        <v>21000</v>
      </c>
      <c r="L104">
        <f>IF(F104&lt;10,F104*6000,IF(F104&lt;20,F104*5500,IF(F104&lt;30,F104*5000,F104*4000)))</f>
        <v>54000</v>
      </c>
      <c r="M104">
        <f>L104-J104-K104</f>
        <v>19500</v>
      </c>
      <c r="N104">
        <f t="shared" si="1"/>
        <v>0</v>
      </c>
    </row>
    <row r="105" spans="1:14" x14ac:dyDescent="0.3">
      <c r="A105">
        <v>104</v>
      </c>
      <c r="B105" s="1">
        <v>44459</v>
      </c>
      <c r="C105" s="2">
        <v>0.63266203703703705</v>
      </c>
      <c r="D105" s="1">
        <v>44459</v>
      </c>
      <c r="E105" s="3">
        <v>0.67504629629629631</v>
      </c>
      <c r="F105">
        <v>8</v>
      </c>
      <c r="G105">
        <f>I104+F105</f>
        <v>31</v>
      </c>
      <c r="H105">
        <v>19</v>
      </c>
      <c r="I105">
        <f>G105-H105</f>
        <v>12</v>
      </c>
      <c r="J105">
        <f>F105 * 1500</f>
        <v>12000</v>
      </c>
      <c r="K105">
        <f>H105*1500</f>
        <v>28500</v>
      </c>
      <c r="L105">
        <f>IF(F105&lt;10,F105*6000,IF(F105&lt;20,F105*5500,IF(F105&lt;30,F105*5000,F105*4000)))</f>
        <v>48000</v>
      </c>
      <c r="M105">
        <f>L105-J105-K105</f>
        <v>7500</v>
      </c>
      <c r="N105">
        <f t="shared" si="1"/>
        <v>0</v>
      </c>
    </row>
    <row r="106" spans="1:14" x14ac:dyDescent="0.3">
      <c r="A106">
        <v>105</v>
      </c>
      <c r="B106" s="1">
        <v>44459</v>
      </c>
      <c r="C106" s="2">
        <v>0.70928240740740733</v>
      </c>
      <c r="D106" s="1">
        <v>44459</v>
      </c>
      <c r="E106" s="3">
        <v>0.72917824074074078</v>
      </c>
      <c r="F106">
        <v>23</v>
      </c>
      <c r="G106">
        <f>I105+F106</f>
        <v>35</v>
      </c>
      <c r="H106">
        <v>14</v>
      </c>
      <c r="I106">
        <f>G106-H106</f>
        <v>21</v>
      </c>
      <c r="J106">
        <f>F106 * 1500</f>
        <v>34500</v>
      </c>
      <c r="K106">
        <f>H106*1500</f>
        <v>21000</v>
      </c>
      <c r="L106">
        <f>IF(F106&lt;10,F106*6000,IF(F106&lt;20,F106*5500,IF(F106&lt;30,F106*5000,F106*4000)))</f>
        <v>115000</v>
      </c>
      <c r="M106">
        <f>L106-J106-K106</f>
        <v>59500</v>
      </c>
      <c r="N106">
        <f t="shared" si="1"/>
        <v>0</v>
      </c>
    </row>
    <row r="107" spans="1:14" x14ac:dyDescent="0.3">
      <c r="A107">
        <v>106</v>
      </c>
      <c r="B107" s="1">
        <v>44459</v>
      </c>
      <c r="C107" s="2">
        <v>0.74663194444444436</v>
      </c>
      <c r="D107" s="1">
        <v>44459</v>
      </c>
      <c r="E107" s="3">
        <v>0.78163194444444439</v>
      </c>
      <c r="F107">
        <v>19</v>
      </c>
      <c r="G107">
        <f>I106+F107</f>
        <v>40</v>
      </c>
      <c r="H107">
        <v>9</v>
      </c>
      <c r="I107">
        <f>G107-H107</f>
        <v>31</v>
      </c>
      <c r="J107">
        <f>F107 * 1500</f>
        <v>28500</v>
      </c>
      <c r="K107">
        <f>H107*1500</f>
        <v>13500</v>
      </c>
      <c r="L107">
        <f>IF(F107&lt;10,F107*6000,IF(F107&lt;20,F107*5500,IF(F107&lt;30,F107*5000,F107*4000)))</f>
        <v>104500</v>
      </c>
      <c r="M107">
        <f>L107-J107-K107</f>
        <v>62500</v>
      </c>
      <c r="N107">
        <f t="shared" si="1"/>
        <v>0</v>
      </c>
    </row>
    <row r="108" spans="1:14" x14ac:dyDescent="0.3">
      <c r="A108">
        <v>107</v>
      </c>
      <c r="B108" s="1">
        <v>44459</v>
      </c>
      <c r="C108" s="2">
        <v>0.82415509259259256</v>
      </c>
      <c r="D108" s="1">
        <v>44459</v>
      </c>
      <c r="E108" s="3">
        <v>0.91810185185185178</v>
      </c>
      <c r="F108">
        <v>0</v>
      </c>
      <c r="G108">
        <f>I107+F108</f>
        <v>31</v>
      </c>
      <c r="H108">
        <v>6</v>
      </c>
      <c r="I108">
        <f>G108-H108</f>
        <v>25</v>
      </c>
      <c r="J108">
        <f>F108 * 1500</f>
        <v>0</v>
      </c>
      <c r="K108">
        <f>H108*1500</f>
        <v>9000</v>
      </c>
      <c r="L108">
        <f>IF(F108&lt;10,F108*6000,IF(F108&lt;20,F108*5500,IF(F108&lt;30,F108*5000,F108*4000)))</f>
        <v>0</v>
      </c>
      <c r="M108">
        <f>L108-J108-K108</f>
        <v>-9000</v>
      </c>
      <c r="N108">
        <f t="shared" si="1"/>
        <v>1</v>
      </c>
    </row>
    <row r="109" spans="1:14" x14ac:dyDescent="0.3">
      <c r="A109">
        <v>108</v>
      </c>
      <c r="B109" s="1">
        <v>44459</v>
      </c>
      <c r="C109" s="2">
        <v>0.97640046296296301</v>
      </c>
      <c r="D109" s="1">
        <v>44460</v>
      </c>
      <c r="E109" s="3">
        <v>5.7824074074074076E-2</v>
      </c>
      <c r="F109">
        <v>4</v>
      </c>
      <c r="G109">
        <f>I108+F109</f>
        <v>29</v>
      </c>
      <c r="H109">
        <v>15</v>
      </c>
      <c r="I109">
        <f>G109-H109</f>
        <v>14</v>
      </c>
      <c r="J109">
        <f>F109 * 1500</f>
        <v>6000</v>
      </c>
      <c r="K109">
        <f>H109*1500</f>
        <v>22500</v>
      </c>
      <c r="L109">
        <f>IF(F109&lt;10,F109*6000,IF(F109&lt;20,F109*5500,IF(F109&lt;30,F109*5000,F109*4000)))</f>
        <v>24000</v>
      </c>
      <c r="M109">
        <f>L109-J109-K109</f>
        <v>-4500</v>
      </c>
      <c r="N109">
        <f t="shared" si="1"/>
        <v>1</v>
      </c>
    </row>
    <row r="110" spans="1:14" x14ac:dyDescent="0.3">
      <c r="A110">
        <v>109</v>
      </c>
      <c r="B110" s="1">
        <v>44460</v>
      </c>
      <c r="C110" s="2">
        <v>0.29172453703703705</v>
      </c>
      <c r="D110" s="1">
        <v>44460</v>
      </c>
      <c r="E110" s="3">
        <v>0.33641203703703698</v>
      </c>
      <c r="F110">
        <v>11</v>
      </c>
      <c r="G110">
        <f>I109+F110</f>
        <v>25</v>
      </c>
      <c r="H110">
        <v>0</v>
      </c>
      <c r="I110">
        <f>G110-H110</f>
        <v>25</v>
      </c>
      <c r="J110">
        <f>F110 * 1500</f>
        <v>16500</v>
      </c>
      <c r="K110">
        <f>H110*1500</f>
        <v>0</v>
      </c>
      <c r="L110">
        <f>IF(F110&lt;10,F110*6000,IF(F110&lt;20,F110*5500,IF(F110&lt;30,F110*5000,F110*4000)))</f>
        <v>60500</v>
      </c>
      <c r="M110">
        <f>L110-J110-K110</f>
        <v>44000</v>
      </c>
      <c r="N110">
        <f t="shared" si="1"/>
        <v>0</v>
      </c>
    </row>
    <row r="111" spans="1:14" x14ac:dyDescent="0.3">
      <c r="A111">
        <v>110</v>
      </c>
      <c r="B111" s="1">
        <v>44460</v>
      </c>
      <c r="C111" s="2">
        <v>0.42815972222222221</v>
      </c>
      <c r="D111" s="1">
        <v>44460</v>
      </c>
      <c r="E111" s="3">
        <v>0.58225694444444442</v>
      </c>
      <c r="F111">
        <v>9</v>
      </c>
      <c r="G111">
        <f>I110+F111</f>
        <v>34</v>
      </c>
      <c r="H111">
        <v>4</v>
      </c>
      <c r="I111">
        <f>G111-H111</f>
        <v>30</v>
      </c>
      <c r="J111">
        <f>F111 * 1500</f>
        <v>13500</v>
      </c>
      <c r="K111">
        <f>H111*1500</f>
        <v>6000</v>
      </c>
      <c r="L111">
        <f>IF(F111&lt;10,F111*6000,IF(F111&lt;20,F111*5500,IF(F111&lt;30,F111*5000,F111*4000)))</f>
        <v>54000</v>
      </c>
      <c r="M111">
        <f>L111-J111-K111</f>
        <v>34500</v>
      </c>
      <c r="N111">
        <f t="shared" si="1"/>
        <v>0</v>
      </c>
    </row>
    <row r="112" spans="1:14" x14ac:dyDescent="0.3">
      <c r="A112">
        <v>111</v>
      </c>
      <c r="B112" s="1">
        <v>44460</v>
      </c>
      <c r="C112" s="2">
        <v>0.62174768518518519</v>
      </c>
      <c r="D112" s="1">
        <v>44460</v>
      </c>
      <c r="E112" s="3">
        <v>0.66903935185185182</v>
      </c>
      <c r="F112">
        <v>9</v>
      </c>
      <c r="G112">
        <f>I111+F112</f>
        <v>39</v>
      </c>
      <c r="H112">
        <v>28</v>
      </c>
      <c r="I112">
        <f>G112-H112</f>
        <v>11</v>
      </c>
      <c r="J112">
        <f>F112 * 1500</f>
        <v>13500</v>
      </c>
      <c r="K112">
        <f>H112*1500</f>
        <v>42000</v>
      </c>
      <c r="L112">
        <f>IF(F112&lt;10,F112*6000,IF(F112&lt;20,F112*5500,IF(F112&lt;30,F112*5000,F112*4000)))</f>
        <v>54000</v>
      </c>
      <c r="M112">
        <f>L112-J112-K112</f>
        <v>-1500</v>
      </c>
      <c r="N112">
        <f t="shared" si="1"/>
        <v>1</v>
      </c>
    </row>
    <row r="113" spans="1:14" x14ac:dyDescent="0.3">
      <c r="A113">
        <v>112</v>
      </c>
      <c r="B113" s="1">
        <v>44460</v>
      </c>
      <c r="C113" s="2">
        <v>0.71136574074074066</v>
      </c>
      <c r="D113" s="1">
        <v>44460</v>
      </c>
      <c r="E113" s="3">
        <v>0.76173611111111106</v>
      </c>
      <c r="F113">
        <v>0</v>
      </c>
      <c r="G113">
        <f>I112+F113</f>
        <v>11</v>
      </c>
      <c r="H113">
        <v>10</v>
      </c>
      <c r="I113">
        <f>G113-H113</f>
        <v>1</v>
      </c>
      <c r="J113">
        <f>F113 * 1500</f>
        <v>0</v>
      </c>
      <c r="K113">
        <f>H113*1500</f>
        <v>15000</v>
      </c>
      <c r="L113">
        <f>IF(F113&lt;10,F113*6000,IF(F113&lt;20,F113*5500,IF(F113&lt;30,F113*5000,F113*4000)))</f>
        <v>0</v>
      </c>
      <c r="M113">
        <f>L113-J113-K113</f>
        <v>-15000</v>
      </c>
      <c r="N113">
        <f t="shared" si="1"/>
        <v>1</v>
      </c>
    </row>
    <row r="114" spans="1:14" x14ac:dyDescent="0.3">
      <c r="A114">
        <v>113</v>
      </c>
      <c r="B114" s="1">
        <v>44460</v>
      </c>
      <c r="C114" s="2">
        <v>0.83270833333333327</v>
      </c>
      <c r="D114" s="1">
        <v>44460</v>
      </c>
      <c r="E114" s="3">
        <v>0.9375</v>
      </c>
      <c r="F114">
        <v>12</v>
      </c>
      <c r="G114">
        <f>I113+F114</f>
        <v>13</v>
      </c>
      <c r="H114">
        <v>6</v>
      </c>
      <c r="I114">
        <f>G114-H114</f>
        <v>7</v>
      </c>
      <c r="J114">
        <f>F114 * 1500</f>
        <v>18000</v>
      </c>
      <c r="K114">
        <f>H114*1500</f>
        <v>9000</v>
      </c>
      <c r="L114">
        <f>IF(F114&lt;10,F114*6000,IF(F114&lt;20,F114*5500,IF(F114&lt;30,F114*5000,F114*4000)))</f>
        <v>66000</v>
      </c>
      <c r="M114">
        <f>L114-J114-K114</f>
        <v>39000</v>
      </c>
      <c r="N114">
        <f t="shared" si="1"/>
        <v>0</v>
      </c>
    </row>
    <row r="115" spans="1:14" x14ac:dyDescent="0.3">
      <c r="A115">
        <v>114</v>
      </c>
      <c r="B115" s="1">
        <v>44461</v>
      </c>
      <c r="C115" s="2">
        <v>0.29829861111111111</v>
      </c>
      <c r="D115" s="1">
        <v>44461</v>
      </c>
      <c r="E115" s="3">
        <v>0.3449652777777778</v>
      </c>
      <c r="F115">
        <v>11</v>
      </c>
      <c r="G115">
        <f>I114+F115</f>
        <v>18</v>
      </c>
      <c r="H115">
        <v>5</v>
      </c>
      <c r="I115">
        <f>G115-H115</f>
        <v>13</v>
      </c>
      <c r="J115">
        <f>F115 * 1500</f>
        <v>16500</v>
      </c>
      <c r="K115">
        <f>H115*1500</f>
        <v>7500</v>
      </c>
      <c r="L115">
        <f>IF(F115&lt;10,F115*6000,IF(F115&lt;20,F115*5500,IF(F115&lt;30,F115*5000,F115*4000)))</f>
        <v>60500</v>
      </c>
      <c r="M115">
        <f>L115-J115-K115</f>
        <v>36500</v>
      </c>
      <c r="N115">
        <f t="shared" si="1"/>
        <v>0</v>
      </c>
    </row>
    <row r="116" spans="1:14" x14ac:dyDescent="0.3">
      <c r="A116">
        <v>115</v>
      </c>
      <c r="B116" s="1">
        <v>44461</v>
      </c>
      <c r="C116" s="2">
        <v>0.38718750000000002</v>
      </c>
      <c r="D116" s="1">
        <v>44461</v>
      </c>
      <c r="E116" s="3">
        <v>0.46149305555555559</v>
      </c>
      <c r="F116">
        <v>13</v>
      </c>
      <c r="G116">
        <f>I115+F116</f>
        <v>26</v>
      </c>
      <c r="H116">
        <v>9</v>
      </c>
      <c r="I116">
        <f>G116-H116</f>
        <v>17</v>
      </c>
      <c r="J116">
        <f>F116 * 1500</f>
        <v>19500</v>
      </c>
      <c r="K116">
        <f>H116*1500</f>
        <v>13500</v>
      </c>
      <c r="L116">
        <f>IF(F116&lt;10,F116*6000,IF(F116&lt;20,F116*5500,IF(F116&lt;30,F116*5000,F116*4000)))</f>
        <v>71500</v>
      </c>
      <c r="M116">
        <f>L116-J116-K116</f>
        <v>38500</v>
      </c>
      <c r="N116">
        <f t="shared" si="1"/>
        <v>0</v>
      </c>
    </row>
    <row r="117" spans="1:14" x14ac:dyDescent="0.3">
      <c r="A117">
        <v>116</v>
      </c>
      <c r="B117" s="1">
        <v>44461</v>
      </c>
      <c r="C117" s="2">
        <v>0.60652777777777778</v>
      </c>
      <c r="D117" s="1">
        <v>44461</v>
      </c>
      <c r="E117" s="3">
        <v>0.63285879629629627</v>
      </c>
      <c r="F117">
        <v>14</v>
      </c>
      <c r="G117">
        <f>I116+F117</f>
        <v>31</v>
      </c>
      <c r="H117">
        <v>11</v>
      </c>
      <c r="I117">
        <f>G117-H117</f>
        <v>20</v>
      </c>
      <c r="J117">
        <f>F117 * 1500</f>
        <v>21000</v>
      </c>
      <c r="K117">
        <f>H117*1500</f>
        <v>16500</v>
      </c>
      <c r="L117">
        <f>IF(F117&lt;10,F117*6000,IF(F117&lt;20,F117*5500,IF(F117&lt;30,F117*5000,F117*4000)))</f>
        <v>77000</v>
      </c>
      <c r="M117">
        <f>L117-J117-K117</f>
        <v>39500</v>
      </c>
      <c r="N117">
        <f t="shared" si="1"/>
        <v>0</v>
      </c>
    </row>
    <row r="118" spans="1:14" x14ac:dyDescent="0.3">
      <c r="A118">
        <v>117</v>
      </c>
      <c r="B118" s="1">
        <v>44461</v>
      </c>
      <c r="C118" s="2">
        <v>0.64589120370370368</v>
      </c>
      <c r="D118" s="1">
        <v>44461</v>
      </c>
      <c r="E118" s="3">
        <v>0.70006944444444441</v>
      </c>
      <c r="F118">
        <v>2</v>
      </c>
      <c r="G118">
        <f>I117+F118</f>
        <v>22</v>
      </c>
      <c r="H118">
        <v>0</v>
      </c>
      <c r="I118">
        <f>G118-H118</f>
        <v>22</v>
      </c>
      <c r="J118">
        <f>F118 * 1500</f>
        <v>3000</v>
      </c>
      <c r="K118">
        <f>H118*1500</f>
        <v>0</v>
      </c>
      <c r="L118">
        <f>IF(F118&lt;10,F118*6000,IF(F118&lt;20,F118*5500,IF(F118&lt;30,F118*5000,F118*4000)))</f>
        <v>12000</v>
      </c>
      <c r="M118">
        <f>L118-J118-K118</f>
        <v>9000</v>
      </c>
      <c r="N118">
        <f t="shared" si="1"/>
        <v>0</v>
      </c>
    </row>
    <row r="119" spans="1:14" x14ac:dyDescent="0.3">
      <c r="A119">
        <v>118</v>
      </c>
      <c r="B119" s="1">
        <v>44461</v>
      </c>
      <c r="C119" s="2">
        <v>0.76406249999999998</v>
      </c>
      <c r="D119" s="1">
        <v>44461</v>
      </c>
      <c r="E119" s="3">
        <v>0.84799768518518526</v>
      </c>
      <c r="F119">
        <v>6</v>
      </c>
      <c r="G119">
        <f>I118+F119</f>
        <v>28</v>
      </c>
      <c r="H119">
        <v>0</v>
      </c>
      <c r="I119">
        <f>G119-H119</f>
        <v>28</v>
      </c>
      <c r="J119">
        <f>F119 * 1500</f>
        <v>9000</v>
      </c>
      <c r="K119">
        <f>H119*1500</f>
        <v>0</v>
      </c>
      <c r="L119">
        <f>IF(F119&lt;10,F119*6000,IF(F119&lt;20,F119*5500,IF(F119&lt;30,F119*5000,F119*4000)))</f>
        <v>36000</v>
      </c>
      <c r="M119">
        <f>L119-J119-K119</f>
        <v>27000</v>
      </c>
      <c r="N119">
        <f t="shared" si="1"/>
        <v>0</v>
      </c>
    </row>
    <row r="120" spans="1:14" x14ac:dyDescent="0.3">
      <c r="A120">
        <v>119</v>
      </c>
      <c r="B120" s="1">
        <v>44461</v>
      </c>
      <c r="C120" s="2">
        <v>0.98342592592592604</v>
      </c>
      <c r="D120" s="1">
        <v>44462</v>
      </c>
      <c r="E120" s="3">
        <v>4.2638888888888893E-2</v>
      </c>
      <c r="F120">
        <v>4</v>
      </c>
      <c r="G120">
        <f>I119+F120</f>
        <v>32</v>
      </c>
      <c r="H120">
        <v>11</v>
      </c>
      <c r="I120">
        <f>G120-H120</f>
        <v>21</v>
      </c>
      <c r="J120">
        <f>F120 * 1500</f>
        <v>6000</v>
      </c>
      <c r="K120">
        <f>H120*1500</f>
        <v>16500</v>
      </c>
      <c r="L120">
        <f>IF(F120&lt;10,F120*6000,IF(F120&lt;20,F120*5500,IF(F120&lt;30,F120*5000,F120*4000)))</f>
        <v>24000</v>
      </c>
      <c r="M120">
        <f>L120-J120-K120</f>
        <v>1500</v>
      </c>
      <c r="N120">
        <f t="shared" si="1"/>
        <v>0</v>
      </c>
    </row>
    <row r="121" spans="1:14" x14ac:dyDescent="0.3">
      <c r="A121" s="12">
        <v>120</v>
      </c>
      <c r="B121" s="13">
        <v>44462</v>
      </c>
      <c r="C121" s="14">
        <v>0.29726851851851849</v>
      </c>
      <c r="D121" s="13">
        <v>44462</v>
      </c>
      <c r="E121" s="15">
        <v>0.39068287037037036</v>
      </c>
      <c r="F121" s="12">
        <v>19</v>
      </c>
      <c r="G121" s="12">
        <f>I120+F121</f>
        <v>40</v>
      </c>
      <c r="H121" s="12">
        <v>3</v>
      </c>
      <c r="I121" s="12">
        <f>G121-H121</f>
        <v>37</v>
      </c>
      <c r="J121" s="12">
        <f>F121 * 1500</f>
        <v>28500</v>
      </c>
      <c r="K121" s="12">
        <f>H121*1500</f>
        <v>4500</v>
      </c>
      <c r="L121" s="12">
        <f>IF(F121&lt;10,F121*6000,IF(F121&lt;20,F121*5500,IF(F121&lt;30,F121*5000,F121*4000)))</f>
        <v>104500</v>
      </c>
      <c r="M121" s="12">
        <f>L121-J121-K121</f>
        <v>71500</v>
      </c>
      <c r="N121">
        <f t="shared" si="1"/>
        <v>0</v>
      </c>
    </row>
    <row r="122" spans="1:14" x14ac:dyDescent="0.3">
      <c r="A122">
        <v>121</v>
      </c>
      <c r="B122" s="1">
        <v>44462</v>
      </c>
      <c r="C122" s="2">
        <v>0.43444444444444441</v>
      </c>
      <c r="D122" s="1">
        <v>44462</v>
      </c>
      <c r="E122" s="3">
        <v>0.51065972222222222</v>
      </c>
      <c r="F122">
        <v>3</v>
      </c>
      <c r="G122">
        <f>I121+F122</f>
        <v>40</v>
      </c>
      <c r="H122">
        <v>21</v>
      </c>
      <c r="I122">
        <f>G122-H122</f>
        <v>19</v>
      </c>
      <c r="J122">
        <f>F122 * 1500</f>
        <v>4500</v>
      </c>
      <c r="K122">
        <f>H122*1500</f>
        <v>31500</v>
      </c>
      <c r="L122">
        <f>IF(F122&lt;10,F122*6000,IF(F122&lt;20,F122*5500,IF(F122&lt;30,F122*5000,F122*4000)))</f>
        <v>18000</v>
      </c>
      <c r="M122">
        <f>L122-J122-K122</f>
        <v>-18000</v>
      </c>
      <c r="N122">
        <f t="shared" si="1"/>
        <v>1</v>
      </c>
    </row>
    <row r="123" spans="1:14" x14ac:dyDescent="0.3">
      <c r="A123">
        <v>122</v>
      </c>
      <c r="B123" s="1">
        <v>44462</v>
      </c>
      <c r="C123" s="2">
        <v>0.54518518518518522</v>
      </c>
      <c r="D123" s="1">
        <v>44462</v>
      </c>
      <c r="E123" s="3">
        <v>0.58775462962962965</v>
      </c>
      <c r="F123">
        <v>19</v>
      </c>
      <c r="G123">
        <f>I122+F123</f>
        <v>38</v>
      </c>
      <c r="H123">
        <v>22</v>
      </c>
      <c r="I123">
        <f>G123-H123</f>
        <v>16</v>
      </c>
      <c r="J123">
        <f>F123 * 1500</f>
        <v>28500</v>
      </c>
      <c r="K123">
        <f>H123*1500</f>
        <v>33000</v>
      </c>
      <c r="L123">
        <f>IF(F123&lt;10,F123*6000,IF(F123&lt;20,F123*5500,IF(F123&lt;30,F123*5000,F123*4000)))</f>
        <v>104500</v>
      </c>
      <c r="M123">
        <f>L123-J123-K123</f>
        <v>43000</v>
      </c>
      <c r="N123">
        <f t="shared" si="1"/>
        <v>0</v>
      </c>
    </row>
    <row r="124" spans="1:14" x14ac:dyDescent="0.3">
      <c r="A124">
        <v>123</v>
      </c>
      <c r="B124" s="1">
        <v>44462</v>
      </c>
      <c r="C124" s="2">
        <v>0.63270833333333332</v>
      </c>
      <c r="D124" s="1">
        <v>44462</v>
      </c>
      <c r="E124" s="3">
        <v>0.74785879629629637</v>
      </c>
      <c r="F124">
        <v>13</v>
      </c>
      <c r="G124">
        <f>I123+F124</f>
        <v>29</v>
      </c>
      <c r="H124">
        <v>14</v>
      </c>
      <c r="I124">
        <f>G124-H124</f>
        <v>15</v>
      </c>
      <c r="J124">
        <f>F124 * 1500</f>
        <v>19500</v>
      </c>
      <c r="K124">
        <f>H124*1500</f>
        <v>21000</v>
      </c>
      <c r="L124">
        <f>IF(F124&lt;10,F124*6000,IF(F124&lt;20,F124*5500,IF(F124&lt;30,F124*5000,F124*4000)))</f>
        <v>71500</v>
      </c>
      <c r="M124">
        <f>L124-J124-K124</f>
        <v>31000</v>
      </c>
      <c r="N124">
        <f t="shared" si="1"/>
        <v>0</v>
      </c>
    </row>
    <row r="125" spans="1:14" x14ac:dyDescent="0.3">
      <c r="A125">
        <v>124</v>
      </c>
      <c r="B125" s="1">
        <v>44462</v>
      </c>
      <c r="C125" s="2">
        <v>0.78940972222222217</v>
      </c>
      <c r="D125" s="1">
        <v>44462</v>
      </c>
      <c r="E125" s="3">
        <v>0.88962962962962966</v>
      </c>
      <c r="F125">
        <v>19</v>
      </c>
      <c r="G125">
        <f>I124+F125</f>
        <v>34</v>
      </c>
      <c r="H125">
        <v>25</v>
      </c>
      <c r="I125">
        <f>G125-H125</f>
        <v>9</v>
      </c>
      <c r="J125">
        <f>F125 * 1500</f>
        <v>28500</v>
      </c>
      <c r="K125">
        <f>H125*1500</f>
        <v>37500</v>
      </c>
      <c r="L125">
        <f>IF(F125&lt;10,F125*6000,IF(F125&lt;20,F125*5500,IF(F125&lt;30,F125*5000,F125*4000)))</f>
        <v>104500</v>
      </c>
      <c r="M125">
        <f>L125-J125-K125</f>
        <v>38500</v>
      </c>
      <c r="N125">
        <f t="shared" si="1"/>
        <v>0</v>
      </c>
    </row>
    <row r="126" spans="1:14" x14ac:dyDescent="0.3">
      <c r="A126">
        <v>125</v>
      </c>
      <c r="B126" s="1">
        <v>44463</v>
      </c>
      <c r="C126" s="2">
        <v>0.17437499999999997</v>
      </c>
      <c r="D126" s="1">
        <v>44463</v>
      </c>
      <c r="E126" s="3">
        <v>0.30024305555555558</v>
      </c>
      <c r="F126">
        <v>19</v>
      </c>
      <c r="G126">
        <f>I125+F126</f>
        <v>28</v>
      </c>
      <c r="H126">
        <v>11</v>
      </c>
      <c r="I126">
        <f>G126-H126</f>
        <v>17</v>
      </c>
      <c r="J126">
        <f>F126 * 1500</f>
        <v>28500</v>
      </c>
      <c r="K126">
        <f>H126*1500</f>
        <v>16500</v>
      </c>
      <c r="L126">
        <f>IF(F126&lt;10,F126*6000,IF(F126&lt;20,F126*5500,IF(F126&lt;30,F126*5000,F126*4000)))</f>
        <v>104500</v>
      </c>
      <c r="M126">
        <f>L126-J126-K126</f>
        <v>59500</v>
      </c>
      <c r="N126">
        <f t="shared" si="1"/>
        <v>0</v>
      </c>
    </row>
    <row r="127" spans="1:14" x14ac:dyDescent="0.3">
      <c r="A127">
        <v>126</v>
      </c>
      <c r="B127" s="1">
        <v>44463</v>
      </c>
      <c r="C127" s="2">
        <v>0.45619212962962963</v>
      </c>
      <c r="D127" s="1">
        <v>44463</v>
      </c>
      <c r="E127" s="3">
        <v>0.59104166666666669</v>
      </c>
      <c r="F127">
        <v>13</v>
      </c>
      <c r="G127">
        <f>I126+F127</f>
        <v>30</v>
      </c>
      <c r="H127">
        <v>4</v>
      </c>
      <c r="I127">
        <f>G127-H127</f>
        <v>26</v>
      </c>
      <c r="J127">
        <f>F127 * 1500</f>
        <v>19500</v>
      </c>
      <c r="K127">
        <f>H127*1500</f>
        <v>6000</v>
      </c>
      <c r="L127">
        <f>IF(F127&lt;10,F127*6000,IF(F127&lt;20,F127*5500,IF(F127&lt;30,F127*5000,F127*4000)))</f>
        <v>71500</v>
      </c>
      <c r="M127">
        <f>L127-J127-K127</f>
        <v>46000</v>
      </c>
      <c r="N127">
        <f t="shared" si="1"/>
        <v>0</v>
      </c>
    </row>
    <row r="128" spans="1:14" x14ac:dyDescent="0.3">
      <c r="A128">
        <v>127</v>
      </c>
      <c r="B128" s="1">
        <v>44463</v>
      </c>
      <c r="C128" s="2">
        <v>0.72642361111111109</v>
      </c>
      <c r="D128" s="1">
        <v>44463</v>
      </c>
      <c r="E128" s="3">
        <v>0.78383101851851855</v>
      </c>
      <c r="F128">
        <v>13</v>
      </c>
      <c r="G128">
        <f>I127+F128</f>
        <v>39</v>
      </c>
      <c r="H128">
        <v>9</v>
      </c>
      <c r="I128">
        <f>G128-H128</f>
        <v>30</v>
      </c>
      <c r="J128">
        <f>F128 * 1500</f>
        <v>19500</v>
      </c>
      <c r="K128">
        <f>H128*1500</f>
        <v>13500</v>
      </c>
      <c r="L128">
        <f>IF(F128&lt;10,F128*6000,IF(F128&lt;20,F128*5500,IF(F128&lt;30,F128*5000,F128*4000)))</f>
        <v>71500</v>
      </c>
      <c r="M128">
        <f>L128-J128-K128</f>
        <v>38500</v>
      </c>
      <c r="N128">
        <f t="shared" si="1"/>
        <v>0</v>
      </c>
    </row>
    <row r="129" spans="1:14" x14ac:dyDescent="0.3">
      <c r="A129">
        <v>128</v>
      </c>
      <c r="B129" s="1">
        <v>44463</v>
      </c>
      <c r="C129" s="2">
        <v>0.8197106481481482</v>
      </c>
      <c r="D129" s="1">
        <v>44463</v>
      </c>
      <c r="E129" s="3">
        <v>0.88407407407407401</v>
      </c>
      <c r="F129">
        <v>10</v>
      </c>
      <c r="G129">
        <f>I128+F129</f>
        <v>40</v>
      </c>
      <c r="H129">
        <v>12</v>
      </c>
      <c r="I129">
        <f>G129-H129</f>
        <v>28</v>
      </c>
      <c r="J129">
        <f>F129 * 1500</f>
        <v>15000</v>
      </c>
      <c r="K129">
        <f>H129*1500</f>
        <v>18000</v>
      </c>
      <c r="L129">
        <f>IF(F129&lt;10,F129*6000,IF(F129&lt;20,F129*5500,IF(F129&lt;30,F129*5000,F129*4000)))</f>
        <v>55000</v>
      </c>
      <c r="M129">
        <f>L129-J129-K129</f>
        <v>22000</v>
      </c>
      <c r="N129">
        <f t="shared" si="1"/>
        <v>0</v>
      </c>
    </row>
    <row r="130" spans="1:14" x14ac:dyDescent="0.3">
      <c r="A130">
        <v>129</v>
      </c>
      <c r="B130" s="1">
        <v>44464</v>
      </c>
      <c r="C130" s="2">
        <v>0.29473379629629631</v>
      </c>
      <c r="D130" s="1">
        <v>44464</v>
      </c>
      <c r="E130" s="3">
        <v>0.3518634259259259</v>
      </c>
      <c r="F130">
        <v>9</v>
      </c>
      <c r="G130">
        <f>I129+F130</f>
        <v>37</v>
      </c>
      <c r="H130">
        <v>11</v>
      </c>
      <c r="I130">
        <f>G130-H130</f>
        <v>26</v>
      </c>
      <c r="J130">
        <f>F130 * 1500</f>
        <v>13500</v>
      </c>
      <c r="K130">
        <f>H130*1500</f>
        <v>16500</v>
      </c>
      <c r="L130">
        <f>IF(F130&lt;10,F130*6000,IF(F130&lt;20,F130*5500,IF(F130&lt;30,F130*5000,F130*4000)))</f>
        <v>54000</v>
      </c>
      <c r="M130">
        <f>L130-J130-K130</f>
        <v>24000</v>
      </c>
      <c r="N130">
        <f t="shared" si="1"/>
        <v>0</v>
      </c>
    </row>
    <row r="131" spans="1:14" x14ac:dyDescent="0.3">
      <c r="A131">
        <v>130</v>
      </c>
      <c r="B131" s="1">
        <v>44464</v>
      </c>
      <c r="C131" s="2">
        <v>0.42454861111111114</v>
      </c>
      <c r="D131" s="1">
        <v>44464</v>
      </c>
      <c r="E131" s="3">
        <v>0.50074074074074071</v>
      </c>
      <c r="F131">
        <v>14</v>
      </c>
      <c r="G131">
        <f>I130+F131</f>
        <v>40</v>
      </c>
      <c r="H131">
        <v>20</v>
      </c>
      <c r="I131">
        <f>G131-H131</f>
        <v>20</v>
      </c>
      <c r="J131">
        <f>F131 * 1500</f>
        <v>21000</v>
      </c>
      <c r="K131">
        <f>H131*1500</f>
        <v>30000</v>
      </c>
      <c r="L131">
        <f>IF(F131&lt;10,F131*6000,IF(F131&lt;20,F131*5500,IF(F131&lt;30,F131*5000,F131*4000)))</f>
        <v>77000</v>
      </c>
      <c r="M131">
        <f>L131-J131-K131</f>
        <v>26000</v>
      </c>
      <c r="N131">
        <f t="shared" ref="N131:N158" si="2">IF(M131&lt;0,1,0)</f>
        <v>0</v>
      </c>
    </row>
    <row r="132" spans="1:14" x14ac:dyDescent="0.3">
      <c r="A132">
        <v>131</v>
      </c>
      <c r="B132" s="1">
        <v>44464</v>
      </c>
      <c r="C132" s="2">
        <v>0.5447453703703703</v>
      </c>
      <c r="D132" s="1">
        <v>44464</v>
      </c>
      <c r="E132" s="3">
        <v>0.57574074074074078</v>
      </c>
      <c r="F132">
        <v>1</v>
      </c>
      <c r="G132">
        <f>I131+F132</f>
        <v>21</v>
      </c>
      <c r="H132">
        <v>3</v>
      </c>
      <c r="I132">
        <f>G132-H132</f>
        <v>18</v>
      </c>
      <c r="J132">
        <f>F132 * 1500</f>
        <v>1500</v>
      </c>
      <c r="K132">
        <f>H132*1500</f>
        <v>4500</v>
      </c>
      <c r="L132">
        <f>IF(F132&lt;10,F132*6000,IF(F132&lt;20,F132*5500,IF(F132&lt;30,F132*5000,F132*4000)))</f>
        <v>6000</v>
      </c>
      <c r="M132">
        <f>L132-J132-K132</f>
        <v>0</v>
      </c>
      <c r="N132">
        <f t="shared" si="2"/>
        <v>0</v>
      </c>
    </row>
    <row r="133" spans="1:14" x14ac:dyDescent="0.3">
      <c r="A133">
        <v>132</v>
      </c>
      <c r="B133" s="1">
        <v>44464</v>
      </c>
      <c r="C133" s="2">
        <v>0.63065972222222222</v>
      </c>
      <c r="D133" s="1">
        <v>44464</v>
      </c>
      <c r="E133" s="3">
        <v>0.66954861111111119</v>
      </c>
      <c r="F133">
        <v>5</v>
      </c>
      <c r="G133">
        <f>I132+F133</f>
        <v>23</v>
      </c>
      <c r="H133">
        <v>6</v>
      </c>
      <c r="I133">
        <f>G133-H133</f>
        <v>17</v>
      </c>
      <c r="J133">
        <f>F133 * 1500</f>
        <v>7500</v>
      </c>
      <c r="K133">
        <f>H133*1500</f>
        <v>9000</v>
      </c>
      <c r="L133">
        <f>IF(F133&lt;10,F133*6000,IF(F133&lt;20,F133*5500,IF(F133&lt;30,F133*5000,F133*4000)))</f>
        <v>30000</v>
      </c>
      <c r="M133">
        <f>L133-J133-K133</f>
        <v>13500</v>
      </c>
      <c r="N133">
        <f t="shared" si="2"/>
        <v>0</v>
      </c>
    </row>
    <row r="134" spans="1:14" x14ac:dyDescent="0.3">
      <c r="A134">
        <v>133</v>
      </c>
      <c r="B134" s="1">
        <v>44464</v>
      </c>
      <c r="C134" s="2">
        <v>0.71141203703703704</v>
      </c>
      <c r="D134" s="1">
        <v>44464</v>
      </c>
      <c r="E134" s="3">
        <v>0.75629629629629624</v>
      </c>
      <c r="F134">
        <v>12</v>
      </c>
      <c r="G134">
        <f>I133+F134</f>
        <v>29</v>
      </c>
      <c r="H134">
        <v>6</v>
      </c>
      <c r="I134">
        <f>G134-H134</f>
        <v>23</v>
      </c>
      <c r="J134">
        <f>F134 * 1500</f>
        <v>18000</v>
      </c>
      <c r="K134">
        <f>H134*1500</f>
        <v>9000</v>
      </c>
      <c r="L134">
        <f>IF(F134&lt;10,F134*6000,IF(F134&lt;20,F134*5500,IF(F134&lt;30,F134*5000,F134*4000)))</f>
        <v>66000</v>
      </c>
      <c r="M134">
        <f>L134-J134-K134</f>
        <v>39000</v>
      </c>
      <c r="N134">
        <f t="shared" si="2"/>
        <v>0</v>
      </c>
    </row>
    <row r="135" spans="1:14" x14ac:dyDescent="0.3">
      <c r="A135">
        <v>134</v>
      </c>
      <c r="B135" s="1">
        <v>44465</v>
      </c>
      <c r="C135" s="2">
        <v>0.26834490740740741</v>
      </c>
      <c r="D135" s="1">
        <v>44465</v>
      </c>
      <c r="E135" s="3">
        <v>0.33027777777777778</v>
      </c>
      <c r="F135">
        <v>13</v>
      </c>
      <c r="G135">
        <f>I134+F135</f>
        <v>36</v>
      </c>
      <c r="H135">
        <v>24</v>
      </c>
      <c r="I135">
        <f>G135-H135</f>
        <v>12</v>
      </c>
      <c r="J135">
        <f>F135 * 1500</f>
        <v>19500</v>
      </c>
      <c r="K135">
        <f>H135*1500</f>
        <v>36000</v>
      </c>
      <c r="L135">
        <f>IF(F135&lt;10,F135*6000,IF(F135&lt;20,F135*5500,IF(F135&lt;30,F135*5000,F135*4000)))</f>
        <v>71500</v>
      </c>
      <c r="M135">
        <f>L135-J135-K135</f>
        <v>16000</v>
      </c>
      <c r="N135">
        <f t="shared" si="2"/>
        <v>0</v>
      </c>
    </row>
    <row r="136" spans="1:14" x14ac:dyDescent="0.3">
      <c r="A136">
        <v>135</v>
      </c>
      <c r="B136" s="1">
        <v>44465</v>
      </c>
      <c r="C136" s="2">
        <v>0.38269675925925922</v>
      </c>
      <c r="D136" s="1">
        <v>44465</v>
      </c>
      <c r="E136" s="3">
        <v>0.42315972222222226</v>
      </c>
      <c r="F136">
        <v>9</v>
      </c>
      <c r="G136">
        <f>I135+F136</f>
        <v>21</v>
      </c>
      <c r="H136">
        <v>2</v>
      </c>
      <c r="I136">
        <f>G136-H136</f>
        <v>19</v>
      </c>
      <c r="J136">
        <f>F136 * 1500</f>
        <v>13500</v>
      </c>
      <c r="K136">
        <f>H136*1500</f>
        <v>3000</v>
      </c>
      <c r="L136">
        <f>IF(F136&lt;10,F136*6000,IF(F136&lt;20,F136*5500,IF(F136&lt;30,F136*5000,F136*4000)))</f>
        <v>54000</v>
      </c>
      <c r="M136">
        <f>L136-J136-K136</f>
        <v>37500</v>
      </c>
      <c r="N136">
        <f t="shared" si="2"/>
        <v>0</v>
      </c>
    </row>
    <row r="137" spans="1:14" x14ac:dyDescent="0.3">
      <c r="A137">
        <v>136</v>
      </c>
      <c r="B137" s="1">
        <v>44465</v>
      </c>
      <c r="C137" s="2">
        <v>0.45490740740740737</v>
      </c>
      <c r="D137" s="1">
        <v>44465</v>
      </c>
      <c r="E137" s="3">
        <v>0.49594907407407413</v>
      </c>
      <c r="F137">
        <v>11</v>
      </c>
      <c r="G137">
        <f>I136+F137</f>
        <v>30</v>
      </c>
      <c r="H137">
        <v>6</v>
      </c>
      <c r="I137">
        <f>G137-H137</f>
        <v>24</v>
      </c>
      <c r="J137">
        <f>F137 * 1500</f>
        <v>16500</v>
      </c>
      <c r="K137">
        <f>H137*1500</f>
        <v>9000</v>
      </c>
      <c r="L137">
        <f>IF(F137&lt;10,F137*6000,IF(F137&lt;20,F137*5500,IF(F137&lt;30,F137*5000,F137*4000)))</f>
        <v>60500</v>
      </c>
      <c r="M137">
        <f>L137-J137-K137</f>
        <v>35000</v>
      </c>
      <c r="N137">
        <f t="shared" si="2"/>
        <v>0</v>
      </c>
    </row>
    <row r="138" spans="1:14" x14ac:dyDescent="0.3">
      <c r="A138">
        <v>137</v>
      </c>
      <c r="B138" s="1">
        <v>44465</v>
      </c>
      <c r="C138" s="2">
        <v>0.54450231481481481</v>
      </c>
      <c r="D138" s="1">
        <v>44465</v>
      </c>
      <c r="E138" s="3">
        <v>0.58751157407407406</v>
      </c>
      <c r="F138">
        <v>11</v>
      </c>
      <c r="G138">
        <f>I137+F138</f>
        <v>35</v>
      </c>
      <c r="H138">
        <v>9</v>
      </c>
      <c r="I138">
        <f>G138-H138</f>
        <v>26</v>
      </c>
      <c r="J138">
        <f>F138 * 1500</f>
        <v>16500</v>
      </c>
      <c r="K138">
        <f>H138*1500</f>
        <v>13500</v>
      </c>
      <c r="L138">
        <f>IF(F138&lt;10,F138*6000,IF(F138&lt;20,F138*5500,IF(F138&lt;30,F138*5000,F138*4000)))</f>
        <v>60500</v>
      </c>
      <c r="M138">
        <f>L138-J138-K138</f>
        <v>30500</v>
      </c>
      <c r="N138">
        <f t="shared" si="2"/>
        <v>0</v>
      </c>
    </row>
    <row r="139" spans="1:14" x14ac:dyDescent="0.3">
      <c r="A139">
        <v>138</v>
      </c>
      <c r="B139" s="1">
        <v>44465</v>
      </c>
      <c r="C139" s="2">
        <v>0.67274305555555547</v>
      </c>
      <c r="D139" s="1">
        <v>44465</v>
      </c>
      <c r="E139" s="3">
        <v>0.74657407407407417</v>
      </c>
      <c r="F139">
        <v>13</v>
      </c>
      <c r="G139">
        <f>I138+F139</f>
        <v>39</v>
      </c>
      <c r="H139">
        <v>24</v>
      </c>
      <c r="I139">
        <f>G139-H139</f>
        <v>15</v>
      </c>
      <c r="J139">
        <f>F139 * 1500</f>
        <v>19500</v>
      </c>
      <c r="K139">
        <f>H139*1500</f>
        <v>36000</v>
      </c>
      <c r="L139">
        <f>IF(F139&lt;10,F139*6000,IF(F139&lt;20,F139*5500,IF(F139&lt;30,F139*5000,F139*4000)))</f>
        <v>71500</v>
      </c>
      <c r="M139">
        <f>L139-J139-K139</f>
        <v>16000</v>
      </c>
      <c r="N139">
        <f t="shared" si="2"/>
        <v>0</v>
      </c>
    </row>
    <row r="140" spans="1:14" x14ac:dyDescent="0.3">
      <c r="A140">
        <v>139</v>
      </c>
      <c r="B140" s="1">
        <v>44465</v>
      </c>
      <c r="C140" s="2">
        <v>0.79449074074074078</v>
      </c>
      <c r="D140" s="1">
        <v>44465</v>
      </c>
      <c r="E140" s="3">
        <v>0.85421296296296301</v>
      </c>
      <c r="F140">
        <v>15</v>
      </c>
      <c r="G140">
        <f>I139+F140</f>
        <v>30</v>
      </c>
      <c r="H140">
        <v>6</v>
      </c>
      <c r="I140">
        <f>G140-H140</f>
        <v>24</v>
      </c>
      <c r="J140">
        <f>F140 * 1500</f>
        <v>22500</v>
      </c>
      <c r="K140">
        <f>H140*1500</f>
        <v>9000</v>
      </c>
      <c r="L140">
        <f>IF(F140&lt;10,F140*6000,IF(F140&lt;20,F140*5500,IF(F140&lt;30,F140*5000,F140*4000)))</f>
        <v>82500</v>
      </c>
      <c r="M140">
        <f>L140-J140-K140</f>
        <v>51000</v>
      </c>
      <c r="N140">
        <f t="shared" si="2"/>
        <v>0</v>
      </c>
    </row>
    <row r="141" spans="1:14" x14ac:dyDescent="0.3">
      <c r="A141">
        <v>140</v>
      </c>
      <c r="B141" s="1">
        <v>44466</v>
      </c>
      <c r="C141" s="2">
        <v>0.25283564814814813</v>
      </c>
      <c r="D141" s="1">
        <v>44466</v>
      </c>
      <c r="E141" s="3">
        <v>0.33119212962962963</v>
      </c>
      <c r="F141">
        <v>15</v>
      </c>
      <c r="G141">
        <f>I140+F141</f>
        <v>39</v>
      </c>
      <c r="H141">
        <v>9</v>
      </c>
      <c r="I141">
        <f>G141-H141</f>
        <v>30</v>
      </c>
      <c r="J141">
        <f>F141 * 1500</f>
        <v>22500</v>
      </c>
      <c r="K141">
        <f>H141*1500</f>
        <v>13500</v>
      </c>
      <c r="L141">
        <f>IF(F141&lt;10,F141*6000,IF(F141&lt;20,F141*5500,IF(F141&lt;30,F141*5000,F141*4000)))</f>
        <v>82500</v>
      </c>
      <c r="M141">
        <f>L141-J141-K141</f>
        <v>46500</v>
      </c>
      <c r="N141">
        <f t="shared" si="2"/>
        <v>0</v>
      </c>
    </row>
    <row r="142" spans="1:14" x14ac:dyDescent="0.3">
      <c r="A142">
        <v>141</v>
      </c>
      <c r="B142" s="1">
        <v>44466</v>
      </c>
      <c r="C142" s="2">
        <v>0.38195601851851851</v>
      </c>
      <c r="D142" s="1">
        <v>44466</v>
      </c>
      <c r="E142" s="3">
        <v>0.42439814814814819</v>
      </c>
      <c r="F142">
        <v>10</v>
      </c>
      <c r="G142">
        <f>I141+F142</f>
        <v>40</v>
      </c>
      <c r="H142">
        <v>19</v>
      </c>
      <c r="I142">
        <f>G142-H142</f>
        <v>21</v>
      </c>
      <c r="J142">
        <f>F142 * 1500</f>
        <v>15000</v>
      </c>
      <c r="K142">
        <f>H142*1500</f>
        <v>28500</v>
      </c>
      <c r="L142">
        <f>IF(F142&lt;10,F142*6000,IF(F142&lt;20,F142*5500,IF(F142&lt;30,F142*5000,F142*4000)))</f>
        <v>55000</v>
      </c>
      <c r="M142">
        <f>L142-J142-K142</f>
        <v>11500</v>
      </c>
      <c r="N142">
        <f t="shared" si="2"/>
        <v>0</v>
      </c>
    </row>
    <row r="143" spans="1:14" x14ac:dyDescent="0.3">
      <c r="A143">
        <v>142</v>
      </c>
      <c r="B143" s="1">
        <v>44466</v>
      </c>
      <c r="C143" s="2">
        <v>0.54520833333333341</v>
      </c>
      <c r="D143" s="1">
        <v>44466</v>
      </c>
      <c r="E143" s="3">
        <v>0.62854166666666667</v>
      </c>
      <c r="F143">
        <v>1</v>
      </c>
      <c r="G143">
        <f>I142+F143</f>
        <v>22</v>
      </c>
      <c r="H143">
        <v>0</v>
      </c>
      <c r="I143">
        <f>G143-H143</f>
        <v>22</v>
      </c>
      <c r="J143">
        <f>F143 * 1500</f>
        <v>1500</v>
      </c>
      <c r="K143">
        <f>H143*1500</f>
        <v>0</v>
      </c>
      <c r="L143">
        <f>IF(F143&lt;10,F143*6000,IF(F143&lt;20,F143*5500,IF(F143&lt;30,F143*5000,F143*4000)))</f>
        <v>6000</v>
      </c>
      <c r="M143">
        <f>L143-J143-K143</f>
        <v>4500</v>
      </c>
      <c r="N143">
        <f t="shared" si="2"/>
        <v>0</v>
      </c>
    </row>
    <row r="144" spans="1:14" x14ac:dyDescent="0.3">
      <c r="A144">
        <v>143</v>
      </c>
      <c r="B144" s="1">
        <v>44466</v>
      </c>
      <c r="C144" s="2">
        <v>0.71118055555555548</v>
      </c>
      <c r="D144" s="1">
        <v>44466</v>
      </c>
      <c r="E144" s="3">
        <v>0.79310185185185178</v>
      </c>
      <c r="F144">
        <v>3</v>
      </c>
      <c r="G144">
        <f>I143+F144</f>
        <v>25</v>
      </c>
      <c r="H144">
        <v>0</v>
      </c>
      <c r="I144">
        <f>G144-H144</f>
        <v>25</v>
      </c>
      <c r="J144">
        <f>F144 * 1500</f>
        <v>4500</v>
      </c>
      <c r="K144">
        <f>H144*1500</f>
        <v>0</v>
      </c>
      <c r="L144">
        <f>IF(F144&lt;10,F144*6000,IF(F144&lt;20,F144*5500,IF(F144&lt;30,F144*5000,F144*4000)))</f>
        <v>18000</v>
      </c>
      <c r="M144">
        <f>L144-J144-K144</f>
        <v>13500</v>
      </c>
      <c r="N144">
        <f t="shared" si="2"/>
        <v>0</v>
      </c>
    </row>
    <row r="145" spans="1:14" x14ac:dyDescent="0.3">
      <c r="A145">
        <v>144</v>
      </c>
      <c r="B145" s="1">
        <v>44467</v>
      </c>
      <c r="C145" s="2">
        <v>0.41951388888888891</v>
      </c>
      <c r="D145" s="1">
        <v>44467</v>
      </c>
      <c r="E145" s="3">
        <v>0.4959027777777778</v>
      </c>
      <c r="F145">
        <v>9</v>
      </c>
      <c r="G145">
        <f>I144+F145</f>
        <v>34</v>
      </c>
      <c r="H145">
        <v>14</v>
      </c>
      <c r="I145">
        <f>G145-H145</f>
        <v>20</v>
      </c>
      <c r="J145">
        <f>F145 * 1500</f>
        <v>13500</v>
      </c>
      <c r="K145">
        <f>H145*1500</f>
        <v>21000</v>
      </c>
      <c r="L145">
        <f>IF(F145&lt;10,F145*6000,IF(F145&lt;20,F145*5500,IF(F145&lt;30,F145*5000,F145*4000)))</f>
        <v>54000</v>
      </c>
      <c r="M145">
        <f>L145-J145-K145</f>
        <v>19500</v>
      </c>
      <c r="N145">
        <f t="shared" si="2"/>
        <v>0</v>
      </c>
    </row>
    <row r="146" spans="1:14" x14ac:dyDescent="0.3">
      <c r="A146">
        <v>145</v>
      </c>
      <c r="B146" s="1">
        <v>44467</v>
      </c>
      <c r="C146" s="2">
        <v>0.54101851851851845</v>
      </c>
      <c r="D146" s="1">
        <v>44467</v>
      </c>
      <c r="E146" s="3">
        <v>0.62842592592592594</v>
      </c>
      <c r="F146">
        <v>11</v>
      </c>
      <c r="G146">
        <f>I145+F146</f>
        <v>31</v>
      </c>
      <c r="H146">
        <v>13</v>
      </c>
      <c r="I146">
        <f>G146-H146</f>
        <v>18</v>
      </c>
      <c r="J146">
        <f>F146 * 1500</f>
        <v>16500</v>
      </c>
      <c r="K146">
        <f>H146*1500</f>
        <v>19500</v>
      </c>
      <c r="L146">
        <f>IF(F146&lt;10,F146*6000,IF(F146&lt;20,F146*5500,IF(F146&lt;30,F146*5000,F146*4000)))</f>
        <v>60500</v>
      </c>
      <c r="M146">
        <f>L146-J146-K146</f>
        <v>24500</v>
      </c>
      <c r="N146">
        <f t="shared" si="2"/>
        <v>0</v>
      </c>
    </row>
    <row r="147" spans="1:14" x14ac:dyDescent="0.3">
      <c r="A147">
        <v>146</v>
      </c>
      <c r="B147" s="1">
        <v>44467</v>
      </c>
      <c r="C147" s="2">
        <v>0.7125462962962964</v>
      </c>
      <c r="D147" s="1">
        <v>44467</v>
      </c>
      <c r="E147" s="3">
        <v>0.75473379629629633</v>
      </c>
      <c r="F147">
        <v>12</v>
      </c>
      <c r="G147">
        <f>I146+F147</f>
        <v>30</v>
      </c>
      <c r="H147">
        <v>9</v>
      </c>
      <c r="I147">
        <f>G147-H147</f>
        <v>21</v>
      </c>
      <c r="J147">
        <f>F147 * 1500</f>
        <v>18000</v>
      </c>
      <c r="K147">
        <f>H147*1500</f>
        <v>13500</v>
      </c>
      <c r="L147">
        <f>IF(F147&lt;10,F147*6000,IF(F147&lt;20,F147*5500,IF(F147&lt;30,F147*5000,F147*4000)))</f>
        <v>66000</v>
      </c>
      <c r="M147">
        <f>L147-J147-K147</f>
        <v>34500</v>
      </c>
      <c r="N147">
        <f t="shared" si="2"/>
        <v>0</v>
      </c>
    </row>
    <row r="148" spans="1:14" x14ac:dyDescent="0.3">
      <c r="A148">
        <v>147</v>
      </c>
      <c r="B148" s="1">
        <v>44467</v>
      </c>
      <c r="C148" s="2">
        <v>0.79166666666666663</v>
      </c>
      <c r="D148" s="1">
        <v>44467</v>
      </c>
      <c r="E148" s="3">
        <v>0.87570601851851848</v>
      </c>
      <c r="F148">
        <v>14</v>
      </c>
      <c r="G148">
        <f>I147+F148</f>
        <v>35</v>
      </c>
      <c r="H148">
        <v>9</v>
      </c>
      <c r="I148">
        <f>G148-H148</f>
        <v>26</v>
      </c>
      <c r="J148">
        <f>F148 * 1500</f>
        <v>21000</v>
      </c>
      <c r="K148">
        <f>H148*1500</f>
        <v>13500</v>
      </c>
      <c r="L148">
        <f>IF(F148&lt;10,F148*6000,IF(F148&lt;20,F148*5500,IF(F148&lt;30,F148*5000,F148*4000)))</f>
        <v>77000</v>
      </c>
      <c r="M148">
        <f>L148-J148-K148</f>
        <v>42500</v>
      </c>
      <c r="N148">
        <f t="shared" si="2"/>
        <v>0</v>
      </c>
    </row>
    <row r="149" spans="1:14" x14ac:dyDescent="0.3">
      <c r="A149">
        <v>148</v>
      </c>
      <c r="B149" s="1">
        <v>44468</v>
      </c>
      <c r="C149" s="2">
        <v>0.29934027777777777</v>
      </c>
      <c r="D149" s="1">
        <v>44468</v>
      </c>
      <c r="E149" s="3">
        <v>0.37398148148148147</v>
      </c>
      <c r="F149">
        <v>12</v>
      </c>
      <c r="G149">
        <f>I148+F149</f>
        <v>38</v>
      </c>
      <c r="H149">
        <v>16</v>
      </c>
      <c r="I149">
        <f>G149-H149</f>
        <v>22</v>
      </c>
      <c r="J149">
        <f>F149 * 1500</f>
        <v>18000</v>
      </c>
      <c r="K149">
        <f>H149*1500</f>
        <v>24000</v>
      </c>
      <c r="L149">
        <f>IF(F149&lt;10,F149*6000,IF(F149&lt;20,F149*5500,IF(F149&lt;30,F149*5000,F149*4000)))</f>
        <v>66000</v>
      </c>
      <c r="M149">
        <f>L149-J149-K149</f>
        <v>24000</v>
      </c>
      <c r="N149">
        <f t="shared" si="2"/>
        <v>0</v>
      </c>
    </row>
    <row r="150" spans="1:14" x14ac:dyDescent="0.3">
      <c r="A150">
        <v>149</v>
      </c>
      <c r="B150" s="1">
        <v>44468</v>
      </c>
      <c r="C150" s="2">
        <v>0.41740740740740739</v>
      </c>
      <c r="D150" s="1">
        <v>44468</v>
      </c>
      <c r="E150" s="3">
        <v>0.50071759259259252</v>
      </c>
      <c r="F150">
        <v>9</v>
      </c>
      <c r="G150">
        <f>I149+F150</f>
        <v>31</v>
      </c>
      <c r="H150">
        <v>21</v>
      </c>
      <c r="I150">
        <f>G150-H150</f>
        <v>10</v>
      </c>
      <c r="J150">
        <f>F150 * 1500</f>
        <v>13500</v>
      </c>
      <c r="K150">
        <f>H150*1500</f>
        <v>31500</v>
      </c>
      <c r="L150">
        <f>IF(F150&lt;10,F150*6000,IF(F150&lt;20,F150*5500,IF(F150&lt;30,F150*5000,F150*4000)))</f>
        <v>54000</v>
      </c>
      <c r="M150">
        <f>L150-J150-K150</f>
        <v>9000</v>
      </c>
      <c r="N150">
        <f t="shared" si="2"/>
        <v>0</v>
      </c>
    </row>
    <row r="151" spans="1:14" x14ac:dyDescent="0.3">
      <c r="A151">
        <v>150</v>
      </c>
      <c r="B151" s="1">
        <v>44468</v>
      </c>
      <c r="C151" s="2">
        <v>0.55636574074074074</v>
      </c>
      <c r="D151" s="1">
        <v>44468</v>
      </c>
      <c r="E151" s="3">
        <v>0.61332175925925925</v>
      </c>
      <c r="F151">
        <v>15</v>
      </c>
      <c r="G151">
        <f>I150+F151</f>
        <v>25</v>
      </c>
      <c r="H151">
        <v>9</v>
      </c>
      <c r="I151">
        <f>G151-H151</f>
        <v>16</v>
      </c>
      <c r="J151">
        <f>F151 * 1500</f>
        <v>22500</v>
      </c>
      <c r="K151">
        <f>H151*1500</f>
        <v>13500</v>
      </c>
      <c r="L151">
        <f>IF(F151&lt;10,F151*6000,IF(F151&lt;20,F151*5500,IF(F151&lt;30,F151*5000,F151*4000)))</f>
        <v>82500</v>
      </c>
      <c r="M151">
        <f>L151-J151-K151</f>
        <v>46500</v>
      </c>
      <c r="N151">
        <f t="shared" si="2"/>
        <v>0</v>
      </c>
    </row>
    <row r="152" spans="1:14" x14ac:dyDescent="0.3">
      <c r="A152">
        <v>151</v>
      </c>
      <c r="B152" s="1">
        <v>44468</v>
      </c>
      <c r="C152" s="2">
        <v>0.67305555555555552</v>
      </c>
      <c r="D152" s="1">
        <v>44468</v>
      </c>
      <c r="E152" s="3">
        <v>0.73208333333333331</v>
      </c>
      <c r="F152">
        <v>14</v>
      </c>
      <c r="G152">
        <f>I151+F152</f>
        <v>30</v>
      </c>
      <c r="H152">
        <v>8</v>
      </c>
      <c r="I152">
        <f>G152-H152</f>
        <v>22</v>
      </c>
      <c r="J152">
        <f>F152 * 1500</f>
        <v>21000</v>
      </c>
      <c r="K152">
        <f>H152*1500</f>
        <v>12000</v>
      </c>
      <c r="L152">
        <f>IF(F152&lt;10,F152*6000,IF(F152&lt;20,F152*5500,IF(F152&lt;30,F152*5000,F152*4000)))</f>
        <v>77000</v>
      </c>
      <c r="M152">
        <f>L152-J152-K152</f>
        <v>44000</v>
      </c>
      <c r="N152">
        <f t="shared" si="2"/>
        <v>0</v>
      </c>
    </row>
    <row r="153" spans="1:14" x14ac:dyDescent="0.3">
      <c r="A153">
        <v>152</v>
      </c>
      <c r="B153" s="1">
        <v>44468</v>
      </c>
      <c r="C153" s="2">
        <v>0.79931712962962964</v>
      </c>
      <c r="D153" s="1">
        <v>44468</v>
      </c>
      <c r="E153" s="3">
        <v>0.84817129629629628</v>
      </c>
      <c r="F153">
        <v>16</v>
      </c>
      <c r="G153">
        <f>I152+F153</f>
        <v>38</v>
      </c>
      <c r="H153">
        <v>21</v>
      </c>
      <c r="I153">
        <f>G153-H153</f>
        <v>17</v>
      </c>
      <c r="J153">
        <f>F153 * 1500</f>
        <v>24000</v>
      </c>
      <c r="K153">
        <f>H153*1500</f>
        <v>31500</v>
      </c>
      <c r="L153">
        <f>IF(F153&lt;10,F153*6000,IF(F153&lt;20,F153*5500,IF(F153&lt;30,F153*5000,F153*4000)))</f>
        <v>88000</v>
      </c>
      <c r="M153">
        <f>L153-J153-K153</f>
        <v>32500</v>
      </c>
      <c r="N153">
        <f t="shared" si="2"/>
        <v>0</v>
      </c>
    </row>
    <row r="154" spans="1:14" x14ac:dyDescent="0.3">
      <c r="A154">
        <v>153</v>
      </c>
      <c r="B154" s="1">
        <v>44468</v>
      </c>
      <c r="C154" s="2">
        <v>0.9611574074074074</v>
      </c>
      <c r="D154" s="1">
        <v>44469</v>
      </c>
      <c r="E154" s="3">
        <v>3.9629629629629633E-2</v>
      </c>
      <c r="F154">
        <v>14</v>
      </c>
      <c r="G154">
        <f>I153+F154</f>
        <v>31</v>
      </c>
      <c r="H154">
        <v>9</v>
      </c>
      <c r="I154">
        <f>G154-H154</f>
        <v>22</v>
      </c>
      <c r="J154">
        <f>F154 * 1500</f>
        <v>21000</v>
      </c>
      <c r="K154">
        <f>H154*1500</f>
        <v>13500</v>
      </c>
      <c r="L154">
        <f>IF(F154&lt;10,F154*6000,IF(F154&lt;20,F154*5500,IF(F154&lt;30,F154*5000,F154*4000)))</f>
        <v>77000</v>
      </c>
      <c r="M154">
        <f>L154-J154-K154</f>
        <v>42500</v>
      </c>
      <c r="N154">
        <f t="shared" si="2"/>
        <v>0</v>
      </c>
    </row>
    <row r="155" spans="1:14" x14ac:dyDescent="0.3">
      <c r="A155">
        <v>154</v>
      </c>
      <c r="B155" s="1">
        <v>44469</v>
      </c>
      <c r="C155" s="2">
        <v>0.3125</v>
      </c>
      <c r="D155" s="1">
        <v>44469</v>
      </c>
      <c r="E155" s="3">
        <v>0.33385416666666662</v>
      </c>
      <c r="F155">
        <v>17</v>
      </c>
      <c r="G155">
        <f>I154+F155</f>
        <v>39</v>
      </c>
      <c r="H155">
        <v>3</v>
      </c>
      <c r="I155">
        <f>G155-H155</f>
        <v>36</v>
      </c>
      <c r="J155">
        <f>F155 * 1500</f>
        <v>25500</v>
      </c>
      <c r="K155">
        <f>H155*1500</f>
        <v>4500</v>
      </c>
      <c r="L155">
        <f>IF(F155&lt;10,F155*6000,IF(F155&lt;20,F155*5500,IF(F155&lt;30,F155*5000,F155*4000)))</f>
        <v>93500</v>
      </c>
      <c r="M155">
        <f>L155-J155-K155</f>
        <v>63500</v>
      </c>
      <c r="N155">
        <f t="shared" si="2"/>
        <v>0</v>
      </c>
    </row>
    <row r="156" spans="1:14" x14ac:dyDescent="0.3">
      <c r="A156">
        <v>155</v>
      </c>
      <c r="B156" s="1">
        <v>44469</v>
      </c>
      <c r="C156" s="2">
        <v>0.44229166666666669</v>
      </c>
      <c r="D156" s="1">
        <v>44469</v>
      </c>
      <c r="E156" s="3">
        <v>0.50074074074074071</v>
      </c>
      <c r="F156">
        <v>0</v>
      </c>
      <c r="G156">
        <f>I155+F156</f>
        <v>36</v>
      </c>
      <c r="H156">
        <v>9</v>
      </c>
      <c r="I156">
        <f>G156-H156</f>
        <v>27</v>
      </c>
      <c r="J156">
        <f>F156 * 1500</f>
        <v>0</v>
      </c>
      <c r="K156">
        <f>H156*1500</f>
        <v>13500</v>
      </c>
      <c r="L156">
        <f>IF(F156&lt;10,F156*6000,IF(F156&lt;20,F156*5500,IF(F156&lt;30,F156*5000,F156*4000)))</f>
        <v>0</v>
      </c>
      <c r="M156">
        <f>L156-J156-K156</f>
        <v>-13500</v>
      </c>
      <c r="N156">
        <f t="shared" si="2"/>
        <v>1</v>
      </c>
    </row>
    <row r="157" spans="1:14" x14ac:dyDescent="0.3">
      <c r="A157">
        <v>156</v>
      </c>
      <c r="B157" s="1">
        <v>44469</v>
      </c>
      <c r="C157" s="2">
        <v>0.59045138888888882</v>
      </c>
      <c r="D157" s="1">
        <v>44469</v>
      </c>
      <c r="E157" s="3">
        <v>0.63065972222222222</v>
      </c>
      <c r="F157">
        <v>14</v>
      </c>
      <c r="G157">
        <f>I156+F157</f>
        <v>41</v>
      </c>
      <c r="H157">
        <v>8</v>
      </c>
      <c r="I157">
        <f>G157-H157</f>
        <v>33</v>
      </c>
      <c r="J157">
        <f>F157 * 1500</f>
        <v>21000</v>
      </c>
      <c r="K157">
        <f>H157*1500</f>
        <v>12000</v>
      </c>
      <c r="L157">
        <f>IF(F157&lt;10,F157*6000,IF(F157&lt;20,F157*5500,IF(F157&lt;30,F157*5000,F157*4000)))</f>
        <v>77000</v>
      </c>
      <c r="M157">
        <f>L157-J157-K157</f>
        <v>44000</v>
      </c>
      <c r="N157">
        <f t="shared" si="2"/>
        <v>0</v>
      </c>
    </row>
    <row r="158" spans="1:14" x14ac:dyDescent="0.3">
      <c r="A158">
        <v>157</v>
      </c>
      <c r="B158" s="1">
        <v>44469</v>
      </c>
      <c r="C158" s="2">
        <v>0.7142708333333333</v>
      </c>
      <c r="D158" s="1">
        <v>44469</v>
      </c>
      <c r="E158" s="3">
        <v>0.789525462962963</v>
      </c>
      <c r="F158">
        <v>6</v>
      </c>
      <c r="G158">
        <f>I157+F158</f>
        <v>39</v>
      </c>
      <c r="H158">
        <v>39</v>
      </c>
      <c r="I158">
        <f>G158-H158</f>
        <v>0</v>
      </c>
      <c r="J158">
        <f>F158 * 1500</f>
        <v>9000</v>
      </c>
      <c r="K158">
        <f>H158*1500</f>
        <v>58500</v>
      </c>
      <c r="L158">
        <f>IF(F158&lt;10,F158*6000,IF(F158&lt;20,F158*5500,IF(F158&lt;30,F158*5000,F158*4000)))</f>
        <v>36000</v>
      </c>
      <c r="M158">
        <f>L158-J158-K158</f>
        <v>-31500</v>
      </c>
      <c r="N158">
        <f t="shared" si="2"/>
        <v>1</v>
      </c>
    </row>
  </sheetData>
  <conditionalFormatting sqref="G1:G1048576">
    <cfRule type="cellIs" dxfId="1" priority="1" operator="greater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Zakresy nazwane</vt:lpstr>
      </vt:variant>
      <vt:variant>
        <vt:i4>1</vt:i4>
      </vt:variant>
    </vt:vector>
  </HeadingPairs>
  <TitlesOfParts>
    <vt:vector size="7" baseType="lpstr">
      <vt:lpstr>Arkusz1</vt:lpstr>
      <vt:lpstr>Arkusz2</vt:lpstr>
      <vt:lpstr>Arkusz3</vt:lpstr>
      <vt:lpstr>Arkusz5</vt:lpstr>
      <vt:lpstr>Arkusz6</vt:lpstr>
      <vt:lpstr>Arkusz7</vt:lpstr>
      <vt:lpstr>Arkusz1!loty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Gębala</dc:creator>
  <cp:lastModifiedBy>Filip Gębala</cp:lastModifiedBy>
  <dcterms:created xsi:type="dcterms:W3CDTF">2025-11-27T09:23:35Z</dcterms:created>
  <dcterms:modified xsi:type="dcterms:W3CDTF">2025-12-11T10:00:48Z</dcterms:modified>
</cp:coreProperties>
</file>