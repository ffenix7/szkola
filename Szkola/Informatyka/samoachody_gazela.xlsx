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92" yWindow="24" windowWidth="16260" windowHeight="6120"/>
  </bookViews>
  <sheets>
    <sheet name="Arkusz1" sheetId="1" r:id="rId1"/>
    <sheet name="Arkusz2" sheetId="2" r:id="rId2"/>
    <sheet name="Arkusz3" sheetId="3" r:id="rId3"/>
  </sheets>
  <calcPr calcId="145621"/>
  <pivotCaches>
    <pivotCache cacheId="12" r:id="rId4"/>
  </pivotCaches>
</workbook>
</file>

<file path=xl/calcChain.xml><?xml version="1.0" encoding="utf-8"?>
<calcChain xmlns="http://schemas.openxmlformats.org/spreadsheetml/2006/main">
  <c r="A44" i="1" l="1"/>
  <c r="L33" i="1"/>
  <c r="L42" i="1"/>
  <c r="K42" i="1"/>
  <c r="J42" i="1"/>
  <c r="I4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G34" i="1"/>
  <c r="G35" i="1"/>
  <c r="G36" i="1"/>
  <c r="G37" i="1" s="1"/>
  <c r="G38" i="1" s="1"/>
  <c r="G39" i="1" s="1"/>
  <c r="G40" i="1" s="1"/>
  <c r="G41" i="1" s="1"/>
  <c r="F34" i="1"/>
  <c r="F35" i="1"/>
  <c r="F36" i="1"/>
  <c r="F37" i="1"/>
  <c r="F38" i="1"/>
  <c r="F39" i="1"/>
  <c r="F40" i="1"/>
  <c r="F41" i="1"/>
  <c r="E34" i="1"/>
  <c r="E35" i="1"/>
  <c r="E36" i="1"/>
  <c r="E37" i="1"/>
  <c r="E38" i="1"/>
  <c r="E39" i="1"/>
  <c r="E40" i="1"/>
  <c r="E41" i="1"/>
  <c r="D34" i="1"/>
  <c r="D35" i="1"/>
  <c r="D36" i="1"/>
  <c r="D37" i="1"/>
  <c r="D38" i="1"/>
  <c r="D39" i="1"/>
  <c r="D40" i="1"/>
  <c r="D41" i="1"/>
  <c r="G27" i="1"/>
  <c r="G28" i="1"/>
  <c r="G29" i="1"/>
  <c r="G30" i="1"/>
  <c r="G31" i="1"/>
  <c r="G32" i="1"/>
  <c r="G33" i="1"/>
  <c r="G26" i="1"/>
  <c r="F27" i="1"/>
  <c r="F28" i="1"/>
  <c r="F29" i="1"/>
  <c r="F30" i="1" s="1"/>
  <c r="F31" i="1" s="1"/>
  <c r="F32" i="1" s="1"/>
  <c r="F33" i="1" s="1"/>
  <c r="F26" i="1"/>
  <c r="E33" i="1"/>
  <c r="E27" i="1"/>
  <c r="E28" i="1"/>
  <c r="E29" i="1"/>
  <c r="E30" i="1"/>
  <c r="E31" i="1"/>
  <c r="E32" i="1"/>
  <c r="E26" i="1"/>
  <c r="D27" i="1"/>
  <c r="D28" i="1"/>
  <c r="D29" i="1"/>
  <c r="D30" i="1"/>
  <c r="D31" i="1"/>
  <c r="D32" i="1" s="1"/>
  <c r="D33" i="1" s="1"/>
  <c r="D26" i="1"/>
  <c r="G4" i="1"/>
  <c r="G5" i="1"/>
  <c r="G6" i="1"/>
  <c r="G7" i="1"/>
  <c r="G8" i="1"/>
  <c r="G9" i="1"/>
  <c r="G10" i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3" i="1"/>
  <c r="F4" i="1"/>
  <c r="F5" i="1"/>
  <c r="F6" i="1"/>
  <c r="F7" i="1"/>
  <c r="F8" i="1"/>
  <c r="F9" i="1"/>
  <c r="F10" i="1"/>
  <c r="F11" i="1"/>
  <c r="F12" i="1"/>
  <c r="F13" i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3" i="1"/>
  <c r="E19" i="1"/>
  <c r="E20" i="1" s="1"/>
  <c r="E21" i="1" s="1"/>
  <c r="E4" i="1"/>
  <c r="E5" i="1"/>
  <c r="E6" i="1"/>
  <c r="E7" i="1"/>
  <c r="E8" i="1"/>
  <c r="E9" i="1"/>
  <c r="E10" i="1"/>
  <c r="E11" i="1"/>
  <c r="E12" i="1"/>
  <c r="E13" i="1" s="1"/>
  <c r="E14" i="1" s="1"/>
  <c r="E15" i="1" s="1"/>
  <c r="E16" i="1" s="1"/>
  <c r="E17" i="1" s="1"/>
  <c r="E18" i="1" s="1"/>
  <c r="E3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3" i="1"/>
  <c r="E22" i="1" l="1"/>
  <c r="E23" i="1" s="1"/>
  <c r="E24" i="1" s="1"/>
  <c r="E25" i="1" s="1"/>
  <c r="D22" i="1"/>
  <c r="D23" i="1" s="1"/>
  <c r="D24" i="1" s="1"/>
  <c r="D25" i="1" s="1"/>
</calcChain>
</file>

<file path=xl/sharedStrings.xml><?xml version="1.0" encoding="utf-8"?>
<sst xmlns="http://schemas.openxmlformats.org/spreadsheetml/2006/main" count="17" uniqueCount="17">
  <si>
    <t>rok</t>
  </si>
  <si>
    <t>kwartał</t>
  </si>
  <si>
    <t>Dama</t>
  </si>
  <si>
    <t>Granta</t>
  </si>
  <si>
    <t>Dorkas</t>
  </si>
  <si>
    <t>Lodera</t>
  </si>
  <si>
    <t>Dama &gt; 300</t>
  </si>
  <si>
    <t>Granta &gt; 300</t>
  </si>
  <si>
    <t>Dorkas &gt; 300</t>
  </si>
  <si>
    <t>Lodera &gt; 300</t>
  </si>
  <si>
    <t>puste</t>
  </si>
  <si>
    <t>Etykiety wierszy</t>
  </si>
  <si>
    <t>Suma końcowa</t>
  </si>
  <si>
    <t>Suma z Dama</t>
  </si>
  <si>
    <t>Suma z Granta</t>
  </si>
  <si>
    <t>Suma z Dorkas</t>
  </si>
  <si>
    <t>Suma z Lodera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</si>
</sst>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[samoachody_gazela.xlsx]Arkusz1!Tabela przestawna2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Ilość produkcij poszczególnych</a:t>
            </a:r>
            <a:r>
              <a:rPr lang="pl-PL" baseline="0"/>
              <a:t> marek w kolejnych latach</a:t>
            </a:r>
            <a:endParaRPr lang="pl-PL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Arkusz1!$C$47</c:f>
              <c:strCache>
                <c:ptCount val="1"/>
                <c:pt idx="0">
                  <c:v>Suma z Dama</c:v>
                </c:pt>
              </c:strCache>
            </c:strRef>
          </c:tx>
          <c:invertIfNegative val="0"/>
          <c:cat>
            <c:strRef>
              <c:f>Arkusz1!$B$48:$B$56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Arkusz1!$C$48:$C$56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</c:ser>
        <c:ser>
          <c:idx val="1"/>
          <c:order val="1"/>
          <c:tx>
            <c:strRef>
              <c:f>Arkusz1!$D$47</c:f>
              <c:strCache>
                <c:ptCount val="1"/>
                <c:pt idx="0">
                  <c:v>Suma z Granta</c:v>
                </c:pt>
              </c:strCache>
            </c:strRef>
          </c:tx>
          <c:invertIfNegative val="0"/>
          <c:cat>
            <c:strRef>
              <c:f>Arkusz1!$B$48:$B$56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Arkusz1!$D$48:$D$56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</c:ser>
        <c:ser>
          <c:idx val="2"/>
          <c:order val="2"/>
          <c:tx>
            <c:strRef>
              <c:f>Arkusz1!$E$47</c:f>
              <c:strCache>
                <c:ptCount val="1"/>
                <c:pt idx="0">
                  <c:v>Suma z Dorkas</c:v>
                </c:pt>
              </c:strCache>
            </c:strRef>
          </c:tx>
          <c:invertIfNegative val="0"/>
          <c:cat>
            <c:strRef>
              <c:f>Arkusz1!$B$48:$B$56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Arkusz1!$E$48:$E$56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</c:ser>
        <c:ser>
          <c:idx val="3"/>
          <c:order val="3"/>
          <c:tx>
            <c:strRef>
              <c:f>Arkusz1!$F$47</c:f>
              <c:strCache>
                <c:ptCount val="1"/>
                <c:pt idx="0">
                  <c:v>Suma z Lodera</c:v>
                </c:pt>
              </c:strCache>
            </c:strRef>
          </c:tx>
          <c:invertIfNegative val="0"/>
          <c:cat>
            <c:strRef>
              <c:f>Arkusz1!$B$48:$B$56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Arkusz1!$F$48:$F$56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1772</c:v>
                </c:pt>
                <c:pt idx="6">
                  <c:v>1658</c:v>
                </c:pt>
                <c:pt idx="7">
                  <c:v>1492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441856"/>
        <c:axId val="149056896"/>
        <c:axId val="0"/>
      </c:bar3DChart>
      <c:catAx>
        <c:axId val="14444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Rok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49056896"/>
        <c:crosses val="autoZero"/>
        <c:auto val="1"/>
        <c:lblAlgn val="ctr"/>
        <c:lblOffset val="100"/>
        <c:noMultiLvlLbl val="0"/>
      </c:catAx>
      <c:valAx>
        <c:axId val="1490568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Wysokość produkcji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4441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45</xdr:row>
      <xdr:rowOff>110490</xdr:rowOff>
    </xdr:from>
    <xdr:to>
      <xdr:col>14</xdr:col>
      <xdr:colOff>472440</xdr:colOff>
      <xdr:row>71</xdr:row>
      <xdr:rowOff>15240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ilip Gębala" refreshedDate="45939.491749884262" createdVersion="4" refreshedVersion="4" minRefreshableVersion="3" recordCount="32">
  <cacheSource type="worksheet">
    <worksheetSource ref="A1:G33" sheet="Arkusz1"/>
  </cacheSource>
  <cacheFields count="7">
    <cacheField name="rok" numFmtId="0">
      <sharedItems containsSemiMixedTypes="0" containsString="0" containsNumber="1" containsInteger="1" minValue="2005" maxValue="2012" count="8">
        <n v="2005"/>
        <n v="2006"/>
        <n v="2007"/>
        <n v="2008"/>
        <n v="2009"/>
        <n v="2010"/>
        <n v="2011"/>
        <n v="2012"/>
      </sharedItems>
    </cacheField>
    <cacheField name="kwartał" numFmtId="0">
      <sharedItems containsSemiMixedTypes="0" containsString="0" containsNumber="1" containsInteger="1" minValue="1" maxValue="4"/>
    </cacheField>
    <cacheField name="puste" numFmtId="0">
      <sharedItems containsNonDate="0" containsString="0" containsBlank="1"/>
    </cacheField>
    <cacheField name="Dama" numFmtId="0">
      <sharedItems containsSemiMixedTypes="0" containsString="0" containsNumber="1" containsInteger="1" minValue="237" maxValue="333"/>
    </cacheField>
    <cacheField name="Granta" numFmtId="0">
      <sharedItems containsSemiMixedTypes="0" containsString="0" containsNumber="1" containsInteger="1" minValue="198" maxValue="316"/>
    </cacheField>
    <cacheField name="Dorkas" numFmtId="0">
      <sharedItems containsSemiMixedTypes="0" containsString="0" containsNumber="1" containsInteger="1" minValue="207" maxValue="350"/>
    </cacheField>
    <cacheField name="Lodera" numFmtId="0">
      <sharedItems containsSemiMixedTypes="0" containsString="0" containsNumber="1" containsInteger="1" minValue="312" maxValue="443" count="27">
        <n v="312"/>
        <n v="318"/>
        <n v="324"/>
        <n v="330"/>
        <n v="336"/>
        <n v="342"/>
        <n v="348"/>
        <n v="354"/>
        <n v="361"/>
        <n v="368"/>
        <n v="375"/>
        <n v="382"/>
        <n v="389"/>
        <n v="396"/>
        <n v="403"/>
        <n v="411"/>
        <n v="419"/>
        <n v="427"/>
        <n v="435"/>
        <n v="443"/>
        <n v="431"/>
        <n v="420"/>
        <n v="409"/>
        <n v="398"/>
        <n v="388"/>
        <n v="378"/>
        <n v="3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n v="1"/>
    <m/>
    <n v="237"/>
    <n v="198"/>
    <n v="207"/>
    <x v="0"/>
  </r>
  <r>
    <x v="0"/>
    <n v="2"/>
    <m/>
    <n v="241"/>
    <n v="203"/>
    <n v="213"/>
    <x v="1"/>
  </r>
  <r>
    <x v="0"/>
    <n v="3"/>
    <m/>
    <n v="245"/>
    <n v="208"/>
    <n v="219"/>
    <x v="2"/>
  </r>
  <r>
    <x v="0"/>
    <n v="4"/>
    <m/>
    <n v="249"/>
    <n v="213"/>
    <n v="225"/>
    <x v="3"/>
  </r>
  <r>
    <x v="1"/>
    <n v="1"/>
    <m/>
    <n v="253"/>
    <n v="218"/>
    <n v="231"/>
    <x v="4"/>
  </r>
  <r>
    <x v="1"/>
    <n v="2"/>
    <m/>
    <n v="258"/>
    <n v="223"/>
    <n v="237"/>
    <x v="5"/>
  </r>
  <r>
    <x v="1"/>
    <n v="3"/>
    <m/>
    <n v="263"/>
    <n v="229"/>
    <n v="244"/>
    <x v="6"/>
  </r>
  <r>
    <x v="1"/>
    <n v="4"/>
    <m/>
    <n v="268"/>
    <n v="235"/>
    <n v="251"/>
    <x v="7"/>
  </r>
  <r>
    <x v="2"/>
    <n v="1"/>
    <m/>
    <n v="273"/>
    <n v="241"/>
    <n v="258"/>
    <x v="8"/>
  </r>
  <r>
    <x v="2"/>
    <n v="2"/>
    <m/>
    <n v="278"/>
    <n v="247"/>
    <n v="265"/>
    <x v="9"/>
  </r>
  <r>
    <x v="2"/>
    <n v="3"/>
    <m/>
    <n v="283"/>
    <n v="253"/>
    <n v="272"/>
    <x v="10"/>
  </r>
  <r>
    <x v="2"/>
    <n v="4"/>
    <m/>
    <n v="288"/>
    <n v="259"/>
    <n v="280"/>
    <x v="11"/>
  </r>
  <r>
    <x v="3"/>
    <n v="1"/>
    <m/>
    <n v="293"/>
    <n v="265"/>
    <n v="288"/>
    <x v="12"/>
  </r>
  <r>
    <x v="3"/>
    <n v="2"/>
    <m/>
    <n v="298"/>
    <n v="272"/>
    <n v="296"/>
    <x v="13"/>
  </r>
  <r>
    <x v="3"/>
    <n v="3"/>
    <m/>
    <n v="303"/>
    <n v="279"/>
    <n v="304"/>
    <x v="14"/>
  </r>
  <r>
    <x v="3"/>
    <n v="4"/>
    <m/>
    <n v="309"/>
    <n v="286"/>
    <n v="313"/>
    <x v="15"/>
  </r>
  <r>
    <x v="4"/>
    <n v="1"/>
    <m/>
    <n v="315"/>
    <n v="293"/>
    <n v="322"/>
    <x v="16"/>
  </r>
  <r>
    <x v="4"/>
    <n v="2"/>
    <m/>
    <n v="321"/>
    <n v="300"/>
    <n v="331"/>
    <x v="17"/>
  </r>
  <r>
    <x v="4"/>
    <n v="3"/>
    <m/>
    <n v="327"/>
    <n v="308"/>
    <n v="340"/>
    <x v="18"/>
  </r>
  <r>
    <x v="4"/>
    <n v="4"/>
    <m/>
    <n v="333"/>
    <n v="316"/>
    <n v="350"/>
    <x v="19"/>
  </r>
  <r>
    <x v="5"/>
    <n v="1"/>
    <m/>
    <n v="333"/>
    <n v="316"/>
    <n v="350"/>
    <x v="19"/>
  </r>
  <r>
    <x v="5"/>
    <n v="2"/>
    <m/>
    <n v="333"/>
    <n v="316"/>
    <n v="350"/>
    <x v="19"/>
  </r>
  <r>
    <x v="5"/>
    <n v="3"/>
    <m/>
    <n v="333"/>
    <n v="316"/>
    <n v="350"/>
    <x v="19"/>
  </r>
  <r>
    <x v="5"/>
    <n v="4"/>
    <m/>
    <n v="333"/>
    <n v="316"/>
    <n v="350"/>
    <x v="19"/>
  </r>
  <r>
    <x v="6"/>
    <n v="1"/>
    <m/>
    <n v="329"/>
    <n v="312"/>
    <n v="343"/>
    <x v="20"/>
  </r>
  <r>
    <x v="6"/>
    <n v="2"/>
    <m/>
    <n v="325"/>
    <n v="308"/>
    <n v="336"/>
    <x v="21"/>
  </r>
  <r>
    <x v="6"/>
    <n v="3"/>
    <m/>
    <n v="321"/>
    <n v="304"/>
    <n v="329"/>
    <x v="22"/>
  </r>
  <r>
    <x v="6"/>
    <n v="4"/>
    <m/>
    <n v="317"/>
    <n v="300"/>
    <n v="322"/>
    <x v="23"/>
  </r>
  <r>
    <x v="7"/>
    <n v="1"/>
    <m/>
    <n v="313"/>
    <n v="296"/>
    <n v="315"/>
    <x v="24"/>
  </r>
  <r>
    <x v="7"/>
    <n v="2"/>
    <m/>
    <n v="309"/>
    <n v="292"/>
    <n v="309"/>
    <x v="25"/>
  </r>
  <r>
    <x v="7"/>
    <n v="3"/>
    <m/>
    <n v="305"/>
    <n v="288"/>
    <n v="303"/>
    <x v="9"/>
  </r>
  <r>
    <x v="7"/>
    <n v="4"/>
    <m/>
    <n v="301"/>
    <n v="284"/>
    <n v="297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" cacheId="12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1">
  <location ref="B47:F56" firstHeaderRow="0" firstDataRow="1" firstDataCol="1"/>
  <pivotFields count="7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Dama" fld="3" baseField="0" baseItem="0"/>
    <dataField name="Suma z Granta" fld="4" baseField="0" baseItem="0"/>
    <dataField name="Suma z Dorkas" fld="5" baseField="0" baseItem="0"/>
    <dataField name="Suma z Lodera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40" workbookViewId="0">
      <selection activeCell="N45" sqref="N45"/>
    </sheetView>
  </sheetViews>
  <sheetFormatPr defaultRowHeight="14.4" x14ac:dyDescent="0.3"/>
  <cols>
    <col min="2" max="2" width="16.6640625" customWidth="1"/>
    <col min="3" max="3" width="12.33203125" customWidth="1"/>
    <col min="4" max="4" width="13.21875" customWidth="1"/>
    <col min="5" max="6" width="13.33203125" customWidth="1"/>
    <col min="7" max="7" width="12.33203125" customWidth="1"/>
    <col min="8" max="8" width="13.21875" customWidth="1"/>
    <col min="9" max="10" width="13.33203125" customWidth="1"/>
    <col min="11" max="11" width="12.33203125" customWidth="1"/>
    <col min="12" max="12" width="13.21875" customWidth="1"/>
    <col min="13" max="14" width="13.33203125" customWidth="1"/>
    <col min="15" max="15" width="12.33203125" customWidth="1"/>
    <col min="16" max="16" width="13.21875" customWidth="1"/>
    <col min="17" max="18" width="13.33203125" customWidth="1"/>
    <col min="19" max="19" width="19.109375" customWidth="1"/>
    <col min="20" max="20" width="19.88671875" customWidth="1"/>
    <col min="21" max="22" width="20" customWidth="1"/>
    <col min="23" max="23" width="13.33203125" customWidth="1"/>
    <col min="24" max="24" width="12.33203125" customWidth="1"/>
    <col min="25" max="25" width="13.21875" customWidth="1"/>
    <col min="26" max="26" width="13.33203125" customWidth="1"/>
    <col min="27" max="27" width="12.33203125" customWidth="1"/>
    <col min="28" max="28" width="13.21875" customWidth="1"/>
    <col min="29" max="29" width="13.33203125" customWidth="1"/>
    <col min="30" max="30" width="12.33203125" customWidth="1"/>
    <col min="31" max="31" width="13.21875" customWidth="1"/>
    <col min="32" max="32" width="13.33203125" bestFit="1" customWidth="1"/>
    <col min="33" max="33" width="12.33203125" customWidth="1"/>
    <col min="34" max="34" width="13.21875" customWidth="1"/>
    <col min="35" max="35" width="13.33203125" customWidth="1"/>
    <col min="36" max="36" width="12.33203125" customWidth="1"/>
    <col min="37" max="37" width="13.21875" customWidth="1"/>
    <col min="38" max="38" width="13.33203125" customWidth="1"/>
    <col min="39" max="39" width="12.33203125" customWidth="1"/>
    <col min="40" max="40" width="13.21875" customWidth="1"/>
    <col min="41" max="41" width="13.33203125" customWidth="1"/>
    <col min="42" max="42" width="12.33203125" customWidth="1"/>
    <col min="43" max="43" width="13.21875" customWidth="1"/>
    <col min="44" max="44" width="13.33203125" customWidth="1"/>
    <col min="45" max="45" width="12.33203125" customWidth="1"/>
    <col min="46" max="46" width="13.21875" customWidth="1"/>
    <col min="47" max="47" width="13.33203125" customWidth="1"/>
    <col min="48" max="48" width="12.33203125" customWidth="1"/>
    <col min="49" max="49" width="13.21875" customWidth="1"/>
    <col min="50" max="50" width="13.33203125" customWidth="1"/>
    <col min="51" max="51" width="12.33203125" customWidth="1"/>
    <col min="52" max="52" width="13.21875" bestFit="1" customWidth="1"/>
    <col min="53" max="53" width="13.33203125" customWidth="1"/>
    <col min="54" max="54" width="12.33203125" customWidth="1"/>
    <col min="55" max="55" width="13.21875" customWidth="1"/>
    <col min="56" max="56" width="13.33203125" customWidth="1"/>
    <col min="57" max="57" width="12.33203125" customWidth="1"/>
    <col min="58" max="58" width="13.21875" customWidth="1"/>
    <col min="59" max="59" width="13.33203125" customWidth="1"/>
    <col min="60" max="60" width="12.33203125" customWidth="1"/>
    <col min="61" max="61" width="13.21875" customWidth="1"/>
    <col min="62" max="62" width="13.33203125" customWidth="1"/>
    <col min="63" max="63" width="12.33203125" customWidth="1"/>
    <col min="64" max="64" width="13.21875" bestFit="1" customWidth="1"/>
    <col min="65" max="65" width="13.33203125" customWidth="1"/>
    <col min="66" max="66" width="12.33203125" customWidth="1"/>
    <col min="67" max="67" width="13.21875" customWidth="1"/>
    <col min="68" max="68" width="13.33203125" customWidth="1"/>
    <col min="69" max="69" width="12.33203125" customWidth="1"/>
    <col min="70" max="70" width="13.21875" customWidth="1"/>
    <col min="71" max="71" width="13.33203125" customWidth="1"/>
    <col min="72" max="72" width="12.33203125" customWidth="1"/>
    <col min="73" max="73" width="13.21875" customWidth="1"/>
    <col min="74" max="74" width="13.33203125" customWidth="1"/>
    <col min="75" max="75" width="12.33203125" bestFit="1" customWidth="1"/>
    <col min="76" max="76" width="13.21875" customWidth="1"/>
    <col min="77" max="77" width="13.33203125" customWidth="1"/>
    <col min="78" max="78" width="12.33203125" customWidth="1"/>
    <col min="79" max="79" width="13.21875" customWidth="1"/>
    <col min="80" max="80" width="13.33203125" bestFit="1" customWidth="1"/>
    <col min="81" max="81" width="12.33203125" customWidth="1"/>
    <col min="82" max="82" width="13.21875" customWidth="1"/>
    <col min="83" max="83" width="13.33203125" bestFit="1" customWidth="1"/>
    <col min="84" max="84" width="19.109375" bestFit="1" customWidth="1"/>
    <col min="85" max="85" width="19.88671875" customWidth="1"/>
    <col min="86" max="86" width="20" customWidth="1"/>
    <col min="87" max="87" width="15.88671875" bestFit="1" customWidth="1"/>
    <col min="88" max="88" width="16.6640625" bestFit="1" customWidth="1"/>
    <col min="89" max="89" width="12.33203125" customWidth="1"/>
    <col min="90" max="90" width="13.21875" customWidth="1"/>
    <col min="91" max="91" width="15.88671875" bestFit="1" customWidth="1"/>
    <col min="92" max="92" width="16.6640625" customWidth="1"/>
    <col min="93" max="93" width="12.33203125" customWidth="1"/>
    <col min="94" max="94" width="13.21875" bestFit="1" customWidth="1"/>
    <col min="95" max="95" width="15.88671875" bestFit="1" customWidth="1"/>
    <col min="96" max="96" width="16.6640625" customWidth="1"/>
    <col min="97" max="97" width="12.33203125" customWidth="1"/>
    <col min="98" max="98" width="13.21875" bestFit="1" customWidth="1"/>
    <col min="99" max="99" width="15.88671875" bestFit="1" customWidth="1"/>
    <col min="100" max="100" width="16.6640625" customWidth="1"/>
    <col min="101" max="101" width="12.33203125" customWidth="1"/>
    <col min="102" max="102" width="13.21875" bestFit="1" customWidth="1"/>
    <col min="103" max="103" width="15.88671875" bestFit="1" customWidth="1"/>
    <col min="104" max="104" width="16.6640625" customWidth="1"/>
    <col min="105" max="105" width="12.33203125" customWidth="1"/>
    <col min="106" max="106" width="13.21875" bestFit="1" customWidth="1"/>
    <col min="107" max="107" width="15.88671875" bestFit="1" customWidth="1"/>
    <col min="108" max="108" width="16.6640625" customWidth="1"/>
    <col min="109" max="109" width="12.33203125" customWidth="1"/>
    <col min="110" max="110" width="13.21875" bestFit="1" customWidth="1"/>
    <col min="111" max="111" width="15.88671875" bestFit="1" customWidth="1"/>
    <col min="112" max="112" width="16.6640625" customWidth="1"/>
    <col min="113" max="113" width="19.109375" bestFit="1" customWidth="1"/>
    <col min="114" max="114" width="19.88671875" bestFit="1" customWidth="1"/>
  </cols>
  <sheetData>
    <row r="1" spans="1:12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2005</v>
      </c>
      <c r="B2">
        <v>1</v>
      </c>
      <c r="D2">
        <v>237</v>
      </c>
      <c r="E2">
        <v>198</v>
      </c>
      <c r="F2">
        <v>207</v>
      </c>
      <c r="G2">
        <v>312</v>
      </c>
      <c r="I2">
        <f>IF(D2&gt;300,1,0)</f>
        <v>0</v>
      </c>
      <c r="J2">
        <f>IF(E2&gt;300,1,0)</f>
        <v>0</v>
      </c>
      <c r="K2">
        <f>IF(F2&gt;300,1,0)</f>
        <v>0</v>
      </c>
      <c r="L2">
        <f xml:space="preserve"> IF(G2&gt;300,1,0)</f>
        <v>1</v>
      </c>
    </row>
    <row r="3" spans="1:12" x14ac:dyDescent="0.3">
      <c r="A3">
        <v>2005</v>
      </c>
      <c r="B3">
        <v>2</v>
      </c>
      <c r="D3">
        <f>ROUNDDOWN(PRODUCT(D2,1.02),0)</f>
        <v>241</v>
      </c>
      <c r="E3">
        <f>ROUNDDOWN(PRODUCT(E2,1.027),0)</f>
        <v>203</v>
      </c>
      <c r="F3">
        <f>ROUNDDOWN(PRODUCT(F2,1.03),0)</f>
        <v>213</v>
      </c>
      <c r="G3">
        <f>ROUNDDOWN(PRODUCT(G2,1.02),0)</f>
        <v>318</v>
      </c>
      <c r="I3">
        <f t="shared" ref="I3:I41" si="0">IF(D3&gt;300,1,0)</f>
        <v>0</v>
      </c>
      <c r="J3">
        <f t="shared" ref="J3:J41" si="1">IF(E3&gt;300,1,0)</f>
        <v>0</v>
      </c>
      <c r="K3">
        <f t="shared" ref="K3:K41" si="2">IF(F3&gt;300,1,0)</f>
        <v>0</v>
      </c>
      <c r="L3">
        <f t="shared" ref="L3:L41" si="3" xml:space="preserve"> IF(G3&gt;300,1,0)</f>
        <v>1</v>
      </c>
    </row>
    <row r="4" spans="1:12" x14ac:dyDescent="0.3">
      <c r="A4">
        <v>2005</v>
      </c>
      <c r="B4">
        <v>3</v>
      </c>
      <c r="D4">
        <f t="shared" ref="D4:D21" si="4">ROUNDDOWN(PRODUCT(D3,1.02),0)</f>
        <v>245</v>
      </c>
      <c r="E4">
        <f t="shared" ref="E4:E21" si="5">ROUNDDOWN(PRODUCT(E3,1.027),0)</f>
        <v>208</v>
      </c>
      <c r="F4">
        <f t="shared" ref="F4:F21" si="6">ROUNDDOWN(PRODUCT(F3,1.03),0)</f>
        <v>219</v>
      </c>
      <c r="G4">
        <f t="shared" ref="G4:G21" si="7">ROUNDDOWN(PRODUCT(G3,1.02),0)</f>
        <v>324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1</v>
      </c>
    </row>
    <row r="5" spans="1:12" x14ac:dyDescent="0.3">
      <c r="A5">
        <v>2005</v>
      </c>
      <c r="B5">
        <v>4</v>
      </c>
      <c r="D5">
        <f t="shared" si="4"/>
        <v>249</v>
      </c>
      <c r="E5">
        <f t="shared" si="5"/>
        <v>213</v>
      </c>
      <c r="F5">
        <f t="shared" si="6"/>
        <v>225</v>
      </c>
      <c r="G5">
        <f t="shared" si="7"/>
        <v>330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1</v>
      </c>
    </row>
    <row r="6" spans="1:12" x14ac:dyDescent="0.3">
      <c r="A6">
        <v>2006</v>
      </c>
      <c r="B6">
        <v>1</v>
      </c>
      <c r="D6">
        <f t="shared" si="4"/>
        <v>253</v>
      </c>
      <c r="E6">
        <f t="shared" si="5"/>
        <v>218</v>
      </c>
      <c r="F6">
        <f t="shared" si="6"/>
        <v>231</v>
      </c>
      <c r="G6">
        <f t="shared" si="7"/>
        <v>336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1</v>
      </c>
    </row>
    <row r="7" spans="1:12" x14ac:dyDescent="0.3">
      <c r="A7">
        <v>2006</v>
      </c>
      <c r="B7">
        <v>2</v>
      </c>
      <c r="D7">
        <f t="shared" si="4"/>
        <v>258</v>
      </c>
      <c r="E7">
        <f t="shared" si="5"/>
        <v>223</v>
      </c>
      <c r="F7">
        <f t="shared" si="6"/>
        <v>237</v>
      </c>
      <c r="G7">
        <f t="shared" si="7"/>
        <v>342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1</v>
      </c>
    </row>
    <row r="8" spans="1:12" x14ac:dyDescent="0.3">
      <c r="A8">
        <v>2006</v>
      </c>
      <c r="B8">
        <v>3</v>
      </c>
      <c r="D8">
        <f t="shared" si="4"/>
        <v>263</v>
      </c>
      <c r="E8">
        <f t="shared" si="5"/>
        <v>229</v>
      </c>
      <c r="F8">
        <f t="shared" si="6"/>
        <v>244</v>
      </c>
      <c r="G8">
        <f t="shared" si="7"/>
        <v>348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1</v>
      </c>
    </row>
    <row r="9" spans="1:12" x14ac:dyDescent="0.3">
      <c r="A9">
        <v>2006</v>
      </c>
      <c r="B9">
        <v>4</v>
      </c>
      <c r="D9">
        <f t="shared" si="4"/>
        <v>268</v>
      </c>
      <c r="E9">
        <f t="shared" si="5"/>
        <v>235</v>
      </c>
      <c r="F9">
        <f t="shared" si="6"/>
        <v>251</v>
      </c>
      <c r="G9">
        <f t="shared" si="7"/>
        <v>354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1</v>
      </c>
    </row>
    <row r="10" spans="1:12" x14ac:dyDescent="0.3">
      <c r="A10">
        <v>2007</v>
      </c>
      <c r="B10">
        <v>1</v>
      </c>
      <c r="D10">
        <f t="shared" si="4"/>
        <v>273</v>
      </c>
      <c r="E10">
        <f t="shared" si="5"/>
        <v>241</v>
      </c>
      <c r="F10">
        <f t="shared" si="6"/>
        <v>258</v>
      </c>
      <c r="G10">
        <f t="shared" si="7"/>
        <v>361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1</v>
      </c>
    </row>
    <row r="11" spans="1:12" x14ac:dyDescent="0.3">
      <c r="A11">
        <v>2007</v>
      </c>
      <c r="B11">
        <v>2</v>
      </c>
      <c r="D11">
        <f t="shared" si="4"/>
        <v>278</v>
      </c>
      <c r="E11">
        <f t="shared" si="5"/>
        <v>247</v>
      </c>
      <c r="F11">
        <f t="shared" si="6"/>
        <v>265</v>
      </c>
      <c r="G11">
        <f t="shared" si="7"/>
        <v>368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1</v>
      </c>
    </row>
    <row r="12" spans="1:12" x14ac:dyDescent="0.3">
      <c r="A12">
        <v>2007</v>
      </c>
      <c r="B12">
        <v>3</v>
      </c>
      <c r="D12">
        <f t="shared" si="4"/>
        <v>283</v>
      </c>
      <c r="E12">
        <f t="shared" si="5"/>
        <v>253</v>
      </c>
      <c r="F12">
        <f t="shared" si="6"/>
        <v>272</v>
      </c>
      <c r="G12">
        <f t="shared" si="7"/>
        <v>375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1</v>
      </c>
    </row>
    <row r="13" spans="1:12" x14ac:dyDescent="0.3">
      <c r="A13">
        <v>2007</v>
      </c>
      <c r="B13">
        <v>4</v>
      </c>
      <c r="D13">
        <f t="shared" si="4"/>
        <v>288</v>
      </c>
      <c r="E13">
        <f t="shared" si="5"/>
        <v>259</v>
      </c>
      <c r="F13">
        <f t="shared" si="6"/>
        <v>280</v>
      </c>
      <c r="G13">
        <f t="shared" si="7"/>
        <v>382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1</v>
      </c>
    </row>
    <row r="14" spans="1:12" x14ac:dyDescent="0.3">
      <c r="A14">
        <v>2008</v>
      </c>
      <c r="B14">
        <v>1</v>
      </c>
      <c r="D14">
        <f t="shared" si="4"/>
        <v>293</v>
      </c>
      <c r="E14">
        <f t="shared" si="5"/>
        <v>265</v>
      </c>
      <c r="F14">
        <f t="shared" si="6"/>
        <v>288</v>
      </c>
      <c r="G14">
        <f t="shared" si="7"/>
        <v>389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1</v>
      </c>
    </row>
    <row r="15" spans="1:12" x14ac:dyDescent="0.3">
      <c r="A15">
        <v>2008</v>
      </c>
      <c r="B15">
        <v>2</v>
      </c>
      <c r="D15">
        <f t="shared" si="4"/>
        <v>298</v>
      </c>
      <c r="E15">
        <f t="shared" si="5"/>
        <v>272</v>
      </c>
      <c r="F15">
        <f t="shared" si="6"/>
        <v>296</v>
      </c>
      <c r="G15">
        <f t="shared" si="7"/>
        <v>396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1</v>
      </c>
    </row>
    <row r="16" spans="1:12" x14ac:dyDescent="0.3">
      <c r="A16">
        <v>2008</v>
      </c>
      <c r="B16">
        <v>3</v>
      </c>
      <c r="D16">
        <f t="shared" si="4"/>
        <v>303</v>
      </c>
      <c r="E16">
        <f t="shared" si="5"/>
        <v>279</v>
      </c>
      <c r="F16">
        <f t="shared" si="6"/>
        <v>304</v>
      </c>
      <c r="G16">
        <f t="shared" si="7"/>
        <v>403</v>
      </c>
      <c r="I16">
        <f t="shared" si="0"/>
        <v>1</v>
      </c>
      <c r="J16">
        <f t="shared" si="1"/>
        <v>0</v>
      </c>
      <c r="K16">
        <f t="shared" si="2"/>
        <v>1</v>
      </c>
      <c r="L16">
        <f t="shared" si="3"/>
        <v>1</v>
      </c>
    </row>
    <row r="17" spans="1:12" x14ac:dyDescent="0.3">
      <c r="A17">
        <v>2008</v>
      </c>
      <c r="B17">
        <v>4</v>
      </c>
      <c r="D17">
        <f t="shared" si="4"/>
        <v>309</v>
      </c>
      <c r="E17">
        <f t="shared" si="5"/>
        <v>286</v>
      </c>
      <c r="F17">
        <f t="shared" si="6"/>
        <v>313</v>
      </c>
      <c r="G17">
        <f t="shared" si="7"/>
        <v>411</v>
      </c>
      <c r="I17">
        <f t="shared" si="0"/>
        <v>1</v>
      </c>
      <c r="J17">
        <f t="shared" si="1"/>
        <v>0</v>
      </c>
      <c r="K17">
        <f t="shared" si="2"/>
        <v>1</v>
      </c>
      <c r="L17">
        <f t="shared" si="3"/>
        <v>1</v>
      </c>
    </row>
    <row r="18" spans="1:12" x14ac:dyDescent="0.3">
      <c r="A18">
        <v>2009</v>
      </c>
      <c r="B18">
        <v>1</v>
      </c>
      <c r="D18">
        <f t="shared" si="4"/>
        <v>315</v>
      </c>
      <c r="E18">
        <f t="shared" si="5"/>
        <v>293</v>
      </c>
      <c r="F18">
        <f t="shared" si="6"/>
        <v>322</v>
      </c>
      <c r="G18">
        <f t="shared" si="7"/>
        <v>419</v>
      </c>
      <c r="I18">
        <f t="shared" si="0"/>
        <v>1</v>
      </c>
      <c r="J18">
        <f t="shared" si="1"/>
        <v>0</v>
      </c>
      <c r="K18">
        <f t="shared" si="2"/>
        <v>1</v>
      </c>
      <c r="L18">
        <f t="shared" si="3"/>
        <v>1</v>
      </c>
    </row>
    <row r="19" spans="1:12" x14ac:dyDescent="0.3">
      <c r="A19">
        <v>2009</v>
      </c>
      <c r="B19">
        <v>2</v>
      </c>
      <c r="D19">
        <f t="shared" si="4"/>
        <v>321</v>
      </c>
      <c r="E19">
        <f>ROUNDDOWN(PRODUCT(E18,1.027),0)</f>
        <v>300</v>
      </c>
      <c r="F19">
        <f t="shared" si="6"/>
        <v>331</v>
      </c>
      <c r="G19">
        <f t="shared" si="7"/>
        <v>427</v>
      </c>
      <c r="I19">
        <f t="shared" si="0"/>
        <v>1</v>
      </c>
      <c r="J19">
        <f t="shared" si="1"/>
        <v>0</v>
      </c>
      <c r="K19">
        <f t="shared" si="2"/>
        <v>1</v>
      </c>
      <c r="L19">
        <f t="shared" si="3"/>
        <v>1</v>
      </c>
    </row>
    <row r="20" spans="1:12" x14ac:dyDescent="0.3">
      <c r="A20">
        <v>2009</v>
      </c>
      <c r="B20">
        <v>3</v>
      </c>
      <c r="D20">
        <f t="shared" si="4"/>
        <v>327</v>
      </c>
      <c r="E20">
        <f t="shared" si="5"/>
        <v>308</v>
      </c>
      <c r="F20">
        <f t="shared" si="6"/>
        <v>340</v>
      </c>
      <c r="G20">
        <f t="shared" si="7"/>
        <v>435</v>
      </c>
      <c r="I20">
        <f t="shared" si="0"/>
        <v>1</v>
      </c>
      <c r="J20">
        <f t="shared" si="1"/>
        <v>1</v>
      </c>
      <c r="K20">
        <f t="shared" si="2"/>
        <v>1</v>
      </c>
      <c r="L20">
        <f t="shared" si="3"/>
        <v>1</v>
      </c>
    </row>
    <row r="21" spans="1:12" x14ac:dyDescent="0.3">
      <c r="A21">
        <v>2009</v>
      </c>
      <c r="B21">
        <v>4</v>
      </c>
      <c r="D21">
        <f t="shared" si="4"/>
        <v>333</v>
      </c>
      <c r="E21">
        <f t="shared" si="5"/>
        <v>316</v>
      </c>
      <c r="F21">
        <f t="shared" si="6"/>
        <v>350</v>
      </c>
      <c r="G21">
        <f t="shared" si="7"/>
        <v>443</v>
      </c>
      <c r="I21">
        <f t="shared" si="0"/>
        <v>1</v>
      </c>
      <c r="J21">
        <f t="shared" si="1"/>
        <v>1</v>
      </c>
      <c r="K21">
        <f t="shared" si="2"/>
        <v>1</v>
      </c>
      <c r="L21">
        <f t="shared" si="3"/>
        <v>1</v>
      </c>
    </row>
    <row r="22" spans="1:12" x14ac:dyDescent="0.3">
      <c r="A22">
        <v>2010</v>
      </c>
      <c r="B22">
        <v>1</v>
      </c>
      <c r="D22">
        <f>D21</f>
        <v>333</v>
      </c>
      <c r="E22">
        <f>E21</f>
        <v>316</v>
      </c>
      <c r="F22">
        <f>F21</f>
        <v>350</v>
      </c>
      <c r="G22">
        <f>G21</f>
        <v>443</v>
      </c>
      <c r="I22">
        <f t="shared" si="0"/>
        <v>1</v>
      </c>
      <c r="J22">
        <f t="shared" si="1"/>
        <v>1</v>
      </c>
      <c r="K22">
        <f t="shared" si="2"/>
        <v>1</v>
      </c>
      <c r="L22">
        <f t="shared" si="3"/>
        <v>1</v>
      </c>
    </row>
    <row r="23" spans="1:12" x14ac:dyDescent="0.3">
      <c r="A23">
        <v>2010</v>
      </c>
      <c r="B23">
        <v>2</v>
      </c>
      <c r="D23">
        <f t="shared" ref="D23:D25" si="8">D22</f>
        <v>333</v>
      </c>
      <c r="E23">
        <f t="shared" ref="E23:E25" si="9">E22</f>
        <v>316</v>
      </c>
      <c r="F23">
        <f t="shared" ref="F23:F25" si="10">F22</f>
        <v>350</v>
      </c>
      <c r="G23">
        <f t="shared" ref="G23:G25" si="11">G22</f>
        <v>443</v>
      </c>
      <c r="I23">
        <f t="shared" si="0"/>
        <v>1</v>
      </c>
      <c r="J23">
        <f t="shared" si="1"/>
        <v>1</v>
      </c>
      <c r="K23">
        <f t="shared" si="2"/>
        <v>1</v>
      </c>
      <c r="L23">
        <f t="shared" si="3"/>
        <v>1</v>
      </c>
    </row>
    <row r="24" spans="1:12" x14ac:dyDescent="0.3">
      <c r="A24">
        <v>2010</v>
      </c>
      <c r="B24">
        <v>3</v>
      </c>
      <c r="D24">
        <f t="shared" si="8"/>
        <v>333</v>
      </c>
      <c r="E24">
        <f t="shared" si="9"/>
        <v>316</v>
      </c>
      <c r="F24">
        <f t="shared" si="10"/>
        <v>350</v>
      </c>
      <c r="G24">
        <f t="shared" si="11"/>
        <v>443</v>
      </c>
      <c r="I24">
        <f t="shared" si="0"/>
        <v>1</v>
      </c>
      <c r="J24">
        <f t="shared" si="1"/>
        <v>1</v>
      </c>
      <c r="K24">
        <f t="shared" si="2"/>
        <v>1</v>
      </c>
      <c r="L24">
        <f t="shared" si="3"/>
        <v>1</v>
      </c>
    </row>
    <row r="25" spans="1:12" x14ac:dyDescent="0.3">
      <c r="A25">
        <v>2010</v>
      </c>
      <c r="B25">
        <v>4</v>
      </c>
      <c r="D25">
        <f t="shared" si="8"/>
        <v>333</v>
      </c>
      <c r="E25">
        <f t="shared" si="9"/>
        <v>316</v>
      </c>
      <c r="F25">
        <f t="shared" si="10"/>
        <v>350</v>
      </c>
      <c r="G25">
        <f t="shared" si="11"/>
        <v>443</v>
      </c>
      <c r="I25">
        <f t="shared" si="0"/>
        <v>1</v>
      </c>
      <c r="J25">
        <f t="shared" si="1"/>
        <v>1</v>
      </c>
      <c r="K25">
        <f t="shared" si="2"/>
        <v>1</v>
      </c>
      <c r="L25">
        <f t="shared" si="3"/>
        <v>1</v>
      </c>
    </row>
    <row r="26" spans="1:12" x14ac:dyDescent="0.3">
      <c r="A26">
        <v>2011</v>
      </c>
      <c r="B26">
        <v>1</v>
      </c>
      <c r="D26">
        <f>ROUNDDOWN(PRODUCT(D25,0.99),0)</f>
        <v>329</v>
      </c>
      <c r="E26">
        <f>ROUNDDOWN(PRODUCT(E25,0.988),0)</f>
        <v>312</v>
      </c>
      <c r="F26">
        <f>ROUNDDOWN(PRODUCT(F25,0.981),0)</f>
        <v>343</v>
      </c>
      <c r="G26">
        <f>ROUNDDOWN(PRODUCT(G25,0.975),0)</f>
        <v>431</v>
      </c>
      <c r="I26">
        <f t="shared" si="0"/>
        <v>1</v>
      </c>
      <c r="J26">
        <f t="shared" si="1"/>
        <v>1</v>
      </c>
      <c r="K26">
        <f t="shared" si="2"/>
        <v>1</v>
      </c>
      <c r="L26">
        <f t="shared" si="3"/>
        <v>1</v>
      </c>
    </row>
    <row r="27" spans="1:12" x14ac:dyDescent="0.3">
      <c r="A27">
        <v>2011</v>
      </c>
      <c r="B27">
        <v>2</v>
      </c>
      <c r="D27">
        <f t="shared" ref="D27:D41" si="12">ROUNDDOWN(PRODUCT(D26,0.99),0)</f>
        <v>325</v>
      </c>
      <c r="E27">
        <f t="shared" ref="E27:E32" si="13">ROUNDDOWN(PRODUCT(E26,0.988),0)</f>
        <v>308</v>
      </c>
      <c r="F27">
        <f t="shared" ref="F27:F41" si="14">ROUNDDOWN(PRODUCT(F26,0.981),0)</f>
        <v>336</v>
      </c>
      <c r="G27">
        <f t="shared" ref="G27:G41" si="15">ROUNDDOWN(PRODUCT(G26,0.975),0)</f>
        <v>420</v>
      </c>
      <c r="I27">
        <f t="shared" si="0"/>
        <v>1</v>
      </c>
      <c r="J27">
        <f t="shared" si="1"/>
        <v>1</v>
      </c>
      <c r="K27">
        <f t="shared" si="2"/>
        <v>1</v>
      </c>
      <c r="L27">
        <f t="shared" si="3"/>
        <v>1</v>
      </c>
    </row>
    <row r="28" spans="1:12" x14ac:dyDescent="0.3">
      <c r="A28">
        <v>2011</v>
      </c>
      <c r="B28">
        <v>3</v>
      </c>
      <c r="D28">
        <f t="shared" si="12"/>
        <v>321</v>
      </c>
      <c r="E28">
        <f t="shared" si="13"/>
        <v>304</v>
      </c>
      <c r="F28">
        <f t="shared" si="14"/>
        <v>329</v>
      </c>
      <c r="G28">
        <f t="shared" si="15"/>
        <v>409</v>
      </c>
      <c r="I28">
        <f t="shared" si="0"/>
        <v>1</v>
      </c>
      <c r="J28">
        <f t="shared" si="1"/>
        <v>1</v>
      </c>
      <c r="K28">
        <f t="shared" si="2"/>
        <v>1</v>
      </c>
      <c r="L28">
        <f t="shared" si="3"/>
        <v>1</v>
      </c>
    </row>
    <row r="29" spans="1:12" x14ac:dyDescent="0.3">
      <c r="A29">
        <v>2011</v>
      </c>
      <c r="B29">
        <v>4</v>
      </c>
      <c r="D29" s="1">
        <f t="shared" si="12"/>
        <v>317</v>
      </c>
      <c r="E29" s="1">
        <f t="shared" si="13"/>
        <v>300</v>
      </c>
      <c r="F29" s="1">
        <f t="shared" si="14"/>
        <v>322</v>
      </c>
      <c r="G29" s="1">
        <f t="shared" si="15"/>
        <v>398</v>
      </c>
      <c r="I29">
        <f t="shared" si="0"/>
        <v>1</v>
      </c>
      <c r="J29">
        <f t="shared" si="1"/>
        <v>0</v>
      </c>
      <c r="K29">
        <f t="shared" si="2"/>
        <v>1</v>
      </c>
      <c r="L29">
        <f t="shared" si="3"/>
        <v>1</v>
      </c>
    </row>
    <row r="30" spans="1:12" x14ac:dyDescent="0.3">
      <c r="A30">
        <v>2012</v>
      </c>
      <c r="B30">
        <v>1</v>
      </c>
      <c r="D30">
        <f t="shared" si="12"/>
        <v>313</v>
      </c>
      <c r="E30">
        <f t="shared" si="13"/>
        <v>296</v>
      </c>
      <c r="F30">
        <f t="shared" si="14"/>
        <v>315</v>
      </c>
      <c r="G30">
        <f t="shared" si="15"/>
        <v>388</v>
      </c>
      <c r="I30">
        <f t="shared" si="0"/>
        <v>1</v>
      </c>
      <c r="J30">
        <f t="shared" si="1"/>
        <v>0</v>
      </c>
      <c r="K30">
        <f t="shared" si="2"/>
        <v>1</v>
      </c>
      <c r="L30">
        <f t="shared" si="3"/>
        <v>1</v>
      </c>
    </row>
    <row r="31" spans="1:12" x14ac:dyDescent="0.3">
      <c r="A31">
        <v>2012</v>
      </c>
      <c r="B31">
        <v>2</v>
      </c>
      <c r="D31">
        <f t="shared" si="12"/>
        <v>309</v>
      </c>
      <c r="E31">
        <f t="shared" si="13"/>
        <v>292</v>
      </c>
      <c r="F31">
        <f t="shared" si="14"/>
        <v>309</v>
      </c>
      <c r="G31">
        <f t="shared" si="15"/>
        <v>378</v>
      </c>
      <c r="I31">
        <f t="shared" si="0"/>
        <v>1</v>
      </c>
      <c r="J31">
        <f t="shared" si="1"/>
        <v>0</v>
      </c>
      <c r="K31">
        <f t="shared" si="2"/>
        <v>1</v>
      </c>
      <c r="L31">
        <f t="shared" si="3"/>
        <v>1</v>
      </c>
    </row>
    <row r="32" spans="1:12" x14ac:dyDescent="0.3">
      <c r="A32">
        <v>2012</v>
      </c>
      <c r="B32">
        <v>3</v>
      </c>
      <c r="D32">
        <f t="shared" si="12"/>
        <v>305</v>
      </c>
      <c r="E32">
        <f t="shared" si="13"/>
        <v>288</v>
      </c>
      <c r="F32">
        <f t="shared" si="14"/>
        <v>303</v>
      </c>
      <c r="G32">
        <f t="shared" si="15"/>
        <v>368</v>
      </c>
      <c r="I32">
        <f t="shared" si="0"/>
        <v>1</v>
      </c>
      <c r="J32">
        <f t="shared" si="1"/>
        <v>0</v>
      </c>
      <c r="K32">
        <f t="shared" si="2"/>
        <v>1</v>
      </c>
      <c r="L32">
        <f t="shared" si="3"/>
        <v>1</v>
      </c>
    </row>
    <row r="33" spans="1:12" x14ac:dyDescent="0.3">
      <c r="A33">
        <v>2012</v>
      </c>
      <c r="B33">
        <v>4</v>
      </c>
      <c r="D33">
        <f t="shared" si="12"/>
        <v>301</v>
      </c>
      <c r="E33">
        <f>ROUNDDOWN(PRODUCT(E32,0.988),0)</f>
        <v>284</v>
      </c>
      <c r="F33">
        <f t="shared" si="14"/>
        <v>297</v>
      </c>
      <c r="G33">
        <f t="shared" si="15"/>
        <v>358</v>
      </c>
      <c r="I33">
        <f t="shared" si="0"/>
        <v>1</v>
      </c>
      <c r="J33">
        <f t="shared" si="1"/>
        <v>0</v>
      </c>
      <c r="K33">
        <f t="shared" si="2"/>
        <v>0</v>
      </c>
      <c r="L33">
        <f t="shared" si="3"/>
        <v>1</v>
      </c>
    </row>
    <row r="34" spans="1:12" x14ac:dyDescent="0.3">
      <c r="A34">
        <v>2013</v>
      </c>
      <c r="B34">
        <v>1</v>
      </c>
      <c r="D34">
        <f t="shared" si="12"/>
        <v>297</v>
      </c>
      <c r="E34">
        <f t="shared" ref="E34:E41" si="16">ROUNDDOWN(PRODUCT(E33,0.988),0)</f>
        <v>280</v>
      </c>
      <c r="F34">
        <f t="shared" si="14"/>
        <v>291</v>
      </c>
      <c r="G34">
        <f t="shared" si="15"/>
        <v>349</v>
      </c>
    </row>
    <row r="35" spans="1:12" x14ac:dyDescent="0.3">
      <c r="B35">
        <v>2</v>
      </c>
      <c r="D35">
        <f t="shared" si="12"/>
        <v>294</v>
      </c>
      <c r="E35">
        <f t="shared" si="16"/>
        <v>276</v>
      </c>
      <c r="F35">
        <f t="shared" si="14"/>
        <v>285</v>
      </c>
      <c r="G35">
        <f t="shared" si="15"/>
        <v>340</v>
      </c>
    </row>
    <row r="36" spans="1:12" x14ac:dyDescent="0.3">
      <c r="B36">
        <v>3</v>
      </c>
      <c r="D36">
        <f t="shared" si="12"/>
        <v>291</v>
      </c>
      <c r="E36">
        <f t="shared" si="16"/>
        <v>272</v>
      </c>
      <c r="F36">
        <f t="shared" si="14"/>
        <v>279</v>
      </c>
      <c r="G36">
        <f t="shared" si="15"/>
        <v>331</v>
      </c>
    </row>
    <row r="37" spans="1:12" x14ac:dyDescent="0.3">
      <c r="B37">
        <v>4</v>
      </c>
      <c r="D37">
        <f t="shared" si="12"/>
        <v>288</v>
      </c>
      <c r="E37">
        <f t="shared" si="16"/>
        <v>268</v>
      </c>
      <c r="F37">
        <f t="shared" si="14"/>
        <v>273</v>
      </c>
      <c r="G37">
        <f t="shared" si="15"/>
        <v>322</v>
      </c>
    </row>
    <row r="38" spans="1:12" x14ac:dyDescent="0.3">
      <c r="A38">
        <v>2014</v>
      </c>
      <c r="B38">
        <v>1</v>
      </c>
      <c r="D38">
        <f t="shared" si="12"/>
        <v>285</v>
      </c>
      <c r="E38">
        <f t="shared" si="16"/>
        <v>264</v>
      </c>
      <c r="F38">
        <f t="shared" si="14"/>
        <v>267</v>
      </c>
      <c r="G38">
        <f t="shared" si="15"/>
        <v>313</v>
      </c>
    </row>
    <row r="39" spans="1:12" x14ac:dyDescent="0.3">
      <c r="B39" s="2">
        <v>2</v>
      </c>
      <c r="D39">
        <f t="shared" si="12"/>
        <v>282</v>
      </c>
      <c r="E39">
        <f t="shared" si="16"/>
        <v>260</v>
      </c>
      <c r="F39">
        <f t="shared" si="14"/>
        <v>261</v>
      </c>
      <c r="G39" s="2">
        <f t="shared" si="15"/>
        <v>305</v>
      </c>
    </row>
    <row r="40" spans="1:12" x14ac:dyDescent="0.3">
      <c r="B40">
        <v>3</v>
      </c>
      <c r="D40">
        <f t="shared" si="12"/>
        <v>279</v>
      </c>
      <c r="E40">
        <f t="shared" si="16"/>
        <v>256</v>
      </c>
      <c r="F40">
        <f t="shared" si="14"/>
        <v>256</v>
      </c>
      <c r="G40">
        <f t="shared" si="15"/>
        <v>297</v>
      </c>
    </row>
    <row r="41" spans="1:12" x14ac:dyDescent="0.3">
      <c r="B41">
        <v>4</v>
      </c>
      <c r="D41">
        <f t="shared" si="12"/>
        <v>276</v>
      </c>
      <c r="E41">
        <f t="shared" si="16"/>
        <v>252</v>
      </c>
      <c r="F41">
        <f t="shared" si="14"/>
        <v>251</v>
      </c>
      <c r="G41">
        <f t="shared" si="15"/>
        <v>289</v>
      </c>
    </row>
    <row r="42" spans="1:12" x14ac:dyDescent="0.3">
      <c r="I42" s="3">
        <f>SUM(I1:I41)</f>
        <v>18</v>
      </c>
      <c r="J42" s="3">
        <f>SUM(J1:J41)</f>
        <v>9</v>
      </c>
      <c r="K42" s="3">
        <f>SUM(K1:K41)</f>
        <v>17</v>
      </c>
      <c r="L42" s="3">
        <f>SUM(L1:L41)</f>
        <v>32</v>
      </c>
    </row>
    <row r="44" spans="1:12" x14ac:dyDescent="0.3">
      <c r="A44" s="4">
        <f>SUM(D2:D25,E2:E25,F2:F25,G2:G25)</f>
        <v>29368</v>
      </c>
    </row>
    <row r="47" spans="1:12" x14ac:dyDescent="0.3">
      <c r="B47" s="5" t="s">
        <v>11</v>
      </c>
      <c r="C47" t="s">
        <v>13</v>
      </c>
      <c r="D47" t="s">
        <v>14</v>
      </c>
      <c r="E47" t="s">
        <v>15</v>
      </c>
      <c r="F47" t="s">
        <v>16</v>
      </c>
    </row>
    <row r="48" spans="1:12" x14ac:dyDescent="0.3">
      <c r="B48" s="6">
        <v>2005</v>
      </c>
      <c r="C48" s="7">
        <v>972</v>
      </c>
      <c r="D48" s="7">
        <v>822</v>
      </c>
      <c r="E48" s="7">
        <v>864</v>
      </c>
      <c r="F48" s="7">
        <v>1284</v>
      </c>
    </row>
    <row r="49" spans="2:6" x14ac:dyDescent="0.3">
      <c r="B49" s="6">
        <v>2006</v>
      </c>
      <c r="C49" s="7">
        <v>1042</v>
      </c>
      <c r="D49" s="7">
        <v>905</v>
      </c>
      <c r="E49" s="7">
        <v>963</v>
      </c>
      <c r="F49" s="7">
        <v>1380</v>
      </c>
    </row>
    <row r="50" spans="2:6" x14ac:dyDescent="0.3">
      <c r="B50" s="6">
        <v>2007</v>
      </c>
      <c r="C50" s="7">
        <v>1122</v>
      </c>
      <c r="D50" s="7">
        <v>1000</v>
      </c>
      <c r="E50" s="7">
        <v>1075</v>
      </c>
      <c r="F50" s="7">
        <v>1486</v>
      </c>
    </row>
    <row r="51" spans="2:6" x14ac:dyDescent="0.3">
      <c r="B51" s="6">
        <v>2008</v>
      </c>
      <c r="C51" s="7">
        <v>1203</v>
      </c>
      <c r="D51" s="7">
        <v>1102</v>
      </c>
      <c r="E51" s="7">
        <v>1201</v>
      </c>
      <c r="F51" s="7">
        <v>1599</v>
      </c>
    </row>
    <row r="52" spans="2:6" x14ac:dyDescent="0.3">
      <c r="B52" s="6">
        <v>2009</v>
      </c>
      <c r="C52" s="7">
        <v>1296</v>
      </c>
      <c r="D52" s="7">
        <v>1217</v>
      </c>
      <c r="E52" s="7">
        <v>1343</v>
      </c>
      <c r="F52" s="7">
        <v>1724</v>
      </c>
    </row>
    <row r="53" spans="2:6" x14ac:dyDescent="0.3">
      <c r="B53" s="6">
        <v>2010</v>
      </c>
      <c r="C53" s="7">
        <v>1332</v>
      </c>
      <c r="D53" s="7">
        <v>1264</v>
      </c>
      <c r="E53" s="7">
        <v>1400</v>
      </c>
      <c r="F53" s="7">
        <v>1772</v>
      </c>
    </row>
    <row r="54" spans="2:6" x14ac:dyDescent="0.3">
      <c r="B54" s="6">
        <v>2011</v>
      </c>
      <c r="C54" s="7">
        <v>1292</v>
      </c>
      <c r="D54" s="7">
        <v>1224</v>
      </c>
      <c r="E54" s="7">
        <v>1330</v>
      </c>
      <c r="F54" s="7">
        <v>1658</v>
      </c>
    </row>
    <row r="55" spans="2:6" x14ac:dyDescent="0.3">
      <c r="B55" s="6">
        <v>2012</v>
      </c>
      <c r="C55" s="7">
        <v>1228</v>
      </c>
      <c r="D55" s="7">
        <v>1160</v>
      </c>
      <c r="E55" s="7">
        <v>1224</v>
      </c>
      <c r="F55" s="7">
        <v>1492</v>
      </c>
    </row>
    <row r="56" spans="2:6" x14ac:dyDescent="0.3">
      <c r="B56" s="6" t="s">
        <v>12</v>
      </c>
      <c r="C56" s="7">
        <v>9487</v>
      </c>
      <c r="D56" s="7">
        <v>8694</v>
      </c>
      <c r="E56" s="7">
        <v>9400</v>
      </c>
      <c r="F56" s="7">
        <v>12395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2025-10-09T09:23:07Z</dcterms:created>
  <dcterms:modified xsi:type="dcterms:W3CDTF">2025-10-09T09:51:40Z</dcterms:modified>
</cp:coreProperties>
</file>